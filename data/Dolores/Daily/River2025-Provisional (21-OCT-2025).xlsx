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1.xml" ContentType="application/vnd.ms-excel.threadedcomments+xml"/>
  <Override PartName="/xl/comments9.xml" ContentType="application/vnd.openxmlformats-officedocument.spreadsheetml.comments+xml"/>
  <Override PartName="/xl/threadedComments/threadedComment2.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placeholders" codeName="ThisWorkbook"/>
  <mc:AlternateContent xmlns:mc="http://schemas.openxmlformats.org/markup-compatibility/2006">
    <mc:Choice Requires="x15">
      <x15ac:absPath xmlns:x15ac="http://schemas.microsoft.com/office/spreadsheetml/2010/11/ac" url="C:\Users\Water Resources Tech\Documents\Daily Reports\"/>
    </mc:Choice>
  </mc:AlternateContent>
  <xr:revisionPtr revIDLastSave="0" documentId="13_ncr:1_{8F121DEA-FAB5-4DBF-9621-07999CC4B37A}" xr6:coauthVersionLast="47" xr6:coauthVersionMax="47" xr10:uidLastSave="{00000000-0000-0000-0000-000000000000}"/>
  <bookViews>
    <workbookView xWindow="-120" yWindow="-120" windowWidth="29040" windowHeight="15720" tabRatio="620"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48" i="12" l="1"/>
  <c r="AY51" i="12" s="1"/>
  <c r="AY45" i="12"/>
  <c r="AY44" i="12"/>
  <c r="AY43" i="12"/>
  <c r="AY42" i="12"/>
  <c r="AY41" i="12"/>
  <c r="AY40" i="12"/>
  <c r="AY39" i="12"/>
  <c r="AY38" i="12"/>
  <c r="AY37" i="12"/>
  <c r="AY36" i="12"/>
  <c r="AY35" i="12"/>
  <c r="AY34" i="12"/>
  <c r="AY33" i="12"/>
  <c r="AY32" i="12"/>
  <c r="AY31" i="12"/>
  <c r="AY30" i="12"/>
  <c r="AY29" i="12"/>
  <c r="AY28" i="12"/>
  <c r="AY27" i="12"/>
  <c r="AY26" i="12"/>
  <c r="AY25" i="12"/>
  <c r="AY24" i="12"/>
  <c r="AY23" i="12"/>
  <c r="AY22" i="12"/>
  <c r="AY21" i="12"/>
  <c r="AY20" i="12"/>
  <c r="AY19" i="12"/>
  <c r="AY18" i="12"/>
  <c r="AY17" i="12"/>
  <c r="AY16" i="12"/>
  <c r="AY15" i="12"/>
  <c r="AY13" i="12"/>
  <c r="O34" i="12" l="1"/>
  <c r="O33" i="12"/>
  <c r="O32" i="12"/>
  <c r="O31" i="12"/>
  <c r="O30" i="12"/>
  <c r="O29" i="12"/>
  <c r="O28" i="12"/>
  <c r="BS34" i="12"/>
  <c r="BS35" i="12"/>
  <c r="BS36" i="12"/>
  <c r="BS37" i="12"/>
  <c r="BS38" i="12"/>
  <c r="BS39" i="12"/>
  <c r="BS40" i="12"/>
  <c r="BS41" i="12"/>
  <c r="BS42" i="12"/>
  <c r="BS43" i="12"/>
  <c r="BS44" i="12"/>
  <c r="BS21" i="12"/>
  <c r="BS22" i="12"/>
  <c r="BS23" i="12"/>
  <c r="BS24" i="12"/>
  <c r="BS25" i="12"/>
  <c r="BS26" i="12"/>
  <c r="BS27" i="12"/>
  <c r="BS28" i="12"/>
  <c r="BS29" i="12"/>
  <c r="BS30" i="12"/>
  <c r="BS31" i="12"/>
  <c r="BS32" i="12"/>
  <c r="BS33" i="12"/>
  <c r="O27" i="12" l="1"/>
  <c r="R15" i="11" l="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T15" i="10"/>
  <c r="T19" i="9"/>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S16" i="11" l="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O26" i="12"/>
  <c r="O25" i="12" l="1"/>
  <c r="O24" i="12"/>
  <c r="O23" i="12"/>
  <c r="O22" i="12" l="1"/>
  <c r="O21" i="12" l="1"/>
  <c r="BR21" i="12"/>
  <c r="BR20" i="12"/>
  <c r="BS20" i="12"/>
  <c r="O20" i="12"/>
  <c r="BE9" i="12" l="1"/>
  <c r="BS16" i="12" l="1"/>
  <c r="BS17" i="12"/>
  <c r="BS18" i="12"/>
  <c r="BS19" i="12"/>
  <c r="BS15" i="12"/>
  <c r="O19" i="12" l="1"/>
  <c r="O18" i="12"/>
  <c r="O17" i="12"/>
  <c r="O16" i="12"/>
  <c r="O15" i="12"/>
  <c r="AN29" i="10" l="1"/>
  <c r="AN30" i="10"/>
  <c r="AN31" i="10"/>
  <c r="AN32" i="10"/>
  <c r="AN33" i="10"/>
  <c r="AN34" i="10"/>
  <c r="AN35" i="10"/>
  <c r="AN36" i="10"/>
  <c r="AN37" i="10"/>
  <c r="AN38" i="10"/>
  <c r="AN39" i="10"/>
  <c r="AN40" i="10"/>
  <c r="AN41" i="10"/>
  <c r="AN42" i="10"/>
  <c r="AN43" i="10"/>
  <c r="AN44" i="10"/>
  <c r="AN45" i="10"/>
  <c r="BQ43" i="11"/>
  <c r="BQ44" i="11"/>
  <c r="O44" i="11"/>
  <c r="O43" i="11"/>
  <c r="BQ39" i="11" l="1"/>
  <c r="BQ40" i="11"/>
  <c r="BQ41" i="11"/>
  <c r="BQ42" i="11"/>
  <c r="BQ38" i="11"/>
  <c r="O42" i="11"/>
  <c r="O41" i="11"/>
  <c r="O40" i="11"/>
  <c r="O39" i="11"/>
  <c r="O38" i="11" l="1"/>
  <c r="O8" i="14" l="1"/>
  <c r="O8" i="7"/>
  <c r="O8" i="8"/>
  <c r="O8" i="9"/>
  <c r="O8" i="10"/>
  <c r="O8" i="11"/>
  <c r="O8" i="12"/>
  <c r="BC9" i="11"/>
  <c r="BC9" i="10"/>
  <c r="O37" i="11"/>
  <c r="BA9" i="10" l="1"/>
  <c r="O36" i="11" l="1"/>
  <c r="O35" i="11"/>
  <c r="O34" i="11"/>
  <c r="O33" i="11"/>
  <c r="O32" i="11"/>
  <c r="O31" i="11"/>
  <c r="O30" i="11" l="1"/>
  <c r="BR29" i="11" l="1"/>
  <c r="O29" i="11"/>
  <c r="O28" i="11" l="1"/>
  <c r="O27" i="11"/>
  <c r="O26" i="11"/>
  <c r="O25" i="11"/>
  <c r="O24" i="11"/>
  <c r="O23" i="11"/>
  <c r="O22" i="11" l="1"/>
  <c r="O21" i="11" l="1"/>
  <c r="O20" i="11"/>
  <c r="O19" i="11"/>
  <c r="O18" i="11"/>
  <c r="AJ7" i="14" l="1"/>
  <c r="AJ7" i="7"/>
  <c r="AJ7" i="8"/>
  <c r="AL7" i="9"/>
  <c r="AL7" i="10"/>
  <c r="AL7" i="12"/>
  <c r="AL7" i="11"/>
  <c r="AH8" i="12"/>
  <c r="AH8" i="10"/>
  <c r="AH8" i="9"/>
  <c r="AF8" i="8"/>
  <c r="AF8" i="7"/>
  <c r="AF8" i="14"/>
  <c r="AH8" i="11"/>
  <c r="O17" i="11" l="1"/>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O15" i="11"/>
  <c r="O45" i="10"/>
  <c r="O44" i="10"/>
  <c r="O43" i="10"/>
  <c r="O42" i="10"/>
  <c r="O41" i="10" l="1"/>
  <c r="O40" i="10" l="1"/>
  <c r="O39" i="10" l="1"/>
  <c r="O38" i="10"/>
  <c r="O37" i="10"/>
  <c r="BC37" i="10" s="1"/>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R41" i="9" s="1"/>
  <c r="T42" i="9"/>
  <c r="R42" i="9" s="1"/>
  <c r="T43" i="9"/>
  <c r="R43" i="9" s="1"/>
  <c r="T44" i="9"/>
  <c r="S44" i="9" s="1"/>
  <c r="T45" i="9"/>
  <c r="T39" i="9"/>
  <c r="R39" i="9" s="1"/>
  <c r="T33" i="9"/>
  <c r="R33" i="9" s="1"/>
  <c r="T34" i="9"/>
  <c r="R34" i="9" s="1"/>
  <c r="T35" i="9"/>
  <c r="R35" i="9" s="1"/>
  <c r="T36" i="9"/>
  <c r="S36" i="9" s="1"/>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R24" i="9" s="1"/>
  <c r="S19" i="9"/>
  <c r="T16" i="9"/>
  <c r="R16" i="9" s="1"/>
  <c r="T17" i="9"/>
  <c r="R17" i="9" s="1"/>
  <c r="T18" i="9"/>
  <c r="S18" i="9" s="1"/>
  <c r="T15" i="9"/>
  <c r="R15" i="9" s="1"/>
  <c r="S45" i="9"/>
  <c r="R36" i="9"/>
  <c r="R45" i="9"/>
  <c r="S43" i="9" l="1"/>
  <c r="S41" i="9"/>
  <c r="S42" i="9"/>
  <c r="S37" i="9"/>
  <c r="S35" i="9"/>
  <c r="S24" i="9"/>
  <c r="S17" i="9"/>
  <c r="S16" i="9"/>
  <c r="R44" i="9"/>
  <c r="R18" i="9"/>
  <c r="S39" i="9"/>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BC38" i="10" l="1"/>
  <c r="O43" i="9"/>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38" i="2" l="1"/>
  <c r="U22" i="2"/>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D36" i="2"/>
  <c r="F36" i="2" s="1"/>
  <c r="AS27" i="2"/>
  <c r="U25" i="2"/>
  <c r="BH25" i="2" s="1"/>
  <c r="AS39"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AK44" i="2" s="1"/>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U18" i="2"/>
  <c r="BH18" i="2" s="1"/>
  <c r="X17" i="2"/>
  <c r="O18" i="8"/>
  <c r="BH40" i="2" l="1"/>
  <c r="BH44" i="2"/>
  <c r="Y45" i="2"/>
  <c r="AK45" i="2"/>
  <c r="L45" i="2" s="1"/>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0" i="2"/>
  <c r="L40" i="2" s="1"/>
  <c r="AL40" i="2" s="1"/>
  <c r="AM40" i="2" s="1"/>
  <c r="AO20" i="2"/>
  <c r="X16" i="2"/>
  <c r="Y16" i="2" s="1"/>
  <c r="X20" i="2"/>
  <c r="Y20" i="2" s="1"/>
  <c r="X34" i="2"/>
  <c r="Y34" i="2" s="1"/>
  <c r="BH34" i="2"/>
  <c r="Y41" i="2"/>
  <c r="AK41" i="2"/>
  <c r="L41" i="2" s="1"/>
  <c r="AL41" i="2" s="1"/>
  <c r="AM41" i="2" s="1"/>
  <c r="AO41" i="2"/>
  <c r="X27" i="2"/>
  <c r="Y27" i="2" s="1"/>
  <c r="AK23" i="2"/>
  <c r="L23" i="2" s="1"/>
  <c r="BH41" i="2"/>
  <c r="AK39" i="2"/>
  <c r="L39" i="2" s="1"/>
  <c r="AK30" i="2"/>
  <c r="L30" i="2" s="1"/>
  <c r="BH33" i="2"/>
  <c r="Y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19" i="2" l="1"/>
  <c r="L19" i="2" s="1"/>
  <c r="AL19" i="2" s="1"/>
  <c r="AM19" i="2" s="1"/>
  <c r="AK28" i="2"/>
  <c r="L28" i="2" s="1"/>
  <c r="J28" i="2" s="1"/>
  <c r="K28" i="2" s="1"/>
  <c r="AK32" i="2"/>
  <c r="L32" i="2" s="1"/>
  <c r="AK24" i="2"/>
  <c r="L24" i="2" s="1"/>
  <c r="J24" i="2" s="1"/>
  <c r="K24" i="2" s="1"/>
  <c r="AK26" i="2"/>
  <c r="L26" i="2" s="1"/>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AL23" i="2"/>
  <c r="AM23" i="2" s="1"/>
  <c r="J23" i="2"/>
  <c r="K23" i="2" s="1"/>
  <c r="AK27" i="2"/>
  <c r="L27" i="2" s="1"/>
  <c r="J27" i="2" s="1"/>
  <c r="K27" i="2" s="1"/>
  <c r="J30" i="2"/>
  <c r="K30" i="2" s="1"/>
  <c r="AL30" i="2"/>
  <c r="AM30" i="2" s="1"/>
  <c r="J39" i="2"/>
  <c r="K39" i="2" s="1"/>
  <c r="AL39" i="2"/>
  <c r="AM39" i="2" s="1"/>
  <c r="L44" i="2"/>
  <c r="J29" i="2"/>
  <c r="K29" i="2" s="1"/>
  <c r="AL29" i="2"/>
  <c r="AM29" i="2" s="1"/>
  <c r="L35" i="2"/>
  <c r="L17" i="2"/>
  <c r="AK15" i="2"/>
  <c r="L33" i="2"/>
  <c r="J38" i="2"/>
  <c r="K38" i="2" s="1"/>
  <c r="AL38" i="2"/>
  <c r="AM38" i="2" s="1"/>
  <c r="O17" i="8"/>
  <c r="O16" i="8"/>
  <c r="O15" i="8"/>
  <c r="BA15" i="7"/>
  <c r="AL28" i="2" l="1"/>
  <c r="AM28" i="2" s="1"/>
  <c r="AL24" i="2"/>
  <c r="AM24" i="2" s="1"/>
  <c r="AL37" i="2"/>
  <c r="AM37" i="2" s="1"/>
  <c r="AL25" i="2"/>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s="1"/>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U29" i="12" s="1"/>
  <c r="R30" i="12"/>
  <c r="R31" i="12"/>
  <c r="R32" i="12"/>
  <c r="R33" i="12"/>
  <c r="R34" i="12"/>
  <c r="R35" i="12"/>
  <c r="R36" i="12"/>
  <c r="R37" i="12"/>
  <c r="R38" i="12"/>
  <c r="R39" i="12"/>
  <c r="R40" i="12"/>
  <c r="U40" i="12" s="1"/>
  <c r="X40" i="12" s="1"/>
  <c r="Y40" i="12" s="1"/>
  <c r="R41" i="12"/>
  <c r="U41" i="12" s="1"/>
  <c r="X41" i="12" s="1"/>
  <c r="Y41" i="12" s="1"/>
  <c r="R42" i="12"/>
  <c r="R43" i="12"/>
  <c r="R44" i="12"/>
  <c r="R45" i="12"/>
  <c r="U31" i="12" l="1"/>
  <c r="X31" i="12"/>
  <c r="Y31" i="12" s="1"/>
  <c r="U42" i="12"/>
  <c r="X42" i="12" s="1"/>
  <c r="Y42" i="12" s="1"/>
  <c r="U38" i="12"/>
  <c r="X38" i="12" s="1"/>
  <c r="Y38" i="12" s="1"/>
  <c r="U37" i="12"/>
  <c r="X37" i="12" s="1"/>
  <c r="Y37" i="12" s="1"/>
  <c r="U36" i="12"/>
  <c r="X36" i="12"/>
  <c r="Y36" i="12" s="1"/>
  <c r="U34" i="12"/>
  <c r="X34" i="12" s="1"/>
  <c r="Y34" i="12" s="1"/>
  <c r="U43" i="12"/>
  <c r="X43" i="12" s="1"/>
  <c r="Y43" i="12" s="1"/>
  <c r="U45" i="12"/>
  <c r="X45" i="12" s="1"/>
  <c r="Y45" i="12" s="1"/>
  <c r="U33" i="12"/>
  <c r="X33" i="12" s="1"/>
  <c r="Y33" i="12" s="1"/>
  <c r="U30" i="12"/>
  <c r="X30" i="12" s="1"/>
  <c r="Y30" i="12" s="1"/>
  <c r="U39" i="12"/>
  <c r="X39" i="12" s="1"/>
  <c r="Y39" i="12" s="1"/>
  <c r="U35" i="12"/>
  <c r="X35" i="12"/>
  <c r="Y35" i="12" s="1"/>
  <c r="U44" i="12"/>
  <c r="X44" i="12" s="1"/>
  <c r="Y44" i="12" s="1"/>
  <c r="U32" i="12"/>
  <c r="X32" i="12" s="1"/>
  <c r="Y32" i="12" s="1"/>
  <c r="X15" i="12"/>
  <c r="AT47" i="12"/>
  <c r="AT48" i="12" s="1"/>
  <c r="AW42" i="12" l="1"/>
  <c r="AX42" i="12"/>
  <c r="AX16" i="12" l="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BA9" i="12" l="1"/>
  <c r="AV15" i="11" l="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BM30" i="12" l="1"/>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Y17" i="11" l="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BQ52" i="11"/>
  <c r="BQ53" i="11" s="1"/>
  <c r="BR46" i="11"/>
  <c r="BR47" i="11" s="1"/>
  <c r="AF50" i="12"/>
  <c r="AF51" i="12" s="1"/>
  <c r="AF53" i="12"/>
  <c r="AF54" i="12" s="1"/>
  <c r="AF49" i="11"/>
  <c r="AF50" i="11" s="1"/>
  <c r="AF52" i="11"/>
  <c r="AF53" i="11" s="1"/>
  <c r="BR52" i="11" l="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l="1"/>
  <c r="AY15" i="8"/>
  <c r="BP19" i="8"/>
  <c r="BP20" i="8" s="1"/>
  <c r="BT46" i="8"/>
  <c r="BT47" i="8" s="1"/>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I15" i="12"/>
  <c r="A16" i="12"/>
  <c r="A17" i="12" s="1"/>
  <c r="A18" i="12" s="1"/>
  <c r="A19" i="12" s="1"/>
  <c r="A20" i="12" s="1"/>
  <c r="A21"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BH35" i="5"/>
  <c r="A23" i="12" l="1"/>
  <c r="A24" i="12" s="1"/>
  <c r="A25" i="12" s="1"/>
  <c r="A26" i="12" s="1"/>
  <c r="A27" i="12" s="1"/>
  <c r="A28" i="12" s="1"/>
  <c r="A29" i="12" s="1"/>
  <c r="A22" i="12"/>
  <c r="BB47" i="11"/>
  <c r="AH48" i="12"/>
  <c r="BC48" i="10"/>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U28" i="12" l="1"/>
  <c r="AI15" i="2"/>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BH34" i="11"/>
  <c r="BH2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X29" i="10" s="1"/>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X31" i="10" s="1"/>
  <c r="AZ44" i="10"/>
  <c r="X44" i="10" s="1"/>
  <c r="AZ38" i="10"/>
  <c r="X38" i="10" s="1"/>
  <c r="AZ43" i="10"/>
  <c r="X43" i="10" s="1"/>
  <c r="AZ18" i="10"/>
  <c r="X18" i="10" s="1"/>
  <c r="AZ30" i="10"/>
  <c r="X30" i="10" s="1"/>
  <c r="AZ23" i="10"/>
  <c r="X23" i="10" s="1"/>
  <c r="AZ17" i="10"/>
  <c r="X17" i="10" s="1"/>
  <c r="AZ26" i="10"/>
  <c r="X26" i="10" s="1"/>
  <c r="AZ15" i="10"/>
  <c r="AZ39" i="10"/>
  <c r="X39" i="10" s="1"/>
  <c r="AZ25" i="10"/>
  <c r="X25" i="10" s="1"/>
  <c r="AZ19" i="10"/>
  <c r="X19" i="10" s="1"/>
  <c r="AZ21" i="10"/>
  <c r="X21" i="10" s="1"/>
  <c r="X33" i="10"/>
  <c r="X16" i="10"/>
  <c r="X32" i="10"/>
  <c r="X27" i="10"/>
  <c r="X20"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2"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BD13" i="12" l="1"/>
  <c r="BB53" i="11"/>
  <c r="Y37" i="10"/>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V50" i="11"/>
  <c r="V12" i="12"/>
  <c r="V50" i="12" s="1"/>
  <c r="V51" i="12" s="1"/>
  <c r="O51" i="10"/>
  <c r="O56" i="10" s="1"/>
  <c r="O12" i="11"/>
  <c r="O49" i="11" s="1"/>
  <c r="O50" i="11" s="1"/>
  <c r="H51" i="10"/>
  <c r="H12" i="11"/>
  <c r="H49" i="11" s="1"/>
  <c r="AH50" i="12" l="1"/>
  <c r="AH51" i="12" s="1"/>
  <c r="AH53" i="12"/>
  <c r="O55" i="11"/>
  <c r="O56" i="11"/>
  <c r="Y15" i="10"/>
  <c r="Y47" i="10" s="1"/>
  <c r="Y48" i="10" s="1"/>
  <c r="AT15" i="10"/>
  <c r="AT47" i="10" s="1"/>
  <c r="AJ8" i="7"/>
  <c r="AJ8" i="14"/>
  <c r="O13" i="11"/>
  <c r="O52" i="11" s="1"/>
  <c r="O13" i="12" s="1"/>
  <c r="O53" i="12" s="1"/>
  <c r="O54" i="12" s="1"/>
  <c r="O57" i="12" s="1"/>
  <c r="P13" i="12"/>
  <c r="P53" i="12" s="1"/>
  <c r="P54" i="12" s="1"/>
  <c r="P53" i="11"/>
  <c r="AH13" i="12"/>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H54" i="12" l="1"/>
  <c r="AH56"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H57" i="12" l="1"/>
  <c r="AW13" i="5"/>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BA31" i="11" s="1"/>
  <c r="C43" i="1"/>
  <c r="E42" i="1"/>
  <c r="D42" i="1"/>
  <c r="F42" i="1" s="1"/>
  <c r="L42" i="1" s="1"/>
  <c r="BA22" i="11" l="1"/>
  <c r="BA21" i="11"/>
  <c r="BA16" i="11"/>
  <c r="BA30" i="11"/>
  <c r="BA24" i="11"/>
  <c r="BA19" i="11"/>
  <c r="BA18" i="11"/>
  <c r="BA28" i="11"/>
  <c r="BA29" i="11"/>
  <c r="BA20" i="11"/>
  <c r="BA17" i="11"/>
  <c r="BA25" i="11"/>
  <c r="BA26" i="11"/>
  <c r="BA27" i="11"/>
  <c r="BA15" i="11"/>
  <c r="BA23" i="11"/>
  <c r="C44" i="1"/>
  <c r="D43" i="1"/>
  <c r="F43" i="1" s="1"/>
  <c r="L43" i="1" s="1"/>
  <c r="E43" i="1"/>
  <c r="BA46" i="11" l="1"/>
  <c r="D44" i="1"/>
  <c r="C13" i="2"/>
  <c r="D15" i="2" s="1"/>
  <c r="F15" i="2" s="1"/>
  <c r="L15" i="2" s="1"/>
  <c r="E44" i="1"/>
  <c r="BA47" i="11" l="1"/>
  <c r="BA49" i="11"/>
  <c r="J15" i="2"/>
  <c r="K15" i="2" s="1"/>
  <c r="AL15" i="2"/>
  <c r="AM15" i="2" s="1"/>
  <c r="E53" i="1"/>
  <c r="E13" i="2" s="1"/>
  <c r="F44" i="1"/>
  <c r="D47" i="1"/>
  <c r="D53" i="1" s="1"/>
  <c r="D13" i="2" s="1"/>
  <c r="BA50" i="11" l="1"/>
  <c r="BA53" i="11" s="1"/>
  <c r="BA52" i="11"/>
  <c r="BC13" i="12" s="1"/>
  <c r="BC12" i="12"/>
  <c r="BC50" i="12" s="1"/>
  <c r="BC51" i="12" s="1"/>
  <c r="F46" i="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l="1"/>
  <c r="E42" i="4"/>
  <c r="J39" i="4"/>
  <c r="K39" i="4" s="1"/>
  <c r="AL39" i="4"/>
  <c r="AM39" i="4" s="1"/>
  <c r="D40" i="4"/>
  <c r="F40" i="4" s="1"/>
  <c r="L40" i="4" s="1"/>
  <c r="E40" i="4"/>
  <c r="C41" i="4"/>
  <c r="D42" i="4" s="1"/>
  <c r="F42" i="4" s="1"/>
  <c r="L42" i="4" s="1"/>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s="1"/>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s="1"/>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s="1"/>
  <c r="AU34" i="4" s="1"/>
  <c r="AV35" i="4" l="1"/>
  <c r="AT35" i="4" s="1"/>
  <c r="AU35" i="4" s="1"/>
  <c r="AV36" i="4" l="1"/>
  <c r="AT36" i="4" s="1"/>
  <c r="AU36" i="4" s="1"/>
  <c r="AV37" i="4" l="1"/>
  <c r="AT37" i="4" s="1"/>
  <c r="AU37" i="4" s="1"/>
  <c r="AV38" i="4" l="1"/>
  <c r="AT38" i="4" s="1"/>
  <c r="AU38" i="4" s="1"/>
  <c r="AV39" i="4" l="1"/>
  <c r="AT39" i="4" s="1"/>
  <c r="AV40" i="4" s="1"/>
  <c r="AT40" i="4" s="1"/>
  <c r="AV41" i="4" l="1"/>
  <c r="AT41" i="4" s="1"/>
  <c r="AU39" i="4"/>
  <c r="AU40" i="4" s="1"/>
  <c r="AU41" i="4" l="1"/>
  <c r="AV42" i="4"/>
  <c r="AV44" i="4" s="1"/>
  <c r="AT42" i="4" l="1"/>
  <c r="AU42" i="4"/>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Q13" i="9"/>
  <c r="AQ53" i="9" s="1"/>
  <c r="AO53" i="8"/>
  <c r="AQ12" i="9"/>
  <c r="AQ50" i="9" s="1"/>
  <c r="AO50" i="8"/>
  <c r="AU16" i="5" l="1"/>
  <c r="AV17" i="5"/>
  <c r="AT17" i="5" s="1"/>
  <c r="AQ13" i="10"/>
  <c r="AQ53" i="10" s="1"/>
  <c r="AQ54" i="9"/>
  <c r="AQ12" i="10"/>
  <c r="AQ50" i="10" s="1"/>
  <c r="AQ51" i="9"/>
  <c r="AU17" i="5" l="1"/>
  <c r="AV18" i="5"/>
  <c r="AT18" i="5" s="1"/>
  <c r="AQ12" i="11"/>
  <c r="AQ49" i="11" s="1"/>
  <c r="AQ51" i="10"/>
  <c r="AQ13" i="11"/>
  <c r="AQ52" i="11" s="1"/>
  <c r="AQ54" i="10"/>
  <c r="AU18" i="5" l="1"/>
  <c r="AV19" i="5"/>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31" i="11" s="1"/>
  <c r="AG32" i="11" s="1"/>
  <c r="AG33" i="11" s="1"/>
  <c r="AG34" i="11" s="1"/>
  <c r="AG53" i="10"/>
  <c r="AG48" i="10"/>
  <c r="AG50" i="10"/>
  <c r="AG51" i="10" s="1"/>
  <c r="BK19" i="11" l="1"/>
  <c r="BL19" i="11" s="1"/>
  <c r="AG13" i="11"/>
  <c r="AG54" i="10"/>
  <c r="BK20" i="11" l="1"/>
  <c r="BL20" i="11" s="1"/>
  <c r="BK16" i="11"/>
  <c r="BL16" i="11" s="1"/>
  <c r="BK17" i="11" l="1"/>
  <c r="BK18" i="11" l="1"/>
  <c r="BL18" i="11" s="1"/>
  <c r="BL17" i="11"/>
  <c r="BK29" i="11" l="1"/>
  <c r="BL29" i="11" s="1"/>
  <c r="BK30" i="11" l="1"/>
  <c r="BL30" i="11" s="1"/>
  <c r="T46" i="14" l="1"/>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4" i="10"/>
  <c r="BK12" i="10"/>
  <c r="BK50" i="10" s="1"/>
  <c r="BM51" i="9"/>
  <c r="BK13" i="10"/>
  <c r="BK53" i="10" s="1"/>
  <c r="BM54" i="9"/>
  <c r="BK13" i="11" l="1"/>
  <c r="BK54" i="10"/>
  <c r="BL51" i="10"/>
  <c r="BL12" i="11"/>
  <c r="Y51" i="9"/>
  <c r="Y12" i="10"/>
  <c r="Y50" i="10" s="1"/>
  <c r="AU58" i="8"/>
  <c r="BK51" i="10"/>
  <c r="BK12" i="11"/>
  <c r="X12" i="11"/>
  <c r="X51" i="10"/>
  <c r="BM13" i="12" l="1"/>
  <c r="BM53" i="12" s="1"/>
  <c r="BM54" i="12" s="1"/>
  <c r="Y12" i="11"/>
  <c r="Y51" i="10"/>
  <c r="T47" i="5" l="1"/>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4" i="10"/>
  <c r="X13" i="9"/>
  <c r="X53" i="9" s="1"/>
  <c r="X53" i="8"/>
  <c r="U53" i="8"/>
  <c r="U13" i="9"/>
  <c r="U53" i="9" s="1"/>
  <c r="S54" i="9"/>
  <c r="S13" i="10"/>
  <c r="S53" i="10" s="1"/>
  <c r="AT23" i="5"/>
  <c r="AV24" i="5" s="1"/>
  <c r="Y13" i="9"/>
  <c r="Y53" i="9" s="1"/>
  <c r="Y53" i="8"/>
  <c r="BJ53" i="8"/>
  <c r="BJ13" i="9"/>
  <c r="BJ53" i="9" s="1"/>
  <c r="AT24" i="5" l="1"/>
  <c r="AV25" i="5"/>
  <c r="AU23" i="5"/>
  <c r="U54" i="9"/>
  <c r="U13" i="10"/>
  <c r="U53" i="10" s="1"/>
  <c r="Y61" i="8"/>
  <c r="Y63" i="8"/>
  <c r="Y62" i="8"/>
  <c r="S54" i="10"/>
  <c r="S13" i="11"/>
  <c r="BJ54" i="9"/>
  <c r="BH13" i="10"/>
  <c r="BH53" i="10" s="1"/>
  <c r="Y54" i="9"/>
  <c r="Y13" i="10"/>
  <c r="Y53" i="10" s="1"/>
  <c r="X54" i="9"/>
  <c r="X13" i="10"/>
  <c r="X53" i="10" s="1"/>
  <c r="Y13" i="11" l="1"/>
  <c r="Y54" i="10"/>
  <c r="BH13" i="11"/>
  <c r="BH54" i="10"/>
  <c r="U54" i="10"/>
  <c r="U13" i="11"/>
  <c r="U52" i="11" s="1"/>
  <c r="AT25" i="5"/>
  <c r="AV26" i="5"/>
  <c r="X54" i="10"/>
  <c r="X13" i="11"/>
  <c r="AU24" i="5"/>
  <c r="U13" i="12" l="1"/>
  <c r="U53" i="12" s="1"/>
  <c r="U54" i="12" s="1"/>
  <c r="U53" i="11"/>
  <c r="AT26" i="5"/>
  <c r="AU25" i="5"/>
  <c r="AU26" i="5" l="1"/>
  <c r="AV27" i="5"/>
  <c r="AT27" i="5" l="1"/>
  <c r="AU27" i="5" s="1"/>
  <c r="AV28" i="5" l="1"/>
  <c r="AT28" i="5" s="1"/>
  <c r="AU28" i="5" s="1"/>
  <c r="AV29" i="5" l="1"/>
  <c r="AT29" i="5" s="1"/>
  <c r="AU29" i="5" s="1"/>
  <c r="AV30" i="5" l="1"/>
  <c r="AT30" i="5" s="1"/>
  <c r="AU30" i="5" s="1"/>
  <c r="AV31" i="5" l="1"/>
  <c r="AT31" i="5" l="1"/>
  <c r="AU31" i="5" s="1"/>
  <c r="AV32" i="5" l="1"/>
  <c r="AT32" i="5" l="1"/>
  <c r="AU32" i="5" s="1"/>
  <c r="AV33" i="5" l="1"/>
  <c r="AT33" i="5" l="1"/>
  <c r="AU33" i="5" s="1"/>
  <c r="AV34" i="5"/>
  <c r="AT34" i="5" l="1"/>
  <c r="AU34" i="5" s="1"/>
  <c r="AV35" i="5" l="1"/>
  <c r="AT35" i="5" s="1"/>
  <c r="AU35" i="5" s="1"/>
  <c r="AV36" i="5" l="1"/>
  <c r="AT36" i="5" l="1"/>
  <c r="AU36" i="5" s="1"/>
  <c r="AV37" i="5" l="1"/>
  <c r="AT37" i="5"/>
  <c r="AU37" i="5" s="1"/>
  <c r="AV38" i="5" l="1"/>
  <c r="AT38" i="5" s="1"/>
  <c r="AU38" i="5" l="1"/>
  <c r="AV39" i="5"/>
  <c r="AT39" i="5" s="1"/>
  <c r="AU39" i="5" l="1"/>
  <c r="AV40" i="5"/>
  <c r="AT40" i="5" s="1"/>
  <c r="AU40" i="5" s="1"/>
  <c r="AV41" i="5" l="1"/>
  <c r="AT41" i="5" s="1"/>
  <c r="AU41" i="5" l="1"/>
  <c r="AV42" i="5"/>
  <c r="AT42" i="5" s="1"/>
  <c r="AV43" i="5" s="1"/>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C36" i="10" l="1"/>
  <c r="AY36" i="10" s="1"/>
  <c r="AR46" i="11" l="1"/>
  <c r="AR47" i="11" s="1"/>
  <c r="AR13" i="12"/>
  <c r="AC37" i="10"/>
  <c r="AY37" i="10" s="1"/>
  <c r="BK31" i="11" l="1"/>
  <c r="BL31" i="11" s="1"/>
  <c r="AC38" i="10"/>
  <c r="AY38" i="10" s="1"/>
  <c r="BK32" i="11" l="1"/>
  <c r="BL32" i="11" s="1"/>
  <c r="AC39" i="10"/>
  <c r="AY39" i="10" s="1"/>
  <c r="BK33" i="11" l="1"/>
  <c r="BL33" i="11" s="1"/>
  <c r="AC40" i="10"/>
  <c r="AY40" i="10" s="1"/>
  <c r="BK34" i="11" l="1"/>
  <c r="BL34" i="11" s="1"/>
  <c r="AC41" i="10"/>
  <c r="AY41" i="10" s="1"/>
  <c r="AA47" i="10" l="1"/>
  <c r="AC42" i="10"/>
  <c r="AY42" i="10" s="1"/>
  <c r="AC43" i="10" l="1"/>
  <c r="AY43" i="10" s="1"/>
  <c r="AA48" i="10"/>
  <c r="AA50" i="10"/>
  <c r="AA51" i="10" s="1"/>
  <c r="Z12" i="11"/>
  <c r="AC44" i="10" l="1"/>
  <c r="AY44" i="10" s="1"/>
  <c r="AC45" i="10" l="1"/>
  <c r="AY45" i="10" s="1"/>
  <c r="AC50" i="10" l="1"/>
  <c r="AC51" i="10" s="1"/>
  <c r="AC12" i="11"/>
  <c r="AY13" i="11" l="1"/>
  <c r="AC15" i="11" s="1"/>
  <c r="AY48" i="10"/>
  <c r="AY51" i="10" l="1"/>
  <c r="AY54" i="10"/>
  <c r="AY12" i="11" l="1"/>
  <c r="BK21" i="11" l="1"/>
  <c r="BK22" i="11" l="1"/>
  <c r="BL22" i="11" s="1"/>
  <c r="BL21" i="11"/>
  <c r="BK23" i="11" l="1"/>
  <c r="BK24" i="11" l="1"/>
  <c r="BL24" i="11" s="1"/>
  <c r="BL23" i="11"/>
  <c r="BK25" i="11" l="1"/>
  <c r="BK26" i="11" l="1"/>
  <c r="BL26" i="11" s="1"/>
  <c r="BL25" i="11"/>
  <c r="BK27" i="11" l="1"/>
  <c r="BL27" i="11" l="1"/>
  <c r="BK28" i="11"/>
  <c r="BL28" i="11" s="1"/>
  <c r="T46" i="11" l="1"/>
  <c r="T52" i="11" s="1"/>
  <c r="S15" i="11"/>
  <c r="S46" i="11" s="1"/>
  <c r="R46" i="11"/>
  <c r="S47" i="11" l="1"/>
  <c r="S52" i="11"/>
  <c r="T53" i="11"/>
  <c r="T13" i="12"/>
  <c r="T53" i="12" s="1"/>
  <c r="T54" i="12" s="1"/>
  <c r="R52" i="11"/>
  <c r="R47" i="11"/>
  <c r="X15" i="11"/>
  <c r="T47" i="11"/>
  <c r="BK15" i="11"/>
  <c r="BH15" i="11"/>
  <c r="BH46" i="11" s="1"/>
  <c r="BH52" i="11" l="1"/>
  <c r="BH49" i="11"/>
  <c r="BH47" i="11"/>
  <c r="S13" i="12"/>
  <c r="S53" i="12" s="1"/>
  <c r="S54" i="12" s="1"/>
  <c r="S53" i="11"/>
  <c r="X46" i="11"/>
  <c r="Y15" i="11"/>
  <c r="Y46" i="11" s="1"/>
  <c r="R53" i="11"/>
  <c r="R13" i="12"/>
  <c r="R53" i="12" s="1"/>
  <c r="R54" i="12" s="1"/>
  <c r="BL15" i="11"/>
  <c r="AT15" i="11"/>
  <c r="AR15" i="11" s="1"/>
  <c r="Y49" i="11" l="1"/>
  <c r="Y47" i="11"/>
  <c r="Y52" i="11"/>
  <c r="X47" i="11"/>
  <c r="X49" i="11"/>
  <c r="X52" i="11"/>
  <c r="BH50" i="11"/>
  <c r="BJ12" i="12"/>
  <c r="BJ50" i="12" s="1"/>
  <c r="BJ51" i="12" s="1"/>
  <c r="AY15" i="11"/>
  <c r="AR16" i="11"/>
  <c r="AR17" i="11" s="1"/>
  <c r="AR18" i="11" s="1"/>
  <c r="AR19" i="11" s="1"/>
  <c r="AR20" i="11" s="1"/>
  <c r="AR21" i="11" s="1"/>
  <c r="AR22" i="11" s="1"/>
  <c r="AR23" i="11" s="1"/>
  <c r="AR24" i="11" s="1"/>
  <c r="AR25" i="11" s="1"/>
  <c r="AR26" i="11" s="1"/>
  <c r="AR27" i="11" s="1"/>
  <c r="AR28" i="11" s="1"/>
  <c r="AR29" i="11" s="1"/>
  <c r="AR30" i="11" s="1"/>
  <c r="BH53" i="11"/>
  <c r="BJ13" i="12"/>
  <c r="BJ53" i="12" s="1"/>
  <c r="BJ54" i="12" s="1"/>
  <c r="BJ57" i="12" s="1"/>
  <c r="X53" i="11" l="1"/>
  <c r="X13" i="12"/>
  <c r="X53" i="12" s="1"/>
  <c r="X54" i="12" s="1"/>
  <c r="BJ58" i="12" s="1"/>
  <c r="X50" i="11"/>
  <c r="X12" i="12"/>
  <c r="X50" i="12" s="1"/>
  <c r="X51" i="12" s="1"/>
  <c r="AC16" i="11"/>
  <c r="AD31" i="11"/>
  <c r="AD32" i="11" s="1"/>
  <c r="AD33" i="11" s="1"/>
  <c r="AD34" i="11" s="1"/>
  <c r="AR31" i="11"/>
  <c r="Y13" i="12"/>
  <c r="Y53" i="12" s="1"/>
  <c r="Y54" i="12" s="1"/>
  <c r="Y53" i="11"/>
  <c r="Y12" i="12"/>
  <c r="Y50" i="12" s="1"/>
  <c r="Y51" i="12" s="1"/>
  <c r="Y50" i="11"/>
  <c r="BK59" i="12" l="1"/>
  <c r="AY16" i="11"/>
  <c r="AC17" i="11" s="1"/>
  <c r="AD35" i="11"/>
  <c r="AD49" i="11" s="1"/>
  <c r="AD50" i="11" s="1"/>
  <c r="AG35" i="11"/>
  <c r="BJ61" i="12"/>
  <c r="BK57" i="12" s="1"/>
  <c r="AY17" i="11" l="1"/>
  <c r="AC18" i="11" s="1"/>
  <c r="AG36" i="11"/>
  <c r="BK35" i="11"/>
  <c r="BK58" i="12"/>
  <c r="AY18" i="11" l="1"/>
  <c r="BL35" i="11"/>
  <c r="BK36" i="11"/>
  <c r="BL36" i="11" s="1"/>
  <c r="AG37" i="11"/>
  <c r="AG38" i="11" l="1"/>
  <c r="BK37" i="11"/>
  <c r="BL37" i="11" s="1"/>
  <c r="AC19" i="11"/>
  <c r="AY19" i="11" l="1"/>
  <c r="AC20" i="11" s="1"/>
  <c r="BK38" i="11"/>
  <c r="AG39" i="11"/>
  <c r="BK39" i="11" l="1"/>
  <c r="BL39" i="11" s="1"/>
  <c r="AG40" i="11"/>
  <c r="BL38" i="11"/>
  <c r="AY20" i="11"/>
  <c r="AC21" i="11" s="1"/>
  <c r="AY21" i="11" l="1"/>
  <c r="AC22" i="11" s="1"/>
  <c r="AG41" i="11"/>
  <c r="BK40" i="11"/>
  <c r="AY22" i="11" l="1"/>
  <c r="AC23" i="11" s="1"/>
  <c r="BL40" i="11"/>
  <c r="BK41" i="11"/>
  <c r="BL41" i="11" s="1"/>
  <c r="AG42" i="11"/>
  <c r="AY23" i="11" l="1"/>
  <c r="AC24" i="11" s="1"/>
  <c r="AG43" i="11"/>
  <c r="BK42" i="11"/>
  <c r="BL42" i="11" s="1"/>
  <c r="AY24" i="11" l="1"/>
  <c r="AC25" i="11" s="1"/>
  <c r="BK43" i="11"/>
  <c r="BL43" i="11" s="1"/>
  <c r="AG44" i="11"/>
  <c r="AG46" i="11" l="1"/>
  <c r="AG12" i="12"/>
  <c r="BK44" i="11"/>
  <c r="AY25" i="11"/>
  <c r="AC26" i="11" s="1"/>
  <c r="AY26" i="11" l="1"/>
  <c r="AC27" i="11" s="1"/>
  <c r="AG15" i="12"/>
  <c r="AG16" i="12" s="1"/>
  <c r="AG17" i="12" s="1"/>
  <c r="AG18" i="12" s="1"/>
  <c r="AG19" i="12" s="1"/>
  <c r="AG20" i="12" s="1"/>
  <c r="AG21" i="12" s="1"/>
  <c r="AG22" i="12" s="1"/>
  <c r="AG23" i="12" s="1"/>
  <c r="AG24" i="12" s="1"/>
  <c r="AG25" i="12" s="1"/>
  <c r="AG26" i="12" s="1"/>
  <c r="AG27" i="12" s="1"/>
  <c r="AG28" i="12" s="1"/>
  <c r="AG29" i="12" s="1"/>
  <c r="AG47" i="12" s="1"/>
  <c r="BL44" i="11"/>
  <c r="BL46" i="11" s="1"/>
  <c r="BK46" i="11"/>
  <c r="AG52" i="11"/>
  <c r="AG49" i="11"/>
  <c r="AG50" i="11" s="1"/>
  <c r="AG47" i="11"/>
  <c r="AG48" i="12" l="1"/>
  <c r="AG53" i="11"/>
  <c r="AG13" i="12"/>
  <c r="AG53" i="12" s="1"/>
  <c r="AG54" i="12" s="1"/>
  <c r="BK47" i="11"/>
  <c r="BK49" i="11"/>
  <c r="BK52" i="11"/>
  <c r="BK53" i="11" s="1"/>
  <c r="AY27" i="11"/>
  <c r="AC28" i="11" s="1"/>
  <c r="BL52" i="11"/>
  <c r="BL49" i="11"/>
  <c r="BL47" i="11"/>
  <c r="AY28" i="11" l="1"/>
  <c r="AC29" i="11" s="1"/>
  <c r="BL53" i="11"/>
  <c r="BN13" i="12"/>
  <c r="BN53" i="12" s="1"/>
  <c r="BN54" i="12" s="1"/>
  <c r="AG50" i="12"/>
  <c r="AG51" i="12" s="1"/>
  <c r="BK50" i="11"/>
  <c r="BM12" i="12"/>
  <c r="BM50" i="12" s="1"/>
  <c r="BM51" i="12" s="1"/>
  <c r="BL50" i="11"/>
  <c r="BN12" i="12"/>
  <c r="BN50" i="12" s="1"/>
  <c r="BN51" i="12" s="1"/>
  <c r="AY29" i="11" l="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s="1"/>
  <c r="AC49" i="11" l="1"/>
  <c r="AC50" i="11" s="1"/>
  <c r="AY44" i="11"/>
  <c r="AC12" i="12"/>
  <c r="AZ13" i="12" l="1"/>
  <c r="AY47" i="11"/>
  <c r="AY50" i="11" l="1"/>
  <c r="AY53" i="11"/>
  <c r="AC15" i="12"/>
  <c r="AZ15" i="12" l="1"/>
  <c r="AX55" i="11"/>
  <c r="AZ12" i="12"/>
  <c r="AC16" i="12" l="1"/>
  <c r="AZ16" i="12" l="1"/>
  <c r="AC17" i="12" s="1"/>
  <c r="AZ17" i="12" l="1"/>
  <c r="AC18" i="12" s="1"/>
  <c r="AZ18" i="12" l="1"/>
  <c r="AC19" i="12" l="1"/>
  <c r="AZ19" i="12" l="1"/>
  <c r="AC20" i="12" s="1"/>
  <c r="AZ20" i="12" l="1"/>
  <c r="AC21" i="12" s="1"/>
  <c r="AZ21" i="12" l="1"/>
  <c r="AC22" i="12" s="1"/>
  <c r="AZ22" i="12" l="1"/>
  <c r="AC23" i="12" s="1"/>
  <c r="AZ23" i="12" l="1"/>
  <c r="AC24" i="12" s="1"/>
  <c r="AZ24" i="12" l="1"/>
  <c r="AC25" i="12" s="1"/>
  <c r="AZ25" i="12" l="1"/>
  <c r="AC26" i="12" s="1"/>
  <c r="AZ26" i="12" l="1"/>
  <c r="AC27" i="12" s="1"/>
  <c r="AZ27" i="12" l="1"/>
  <c r="AC28" i="12" s="1"/>
  <c r="AZ28" i="12" l="1"/>
  <c r="AC29" i="12"/>
  <c r="AZ29" i="12" s="1"/>
  <c r="AZ48" i="12" s="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tc={4D209678-2F30-4BF0-BE13-270A5DCE53FC}</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BL34" authorId="6" shapeId="0" xr:uid="{4D209678-2F30-4BF0-BE13-270A5DCE53FC}">
      <text>
        <t xml:space="preserve">[Threaded comment]
Your version of Excel allows you to read this threaded comment; however, any edits to it will get removed if the file is opened in a newer version of Excel. Learn more: https://go.microsoft.com/fwlink/?linkid=870924
Comment:
    DB:  10/8/2025:  Glitch in DWR gauge so this value is 9/19 and 9/21 values split </t>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7"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7"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tc={890C7456-F6EA-42E1-9BE8-0EAC28047D08}</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AH40" authorId="5" shapeId="0" xr:uid="{890C7456-F6EA-42E1-9BE8-0EAC28047D08}">
      <text>
        <t>[Threaded comment]
Your version of Excel allows you to read this threaded comment; however, any edits to it will get removed if the file is opened in a newer version of Excel. Learn more: https://go.microsoft.com/fwlink/?linkid=870924
Comment:
    DB 10/08/2025:  Corrected typo from 10 to 103</t>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6"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6"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F6C4FDE0-2978-4BDF-AAFF-A6EC4C269B07}">
      <text>
        <r>
          <rPr>
            <b/>
            <sz val="9"/>
            <color indexed="81"/>
            <rFont val="Tahoma"/>
            <family val="2"/>
          </rPr>
          <t xml:space="preserve">D Butler October 14th, 2025:  </t>
        </r>
        <r>
          <rPr>
            <sz val="9"/>
            <color indexed="81"/>
            <rFont val="Tahoma"/>
            <family val="2"/>
          </rPr>
          <t>Values in this column are from MWC's final September numbers.</t>
        </r>
      </text>
    </comment>
    <comment ref="R15" authorId="1" shapeId="0" xr:uid="{9ED72360-972C-45B6-A92B-3483F5AFAEDB}">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S15" authorId="1" shapeId="0" xr:uid="{5C569BD2-D078-4138-BF29-8617D4C257B0}">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T15" authorId="1" shapeId="0" xr:uid="{159AC56A-CDA6-454B-9E35-9420FBE38F17}">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D31" authorId="1" shapeId="0" xr:uid="{AE63F85C-9AAA-463D-96F8-EB4815C069AB}">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AD35" authorId="1" shapeId="0" xr:uid="{3ECE5F0C-9FE0-4FAD-98F4-50AFFA9ACC59}">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AG35" authorId="1" shapeId="0" xr:uid="{8DF06E04-1B27-4FCC-8933-FE3EA743313C}">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E9" authorId="1" shapeId="0" xr:uid="{2B868FC4-1363-4A39-9B6C-F3BE505C8923}">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G20" authorId="4" shapeId="0" xr:uid="{773D7CF2-80B4-4F6C-A9A3-93EFF50F1A3A}">
      <text>
        <r>
          <rPr>
            <b/>
            <sz val="9"/>
            <color indexed="81"/>
            <rFont val="Tahoma"/>
            <family val="2"/>
          </rPr>
          <t>Darrel B.  USGS changed from 77.8 to 76.8</t>
        </r>
        <r>
          <rPr>
            <sz val="9"/>
            <color indexed="81"/>
            <rFont val="Tahoma"/>
            <family val="2"/>
          </rPr>
          <t xml:space="preserve">
</t>
        </r>
      </text>
    </comment>
    <comment ref="BS20" authorId="1" shapeId="0" xr:uid="{D3FD9765-751B-4BD8-99BE-B52C5F325396}">
      <text>
        <r>
          <rPr>
            <b/>
            <sz val="9"/>
            <color indexed="81"/>
            <rFont val="Tahoma"/>
            <family val="2"/>
          </rPr>
          <t>Eric Sprague:</t>
        </r>
        <r>
          <rPr>
            <sz val="9"/>
            <color indexed="81"/>
            <rFont val="Tahoma"/>
            <family val="2"/>
          </rPr>
          <t xml:space="preserve">
Flows remaining at 25 CFS but the 25 CFS turbine is being turned off to repair the packing, which has been leaking, and couldn't be tightened further this time.</t>
        </r>
      </text>
    </comment>
    <comment ref="U29" authorId="1" shapeId="0" xr:uid="{563C4D8D-A0E3-4ADF-B3BD-A7F1143BB6BF}">
      <text>
        <r>
          <rPr>
            <b/>
            <sz val="9"/>
            <color indexed="81"/>
            <rFont val="Tahoma"/>
            <family val="2"/>
          </rPr>
          <t>Eric Sprague:</t>
        </r>
        <r>
          <rPr>
            <sz val="9"/>
            <color indexed="81"/>
            <rFont val="Tahoma"/>
            <family val="2"/>
          </rPr>
          <t xml:space="preserve">
MVIC is no longer diverting, so it's time to reactive this column to balance out changes in the canal storage.</t>
        </r>
      </text>
    </comment>
    <comment ref="AC30" authorId="1" shapeId="0" xr:uid="{39D77752-3729-497A-AA01-783635F44D37}">
      <text>
        <r>
          <rPr>
            <b/>
            <sz val="9"/>
            <color indexed="81"/>
            <rFont val="Tahoma"/>
            <family val="2"/>
          </rPr>
          <t>Eric Sprague:</t>
        </r>
        <r>
          <rPr>
            <sz val="9"/>
            <color indexed="81"/>
            <rFont val="Tahoma"/>
            <family val="2"/>
          </rPr>
          <t xml:space="preserve">
All MVIC water stored in McPhee reset to project water 15-OCT.</t>
        </r>
      </text>
    </comment>
    <comment ref="AG30" authorId="1" shapeId="0" xr:uid="{60C85E37-FD17-42DA-89B7-8660A256D218}">
      <text>
        <r>
          <rPr>
            <b/>
            <sz val="9"/>
            <color indexed="81"/>
            <rFont val="Tahoma"/>
            <family val="2"/>
          </rPr>
          <t>Eric Sprague:</t>
        </r>
        <r>
          <rPr>
            <sz val="9"/>
            <color indexed="81"/>
            <rFont val="Tahoma"/>
            <family val="2"/>
          </rPr>
          <t xml:space="preserve">
All MVIC water stored in McPhee reset to project water 15-OCT.</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<sst xmlns="http://schemas.openxmlformats.org/spreadsheetml/2006/main" count="3149" uniqueCount="229">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</sst>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7"/>
      <name val="Arial Narrow"/>
      <family val="2"/>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1">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xf numFmtId="0" fontId="1" fillId="0" borderId="0"/>
    <xf numFmtId="0" fontId="15" fillId="0" borderId="0"/>
    <xf numFmtId="0" fontId="1" fillId="0" borderId="0"/>
    <xf numFmtId="0" fontId="15" fillId="0" borderId="0"/>
  </cellStyleXfs>
  <cellXfs count="770">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 fontId="3" fillId="0" borderId="0" xfId="8" applyNumberFormat="1"/>
    <xf numFmtId="1" fontId="32" fillId="0" borderId="0" xfId="0" applyNumberFormat="1" applyFont="1" applyAlignment="1">
      <alignment horizontal="center"/>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21">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4 2" xfId="17" xr:uid="{0F748100-F005-4555-91F8-D42EAF3EE04F}"/>
    <cellStyle name="Normal 4_SEP" xfId="19" xr:uid="{A8D2D674-7EB5-4CC8-9F61-A8CBBED65F5C}"/>
    <cellStyle name="Normal 5" xfId="7" xr:uid="{00000000-0005-0000-0000-000008000000}"/>
    <cellStyle name="Normal 6" xfId="13" xr:uid="{00000000-0005-0000-0000-000009000000}"/>
    <cellStyle name="Normal 7" xfId="15" xr:uid="{1267891F-298F-4AC8-8DB9-AB145F339262}"/>
    <cellStyle name="Normal 7 2" xfId="20" xr:uid="{C84051BC-7781-489A-B4E4-B857E30C351D}"/>
    <cellStyle name="Normal 7_SEP" xfId="18" xr:uid="{8B07429F-F4A7-4F08-9CAF-18B759A983F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rrel Butler" id="{BF1C4DAA-B186-48AC-8A05-BDA13E52823E}" userId="S::darrel@dtbtech.net::6e7239c0-bc98-4d55-a427-0b85c43689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L34" dT="2025-10-08T15:42:01.36" personId="{BF1C4DAA-B186-48AC-8A05-BDA13E52823E}" id="{4D209678-2F30-4BF0-BE13-270A5DCE53FC}">
    <text xml:space="preserve">DB:  10/8/2025:  Glitch in DWR gauge so this value is 9/19 and 9/21 values split </text>
  </threadedComment>
</ThreadedComments>
</file>

<file path=xl/threadedComments/threadedComment2.xml><?xml version="1.0" encoding="utf-8"?>
<ThreadedComments xmlns="http://schemas.microsoft.com/office/spreadsheetml/2018/threadedcomments" xmlns:x="http://schemas.openxmlformats.org/spreadsheetml/2006/main">
  <threadedComment ref="AH40" dT="2025-10-08T15:46:45.32" personId="{BF1C4DAA-B186-48AC-8A05-BDA13E52823E}" id="{890C7456-F6EA-42E1-9BE8-0EAC28047D08}">
    <text>DB 10/08/2025:  Corrected typo from 10 to 103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3" t="s">
        <v>213</v>
      </c>
      <c r="L2" s="763"/>
      <c r="M2" s="763"/>
      <c r="N2" s="763"/>
      <c r="O2" s="763"/>
      <c r="P2" s="763"/>
      <c r="Q2" s="763"/>
      <c r="R2" s="763"/>
      <c r="S2" s="763"/>
      <c r="T2" s="763"/>
      <c r="U2" s="763"/>
      <c r="V2" s="763"/>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6">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4" t="s">
        <v>214</v>
      </c>
      <c r="L2" s="764"/>
      <c r="M2" s="764"/>
      <c r="N2" s="764"/>
      <c r="O2" s="764"/>
      <c r="P2" s="764"/>
      <c r="Q2" s="764"/>
      <c r="R2" s="764"/>
      <c r="S2" s="764"/>
      <c r="T2" s="764"/>
      <c r="U2" s="764"/>
      <c r="V2" s="764"/>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44.666019662213259</v>
      </c>
      <c r="K44" s="41">
        <f t="shared" si="2"/>
        <v>72.866019662213262</v>
      </c>
      <c r="L44" s="41">
        <f t="shared" si="15"/>
        <v>44.666019662213259</v>
      </c>
      <c r="M44" s="108">
        <v>3.5</v>
      </c>
      <c r="N44" s="41">
        <v>0</v>
      </c>
      <c r="O44" s="41">
        <v>0</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28.5</v>
      </c>
      <c r="AL44" s="41">
        <f t="shared" si="20"/>
        <v>0</v>
      </c>
      <c r="AM44" s="41">
        <f t="shared" si="5"/>
        <v>28.5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-29.445399546256617</v>
      </c>
      <c r="M45" s="108">
        <v>3.7</v>
      </c>
      <c r="N45" s="41">
        <v>0</v>
      </c>
      <c r="O45" s="41">
        <v>0</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28.7</v>
      </c>
      <c r="AL45" s="41">
        <f t="shared" si="20"/>
        <v>29.445399546256617</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429.77833879505926</v>
      </c>
      <c r="K47" s="49">
        <f t="shared" si="38"/>
        <v>1352.1783387950595</v>
      </c>
      <c r="L47" s="49">
        <f t="shared" si="38"/>
        <v>221.7077993445929</v>
      </c>
      <c r="M47" s="94">
        <f>SUM(M15:M45)</f>
        <v>109.31999999999996</v>
      </c>
      <c r="N47" s="49">
        <f>SUM(N15:N45)</f>
        <v>0</v>
      </c>
      <c r="O47" s="49">
        <f>SUM(O15:O45)</f>
        <v>0</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878.92000000000019</v>
      </c>
      <c r="AL47" s="49">
        <f t="shared" si="39"/>
        <v>208.07053945046633</v>
      </c>
      <c r="AM47" s="93">
        <f t="shared" si="39"/>
        <v>1086.9905394504665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852.4653350000001</v>
      </c>
      <c r="K48" s="49">
        <f t="shared" si="40"/>
        <v>2682.0457350000006</v>
      </c>
      <c r="L48" s="49">
        <f t="shared" si="40"/>
        <v>439.75742000000002</v>
      </c>
      <c r="M48" s="94">
        <f t="shared" si="40"/>
        <v>216.83621999999994</v>
      </c>
      <c r="N48" s="49">
        <f t="shared" si="40"/>
        <v>0</v>
      </c>
      <c r="O48" s="49">
        <f t="shared" si="40"/>
        <v>0</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1743.3378200000004</v>
      </c>
      <c r="AL48" s="49">
        <f t="shared" si="41"/>
        <v>412.70791499999996</v>
      </c>
      <c r="AM48" s="93">
        <f t="shared" si="41"/>
        <v>2156.0457350000001</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716.92277791782203</v>
      </c>
      <c r="K53" s="49">
        <f t="shared" si="43"/>
        <v>3157.3327779178226</v>
      </c>
      <c r="L53" s="49">
        <f t="shared" si="43"/>
        <v>90.457960675573474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2619.6000000000004</v>
      </c>
      <c r="AL53" s="49">
        <f t="shared" si="45"/>
        <v>626.46481724224839</v>
      </c>
      <c r="AM53" s="93">
        <f t="shared" si="45"/>
        <v>3246.064817242248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1422.0163299999999</v>
      </c>
      <c r="K54" s="49">
        <f t="shared" si="46"/>
        <v>6262.5695650000016</v>
      </c>
      <c r="L54" s="49">
        <f t="shared" si="46"/>
        <v>179.42336499999999</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5195.9766000000009</v>
      </c>
      <c r="AL54" s="49">
        <f t="shared" si="47"/>
        <v>1242.5929649999996</v>
      </c>
      <c r="AM54" s="352">
        <f t="shared" si="47"/>
        <v>6438.5695649999989</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4" t="s">
        <v>215</v>
      </c>
      <c r="L2" s="764"/>
      <c r="M2" s="764"/>
      <c r="N2" s="764"/>
      <c r="O2" s="764"/>
      <c r="P2" s="764"/>
      <c r="Q2" s="764"/>
      <c r="R2" s="764"/>
      <c r="S2" s="764"/>
      <c r="T2" s="764"/>
      <c r="U2" s="764"/>
      <c r="V2" s="764"/>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716.92277791782203</v>
      </c>
      <c r="K13" s="49">
        <f>DEC!K53</f>
        <v>3157.3327779178226</v>
      </c>
      <c r="L13" s="115">
        <f>DEC!L53</f>
        <v>90.457960675573474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2619.6000000000004</v>
      </c>
      <c r="AL13" s="201">
        <f>DEC!AL53</f>
        <v>626.46481724224839</v>
      </c>
      <c r="AM13" s="201">
        <f>DEC!AM53</f>
        <v>3246.064817242248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867.39605747416181</v>
      </c>
      <c r="K53" s="49">
        <f t="shared" si="38"/>
        <v>4112.0060574741619</v>
      </c>
      <c r="L53" s="49">
        <f t="shared" si="38"/>
        <v>-39.5244391227628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3529.26</v>
      </c>
      <c r="AL53" s="49">
        <f>AL13+AL47</f>
        <v>906.92049659692452</v>
      </c>
      <c r="AM53" s="93">
        <f>AM13+AM47</f>
        <v>4436.1804965969241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1720.48008</v>
      </c>
      <c r="K54" s="49">
        <f t="shared" si="40"/>
        <v>8156.1640150000003</v>
      </c>
      <c r="L54" s="49">
        <f t="shared" si="40"/>
        <v>-78.396725000000018</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7000.2872100000004</v>
      </c>
      <c r="AL54" s="49">
        <f t="shared" si="42"/>
        <v>1798.8768049999999</v>
      </c>
      <c r="AM54" s="352">
        <f t="shared" si="42"/>
        <v>8799.1640149999985</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4" t="s">
        <v>216</v>
      </c>
      <c r="L2" s="764"/>
      <c r="M2" s="764"/>
      <c r="N2" s="764"/>
      <c r="O2" s="764"/>
      <c r="P2" s="764"/>
      <c r="Q2" s="764"/>
      <c r="R2" s="764"/>
      <c r="S2" s="764"/>
      <c r="T2" s="764"/>
      <c r="U2" s="764"/>
      <c r="V2" s="764"/>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867.39605747416181</v>
      </c>
      <c r="K13" s="49">
        <f>JAN!K53</f>
        <v>4112.0060574741619</v>
      </c>
      <c r="L13" s="115">
        <f>JAN!L53</f>
        <v>-39.5244391227628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3529.26</v>
      </c>
      <c r="AL13" s="201">
        <f>JAN!AL53</f>
        <v>906.92049659692452</v>
      </c>
      <c r="AM13" s="201">
        <f>JAN!AM53</f>
        <v>4436.1804965969241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C42-C41</f>
        <v>117</v>
      </c>
      <c r="E42" s="49">
        <f>C42-152000</f>
        <v>57699</v>
      </c>
      <c r="F42" s="106">
        <f>D42/$D$2</f>
        <v>58.986639778169902</v>
      </c>
      <c r="G42" s="41">
        <v>32.799999999999997</v>
      </c>
      <c r="H42" s="118">
        <v>0</v>
      </c>
      <c r="I42" s="41">
        <f>G42+H42</f>
        <v>32.799999999999997</v>
      </c>
      <c r="J42" s="36">
        <f>IF(L42&gt;0,L42,0)</f>
        <v>65.216639778169906</v>
      </c>
      <c r="K42" s="41">
        <f>I42+J42</f>
        <v>98.016639778169903</v>
      </c>
      <c r="L42" s="41">
        <f t="shared" ref="L42" si="28">IF(G42="",0,F42-(I42-AK42))</f>
        <v>65.216639778169906</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559.61683892109897</v>
      </c>
      <c r="G44" s="49">
        <f t="shared" si="31"/>
        <v>849.99999999999989</v>
      </c>
      <c r="H44" s="49">
        <f t="shared" si="31"/>
        <v>0</v>
      </c>
      <c r="I44" s="49">
        <f t="shared" si="31"/>
        <v>849.99999999999989</v>
      </c>
      <c r="J44" s="49">
        <f t="shared" si="31"/>
        <v>665.41471893118216</v>
      </c>
      <c r="K44" s="49">
        <f t="shared" si="31"/>
        <v>1515.4147189311823</v>
      </c>
      <c r="L44" s="49">
        <f t="shared" si="31"/>
        <v>564.36683892109909</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1110</v>
      </c>
      <c r="E45" s="49"/>
      <c r="F45" s="93">
        <f t="shared" ref="F45:Y45" si="33">F44*$D$2</f>
        <v>1109.9999999999998</v>
      </c>
      <c r="G45" s="49">
        <f t="shared" si="33"/>
        <v>1685.9749999999999</v>
      </c>
      <c r="H45" s="49">
        <f t="shared" si="33"/>
        <v>0</v>
      </c>
      <c r="I45" s="49">
        <f t="shared" si="33"/>
        <v>1685.9749999999999</v>
      </c>
      <c r="J45" s="49">
        <f t="shared" si="33"/>
        <v>1319.8500949999998</v>
      </c>
      <c r="K45" s="49">
        <f t="shared" si="33"/>
        <v>3005.8250950000001</v>
      </c>
      <c r="L45" s="49">
        <f t="shared" si="33"/>
        <v>1119.4216250000002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235.44239979833606</v>
      </c>
      <c r="G50" s="49">
        <f t="shared" si="36"/>
        <v>4089.9</v>
      </c>
      <c r="H50" s="49">
        <f t="shared" si="36"/>
        <v>4.7100000000000009</v>
      </c>
      <c r="I50" s="49">
        <f t="shared" si="36"/>
        <v>4094.6099999999997</v>
      </c>
      <c r="J50" s="49">
        <f t="shared" si="36"/>
        <v>1532.8107764053439</v>
      </c>
      <c r="K50" s="49">
        <f t="shared" si="36"/>
        <v>5627.4207764053444</v>
      </c>
      <c r="L50" s="49">
        <f t="shared" si="36"/>
        <v>524.84239979833626</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4384.01</v>
      </c>
      <c r="AL50" s="49">
        <f t="shared" si="37"/>
        <v>1007.9683766070077</v>
      </c>
      <c r="AM50" s="93">
        <f t="shared" si="37"/>
        <v>5391.9783766070068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467</v>
      </c>
      <c r="E51" s="49">
        <f>E42</f>
        <v>57699</v>
      </c>
      <c r="F51" s="93">
        <f t="shared" ref="F51:AH51" si="38">F50*$D$2</f>
        <v>466.9999999999996</v>
      </c>
      <c r="G51" s="49">
        <f t="shared" si="38"/>
        <v>8112.3166500000007</v>
      </c>
      <c r="H51" s="49">
        <f t="shared" si="38"/>
        <v>9.3422850000000022</v>
      </c>
      <c r="I51" s="49">
        <f t="shared" si="38"/>
        <v>8121.6589349999995</v>
      </c>
      <c r="J51" s="49">
        <f t="shared" si="38"/>
        <v>3040.3301749999996</v>
      </c>
      <c r="K51" s="49">
        <f t="shared" si="38"/>
        <v>11161.98911</v>
      </c>
      <c r="L51" s="49">
        <f t="shared" si="38"/>
        <v>1041.0248999999999</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8695.6838349999998</v>
      </c>
      <c r="AL51" s="49">
        <f t="shared" si="39"/>
        <v>1999.3052749999999</v>
      </c>
      <c r="AM51" s="352">
        <f t="shared" si="39"/>
        <v>10694.989109999999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4" t="s">
        <v>217</v>
      </c>
      <c r="L2" s="764"/>
      <c r="M2" s="764"/>
      <c r="N2" s="764"/>
      <c r="O2" s="764"/>
      <c r="P2" s="764"/>
      <c r="Q2" s="764"/>
      <c r="R2" s="764"/>
      <c r="S2" s="764"/>
      <c r="T2" s="764"/>
      <c r="U2" s="764"/>
      <c r="V2" s="764"/>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467</v>
      </c>
      <c r="E13" s="49">
        <f>FEB!E51</f>
        <v>57699</v>
      </c>
      <c r="F13" s="93">
        <f>FEB!F50</f>
        <v>235.44239979833606</v>
      </c>
      <c r="G13" s="49">
        <f>FEB!G50</f>
        <v>4089.9</v>
      </c>
      <c r="H13" s="125">
        <f>FEB!H50</f>
        <v>4.7100000000000009</v>
      </c>
      <c r="I13" s="49">
        <f>FEB!I50</f>
        <v>4094.6099999999997</v>
      </c>
      <c r="J13" s="49">
        <f>FEB!J50</f>
        <v>1532.8107764053439</v>
      </c>
      <c r="K13" s="49">
        <f>FEB!K50</f>
        <v>5627.4207764053444</v>
      </c>
      <c r="L13" s="49">
        <f>FEB!L50</f>
        <v>524.84239979833626</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4384.01</v>
      </c>
      <c r="AL13" s="49">
        <f>FEB!AL50</f>
        <v>1007.9683766070077</v>
      </c>
      <c r="AM13" s="49">
        <f>FEB!AM50</f>
        <v>5391.9783766070068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2667.0027728762288</v>
      </c>
      <c r="G53" s="49">
        <f t="shared" si="38"/>
        <v>6244.2000000000007</v>
      </c>
      <c r="H53" s="49">
        <f t="shared" si="38"/>
        <v>129.89000000000001</v>
      </c>
      <c r="I53" s="49">
        <f t="shared" si="38"/>
        <v>6374.09</v>
      </c>
      <c r="J53" s="49">
        <f t="shared" si="38"/>
        <v>2859.1096496092759</v>
      </c>
      <c r="K53" s="49">
        <f t="shared" si="38"/>
        <v>9233.1996496092761</v>
      </c>
      <c r="L53" s="49">
        <f t="shared" si="38"/>
        <v>1616.7727728762288</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5323.8600000000006</v>
      </c>
      <c r="AL53" s="49">
        <f t="shared" si="40"/>
        <v>1242.3368767330476</v>
      </c>
      <c r="AM53" s="93">
        <f t="shared" si="40"/>
        <v>6566.1968767330463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5290</v>
      </c>
      <c r="E54" s="49">
        <f>E45</f>
        <v>62522</v>
      </c>
      <c r="F54" s="93">
        <f t="shared" ref="F54:AH54" si="41">F53*$D$2</f>
        <v>5290</v>
      </c>
      <c r="G54" s="49">
        <f t="shared" si="41"/>
        <v>12385.370700000001</v>
      </c>
      <c r="H54" s="49">
        <f t="shared" si="41"/>
        <v>257.63681500000001</v>
      </c>
      <c r="I54" s="49">
        <f t="shared" si="41"/>
        <v>12643.007515000001</v>
      </c>
      <c r="J54" s="49">
        <f t="shared" si="41"/>
        <v>5671.0439899999992</v>
      </c>
      <c r="K54" s="49">
        <f t="shared" si="41"/>
        <v>18314.051504999999</v>
      </c>
      <c r="L54" s="49">
        <f t="shared" si="41"/>
        <v>3206.8687949999999</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10559.876310000001</v>
      </c>
      <c r="AL54" s="49">
        <f t="shared" si="43"/>
        <v>2464.1751949999998</v>
      </c>
      <c r="AM54" s="352">
        <f t="shared" si="43"/>
        <v>13024.051504999998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7" t="s">
        <v>218</v>
      </c>
      <c r="L2" s="767"/>
      <c r="M2" s="767"/>
      <c r="N2" s="767"/>
      <c r="O2" s="767"/>
      <c r="P2" s="767"/>
      <c r="Q2" s="767"/>
      <c r="R2" s="767"/>
      <c r="S2" s="767"/>
      <c r="T2" s="767"/>
      <c r="U2" s="767"/>
      <c r="V2" s="767"/>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5" t="s">
        <v>124</v>
      </c>
      <c r="AH5" s="766"/>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10464+353+770+(180+205+213)*3.2</f>
        <v>13500.6</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8"/>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5290</v>
      </c>
      <c r="E13" s="56">
        <f>MAR!E54</f>
        <v>62522</v>
      </c>
      <c r="F13" s="147">
        <f>MAR!F53</f>
        <v>2667.0027728762288</v>
      </c>
      <c r="G13" s="56">
        <f>MAR!G53</f>
        <v>6244.2000000000007</v>
      </c>
      <c r="H13" s="56">
        <f>MAR!H53</f>
        <v>129.89000000000001</v>
      </c>
      <c r="I13" s="56">
        <f>MAR!I53</f>
        <v>6374.09</v>
      </c>
      <c r="J13" s="56">
        <f>MAR!J53</f>
        <v>2859.1096496092759</v>
      </c>
      <c r="K13" s="56">
        <f>MAR!K53</f>
        <v>9233.1996496092761</v>
      </c>
      <c r="L13" s="56">
        <f>MAR!L53</f>
        <v>1616.7727728762288</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5323.8600000000006</v>
      </c>
      <c r="AM13" s="56">
        <f>MAR!AL53</f>
        <v>1242.3368767330476</v>
      </c>
      <c r="AN13" s="56">
        <f>MAR!AM53</f>
        <v>6566.1968767330463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7"/>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49">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0">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13423.745903705572</v>
      </c>
      <c r="G52" s="56">
        <f t="shared" si="48"/>
        <v>19198.900000000001</v>
      </c>
      <c r="H52" s="56">
        <f t="shared" si="48"/>
        <v>523.18000000000006</v>
      </c>
      <c r="I52" s="56">
        <f t="shared" si="48"/>
        <v>19722.079999999998</v>
      </c>
      <c r="J52" s="56">
        <f t="shared" si="48"/>
        <v>3508.8738593395506</v>
      </c>
      <c r="K52" s="56">
        <f t="shared" si="48"/>
        <v>23230.953859339552</v>
      </c>
      <c r="L52" s="56">
        <f t="shared" si="48"/>
        <v>2142.435903705571</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8440.77</v>
      </c>
      <c r="AM52" s="56">
        <f>AM13+AM46</f>
        <v>1366.4379556339802</v>
      </c>
      <c r="AN52" s="147">
        <f>AN13+AN46</f>
        <v>9807.2079556339795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26626</v>
      </c>
      <c r="E53" s="337">
        <f>E44</f>
        <v>83858</v>
      </c>
      <c r="F53" s="338">
        <f t="shared" ref="F53:AN53" si="50">F52*$D$2</f>
        <v>26626.000000000004</v>
      </c>
      <c r="G53" s="56">
        <f t="shared" si="50"/>
        <v>38081.018150000004</v>
      </c>
      <c r="H53" s="56">
        <f t="shared" si="50"/>
        <v>1037.7275300000001</v>
      </c>
      <c r="I53" s="56">
        <f t="shared" si="50"/>
        <v>39118.74568</v>
      </c>
      <c r="J53" s="56">
        <f t="shared" si="50"/>
        <v>6959.8512999999984</v>
      </c>
      <c r="K53" s="56">
        <f t="shared" si="50"/>
        <v>46078.596980000002</v>
      </c>
      <c r="L53" s="56">
        <f t="shared" si="50"/>
        <v>4249.5216150000006</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16742.267295000001</v>
      </c>
      <c r="AM53" s="56">
        <f t="shared" si="50"/>
        <v>2710.3296849999997</v>
      </c>
      <c r="AN53" s="338">
        <f t="shared" si="50"/>
        <v>19452.596979999998</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0.16645548866346682</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1"/>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2"/>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4" t="s">
        <v>219</v>
      </c>
      <c r="L2" s="764"/>
      <c r="M2" s="764"/>
      <c r="N2" s="764"/>
      <c r="O2" s="764"/>
      <c r="P2" s="764"/>
      <c r="Q2" s="764"/>
      <c r="R2" s="764"/>
      <c r="S2" s="764"/>
      <c r="T2" s="764"/>
      <c r="U2" s="764"/>
      <c r="V2" s="764"/>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3"/>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26626</v>
      </c>
      <c r="E13" s="49">
        <f>APR!E53</f>
        <v>83858</v>
      </c>
      <c r="F13" s="49">
        <f>APR!F52</f>
        <v>13423.745903705572</v>
      </c>
      <c r="G13" s="189">
        <f>APR!G52</f>
        <v>19198.900000000001</v>
      </c>
      <c r="H13" s="36">
        <f>APR!H52</f>
        <v>523.18000000000006</v>
      </c>
      <c r="I13" s="49">
        <f>APR!I52</f>
        <v>19722.079999999998</v>
      </c>
      <c r="J13" s="49">
        <f>APR!J52</f>
        <v>3508.8738593395506</v>
      </c>
      <c r="K13" s="49">
        <f>APR!K52</f>
        <v>23230.953859339552</v>
      </c>
      <c r="L13" s="49">
        <f>APR!L52</f>
        <v>2142.435903705571</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8440.77</v>
      </c>
      <c r="AM13" s="49">
        <f>APR!AM52</f>
        <v>1366.4379556339802</v>
      </c>
      <c r="AN13" s="49">
        <f>APR!AN52</f>
        <v>9807.2079556339795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22036.803629947062</v>
      </c>
      <c r="G53" s="189">
        <f t="shared" si="60"/>
        <v>40133.9</v>
      </c>
      <c r="H53" s="49">
        <f t="shared" si="60"/>
        <v>548.71</v>
      </c>
      <c r="I53" s="49">
        <f t="shared" si="60"/>
        <v>40682.61</v>
      </c>
      <c r="J53" s="49">
        <f t="shared" si="60"/>
        <v>4057.9212755230647</v>
      </c>
      <c r="K53" s="49">
        <f t="shared" si="60"/>
        <v>44740.53127552307</v>
      </c>
      <c r="L53" s="49">
        <f t="shared" si="60"/>
        <v>2303.2636299470632</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20949.07</v>
      </c>
      <c r="AM53" s="49">
        <f t="shared" si="61"/>
        <v>1754.6576455760019</v>
      </c>
      <c r="AN53" s="93">
        <f t="shared" si="61"/>
        <v>22703.727645576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43710</v>
      </c>
      <c r="E54" s="49">
        <f>E45</f>
        <v>100942</v>
      </c>
      <c r="F54" s="49">
        <f t="shared" ref="F54:Y54" si="62">F53*$D$2</f>
        <v>43710</v>
      </c>
      <c r="G54" s="189">
        <f t="shared" si="62"/>
        <v>79605.590649999998</v>
      </c>
      <c r="H54" s="49">
        <f t="shared" si="62"/>
        <v>1088.3662850000001</v>
      </c>
      <c r="I54" s="49">
        <f t="shared" si="62"/>
        <v>80693.956935000009</v>
      </c>
      <c r="J54" s="49">
        <f t="shared" si="62"/>
        <v>8048.886849999999</v>
      </c>
      <c r="K54" s="49">
        <f t="shared" si="62"/>
        <v>88742.843785000005</v>
      </c>
      <c r="L54" s="49">
        <f t="shared" si="62"/>
        <v>4568.5234099999998</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41552.480345000004</v>
      </c>
      <c r="AM54" s="49">
        <f t="shared" si="63"/>
        <v>3480.3634399999996</v>
      </c>
      <c r="AN54" s="352">
        <f t="shared" si="63"/>
        <v>45032.843784999997</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0.34114558910344728</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24" activePane="bottomRight" state="frozen"/>
      <selection activeCell="L52" sqref="L52"/>
      <selection pane="topRight" activeCell="L52" sqref="L52"/>
      <selection pane="bottomLeft" activeCell="L52" sqref="L52"/>
      <selection pane="bottomRight" activeCell="Z44" sqref="Z44"/>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4"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3" t="s">
        <v>220</v>
      </c>
      <c r="L2" s="763"/>
      <c r="M2" s="763"/>
      <c r="N2" s="763"/>
      <c r="O2" s="763"/>
      <c r="P2" s="763"/>
      <c r="Q2" s="763"/>
      <c r="R2" s="763"/>
      <c r="S2" s="763"/>
      <c r="T2" s="763"/>
      <c r="U2" s="763"/>
      <c r="V2" s="763"/>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3"/>
      <c r="AU4" s="682" t="s">
        <v>54</v>
      </c>
      <c r="AV4" s="658"/>
      <c r="AW4" s="658"/>
      <c r="AX4" s="658"/>
      <c r="AY4" s="658"/>
      <c r="AZ4" s="634"/>
      <c r="BA4" s="632"/>
      <c r="BB4" s="755"/>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8" t="s">
        <v>137</v>
      </c>
      <c r="AH5" s="769"/>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6"/>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6"/>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43710</v>
      </c>
      <c r="E13" s="56">
        <f>MAY!E54</f>
        <v>100942</v>
      </c>
      <c r="F13" s="338">
        <f>MAY!F53</f>
        <v>22036.803629947062</v>
      </c>
      <c r="G13" s="56">
        <f>MAY!G53</f>
        <v>40133.9</v>
      </c>
      <c r="H13" s="56">
        <f>MAY!H53</f>
        <v>548.71</v>
      </c>
      <c r="I13" s="56">
        <f>MAY!I53</f>
        <v>40682.61</v>
      </c>
      <c r="J13" s="56">
        <f>MAY!J53</f>
        <v>4057.9212755230647</v>
      </c>
      <c r="K13" s="56">
        <f>MAY!K53</f>
        <v>44740.53127552307</v>
      </c>
      <c r="L13" s="294">
        <f>MAY!L53</f>
        <v>2303.2636299470632</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20949.07</v>
      </c>
      <c r="AM13" s="56">
        <f>MAY!AM53</f>
        <v>1754.6576455760019</v>
      </c>
      <c r="AN13" s="56">
        <f>MAY!AN53</f>
        <v>22703.727645576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7"/>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518.96734837678696</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16601.969000000001</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7"/>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23407.612805646586</v>
      </c>
      <c r="G52" s="56">
        <f t="shared" si="56"/>
        <v>57218.9</v>
      </c>
      <c r="H52" s="56">
        <f t="shared" si="56"/>
        <v>552.06000000000006</v>
      </c>
      <c r="I52" s="56">
        <f t="shared" si="56"/>
        <v>57770.96</v>
      </c>
      <c r="J52" s="56">
        <f t="shared" si="56"/>
        <v>4215.358230400806</v>
      </c>
      <c r="K52" s="56">
        <f t="shared" si="56"/>
        <v>61986.318230400808</v>
      </c>
      <c r="L52" s="56">
        <f t="shared" si="56"/>
        <v>1524.4228056465836</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35887.770000000004</v>
      </c>
      <c r="AM52" s="56">
        <f t="shared" si="58"/>
        <v>2690.9354247542224</v>
      </c>
      <c r="AN52" s="147">
        <f t="shared" si="58"/>
        <v>38578.705424754226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46429</v>
      </c>
      <c r="E53" s="56">
        <f>E44</f>
        <v>103661</v>
      </c>
      <c r="F53" s="147">
        <f t="shared" ref="F53:P53" si="59">F52*$D$2</f>
        <v>46429.000000000007</v>
      </c>
      <c r="G53" s="56">
        <f t="shared" si="59"/>
        <v>113493.68815</v>
      </c>
      <c r="H53" s="56">
        <f t="shared" si="59"/>
        <v>1095.0110100000002</v>
      </c>
      <c r="I53" s="56">
        <f t="shared" si="59"/>
        <v>114588.69916</v>
      </c>
      <c r="J53" s="56">
        <f t="shared" si="59"/>
        <v>8361.1630499999992</v>
      </c>
      <c r="K53" s="56">
        <f t="shared" si="59"/>
        <v>122949.86221000001</v>
      </c>
      <c r="L53" s="56">
        <f t="shared" si="59"/>
        <v>3023.6926349999985</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71183.391795000003</v>
      </c>
      <c r="AM53" s="56">
        <f t="shared" si="61"/>
        <v>5337.4704149999998</v>
      </c>
      <c r="AN53" s="338">
        <f t="shared" si="61"/>
        <v>76520.862210000007</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7"/>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0.46271595342058874</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8"/>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59"/>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59"/>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D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3" t="s">
        <v>221</v>
      </c>
      <c r="L2" s="763"/>
      <c r="M2" s="763"/>
      <c r="N2" s="763"/>
      <c r="O2" s="763"/>
      <c r="P2" s="763"/>
      <c r="Q2" s="763"/>
      <c r="R2" s="763"/>
      <c r="S2" s="763"/>
      <c r="T2" s="763"/>
      <c r="U2" s="763"/>
      <c r="V2" s="763"/>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46429</v>
      </c>
      <c r="E13" s="49">
        <f>JUN!E53</f>
        <v>103661</v>
      </c>
      <c r="F13" s="93">
        <f>JUN!F52</f>
        <v>23407.612805646586</v>
      </c>
      <c r="G13" s="49">
        <f>JUN!G52</f>
        <v>57218.9</v>
      </c>
      <c r="H13" s="49">
        <f>JUN!H52</f>
        <v>552.06000000000006</v>
      </c>
      <c r="I13" s="49">
        <f>JUN!I52</f>
        <v>57770.96</v>
      </c>
      <c r="J13" s="49">
        <f>JUN!J52</f>
        <v>4215.358230400806</v>
      </c>
      <c r="K13" s="49">
        <f>JUN!K52</f>
        <v>61986.318230400808</v>
      </c>
      <c r="L13" s="93">
        <f>JUN!L52</f>
        <v>1524.4228056465836</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35887.770000000004</v>
      </c>
      <c r="AO13" s="49">
        <f>JUN!AM52</f>
        <v>2690.9354247542224</v>
      </c>
      <c r="AP13" s="93">
        <f>JUN!AN52</f>
        <v>38578.705424754226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0">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-85.071439374842498</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103</v>
      </c>
      <c r="AI40" s="108">
        <v>1.7</v>
      </c>
      <c r="AJ40" s="177">
        <v>1.3</v>
      </c>
      <c r="AK40" s="41">
        <v>27.5</v>
      </c>
      <c r="AL40" s="49">
        <f t="shared" si="30"/>
        <v>5897.8792387194499</v>
      </c>
      <c r="AM40" s="49"/>
      <c r="AN40" s="149">
        <f t="shared" si="20"/>
        <v>511.7</v>
      </c>
      <c r="AO40" s="41">
        <f t="shared" si="5"/>
        <v>85.071439374842498</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-1347.7699016889337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4035.5</v>
      </c>
      <c r="AI47" s="184">
        <f>SUM(AI15:AI45)</f>
        <v>52.700000000000024</v>
      </c>
      <c r="AJ47" s="185">
        <f>SUM(AJ15:AJ45)</f>
        <v>40.29999999999999</v>
      </c>
      <c r="AK47" s="49">
        <f>SUM(AK15:AK45)</f>
        <v>1316.5999999999997</v>
      </c>
      <c r="AL47" s="49"/>
      <c r="AM47" s="49">
        <f t="shared" ref="AM47:AV47" si="52">SUM(AM15:AM45)</f>
        <v>0</v>
      </c>
      <c r="AN47" s="49">
        <f t="shared" si="52"/>
        <v>17492.099999999999</v>
      </c>
      <c r="AO47" s="49">
        <f t="shared" si="52"/>
        <v>1347.7699016889337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-2673.3016000000002</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8004.4142499999998</v>
      </c>
      <c r="AI48" s="94">
        <f t="shared" si="55"/>
        <v>104.53045000000004</v>
      </c>
      <c r="AJ48" s="95">
        <f t="shared" si="55"/>
        <v>79.935049999999976</v>
      </c>
      <c r="AK48" s="49">
        <f t="shared" si="55"/>
        <v>2611.4760999999994</v>
      </c>
      <c r="AL48" s="49"/>
      <c r="AM48" s="49">
        <f t="shared" ref="AM48:AU48" si="56">AM47*$D$2</f>
        <v>0</v>
      </c>
      <c r="AN48" s="49">
        <f t="shared" si="56"/>
        <v>34695.580349999997</v>
      </c>
      <c r="AO48" s="49">
        <f t="shared" si="56"/>
        <v>2673.3016000000002</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-1440.119868918579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9399</v>
      </c>
      <c r="AI50" s="94">
        <f>AI12+AI47</f>
        <v>207.40000000000009</v>
      </c>
      <c r="AJ50" s="95">
        <f>AJ12+AJ47</f>
        <v>158.59999999999997</v>
      </c>
      <c r="AK50" s="49">
        <f t="shared" ref="AK50" si="58">AK12+AK47</f>
        <v>3130.8799999999992</v>
      </c>
      <c r="AL50" s="49"/>
      <c r="AM50" s="49">
        <f t="shared" ref="AM50:AT50" si="59">AM12+AM47</f>
        <v>0</v>
      </c>
      <c r="AN50" s="49">
        <f t="shared" si="59"/>
        <v>48056.01</v>
      </c>
      <c r="AO50" s="49">
        <f t="shared" si="59"/>
        <v>2796.368449710109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-2856.4777600000016</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18642.916499999999</v>
      </c>
      <c r="AI51" s="94">
        <f>AI50*$D$2</f>
        <v>411.37790000000018</v>
      </c>
      <c r="AJ51" s="95">
        <f>AJ50*$D$2</f>
        <v>314.58309999999994</v>
      </c>
      <c r="AK51" s="49">
        <f t="shared" ref="AK51" si="61">AK50*$D$2</f>
        <v>6210.1004799999982</v>
      </c>
      <c r="AL51" s="49"/>
      <c r="AM51" s="49">
        <f t="shared" si="60"/>
        <v>0</v>
      </c>
      <c r="AN51" s="49">
        <f t="shared" si="60"/>
        <v>95319.095835</v>
      </c>
      <c r="AO51" s="49">
        <f t="shared" si="60"/>
        <v>5546.5968200000016</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7629.4429039576535</v>
      </c>
      <c r="G53" s="49">
        <f t="shared" si="63"/>
        <v>60280.600000000006</v>
      </c>
      <c r="H53" s="49">
        <f t="shared" si="63"/>
        <v>552.06000000000006</v>
      </c>
      <c r="I53" s="49">
        <f t="shared" si="63"/>
        <v>60832.66</v>
      </c>
      <c r="J53" s="49">
        <f t="shared" si="63"/>
        <v>4215.358230400806</v>
      </c>
      <c r="K53" s="49">
        <f t="shared" si="63"/>
        <v>65048.018230400812</v>
      </c>
      <c r="L53" s="93">
        <f t="shared" si="63"/>
        <v>176.65290395764987</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53379.87</v>
      </c>
      <c r="AO53" s="49">
        <f t="shared" si="64"/>
        <v>4038.7053264431561</v>
      </c>
      <c r="AP53" s="353">
        <f t="shared" si="64"/>
        <v>57418.575326443155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15133</v>
      </c>
      <c r="E54" s="49">
        <f>E45</f>
        <v>72365</v>
      </c>
      <c r="F54" s="93">
        <f t="shared" ref="F54:AL54" si="65">F53*$D$2</f>
        <v>15133.000000000005</v>
      </c>
      <c r="G54" s="49">
        <f t="shared" si="65"/>
        <v>119566.57010000001</v>
      </c>
      <c r="H54" s="49">
        <f t="shared" si="65"/>
        <v>1095.0110100000002</v>
      </c>
      <c r="I54" s="49">
        <f t="shared" si="65"/>
        <v>120661.58111000001</v>
      </c>
      <c r="J54" s="49">
        <f t="shared" si="65"/>
        <v>8361.1630499999992</v>
      </c>
      <c r="K54" s="49">
        <f t="shared" si="65"/>
        <v>129022.74416000002</v>
      </c>
      <c r="L54" s="93">
        <f t="shared" si="65"/>
        <v>350.39103499999851</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105878.97214500001</v>
      </c>
      <c r="AO54" s="49">
        <f t="shared" si="66"/>
        <v>8010.7720150000005</v>
      </c>
      <c r="AP54" s="352">
        <f t="shared" si="66"/>
        <v>113889.74416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0.61560835764706756</v>
      </c>
      <c r="P56" s="32"/>
      <c r="Q56" s="55"/>
      <c r="R56" s="55"/>
      <c r="S56" s="55"/>
      <c r="T56" s="55"/>
      <c r="U56" s="32"/>
      <c r="V56" s="55"/>
      <c r="W56" s="55"/>
      <c r="X56" s="55"/>
      <c r="Y56" s="55"/>
      <c r="Z56" s="54"/>
      <c r="AA56" s="55"/>
      <c r="AB56" s="54"/>
      <c r="AC56" s="54"/>
      <c r="AD56" s="54"/>
      <c r="AE56" s="417"/>
      <c r="AF56" s="417"/>
      <c r="AG56" s="232"/>
      <c r="AH56" s="229">
        <f>AH51/AH8</f>
        <v>0.59937360146604934</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3" t="s">
        <v>222</v>
      </c>
      <c r="L2" s="763"/>
      <c r="M2" s="763"/>
      <c r="N2" s="763"/>
      <c r="O2" s="763"/>
      <c r="P2" s="763"/>
      <c r="Q2" s="763"/>
      <c r="R2" s="763"/>
      <c r="S2" s="763"/>
      <c r="T2" s="763"/>
      <c r="U2" s="763"/>
      <c r="V2" s="763"/>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-1440.119868918579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9399</v>
      </c>
      <c r="AI12" s="73">
        <f>JUL!AI50</f>
        <v>207.40000000000009</v>
      </c>
      <c r="AJ12" s="186">
        <f>JUL!AJ50</f>
        <v>158.59999999999997</v>
      </c>
      <c r="AK12" s="43">
        <f>JUL!AK50</f>
        <v>3130.8799999999992</v>
      </c>
      <c r="AL12" s="43"/>
      <c r="AM12" s="43"/>
      <c r="AN12" s="43">
        <f>JUL!AN50</f>
        <v>48056.01</v>
      </c>
      <c r="AO12" s="43">
        <f>JUL!AO50</f>
        <v>2796.368449710109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15133</v>
      </c>
      <c r="E13" s="43">
        <f>JUL!E54</f>
        <v>72365</v>
      </c>
      <c r="F13" s="71">
        <f>JUL!F53</f>
        <v>7629.4429039576535</v>
      </c>
      <c r="G13" s="43">
        <f>JUL!G53</f>
        <v>60280.600000000006</v>
      </c>
      <c r="H13" s="43">
        <f>JUL!H53</f>
        <v>552.06000000000006</v>
      </c>
      <c r="I13" s="43">
        <f>JUL!I53</f>
        <v>60832.66</v>
      </c>
      <c r="J13" s="43">
        <f>JUL!J53</f>
        <v>4215.358230400806</v>
      </c>
      <c r="K13" s="43">
        <f>JUL!K53</f>
        <v>65048.018230400812</v>
      </c>
      <c r="L13" s="530">
        <f>JUL!L53</f>
        <v>176.65290395764987</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18642.916499999999</v>
      </c>
      <c r="AI13" s="94">
        <f>AI12</f>
        <v>207.40000000000009</v>
      </c>
      <c r="AJ13" s="95">
        <f>AJ12</f>
        <v>158.59999999999997</v>
      </c>
      <c r="AK13" s="43">
        <f>JUL!AK53</f>
        <v>6854.6699999999983</v>
      </c>
      <c r="AL13" s="43">
        <f>JUL!AL53</f>
        <v>5664.1792387194491</v>
      </c>
      <c r="AM13" s="43">
        <f>JUL!AM53</f>
        <v>0</v>
      </c>
      <c r="AN13" s="43">
        <f>JUL!AN53</f>
        <v>53379.87</v>
      </c>
      <c r="AO13" s="43">
        <f>JUL!AO53</f>
        <v>4038.7053264431561</v>
      </c>
      <c r="AP13" s="43">
        <f>JUL!AP53</f>
        <v>57418.575326443155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7"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-30.775598689185699</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 t="shared" si="18"/>
        <v>530.1</v>
      </c>
      <c r="AO29" s="84">
        <f t="shared" si="19"/>
        <v>30.775598689185699</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-29.021880514242469</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si="18"/>
        <v>502.90000000000003</v>
      </c>
      <c r="AO30" s="84">
        <f t="shared" si="19"/>
        <v>29.021880514242469</v>
      </c>
      <c r="AP30" s="84">
        <f>AN30+AO30</f>
        <v>531.9218805142425</v>
      </c>
      <c r="AQ30" s="126">
        <v>0</v>
      </c>
      <c r="AR30" s="41">
        <f t="shared" ref="AR30:AR36" si="38">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-23.884446685152454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18"/>
        <v>503.6</v>
      </c>
      <c r="AO31" s="84">
        <f t="shared" si="19"/>
        <v>23.884446685152454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-29.721527602722404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18"/>
        <v>521</v>
      </c>
      <c r="AO32" s="84">
        <f t="shared" si="19"/>
        <v>29.721527602722404</v>
      </c>
      <c r="AP32" s="84">
        <f t="shared" si="4"/>
        <v>550.7215276027224</v>
      </c>
      <c r="AQ32" s="126">
        <v>0</v>
      </c>
      <c r="AR32" s="41">
        <f t="shared" si="38"/>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0</v>
      </c>
      <c r="K33" s="84">
        <f t="shared" si="3"/>
        <v>24.4</v>
      </c>
      <c r="L33" s="84">
        <f t="shared" si="13"/>
        <v>-5.1884295437358219</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18"/>
        <v>526.9</v>
      </c>
      <c r="AO33" s="84">
        <f t="shared" si="19"/>
        <v>5.1884295437358219</v>
      </c>
      <c r="AP33" s="84">
        <f t="shared" si="4"/>
        <v>532.08842954373586</v>
      </c>
      <c r="AQ33" s="126">
        <v>0</v>
      </c>
      <c r="AR33" s="41">
        <f t="shared" si="38"/>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8"/>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8"/>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8"/>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39">(1.0888*1.06)*1.04</f>
        <v>1.20029312</v>
      </c>
      <c r="U37" s="124">
        <v>0</v>
      </c>
      <c r="V37" s="84">
        <v>114</v>
      </c>
      <c r="W37" s="84">
        <v>73.099999999999994</v>
      </c>
      <c r="X37" s="41">
        <f t="shared" si="15"/>
        <v>390.6522287145898</v>
      </c>
      <c r="Y37" s="41">
        <f t="shared" si="16"/>
        <v>390.6522287145898</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4288.131909582049</v>
      </c>
      <c r="AS37" s="42"/>
      <c r="AT37" s="37">
        <f t="shared" si="20"/>
        <v>-325.46732603884379</v>
      </c>
      <c r="AU37" s="399">
        <v>0.15</v>
      </c>
      <c r="AV37" s="524">
        <f t="shared" si="36"/>
        <v>0.105</v>
      </c>
      <c r="AW37" s="401">
        <f>IF(AU37="",0,VLOOKUP(ROUNDDOWN(TEXT(B37,"0000"),-1),VLOOKUP!$M$3:$W$32,RIGHT(TEXT(B37,"0000"),1)+2,FALSE))</f>
        <v>2804</v>
      </c>
      <c r="AX37" s="401">
        <f t="shared" si="22"/>
        <v>24.534999999999997</v>
      </c>
      <c r="AY37" s="33">
        <f>AX37*((IF(Z37&gt;JUN!$Z$44,JUN!$Z$44,Z37)+AC37+AD37+AR37)*1.9835)/E37</f>
        <v>5.9762741041485361</v>
      </c>
      <c r="AZ37" s="36">
        <f t="shared" si="23"/>
        <v>9.737619158843744</v>
      </c>
      <c r="BA37" s="149">
        <f t="shared" si="24"/>
        <v>8</v>
      </c>
      <c r="BB37" s="32"/>
      <c r="BC37" s="17">
        <f t="shared" si="33"/>
        <v>61.53</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39"/>
        <v>1.20029312</v>
      </c>
      <c r="U38" s="124">
        <v>0</v>
      </c>
      <c r="V38" s="84">
        <v>110</v>
      </c>
      <c r="W38" s="84">
        <v>73.5</v>
      </c>
      <c r="X38" s="41">
        <f t="shared" si="15"/>
        <v>335.68060291988638</v>
      </c>
      <c r="Y38" s="41">
        <f t="shared" si="16"/>
        <v>335.68060291988638</v>
      </c>
      <c r="Z38" s="49"/>
      <c r="AA38" s="41"/>
      <c r="AB38" s="49"/>
      <c r="AC38" s="56">
        <f t="shared" si="29"/>
        <v>1091.7734662583512</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4027.5553196158044</v>
      </c>
      <c r="AS38" s="42"/>
      <c r="AT38" s="37">
        <f t="shared" si="20"/>
        <v>-260.57658996624468</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6.5871087525406846</v>
      </c>
      <c r="AZ38" s="36">
        <f t="shared" si="23"/>
        <v>9.737619158843744</v>
      </c>
      <c r="BA38" s="149">
        <f t="shared" si="24"/>
        <v>8</v>
      </c>
      <c r="BB38" s="32"/>
      <c r="BC38" s="17">
        <f>(BC9-(SUM(BC15:BC37)*1.9835))/1.9835</f>
        <v>16.294263927400955</v>
      </c>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39"/>
        <v>1.20029312</v>
      </c>
      <c r="U39" s="124">
        <v>0</v>
      </c>
      <c r="V39" s="84">
        <v>105</v>
      </c>
      <c r="W39" s="84">
        <v>73.2</v>
      </c>
      <c r="X39" s="41">
        <f t="shared" si="15"/>
        <v>311.06355166266297</v>
      </c>
      <c r="Y39" s="41">
        <f t="shared" si="16"/>
        <v>311.06355166266297</v>
      </c>
      <c r="Z39" s="49"/>
      <c r="AA39" s="41"/>
      <c r="AB39" s="49"/>
      <c r="AC39" s="56">
        <f t="shared" si="29"/>
        <v>1088.4525140261653</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0">AR38+MIN(0,AT39)</f>
        <v>3808.6879935769607</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0.7575608307860161</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39"/>
        <v>1.20029312</v>
      </c>
      <c r="U40" s="124">
        <v>0</v>
      </c>
      <c r="V40" s="84">
        <v>103</v>
      </c>
      <c r="W40" s="84">
        <v>73</v>
      </c>
      <c r="X40" s="41">
        <f t="shared" si="15"/>
        <v>300.73781130217554</v>
      </c>
      <c r="Y40" s="41">
        <f t="shared" si="16"/>
        <v>300.73781130217554</v>
      </c>
      <c r="Z40" s="49"/>
      <c r="AA40" s="41"/>
      <c r="AB40" s="49"/>
      <c r="AC40" s="56">
        <f t="shared" si="29"/>
        <v>1088.070582677143</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0"/>
        <v>3611.3006675381171</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1.8553158714083133</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39"/>
        <v>1.20029312</v>
      </c>
      <c r="U41" s="124">
        <v>0</v>
      </c>
      <c r="V41" s="84">
        <v>105</v>
      </c>
      <c r="W41" s="84">
        <v>73.099999999999994</v>
      </c>
      <c r="X41" s="41">
        <f t="shared" si="15"/>
        <v>292.11858456476392</v>
      </c>
      <c r="Y41" s="41">
        <f>X41-AS41</f>
        <v>292.11858456476392</v>
      </c>
      <c r="Z41" s="49"/>
      <c r="AA41" s="41"/>
      <c r="AB41" s="49"/>
      <c r="AC41" s="56">
        <f t="shared" si="29"/>
        <v>1087.1352078995235</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3427.5633414992735</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4.6736160405745899</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39"/>
        <v>1.20029312</v>
      </c>
      <c r="U42" s="124">
        <v>0</v>
      </c>
      <c r="V42" s="84">
        <v>107</v>
      </c>
      <c r="W42" s="84">
        <v>72.400000000000006</v>
      </c>
      <c r="X42" s="41">
        <f t="shared" si="15"/>
        <v>318.13654075573686</v>
      </c>
      <c r="Y42" s="41">
        <f t="shared" si="16"/>
        <v>318.13654075573686</v>
      </c>
      <c r="Z42" s="49"/>
      <c r="AA42" s="41"/>
      <c r="AB42" s="49"/>
      <c r="AC42" s="56">
        <f t="shared" si="29"/>
        <v>1084.7789608410035</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0"/>
        <v>3215.7910154604297</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7.7294158536831681</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1080.8821038439362</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0"/>
        <v>3005.9048139015858</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2.0528756524959921</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1">(1.049*1.06)*1.04</f>
        <v>1.1564175999999999</v>
      </c>
      <c r="U44" s="124">
        <v>0</v>
      </c>
      <c r="V44" s="84">
        <v>110</v>
      </c>
      <c r="W44" s="84">
        <v>72</v>
      </c>
      <c r="X44" s="41">
        <f t="shared" si="15"/>
        <v>299.03813528957579</v>
      </c>
      <c r="Y44" s="41">
        <f t="shared" si="16"/>
        <v>299.03813528957579</v>
      </c>
      <c r="Z44" s="49"/>
      <c r="AA44" s="41"/>
      <c r="AB44" s="49"/>
      <c r="AC44" s="56">
        <f t="shared" si="29"/>
        <v>1079.8471274625417</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0"/>
        <v>2805.8436123427418</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8.3340367150869046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1"/>
        <v>1.1564175999999999</v>
      </c>
      <c r="U45" s="124">
        <v>0</v>
      </c>
      <c r="V45" s="84">
        <v>109</v>
      </c>
      <c r="W45" s="84">
        <v>71.8</v>
      </c>
      <c r="X45" s="41">
        <f t="shared" si="15"/>
        <v>308.06035115899988</v>
      </c>
      <c r="Y45" s="41">
        <f t="shared" ref="Y45" si="42">X45-AS45</f>
        <v>308.06035115899988</v>
      </c>
      <c r="Z45" s="49"/>
      <c r="AA45" s="41"/>
      <c r="AB45" s="49"/>
      <c r="AC45" s="56">
        <f t="shared" si="29"/>
        <v>1075.6454452265514</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0"/>
        <v>2587.196410783898</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7.6499401666811941</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3">SUM(F15:F45)</f>
        <v>-15392.488026216281</v>
      </c>
      <c r="G47" s="43">
        <f t="shared" si="43"/>
        <v>1729.6999999999998</v>
      </c>
      <c r="H47" s="43">
        <f t="shared" si="43"/>
        <v>2.0299999999999998</v>
      </c>
      <c r="I47" s="43">
        <f t="shared" si="43"/>
        <v>1731.73</v>
      </c>
      <c r="J47" s="43">
        <f t="shared" si="43"/>
        <v>24.700957902697269</v>
      </c>
      <c r="K47" s="43">
        <f t="shared" si="43"/>
        <v>1756.4309579026972</v>
      </c>
      <c r="L47" s="43">
        <f t="shared" si="43"/>
        <v>-894.91802621628381</v>
      </c>
      <c r="M47" s="73">
        <f>SUM(M15:M45)</f>
        <v>5909</v>
      </c>
      <c r="N47" s="43">
        <f>SUM(N15:N45)</f>
        <v>5.3</v>
      </c>
      <c r="O47" s="43">
        <f t="shared" si="43"/>
        <v>1385.37</v>
      </c>
      <c r="P47" s="43">
        <f>SUM(P15:P45)</f>
        <v>0</v>
      </c>
      <c r="Q47" s="43">
        <f>SUM(Q15:Q45)</f>
        <v>105.48778653750026</v>
      </c>
      <c r="R47" s="43">
        <f t="shared" si="43"/>
        <v>127.02140608000006</v>
      </c>
      <c r="S47" s="43">
        <f t="shared" ref="S47:X47" si="44">SUM(S15:S45)</f>
        <v>21.755487519999992</v>
      </c>
      <c r="T47" s="43">
        <f>SUM(T15:T45)</f>
        <v>38.939523999999992</v>
      </c>
      <c r="U47" s="186">
        <f t="shared" si="44"/>
        <v>0</v>
      </c>
      <c r="V47" s="43">
        <f t="shared" si="44"/>
        <v>3519</v>
      </c>
      <c r="W47" s="43">
        <f t="shared" si="44"/>
        <v>2206.2000000000003</v>
      </c>
      <c r="X47" s="43">
        <f t="shared" si="44"/>
        <v>11216.951253714056</v>
      </c>
      <c r="Y47" s="49">
        <f>SUM(Y15:Y45)</f>
        <v>11216.951253714056</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5">SUM(AM15:AM45)</f>
        <v>0</v>
      </c>
      <c r="AN47" s="43">
        <f t="shared" si="45"/>
        <v>16229.3</v>
      </c>
      <c r="AO47" s="43">
        <f t="shared" si="45"/>
        <v>919.61898411898119</v>
      </c>
      <c r="AP47" s="43">
        <f t="shared" si="45"/>
        <v>17148.918984118984</v>
      </c>
      <c r="AQ47" s="529">
        <f t="shared" si="45"/>
        <v>0</v>
      </c>
      <c r="AR47" s="56">
        <f>AR45</f>
        <v>2587.196410783898</v>
      </c>
      <c r="AS47" s="43">
        <f t="shared" si="45"/>
        <v>0</v>
      </c>
      <c r="AT47" s="43">
        <f t="shared" si="45"/>
        <v>-9770.4304463315566</v>
      </c>
      <c r="AU47" s="397"/>
      <c r="AV47" s="397"/>
      <c r="AW47" s="397"/>
      <c r="AX47" s="397"/>
      <c r="AY47" s="43"/>
      <c r="AZ47" s="49">
        <f>SUM(AZ15:AZ45)</f>
        <v>301.86619392415628</v>
      </c>
      <c r="BA47" s="49">
        <f>SUM(BA15:BA45)</f>
        <v>242.38000000000002</v>
      </c>
      <c r="BB47" s="49">
        <f>SUM(BB15:BB45)</f>
        <v>0</v>
      </c>
      <c r="BC47" s="49">
        <f>SUM(BC15:BC45)</f>
        <v>964.75926392740109</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6">F47*$D$2</f>
        <v>-30530.999999999993</v>
      </c>
      <c r="G48" s="43">
        <f t="shared" si="46"/>
        <v>3430.8599499999996</v>
      </c>
      <c r="H48" s="43">
        <f t="shared" si="46"/>
        <v>4.0265049999999993</v>
      </c>
      <c r="I48" s="43">
        <f t="shared" si="46"/>
        <v>3434.8864550000003</v>
      </c>
      <c r="J48" s="43">
        <f t="shared" si="46"/>
        <v>48.994350000000033</v>
      </c>
      <c r="K48" s="43">
        <f t="shared" si="46"/>
        <v>3483.8808049999998</v>
      </c>
      <c r="L48" s="43">
        <f t="shared" si="46"/>
        <v>-1775.0699049999989</v>
      </c>
      <c r="M48" s="73">
        <f t="shared" si="46"/>
        <v>11720.5015</v>
      </c>
      <c r="N48" s="43">
        <f t="shared" si="46"/>
        <v>10.512549999999999</v>
      </c>
      <c r="O48" s="43">
        <f t="shared" si="46"/>
        <v>2747.8813949999999</v>
      </c>
      <c r="P48" s="43">
        <f t="shared" si="46"/>
        <v>0</v>
      </c>
      <c r="Q48" s="43">
        <f>Q47*$D$2</f>
        <v>209.23502459713177</v>
      </c>
      <c r="R48" s="43">
        <f t="shared" si="46"/>
        <v>251.94695895968013</v>
      </c>
      <c r="S48" s="43">
        <f t="shared" ref="S48:Y48" si="47">S47*$D$2</f>
        <v>43.152009495919984</v>
      </c>
      <c r="T48" s="43">
        <f t="shared" si="47"/>
        <v>77.236545853999985</v>
      </c>
      <c r="U48" s="186">
        <f t="shared" si="47"/>
        <v>0</v>
      </c>
      <c r="V48" s="43">
        <f t="shared" si="47"/>
        <v>6979.9364999999998</v>
      </c>
      <c r="W48" s="43">
        <f t="shared" si="47"/>
        <v>4375.9977000000008</v>
      </c>
      <c r="X48" s="43">
        <f t="shared" si="47"/>
        <v>22248.822811741829</v>
      </c>
      <c r="Y48" s="49">
        <f t="shared" si="47"/>
        <v>22248.822811741829</v>
      </c>
      <c r="Z48" s="43"/>
      <c r="AA48" s="49">
        <f t="shared" ref="AA48" si="48">AA47*$D$2</f>
        <v>15590.822485153194</v>
      </c>
      <c r="AB48" s="43"/>
      <c r="AE48" s="397"/>
      <c r="AF48" s="397">
        <f>AF47*$D$2</f>
        <v>0</v>
      </c>
      <c r="AG48" s="43">
        <f>AG47*$D$2</f>
        <v>0</v>
      </c>
      <c r="AH48" s="43">
        <f t="shared" ref="AH48:AP48" si="49">AH47*$D$2</f>
        <v>6598.5094499999996</v>
      </c>
      <c r="AI48" s="73">
        <f>AI47*$D$2</f>
        <v>104.53045000000004</v>
      </c>
      <c r="AJ48" s="186">
        <f>AJ47*$D$2</f>
        <v>79.935049999999976</v>
      </c>
      <c r="AK48" s="43">
        <f t="shared" si="49"/>
        <v>2515.8713999999995</v>
      </c>
      <c r="AL48" s="43"/>
      <c r="AM48" s="43">
        <f t="shared" si="49"/>
        <v>0</v>
      </c>
      <c r="AN48" s="43">
        <f t="shared" si="49"/>
        <v>32190.81655</v>
      </c>
      <c r="AO48" s="43">
        <f t="shared" si="49"/>
        <v>1824.0642549999993</v>
      </c>
      <c r="AP48" s="43">
        <f t="shared" si="49"/>
        <v>34014.880805000008</v>
      </c>
      <c r="AQ48" s="529">
        <f t="shared" ref="AQ48" si="50">AQ47*$D$2</f>
        <v>0</v>
      </c>
      <c r="AR48" s="49">
        <f>AR47*$D$2</f>
        <v>5131.704080789862</v>
      </c>
      <c r="AS48" s="43">
        <f>AS47*$D$2</f>
        <v>0</v>
      </c>
      <c r="AT48" s="20"/>
      <c r="AU48" s="397">
        <f>SUM(AU15:AU45)</f>
        <v>8.57</v>
      </c>
      <c r="AV48" s="397"/>
      <c r="AW48" s="397"/>
      <c r="AX48" s="397">
        <f>SUM(AX15:AX45)</f>
        <v>1467.7500833333331</v>
      </c>
      <c r="AY48" s="43">
        <f>SUM(AY15:AY45)</f>
        <v>456.22662161611538</v>
      </c>
      <c r="AZ48" s="49">
        <f>AZ47*$D$2</f>
        <v>598.75159564856403</v>
      </c>
      <c r="BA48" s="49">
        <f>BA47*$D$2</f>
        <v>480.76073000000008</v>
      </c>
      <c r="BB48" s="49">
        <f>BB47*$D$2</f>
        <v>0</v>
      </c>
      <c r="BC48" s="49">
        <f>BC47*$D$2</f>
        <v>1913.6000000000001</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1">F12+F47</f>
        <v>-10430.047895134856</v>
      </c>
      <c r="G50" s="43">
        <f t="shared" si="51"/>
        <v>55766.1</v>
      </c>
      <c r="H50" s="43">
        <f t="shared" si="51"/>
        <v>424.20000000000005</v>
      </c>
      <c r="I50" s="43">
        <f t="shared" si="51"/>
        <v>56190.30000000001</v>
      </c>
      <c r="J50" s="43">
        <f t="shared" si="51"/>
        <v>1380.9495386942272</v>
      </c>
      <c r="K50" s="43">
        <f t="shared" si="51"/>
        <v>57571.249538694232</v>
      </c>
      <c r="L50" s="43">
        <f t="shared" si="51"/>
        <v>-2335.037895134863</v>
      </c>
      <c r="M50" s="73">
        <f t="shared" si="51"/>
        <v>26494.639999999999</v>
      </c>
      <c r="N50" s="43">
        <f>N12+N47</f>
        <v>32.912500000000009</v>
      </c>
      <c r="O50" s="43">
        <f t="shared" si="51"/>
        <v>5575.4795000000004</v>
      </c>
      <c r="P50" s="43">
        <f>P12+P47</f>
        <v>7.2</v>
      </c>
      <c r="Q50" s="43"/>
      <c r="R50" s="43"/>
      <c r="S50" s="43"/>
      <c r="T50" s="43"/>
      <c r="U50" s="186"/>
      <c r="V50" s="43">
        <f>V12+V47</f>
        <v>13390.52</v>
      </c>
      <c r="W50" s="43">
        <f>W12+W47</f>
        <v>7275.1700000000019</v>
      </c>
      <c r="X50" s="43">
        <f>X12+X47</f>
        <v>42663.99862466989</v>
      </c>
      <c r="Y50" s="49">
        <f>Y12+Y47</f>
        <v>42424.182769351668</v>
      </c>
      <c r="Z50" s="56"/>
      <c r="AA50" s="49">
        <f>AA12+AA47</f>
        <v>16427.65679895127</v>
      </c>
      <c r="AB50" s="43"/>
      <c r="AC50" s="43">
        <f>AC45</f>
        <v>1075.6454452265514</v>
      </c>
      <c r="AD50" s="43">
        <f>AD45</f>
        <v>552.46</v>
      </c>
      <c r="AE50" s="397"/>
      <c r="AF50" s="397">
        <f>AF12+AF47</f>
        <v>0</v>
      </c>
      <c r="AG50" s="43">
        <f>AG47+AG13</f>
        <v>0</v>
      </c>
      <c r="AH50" s="43">
        <f>AH12+AH47</f>
        <v>12725.7</v>
      </c>
      <c r="AI50" s="73">
        <f>AI12+AI47</f>
        <v>260.10000000000014</v>
      </c>
      <c r="AJ50" s="186">
        <f>AJ12+AJ47</f>
        <v>198.89999999999995</v>
      </c>
      <c r="AK50" s="43">
        <f t="shared" ref="AK50" si="52">AK12+AK47</f>
        <v>4399.2799999999988</v>
      </c>
      <c r="AL50" s="43"/>
      <c r="AM50" s="43">
        <f t="shared" ref="AM50:AQ50" si="53">AM12+AM47</f>
        <v>0</v>
      </c>
      <c r="AN50" s="43">
        <f t="shared" si="53"/>
        <v>64285.31</v>
      </c>
      <c r="AO50" s="43">
        <f t="shared" si="53"/>
        <v>3715.9874338290902</v>
      </c>
      <c r="AP50" s="43">
        <f t="shared" si="53"/>
        <v>68001.297433829081</v>
      </c>
      <c r="AQ50" s="529">
        <f t="shared" si="53"/>
        <v>0</v>
      </c>
      <c r="AR50" s="56"/>
      <c r="AS50" s="20"/>
      <c r="AT50" s="20"/>
      <c r="AU50" s="397"/>
      <c r="AV50" s="397"/>
      <c r="AW50" s="397"/>
      <c r="AX50" s="397"/>
      <c r="AY50" s="43"/>
      <c r="AZ50" s="49">
        <f>AZ12+AZ47</f>
        <v>1334.5097050668014</v>
      </c>
      <c r="BA50" s="49">
        <f>BA12+BA47</f>
        <v>552.46</v>
      </c>
      <c r="BB50" s="49">
        <f>BB12+BB47</f>
        <v>20.733333333333331</v>
      </c>
      <c r="BC50" s="49">
        <f>BC12+BC47</f>
        <v>964.75926392740109</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4">F50*$D$2</f>
        <v>-20687.999999999985</v>
      </c>
      <c r="G51" s="43">
        <f t="shared" si="54"/>
        <v>110612.05935</v>
      </c>
      <c r="H51" s="43">
        <f t="shared" si="54"/>
        <v>841.40070000000014</v>
      </c>
      <c r="I51" s="43">
        <f t="shared" si="54"/>
        <v>111453.46005000002</v>
      </c>
      <c r="J51" s="43">
        <f t="shared" si="54"/>
        <v>2739.1134099999995</v>
      </c>
      <c r="K51" s="43">
        <f t="shared" si="54"/>
        <v>114192.57346000001</v>
      </c>
      <c r="L51" s="43">
        <f t="shared" si="54"/>
        <v>-4631.547665000001</v>
      </c>
      <c r="M51" s="73">
        <f t="shared" si="54"/>
        <v>52552.118439999998</v>
      </c>
      <c r="N51" s="43">
        <f t="shared" si="54"/>
        <v>65.281943750000025</v>
      </c>
      <c r="O51" s="43">
        <f t="shared" si="54"/>
        <v>11058.963588250001</v>
      </c>
      <c r="P51" s="43">
        <f t="shared" si="54"/>
        <v>14.2812</v>
      </c>
      <c r="Q51" s="43"/>
      <c r="R51" s="43"/>
      <c r="S51" s="43"/>
      <c r="T51" s="43"/>
      <c r="U51" s="186"/>
      <c r="V51" s="43">
        <f>V50*$D$2</f>
        <v>26560.096420000002</v>
      </c>
      <c r="W51" s="43">
        <f>W50*$D$2</f>
        <v>14430.299695000003</v>
      </c>
      <c r="X51" s="43">
        <f>X50*$D$2</f>
        <v>84624.041272032729</v>
      </c>
      <c r="Y51" s="49">
        <f>Y50*$D$2</f>
        <v>84148.366523009041</v>
      </c>
      <c r="Z51" s="56"/>
      <c r="AA51" s="49">
        <f t="shared" ref="AA51" si="55">AA50*$D$2</f>
        <v>32584.257260719845</v>
      </c>
      <c r="AB51" s="43"/>
      <c r="AC51" s="43">
        <f>AC50*D$2</f>
        <v>2133.5427406068648</v>
      </c>
      <c r="AD51" s="43">
        <f>AD50*D$2</f>
        <v>1095.8044100000002</v>
      </c>
      <c r="AE51" s="397"/>
      <c r="AF51" s="397">
        <f t="shared" ref="AF51:AK51" si="56">AF50*$D$2</f>
        <v>0</v>
      </c>
      <c r="AG51" s="43">
        <f t="shared" si="56"/>
        <v>0</v>
      </c>
      <c r="AH51" s="186">
        <f t="shared" si="56"/>
        <v>25241.425950000001</v>
      </c>
      <c r="AI51" s="43">
        <f t="shared" si="56"/>
        <v>515.90835000000027</v>
      </c>
      <c r="AJ51" s="351">
        <f t="shared" si="56"/>
        <v>394.51814999999993</v>
      </c>
      <c r="AK51" s="43">
        <f t="shared" si="56"/>
        <v>8725.9718799999973</v>
      </c>
      <c r="AL51" s="43"/>
      <c r="AM51" s="43">
        <f>AM50*$D$2</f>
        <v>0</v>
      </c>
      <c r="AN51" s="43">
        <f>AN50*$D$2</f>
        <v>127509.912385</v>
      </c>
      <c r="AO51" s="43">
        <f>AO50*$D$2</f>
        <v>7370.6610750000009</v>
      </c>
      <c r="AP51" s="43">
        <f>AP50*$D$2</f>
        <v>134880.57345999999</v>
      </c>
      <c r="AQ51" s="529">
        <f t="shared" ref="AQ51" si="57">AQ50*$D$2</f>
        <v>0</v>
      </c>
      <c r="AR51" s="56"/>
      <c r="AS51" s="20"/>
      <c r="AT51" s="20"/>
      <c r="AU51" s="397">
        <f>AU13+AU48</f>
        <v>40.627499999999998</v>
      </c>
      <c r="AV51" s="397"/>
      <c r="AW51" s="397"/>
      <c r="AX51" s="397">
        <f>AX13+AX48</f>
        <v>7716.9332916666654</v>
      </c>
      <c r="AY51" s="43">
        <f>AY12+AY48</f>
        <v>3177.8774756244975</v>
      </c>
      <c r="AZ51" s="49">
        <f>AZ50*$D$2</f>
        <v>2647.0000000000005</v>
      </c>
      <c r="BA51" s="49">
        <f>BA50*$D$2</f>
        <v>1095.8044100000002</v>
      </c>
      <c r="BB51" s="49">
        <f>BB50*$D$2</f>
        <v>41.124566666666659</v>
      </c>
      <c r="BC51" s="49">
        <f>BC50*$D$2</f>
        <v>1913.6000000000001</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8">F13+F47</f>
        <v>-7763.0451222586271</v>
      </c>
      <c r="G53" s="43">
        <f t="shared" si="58"/>
        <v>62010.3</v>
      </c>
      <c r="H53" s="43">
        <f t="shared" si="58"/>
        <v>554.09</v>
      </c>
      <c r="I53" s="43">
        <f t="shared" si="58"/>
        <v>62564.390000000007</v>
      </c>
      <c r="J53" s="43">
        <f t="shared" si="58"/>
        <v>4240.0591883035031</v>
      </c>
      <c r="K53" s="43">
        <f t="shared" si="58"/>
        <v>66804.449188303508</v>
      </c>
      <c r="L53" s="43">
        <f t="shared" si="58"/>
        <v>-718.26512225863394</v>
      </c>
      <c r="M53" s="73">
        <f t="shared" si="58"/>
        <v>27352.79</v>
      </c>
      <c r="N53" s="43">
        <f>N13+N47</f>
        <v>32.912500000000009</v>
      </c>
      <c r="O53" s="43">
        <f t="shared" si="58"/>
        <v>5575.49</v>
      </c>
      <c r="P53" s="43">
        <f t="shared" si="58"/>
        <v>7.2</v>
      </c>
      <c r="Q53" s="43">
        <f>Q13+Q47</f>
        <v>709.57027139911122</v>
      </c>
      <c r="R53" s="43">
        <f t="shared" si="58"/>
        <v>547.74569226585527</v>
      </c>
      <c r="S53" s="43">
        <f t="shared" ref="S53:Y53" si="59">S13+S47</f>
        <v>319.36221730862695</v>
      </c>
      <c r="T53" s="43">
        <f>T13+T47</f>
        <v>271.65009026551797</v>
      </c>
      <c r="U53" s="186">
        <f t="shared" si="59"/>
        <v>64.300345839550417</v>
      </c>
      <c r="V53" s="43">
        <f t="shared" si="59"/>
        <v>14116.82</v>
      </c>
      <c r="W53" s="43">
        <f t="shared" si="59"/>
        <v>7290.7900000000009</v>
      </c>
      <c r="X53" s="43">
        <f t="shared" si="59"/>
        <v>42840.589209051854</v>
      </c>
      <c r="Y53" s="49">
        <f t="shared" si="59"/>
        <v>42424.182769351668</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0">AM13+AM47</f>
        <v>0</v>
      </c>
      <c r="AN53" s="43">
        <f t="shared" si="60"/>
        <v>69609.17</v>
      </c>
      <c r="AO53" s="43">
        <f t="shared" si="60"/>
        <v>4958.3243105621368</v>
      </c>
      <c r="AP53" s="359">
        <f t="shared" si="60"/>
        <v>74567.494310562135</v>
      </c>
      <c r="AQ53" s="43">
        <f t="shared" si="60"/>
        <v>685.9</v>
      </c>
      <c r="AR53" s="56"/>
      <c r="AS53" s="43">
        <f t="shared" si="60"/>
        <v>416.40643970018664</v>
      </c>
      <c r="AT53" s="20"/>
      <c r="AU53" s="397"/>
      <c r="AV53" s="397"/>
      <c r="AW53" s="397"/>
      <c r="AX53" s="397"/>
      <c r="AY53" s="43"/>
      <c r="AZ53" s="43"/>
      <c r="BA53" s="43">
        <f>BA13+BA47</f>
        <v>552.46</v>
      </c>
      <c r="BB53" s="43">
        <f>BB12+BB47</f>
        <v>20.733333333333331</v>
      </c>
      <c r="BC53" s="359">
        <f>BC13+BC47</f>
        <v>964.75926392740109</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-15398</v>
      </c>
      <c r="E54" s="43">
        <f>E45</f>
        <v>41834</v>
      </c>
      <c r="F54" s="71">
        <f t="shared" ref="F54:AL54" si="61">F53*$D$2</f>
        <v>-15397.999999999987</v>
      </c>
      <c r="G54" s="43">
        <f t="shared" si="61"/>
        <v>122997.43005000001</v>
      </c>
      <c r="H54" s="43">
        <f t="shared" si="61"/>
        <v>1099.037515</v>
      </c>
      <c r="I54" s="43">
        <f t="shared" si="61"/>
        <v>124096.46756500001</v>
      </c>
      <c r="J54" s="43">
        <f t="shared" si="61"/>
        <v>8410.1573999999982</v>
      </c>
      <c r="K54" s="43">
        <f t="shared" si="61"/>
        <v>132506.62496500002</v>
      </c>
      <c r="L54" s="43">
        <f t="shared" si="61"/>
        <v>-1424.6788700000004</v>
      </c>
      <c r="M54" s="73">
        <f t="shared" si="61"/>
        <v>54254.258965000001</v>
      </c>
      <c r="N54" s="43">
        <f t="shared" si="61"/>
        <v>65.281943750000025</v>
      </c>
      <c r="O54" s="43">
        <f t="shared" si="61"/>
        <v>11058.984414999999</v>
      </c>
      <c r="P54" s="43">
        <f t="shared" si="61"/>
        <v>14.2812</v>
      </c>
      <c r="Q54" s="43">
        <f>Q53*$D$2</f>
        <v>1407.432633320137</v>
      </c>
      <c r="R54" s="43">
        <f t="shared" si="61"/>
        <v>1086.453580609324</v>
      </c>
      <c r="S54" s="530">
        <f>S53*$D$2</f>
        <v>633.45495803166159</v>
      </c>
      <c r="T54" s="530">
        <f>T53*$D$2</f>
        <v>538.81795404165496</v>
      </c>
      <c r="U54" s="351">
        <f>U53*$D$2</f>
        <v>127.53973597274826</v>
      </c>
      <c r="V54" s="43">
        <f t="shared" si="61"/>
        <v>28000.712469999999</v>
      </c>
      <c r="W54" s="43">
        <f t="shared" si="61"/>
        <v>14461.281965000002</v>
      </c>
      <c r="X54" s="43">
        <f t="shared" si="61"/>
        <v>84974.308696154359</v>
      </c>
      <c r="Y54" s="49">
        <f t="shared" si="61"/>
        <v>84148.366523009041</v>
      </c>
      <c r="Z54" s="43"/>
      <c r="AA54" s="49"/>
      <c r="AB54" s="43"/>
      <c r="AE54" s="397"/>
      <c r="AF54" s="397">
        <f>AF53*$D$2</f>
        <v>0</v>
      </c>
      <c r="AG54" s="43">
        <f>AG53*$D$2</f>
        <v>0</v>
      </c>
      <c r="AH54" s="186"/>
      <c r="AI54" s="49">
        <f>AI53*$D$2</f>
        <v>515.90835000000027</v>
      </c>
      <c r="AJ54" s="49">
        <f>AJ53*$D$2</f>
        <v>394.51814999999993</v>
      </c>
      <c r="AK54" s="73">
        <f t="shared" si="61"/>
        <v>16112.109344999995</v>
      </c>
      <c r="AL54" s="43">
        <f t="shared" si="61"/>
        <v>8719.02812000003</v>
      </c>
      <c r="AM54" s="43">
        <f t="shared" ref="AM54:AS54" si="62">AM53*$D$2</f>
        <v>0</v>
      </c>
      <c r="AN54" s="43">
        <f t="shared" si="62"/>
        <v>138069.788695</v>
      </c>
      <c r="AO54" s="43">
        <f t="shared" si="62"/>
        <v>9834.836269999998</v>
      </c>
      <c r="AP54" s="360">
        <f t="shared" si="62"/>
        <v>147904.624965</v>
      </c>
      <c r="AQ54" s="43">
        <f t="shared" si="62"/>
        <v>1360.4826499999999</v>
      </c>
      <c r="AR54" s="56"/>
      <c r="AS54" s="43">
        <f t="shared" si="62"/>
        <v>825.94217314532023</v>
      </c>
      <c r="AT54" s="20"/>
      <c r="AU54" s="397"/>
      <c r="AV54" s="397"/>
      <c r="AW54" s="397"/>
      <c r="AX54" s="397"/>
      <c r="AY54" s="43">
        <f>AY12+AY48</f>
        <v>3177.8774756244975</v>
      </c>
      <c r="AZ54" s="43"/>
      <c r="BA54" s="43">
        <f>BA53*$D$2</f>
        <v>1095.8044100000002</v>
      </c>
      <c r="BB54" s="43">
        <f>BB53*$D$2</f>
        <v>41.124566666666659</v>
      </c>
      <c r="BC54" s="360">
        <f>BC53*$D$2</f>
        <v>1913.6000000000001</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0.81914608152600632</v>
      </c>
      <c r="P56" s="32"/>
      <c r="Q56" s="32"/>
      <c r="R56" s="32"/>
      <c r="S56" s="32"/>
      <c r="T56" s="32"/>
      <c r="U56" s="32"/>
      <c r="V56" s="55"/>
      <c r="W56" s="55"/>
      <c r="X56" s="55"/>
      <c r="Y56" s="55"/>
      <c r="Z56" s="54"/>
      <c r="AA56" s="55"/>
      <c r="AB56" s="54"/>
      <c r="AC56" s="54"/>
      <c r="AD56" s="54"/>
      <c r="AE56" s="417"/>
      <c r="AF56" s="417"/>
      <c r="AG56" s="25"/>
      <c r="AH56" s="229">
        <f>AH51/AH8</f>
        <v>0.81151703800154318</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8" width="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hidden="1" customWidth="1"/>
    <col min="32" max="32" width="5.83203125" style="405" hidden="1"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4" t="s">
        <v>223</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62">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1380.9495386942272</v>
      </c>
      <c r="K12" s="49">
        <f>AUG!K50</f>
        <v>57571.249538694232</v>
      </c>
      <c r="L12" s="95">
        <f>AUG!L50</f>
        <v>-2335.037895134863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42663.99862466989</v>
      </c>
      <c r="Y12" s="43">
        <f>AUG!Y50</f>
        <v>42424.182769351668</v>
      </c>
      <c r="Z12" s="49">
        <f>AUG!Z45</f>
        <v>0</v>
      </c>
      <c r="AA12" s="43"/>
      <c r="AB12" s="43"/>
      <c r="AC12" s="49">
        <f>AUG!AC45</f>
        <v>1075.6454452265514</v>
      </c>
      <c r="AD12" s="43">
        <f>AUG!AD45</f>
        <v>552.46</v>
      </c>
      <c r="AE12" s="397">
        <f>AUG!AE45</f>
        <v>0</v>
      </c>
      <c r="AF12" s="397"/>
      <c r="AG12" s="49">
        <f>AUG!AG45</f>
        <v>5559.3647592639272</v>
      </c>
      <c r="AH12" s="49">
        <f>AUG!AH50</f>
        <v>12725.7</v>
      </c>
      <c r="AI12" s="94">
        <f>AUG!AI50</f>
        <v>260.10000000000014</v>
      </c>
      <c r="AJ12" s="95">
        <f>AUG!AJ50</f>
        <v>198.89999999999995</v>
      </c>
      <c r="AK12" s="49">
        <f>AUG!AK50</f>
        <v>4399.2799999999988</v>
      </c>
      <c r="AL12" s="49"/>
      <c r="AM12" s="49"/>
      <c r="AN12" s="49">
        <f>AUG!AN50</f>
        <v>64285.31</v>
      </c>
      <c r="AO12" s="49">
        <f>AUG!AO50</f>
        <v>3715.9874338290902</v>
      </c>
      <c r="AP12" s="49">
        <f>AUG!AP50</f>
        <v>68001.297433829081</v>
      </c>
      <c r="AQ12" s="126">
        <f>AUG!AQ50</f>
        <v>0</v>
      </c>
      <c r="AR12" s="56"/>
      <c r="AS12" s="39"/>
      <c r="AT12" s="36"/>
      <c r="AU12" s="396"/>
      <c r="AV12" s="396"/>
      <c r="AW12" s="396"/>
      <c r="AX12" s="396"/>
      <c r="AY12" s="36">
        <f>AUG!AY51</f>
        <v>3177.8774756244975</v>
      </c>
      <c r="AZ12" s="36">
        <f>AUG!AZ50</f>
        <v>1334.5097050668014</v>
      </c>
      <c r="BA12" s="39">
        <f>AUG!BA50</f>
        <v>552.46</v>
      </c>
      <c r="BB12" s="39">
        <f>AUG!BB50</f>
        <v>20.733333333333331</v>
      </c>
      <c r="BC12" s="36">
        <f>AUG!BC50</f>
        <v>964.75926392740109</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-15398</v>
      </c>
      <c r="E13" s="49">
        <f>AUG!E54</f>
        <v>41834</v>
      </c>
      <c r="F13" s="93">
        <f>AUG!F53</f>
        <v>-7763.0451222586271</v>
      </c>
      <c r="G13" s="49">
        <f>AUG!G53</f>
        <v>62010.3</v>
      </c>
      <c r="H13" s="49">
        <f>AUG!H53</f>
        <v>554.09</v>
      </c>
      <c r="I13" s="49">
        <f>AUG!I53</f>
        <v>62564.390000000007</v>
      </c>
      <c r="J13" s="49">
        <f>AUG!J53</f>
        <v>4240.0591883035031</v>
      </c>
      <c r="K13" s="49">
        <f>AUG!K53</f>
        <v>66804.449188303508</v>
      </c>
      <c r="L13" s="115">
        <f>AUG!L53</f>
        <v>-718.26512225863394</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42840.589209051854</v>
      </c>
      <c r="Y13" s="43">
        <f>AUG!Y53</f>
        <v>42424.182769351668</v>
      </c>
      <c r="Z13" s="49"/>
      <c r="AA13" s="43"/>
      <c r="AB13" s="49"/>
      <c r="AC13" s="49"/>
      <c r="AD13" s="43"/>
      <c r="AE13" s="397"/>
      <c r="AF13" s="397"/>
      <c r="AG13" s="49">
        <f>AUG!AG53</f>
        <v>0</v>
      </c>
      <c r="AH13" s="49">
        <f>AUG!AH51</f>
        <v>25241.425950000001</v>
      </c>
      <c r="AI13" s="148">
        <f>AI12</f>
        <v>260.10000000000014</v>
      </c>
      <c r="AJ13" s="57">
        <f>AJ12</f>
        <v>198.89999999999995</v>
      </c>
      <c r="AK13" s="49">
        <f>AUG!AK53</f>
        <v>8123.0699999999979</v>
      </c>
      <c r="AL13" s="49">
        <f>AUG!AL53</f>
        <v>4395.7792387194504</v>
      </c>
      <c r="AM13" s="49">
        <f>AUG!AM53</f>
        <v>0</v>
      </c>
      <c r="AN13" s="49">
        <f>AUG!AN53</f>
        <v>69609.17</v>
      </c>
      <c r="AO13" s="49">
        <f>AUG!AO53</f>
        <v>4958.3243105621368</v>
      </c>
      <c r="AP13" s="49">
        <f>AUG!AP53</f>
        <v>74567.494310562135</v>
      </c>
      <c r="AQ13" s="126">
        <f>AUG!AQ53</f>
        <v>685.9</v>
      </c>
      <c r="AR13" s="68">
        <f>AUG!AR45</f>
        <v>2587.196410783898</v>
      </c>
      <c r="AS13" s="39">
        <f>AUG!AS53</f>
        <v>416.40643970018664</v>
      </c>
      <c r="AT13" s="36"/>
      <c r="AU13" s="396">
        <f>AUG!AU51</f>
        <v>40.627499999999998</v>
      </c>
      <c r="AV13" s="397"/>
      <c r="AW13" s="397"/>
      <c r="AX13" s="397">
        <f>AUG!AX51</f>
        <v>7716.9332916666654</v>
      </c>
      <c r="AY13" s="36">
        <f>AUG!AY45</f>
        <v>7.6499401666811941</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2429300/325851/1.9835*1.02</f>
        <v>3.8338053490121027</v>
      </c>
      <c r="S15" s="67">
        <f>IF(((5.4*1.04)-T15)&gt;=4.2,((5.4*1.04)-T15)-4.2,0)</f>
        <v>0.22972582509837824</v>
      </c>
      <c r="T15" s="424">
        <v>1.1862741749016219</v>
      </c>
      <c r="U15" s="124">
        <v>0</v>
      </c>
      <c r="V15" s="41">
        <v>109</v>
      </c>
      <c r="W15" s="41">
        <v>71.8</v>
      </c>
      <c r="X15" s="41">
        <f>IF(B15="",0,M15-N15-O15-P15-Q15-R15-S15-T15-U15+V15+W15-AQ15-BB15+AZ15)</f>
        <v>305.48419258434876</v>
      </c>
      <c r="Y15" s="41">
        <f>X15-AS15</f>
        <v>305.48419258434876</v>
      </c>
      <c r="Z15" s="49"/>
      <c r="AA15" s="41"/>
      <c r="AB15" s="49"/>
      <c r="AC15" s="56">
        <f>AC12-IF(AU13="",0,AY13/1.9835)</f>
        <v>1071.78865663735</v>
      </c>
      <c r="AD15" s="49">
        <f>IF(BA15="",AD12,AD12+BA15)</f>
        <v>568.62855499043587</v>
      </c>
      <c r="AE15" s="397"/>
      <c r="AG15" s="4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2364.1574107838978</v>
      </c>
      <c r="AS15" s="39"/>
      <c r="AT15" s="37">
        <f>IF(G15="",0,IF(I15&gt;=(795+Q15+R15+AI15),795-X15,I15-Q15-R15-X15-AI15)-AM15)</f>
        <v>-223.03900000000002</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8.3181188208735293</v>
      </c>
      <c r="AZ15" s="36">
        <v>0</v>
      </c>
      <c r="BA15" s="149">
        <f>($BA$9-$BA$12)/17</f>
        <v>16.168554990435798</v>
      </c>
      <c r="BC15" s="40">
        <v>0</v>
      </c>
      <c r="BD15" s="96">
        <v>0</v>
      </c>
      <c r="BE15" s="39">
        <v>89</v>
      </c>
      <c r="BF15" s="39">
        <v>53</v>
      </c>
      <c r="BG15" s="662"/>
      <c r="BH15" s="319">
        <f t="shared" ref="BH15:BH44" si="6">SUM(N15,P15:U15)</f>
        <v>8.1708074156512591</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1812300/325851/1.9835*1.02</f>
        <v>2.8600853883895088</v>
      </c>
      <c r="S16" s="67">
        <f>IF(((5.7*1.04)-T16)&gt;=4.2,((5.7*1.04)-T16)-4.2,0)</f>
        <v>0.54172582509837852</v>
      </c>
      <c r="T16" s="424">
        <v>1.1862741749016219</v>
      </c>
      <c r="U16" s="124">
        <v>0</v>
      </c>
      <c r="V16" s="41">
        <v>109</v>
      </c>
      <c r="W16" s="41">
        <v>71.099999999999994</v>
      </c>
      <c r="X16" s="41">
        <f t="shared" ref="X16:X44" si="14">IF(B16="",0,M16-N16-O16-P16-Q16-R16-S16-T16-U16+V16+W16-AQ16-BB16+AZ16)</f>
        <v>302.65960829276924</v>
      </c>
      <c r="Y16" s="41">
        <f t="shared" ref="Y16:Y44" si="15">X16-AS16</f>
        <v>302.65960829276924</v>
      </c>
      <c r="Z16" s="49"/>
      <c r="AA16" s="41"/>
      <c r="AB16" s="49"/>
      <c r="AC16" s="56">
        <f>AC15-IF(AU15="",0,AY15/1.9835)</f>
        <v>1067.594999555992</v>
      </c>
      <c r="AD16" s="49">
        <f t="shared" ref="AD16:AD30" si="16">IF(BA16="",AD15,AD15+BA16)</f>
        <v>584.79710998087171</v>
      </c>
      <c r="AE16" s="397"/>
      <c r="AF16" s="397"/>
      <c r="AG16" s="49">
        <f>AG15</f>
        <v>5559.3647592639272</v>
      </c>
      <c r="AH16" s="41">
        <v>84.4</v>
      </c>
      <c r="AI16" s="157">
        <v>1.7</v>
      </c>
      <c r="AJ16" s="175">
        <v>1.3</v>
      </c>
      <c r="AK16" s="41">
        <v>50.2</v>
      </c>
      <c r="AL16" s="49">
        <f>AL15-AK16</f>
        <v>4319.2792387194504</v>
      </c>
      <c r="AM16" s="49"/>
      <c r="AN16" s="68">
        <f t="shared" ref="AN16:AN44" si="17">M16+V16+W16+AH16+AK16</f>
        <v>501.7</v>
      </c>
      <c r="AO16" s="41">
        <f t="shared" si="3"/>
        <v>22.014444164355893</v>
      </c>
      <c r="AP16" s="41">
        <f t="shared" si="4"/>
        <v>523.71444416435588</v>
      </c>
      <c r="AQ16" s="126">
        <v>0</v>
      </c>
      <c r="AR16" s="41">
        <f>AR15+MIN(0,AT16)</f>
        <v>2139.2804107838979</v>
      </c>
      <c r="AS16" s="39"/>
      <c r="AT16" s="37">
        <f t="shared" ref="AT16:AT44" si="18">IF(G16="",0,IF(I16&gt;=(795+Q16+R16+AI16),795-X16,I16-Q16-R16-X16-AI16)-AM16)</f>
        <v>-224.87699999999995</v>
      </c>
      <c r="AU16" s="399">
        <v>0.3</v>
      </c>
      <c r="AV16" s="400">
        <f t="shared" si="5"/>
        <v>0.21</v>
      </c>
      <c r="AW16" s="401">
        <f>IF(AU16="",0,VLOOKUP(ROUNDDOWN(TEXT(B16,"0000"),-1),VLOOKUP!$M$3:$W$32,RIGHT(TEXT(B16,"0000"),1)+2,FALSE))</f>
        <v>2734</v>
      </c>
      <c r="AX16" s="401">
        <f t="shared" ref="AX16:AX43" si="19">AV16/12*AW16</f>
        <v>47.844999999999992</v>
      </c>
      <c r="AY16" s="33">
        <f>AX16*((IF(Z16&gt;JUN!$Z$44,JUN!$Z$44,Z16)+AC16+AD16+AR16)*1.9835)/E16</f>
        <v>8.9399213921955347</v>
      </c>
      <c r="AZ16" s="36">
        <v>0</v>
      </c>
      <c r="BA16" s="149">
        <f t="shared" ref="BA16:BA30" si="20">($BA$9-$BA$12)/17</f>
        <v>16.168554990435798</v>
      </c>
      <c r="BC16" s="40">
        <v>0</v>
      </c>
      <c r="BD16" s="96">
        <v>0</v>
      </c>
      <c r="BE16" s="39">
        <v>90</v>
      </c>
      <c r="BF16" s="39">
        <v>53</v>
      </c>
      <c r="BG16" s="314"/>
      <c r="BH16" s="319">
        <f t="shared" si="6"/>
        <v>7.8453917072307311</v>
      </c>
      <c r="BI16" s="40">
        <v>59.1</v>
      </c>
      <c r="BJ16" s="247">
        <v>13471.041999999999</v>
      </c>
      <c r="BK16" s="246">
        <f t="shared" si="7"/>
        <v>0</v>
      </c>
      <c r="BL16" s="485">
        <f t="shared" si="8"/>
        <v>0</v>
      </c>
      <c r="BN16" s="471">
        <f t="shared" ref="BN16:BN44" si="21">BN15+1</f>
        <v>2</v>
      </c>
      <c r="BO16" s="456">
        <v>6872.02</v>
      </c>
      <c r="BP16" s="472">
        <f t="shared" si="9"/>
        <v>-0.37000000000080036</v>
      </c>
      <c r="BQ16" s="473">
        <v>50.2</v>
      </c>
      <c r="BR16" s="473">
        <f t="shared" si="10"/>
        <v>0</v>
      </c>
    </row>
    <row r="17" spans="1:71" ht="12.95" customHeight="1">
      <c r="A17" s="42">
        <v>3</v>
      </c>
      <c r="B17" s="98">
        <v>6871.32</v>
      </c>
      <c r="C17" s="390">
        <f>IF(B17="",C16,VLOOKUP(TRUNC(B17,1),VLOOKUP!$A$3:$K$2834,RIGHT(TEXT(B17,"0000.00"),1)+2,FALSE))</f>
        <v>191353</v>
      </c>
      <c r="D17" s="39">
        <f t="shared" ref="D17:D44" si="22">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1912000/325851/1.9835*1.02</f>
        <v>3.017427171329659</v>
      </c>
      <c r="S17" s="67">
        <f>IF(((5.9*1.04)-T17)&gt;=4.2,((5.9*1.04)-T17)-4.2,0)</f>
        <v>0.74972582509837871</v>
      </c>
      <c r="T17" s="424">
        <v>1.1862741749016219</v>
      </c>
      <c r="U17" s="124">
        <v>0</v>
      </c>
      <c r="V17" s="41">
        <v>107</v>
      </c>
      <c r="W17" s="41">
        <v>60</v>
      </c>
      <c r="X17" s="41">
        <f t="shared" si="14"/>
        <v>302.37691358429834</v>
      </c>
      <c r="Y17" s="41">
        <f t="shared" si="15"/>
        <v>302.37691358429834</v>
      </c>
      <c r="Z17" s="49"/>
      <c r="AA17" s="41"/>
      <c r="AB17" s="49"/>
      <c r="AC17" s="56">
        <f t="shared" ref="AC17:AC44" si="23">AC16-IF(AU16="",0,AY16/1.9835)</f>
        <v>1063.0878549166193</v>
      </c>
      <c r="AD17" s="49">
        <f t="shared" si="16"/>
        <v>600.96566497130755</v>
      </c>
      <c r="AE17" s="397"/>
      <c r="AG17" s="49">
        <f t="shared" ref="AG17:AG19" si="24">AG16</f>
        <v>5559.3647592639272</v>
      </c>
      <c r="AH17" s="41">
        <v>88.9</v>
      </c>
      <c r="AI17" s="157">
        <v>1.7</v>
      </c>
      <c r="AJ17" s="175">
        <v>1.3</v>
      </c>
      <c r="AK17" s="41">
        <v>74.8</v>
      </c>
      <c r="AL17" s="49">
        <f t="shared" ref="AL17:AL44" si="25">AL16-AK17</f>
        <v>4244.4792387194502</v>
      </c>
      <c r="AM17" s="49"/>
      <c r="AN17" s="68">
        <f t="shared" si="17"/>
        <v>511.7</v>
      </c>
      <c r="AO17" s="41">
        <f t="shared" si="3"/>
        <v>27.530904965969228</v>
      </c>
      <c r="AP17" s="41">
        <f t="shared" si="4"/>
        <v>539.23090496596922</v>
      </c>
      <c r="AQ17" s="126">
        <v>0</v>
      </c>
      <c r="AR17" s="41">
        <f t="shared" ref="AR17:AR30" si="26">AR16+MIN(0,AT17)</f>
        <v>1916.2114107838979</v>
      </c>
      <c r="AS17" s="39"/>
      <c r="AT17" s="37">
        <f t="shared" si="18"/>
        <v>-223.06899999999999</v>
      </c>
      <c r="AU17" s="399">
        <v>0.28999999999999998</v>
      </c>
      <c r="AV17" s="400">
        <f t="shared" si="5"/>
        <v>0.20299999999999999</v>
      </c>
      <c r="AW17" s="401">
        <f>IF(AU17="",0,VLOOKUP(ROUNDDOWN(TEXT(B17,"0000"),-1),VLOOKUP!$M$3:$W$32,RIGHT(TEXT(B17,"0000"),1)+2,FALSE))</f>
        <v>2699</v>
      </c>
      <c r="AX17" s="401">
        <f t="shared" si="19"/>
        <v>45.65808333333333</v>
      </c>
      <c r="AY17" s="33">
        <f>AX17*((IF(Z17&gt;JUN!$Z$44,JUN!$Z$44,Z17)+AC17+AD17+AR17)*1.9835)/E17</f>
        <v>8.2392408850611076</v>
      </c>
      <c r="AZ17" s="36">
        <v>0</v>
      </c>
      <c r="BA17" s="149">
        <f t="shared" si="20"/>
        <v>16.168554990435798</v>
      </c>
      <c r="BC17" s="40">
        <v>0</v>
      </c>
      <c r="BD17" s="96">
        <v>0</v>
      </c>
      <c r="BE17" s="39">
        <v>88</v>
      </c>
      <c r="BF17" s="39">
        <v>56</v>
      </c>
      <c r="BG17" s="314"/>
      <c r="BH17" s="319">
        <f t="shared" si="6"/>
        <v>7.9280864157016646</v>
      </c>
      <c r="BI17" s="40">
        <v>58.9</v>
      </c>
      <c r="BJ17" s="247">
        <v>13341.927</v>
      </c>
      <c r="BK17" s="246">
        <f t="shared" si="7"/>
        <v>0</v>
      </c>
      <c r="BL17" s="485">
        <f t="shared" si="8"/>
        <v>0</v>
      </c>
      <c r="BN17" s="471">
        <f t="shared" si="21"/>
        <v>3</v>
      </c>
      <c r="BO17" s="456">
        <v>6871.74</v>
      </c>
      <c r="BP17" s="472">
        <f t="shared" si="9"/>
        <v>-0.42000000000007276</v>
      </c>
      <c r="BQ17" s="473">
        <v>74.8</v>
      </c>
      <c r="BR17" s="473">
        <f t="shared" si="10"/>
        <v>0</v>
      </c>
    </row>
    <row r="18" spans="1:71" ht="12.95" customHeight="1">
      <c r="A18" s="42">
        <v>4</v>
      </c>
      <c r="B18" s="98">
        <v>6871.03</v>
      </c>
      <c r="C18" s="390">
        <f>IF(B18="",C17,VLOOKUP(TRUNC(B18,1),VLOOKUP!$A$3:$K$2834,RIGHT(TEXT(B18,"0000.00"),1)+2,FALSE))</f>
        <v>190566</v>
      </c>
      <c r="D18" s="39">
        <f t="shared" si="22"/>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1682000/325851/1.9835*1.02</f>
        <v>2.6544521454897945</v>
      </c>
      <c r="S18" s="67">
        <f>IF(((5*1.04)-T18)&gt;=4.2,((5*1.04)-T18)-4.2,0)</f>
        <v>0</v>
      </c>
      <c r="T18" s="424">
        <v>1.1862741749016219</v>
      </c>
      <c r="U18" s="124">
        <v>0</v>
      </c>
      <c r="V18" s="41">
        <v>104</v>
      </c>
      <c r="W18" s="41">
        <v>68.400000000000006</v>
      </c>
      <c r="X18" s="41">
        <f t="shared" si="14"/>
        <v>289.86162907046855</v>
      </c>
      <c r="Y18" s="41">
        <f t="shared" si="15"/>
        <v>289.86162907046855</v>
      </c>
      <c r="Z18" s="49"/>
      <c r="AA18" s="41"/>
      <c r="AB18" s="49"/>
      <c r="AC18" s="56">
        <f t="shared" si="23"/>
        <v>1058.9339648812975</v>
      </c>
      <c r="AD18" s="49">
        <f t="shared" si="16"/>
        <v>617.13421996174338</v>
      </c>
      <c r="AE18" s="397"/>
      <c r="AG18" s="49">
        <f t="shared" si="24"/>
        <v>5559.3647592639272</v>
      </c>
      <c r="AH18" s="41">
        <v>52.8</v>
      </c>
      <c r="AI18" s="157">
        <v>1.7</v>
      </c>
      <c r="AJ18" s="175">
        <v>1.3</v>
      </c>
      <c r="AK18" s="41">
        <v>62.8</v>
      </c>
      <c r="AL18" s="49">
        <f t="shared" si="25"/>
        <v>4181.67923871945</v>
      </c>
      <c r="AM18" s="49"/>
      <c r="AN18" s="68">
        <f t="shared" si="17"/>
        <v>450</v>
      </c>
      <c r="AO18" s="41">
        <f t="shared" si="3"/>
        <v>33.073380388202679</v>
      </c>
      <c r="AP18" s="41">
        <f>AN18+AO18</f>
        <v>483.07338038820268</v>
      </c>
      <c r="AQ18" s="126">
        <v>0</v>
      </c>
      <c r="AR18" s="41">
        <f t="shared" si="26"/>
        <v>1705.0826849587995</v>
      </c>
      <c r="AS18" s="39"/>
      <c r="AT18" s="37">
        <f t="shared" si="18"/>
        <v>-211.1287258250984</v>
      </c>
      <c r="AU18" s="399">
        <v>0.2</v>
      </c>
      <c r="AV18" s="400">
        <f t="shared" si="5"/>
        <v>0.13999999999999999</v>
      </c>
      <c r="AW18" s="401">
        <f>IF(AU18="",0,VLOOKUP(ROUNDDOWN(TEXT(B18,"0000"),-1),VLOOKUP!$M$3:$W$32,RIGHT(TEXT(B18,"0000"),1)+2,FALSE))</f>
        <v>2699</v>
      </c>
      <c r="AX18" s="401">
        <f t="shared" si="19"/>
        <v>31.48833333333333</v>
      </c>
      <c r="AY18" s="33">
        <f>AX18*((IF(Z18&gt;JUN!$Z$44,JUN!$Z$44,Z18)+AC18+AD18+AR18)*1.9835)/E18</f>
        <v>5.4757275575424851</v>
      </c>
      <c r="AZ18" s="36">
        <v>0</v>
      </c>
      <c r="BA18" s="149">
        <f t="shared" si="20"/>
        <v>16.168554990435798</v>
      </c>
      <c r="BC18" s="40">
        <v>0</v>
      </c>
      <c r="BD18" s="96">
        <v>0</v>
      </c>
      <c r="BE18" s="39">
        <v>79</v>
      </c>
      <c r="BF18" s="39">
        <v>50</v>
      </c>
      <c r="BG18" s="314"/>
      <c r="BH18" s="319">
        <f t="shared" si="6"/>
        <v>7.0533709295314724</v>
      </c>
      <c r="BI18" s="40">
        <v>58.8</v>
      </c>
      <c r="BJ18" s="247">
        <v>13213.177</v>
      </c>
      <c r="BK18" s="246">
        <f t="shared" si="7"/>
        <v>0</v>
      </c>
      <c r="BL18" s="485">
        <f t="shared" si="8"/>
        <v>0</v>
      </c>
      <c r="BN18" s="471">
        <f t="shared" si="21"/>
        <v>4</v>
      </c>
      <c r="BO18" s="456">
        <v>6871.47</v>
      </c>
      <c r="BP18" s="472">
        <f t="shared" si="9"/>
        <v>-0.44000000000050932</v>
      </c>
      <c r="BQ18" s="473">
        <v>62.8</v>
      </c>
      <c r="BR18" s="473">
        <f t="shared" si="10"/>
        <v>0</v>
      </c>
    </row>
    <row r="19" spans="1:71" ht="12.95" customHeight="1">
      <c r="A19" s="42">
        <v>5</v>
      </c>
      <c r="B19" s="98">
        <v>6870.75</v>
      </c>
      <c r="C19" s="390">
        <f>IF(B19="",C18,VLOOKUP(TRUNC(B19,1),VLOOKUP!$A$3:$K$2834,RIGHT(TEXT(B19,"0000.00"),1)+2,FALSE))</f>
        <v>189814</v>
      </c>
      <c r="D19" s="39">
        <f t="shared" si="22"/>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1740600/325851/1.9835*1.02</f>
        <v>2.746931869464647</v>
      </c>
      <c r="S19" s="67">
        <f>IF(((4.8*1.04)-T19)&gt;=4.2,((4.8*1.04)-T19)-4.2,0)</f>
        <v>0</v>
      </c>
      <c r="T19" s="67">
        <v>1.0917328624107463</v>
      </c>
      <c r="U19" s="124">
        <v>0</v>
      </c>
      <c r="V19" s="41">
        <v>104</v>
      </c>
      <c r="W19" s="41">
        <v>70.900000000000006</v>
      </c>
      <c r="X19" s="41">
        <f t="shared" si="14"/>
        <v>301.21026522196075</v>
      </c>
      <c r="Y19" s="41">
        <f t="shared" si="15"/>
        <v>301.21026522196075</v>
      </c>
      <c r="Z19" s="49"/>
      <c r="AA19" s="41"/>
      <c r="AB19" s="49"/>
      <c r="AC19" s="56">
        <f t="shared" si="23"/>
        <v>1056.1733258303559</v>
      </c>
      <c r="AD19" s="49">
        <f t="shared" si="16"/>
        <v>633.30277495217922</v>
      </c>
      <c r="AE19" s="397"/>
      <c r="AG19" s="49">
        <f t="shared" si="24"/>
        <v>5559.3647592639272</v>
      </c>
      <c r="AH19" s="41">
        <v>79.400000000000006</v>
      </c>
      <c r="AI19" s="157">
        <v>1.7</v>
      </c>
      <c r="AJ19" s="175">
        <v>1.3</v>
      </c>
      <c r="AK19" s="41">
        <v>26</v>
      </c>
      <c r="AL19" s="49">
        <f t="shared" si="25"/>
        <v>4155.67923871945</v>
      </c>
      <c r="AM19" s="49"/>
      <c r="AN19" s="68">
        <f t="shared" si="17"/>
        <v>450.29999999999995</v>
      </c>
      <c r="AO19" s="41">
        <f t="shared" si="3"/>
        <v>29.827804386186074</v>
      </c>
      <c r="AP19" s="41">
        <f t="shared" si="4"/>
        <v>480.12780438618603</v>
      </c>
      <c r="AQ19" s="126">
        <v>0</v>
      </c>
      <c r="AR19" s="41">
        <f t="shared" si="26"/>
        <v>1497.6394178212101</v>
      </c>
      <c r="AS19" s="39"/>
      <c r="AT19" s="37">
        <f t="shared" si="18"/>
        <v>-207.44326713758929</v>
      </c>
      <c r="AU19" s="399">
        <v>0.13</v>
      </c>
      <c r="AV19" s="400">
        <f t="shared" si="5"/>
        <v>9.0999999999999998E-2</v>
      </c>
      <c r="AW19" s="401">
        <f>IF(AU19="",0,VLOOKUP(ROUNDDOWN(TEXT(B19,"0000"),-1),VLOOKUP!$M$3:$W$32,RIGHT(TEXT(B19,"0000"),1)+2,FALSE))</f>
        <v>2699</v>
      </c>
      <c r="AX19" s="401">
        <f t="shared" si="19"/>
        <v>20.467416666666669</v>
      </c>
      <c r="AY19" s="33">
        <f>AX19*((IF(Z19&gt;JUN!$Z$44,JUN!$Z$44,Z19)+AC19+AD19+AR19)*1.9835)/E19</f>
        <v>3.4216881106716435</v>
      </c>
      <c r="AZ19" s="36">
        <v>0</v>
      </c>
      <c r="BA19" s="149">
        <f t="shared" si="20"/>
        <v>16.168554990435798</v>
      </c>
      <c r="BC19" s="40">
        <v>0</v>
      </c>
      <c r="BD19" s="96">
        <v>0</v>
      </c>
      <c r="BE19" s="39">
        <v>80</v>
      </c>
      <c r="BF19" s="39">
        <v>52</v>
      </c>
      <c r="BG19" s="314"/>
      <c r="BH19" s="319">
        <f t="shared" si="6"/>
        <v>6.6247347780392953</v>
      </c>
      <c r="BI19" s="40">
        <v>58.8</v>
      </c>
      <c r="BJ19" s="247">
        <v>13090.521000000001</v>
      </c>
      <c r="BK19" s="246">
        <f t="shared" si="7"/>
        <v>0</v>
      </c>
      <c r="BL19" s="485">
        <f t="shared" si="8"/>
        <v>0</v>
      </c>
      <c r="BN19" s="471">
        <f t="shared" si="21"/>
        <v>5</v>
      </c>
      <c r="BO19" s="474">
        <v>6871.19</v>
      </c>
      <c r="BP19" s="472">
        <f t="shared" si="9"/>
        <v>-0.43999999999959982</v>
      </c>
      <c r="BQ19" s="473">
        <v>26</v>
      </c>
      <c r="BR19" s="473">
        <f t="shared" si="10"/>
        <v>0</v>
      </c>
      <c r="BS19" s="761"/>
    </row>
    <row r="20" spans="1:71" ht="12.95" customHeight="1">
      <c r="A20" s="42">
        <v>6</v>
      </c>
      <c r="B20" s="98">
        <v>6870.51</v>
      </c>
      <c r="C20" s="390">
        <f>IF(B20="",C19,VLOOKUP(TRUNC(B20,1),VLOOKUP!$A$3:$K$2834,RIGHT(TEXT(B20,"0000.00"),1)+2,FALSE))</f>
        <v>189170</v>
      </c>
      <c r="D20" s="39">
        <f t="shared" si="22"/>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1472200/325851/1.9835*1.02</f>
        <v>2.3233557958323869</v>
      </c>
      <c r="S20" s="67">
        <f>IF(((5.1*1.04)-T20)&gt;=4.2,((5.1*1.04)-T20)-4.2,0)</f>
        <v>1.2267137589252464E-2</v>
      </c>
      <c r="T20" s="67">
        <v>1.0917328624107463</v>
      </c>
      <c r="U20" s="124">
        <v>0</v>
      </c>
      <c r="V20" s="41">
        <v>103</v>
      </c>
      <c r="W20" s="41">
        <v>70.599999999999994</v>
      </c>
      <c r="X20" s="41">
        <f t="shared" si="14"/>
        <v>273.72311336556459</v>
      </c>
      <c r="Y20" s="41">
        <f t="shared" si="15"/>
        <v>273.72311336556459</v>
      </c>
      <c r="Z20" s="49"/>
      <c r="AA20" s="41"/>
      <c r="AB20" s="49"/>
      <c r="AC20" s="56">
        <f t="shared" si="23"/>
        <v>1054.4482498985831</v>
      </c>
      <c r="AD20" s="49">
        <f t="shared" si="16"/>
        <v>649.47132994261506</v>
      </c>
      <c r="AE20" s="397"/>
      <c r="AG20" s="49">
        <f>AG19</f>
        <v>5559.3647592639272</v>
      </c>
      <c r="AH20" s="41">
        <v>79.400000000000006</v>
      </c>
      <c r="AI20" s="157">
        <v>1.7</v>
      </c>
      <c r="AJ20" s="175">
        <v>1.3</v>
      </c>
      <c r="AK20" s="41">
        <v>26.1</v>
      </c>
      <c r="AL20" s="49">
        <f t="shared" si="25"/>
        <v>4129.5792387194497</v>
      </c>
      <c r="AM20" s="49"/>
      <c r="AN20" s="68">
        <f t="shared" si="17"/>
        <v>424.1</v>
      </c>
      <c r="AO20" s="41">
        <f t="shared" si="3"/>
        <v>17.578598437106109</v>
      </c>
      <c r="AP20" s="41">
        <f t="shared" si="4"/>
        <v>441.67859843710613</v>
      </c>
      <c r="AQ20" s="126">
        <v>0</v>
      </c>
      <c r="AR20" s="41">
        <f t="shared" si="26"/>
        <v>1333.6634178212103</v>
      </c>
      <c r="AS20" s="39"/>
      <c r="AT20" s="37">
        <f t="shared" si="18"/>
        <v>-163.976</v>
      </c>
      <c r="AU20" s="399">
        <v>0.19</v>
      </c>
      <c r="AV20" s="400">
        <f t="shared" si="5"/>
        <v>0.13299999999999998</v>
      </c>
      <c r="AW20" s="401">
        <f>IF(AU20="",0,VLOOKUP(ROUNDDOWN(TEXT(B20,"0000"),-1),VLOOKUP!$M$3:$W$32,RIGHT(TEXT(B20,"0000"),1)+2,FALSE))</f>
        <v>2699</v>
      </c>
      <c r="AX20" s="401">
        <f t="shared" si="19"/>
        <v>29.913916666666662</v>
      </c>
      <c r="AY20" s="33">
        <f>AX20*((IF(Z20&gt;JUN!$Z$44,JUN!$Z$44,Z20)+AC20+AD20+AR20)*1.9835)/E20</f>
        <v>4.848875981797713</v>
      </c>
      <c r="AZ20" s="36">
        <v>0</v>
      </c>
      <c r="BA20" s="149">
        <f t="shared" si="20"/>
        <v>16.168554990435798</v>
      </c>
      <c r="BC20" s="40">
        <v>0</v>
      </c>
      <c r="BD20" s="96">
        <v>0</v>
      </c>
      <c r="BE20" s="39">
        <v>79</v>
      </c>
      <c r="BF20" s="39">
        <v>51</v>
      </c>
      <c r="BG20" s="314"/>
      <c r="BH20" s="319">
        <f t="shared" si="6"/>
        <v>6.6568866344354269</v>
      </c>
      <c r="BI20" s="40">
        <v>58.5</v>
      </c>
      <c r="BJ20" s="247">
        <v>12976.302</v>
      </c>
      <c r="BK20" s="246">
        <f t="shared" si="7"/>
        <v>0</v>
      </c>
      <c r="BL20" s="485">
        <f t="shared" si="8"/>
        <v>0</v>
      </c>
      <c r="BN20" s="471">
        <f t="shared" si="21"/>
        <v>6</v>
      </c>
      <c r="BO20" s="474">
        <v>6870.97</v>
      </c>
      <c r="BP20" s="472">
        <f t="shared" si="9"/>
        <v>-0.46000000000003638</v>
      </c>
      <c r="BQ20" s="473">
        <v>26.1</v>
      </c>
      <c r="BR20" s="473">
        <f t="shared" si="10"/>
        <v>0</v>
      </c>
    </row>
    <row r="21" spans="1:71"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1862400/325851/1.9835*1.02</f>
        <v>2.9391508179311487</v>
      </c>
      <c r="S21" s="67">
        <f>IF(((5.1*1.04)-T21)&gt;=4.2,((5.1*1.04)-T21)-4.2,0)</f>
        <v>1.2267137589252464E-2</v>
      </c>
      <c r="T21" s="67">
        <v>1.0917328624107463</v>
      </c>
      <c r="U21" s="124">
        <v>0</v>
      </c>
      <c r="V21" s="41">
        <v>99.7</v>
      </c>
      <c r="W21" s="41">
        <v>70.8</v>
      </c>
      <c r="X21" s="41">
        <f t="shared" si="14"/>
        <v>277.17464025221204</v>
      </c>
      <c r="Y21" s="41">
        <f t="shared" si="15"/>
        <v>277.17464025221204</v>
      </c>
      <c r="Z21" s="49"/>
      <c r="AA21" s="41"/>
      <c r="AB21" s="49"/>
      <c r="AC21" s="56">
        <f t="shared" si="23"/>
        <v>1052.0036439082642</v>
      </c>
      <c r="AD21" s="49">
        <f t="shared" si="16"/>
        <v>665.63988493305089</v>
      </c>
      <c r="AE21" s="397"/>
      <c r="AG21" s="49">
        <f t="shared" ref="AG21:AG34" si="27">AG20</f>
        <v>5559.3647592639272</v>
      </c>
      <c r="AH21" s="41">
        <v>32.1</v>
      </c>
      <c r="AI21" s="157">
        <v>1.7</v>
      </c>
      <c r="AJ21" s="175">
        <v>1.3</v>
      </c>
      <c r="AK21" s="41">
        <v>26.1</v>
      </c>
      <c r="AL21" s="49">
        <f t="shared" si="25"/>
        <v>4103.4792387194493</v>
      </c>
      <c r="AM21" s="49"/>
      <c r="AN21" s="68">
        <f t="shared" si="17"/>
        <v>368.70000000000005</v>
      </c>
      <c r="AO21" s="41">
        <f t="shared" si="3"/>
        <v>20.304789513486213</v>
      </c>
      <c r="AP21" s="41">
        <f t="shared" si="4"/>
        <v>389.00478951348623</v>
      </c>
      <c r="AQ21" s="126">
        <v>0</v>
      </c>
      <c r="AR21" s="41">
        <f t="shared" si="26"/>
        <v>1194.7124178212102</v>
      </c>
      <c r="AS21" s="39"/>
      <c r="AT21" s="37">
        <f t="shared" si="18"/>
        <v>-138.95099999999999</v>
      </c>
      <c r="AU21" s="399">
        <v>0.23</v>
      </c>
      <c r="AV21" s="400">
        <f t="shared" si="5"/>
        <v>0.161</v>
      </c>
      <c r="AW21" s="401">
        <f>IF(AU21="",0,VLOOKUP(ROUNDDOWN(TEXT(B21,"0000"),-1),VLOOKUP!$M$3:$W$32,RIGHT(TEXT(B21,"0000"),1)+2,FALSE))</f>
        <v>2663</v>
      </c>
      <c r="AX21" s="401">
        <f t="shared" si="19"/>
        <v>35.728583333333333</v>
      </c>
      <c r="AY21" s="33">
        <f>AX21*((IF(Z21&gt;JUN!$Z$44,JUN!$Z$44,Z21)+AC21+AD21+AR21)*1.9835)/E21</f>
        <v>5.6255944031581704</v>
      </c>
      <c r="AZ21" s="36">
        <v>0</v>
      </c>
      <c r="BA21" s="149">
        <f t="shared" si="20"/>
        <v>16.168554990435798</v>
      </c>
      <c r="BC21" s="40">
        <v>0</v>
      </c>
      <c r="BD21" s="96">
        <v>0</v>
      </c>
      <c r="BE21" s="39">
        <v>84</v>
      </c>
      <c r="BF21" s="39">
        <v>47</v>
      </c>
      <c r="BG21" s="314"/>
      <c r="BH21" s="319">
        <f t="shared" si="6"/>
        <v>7.1803597477879624</v>
      </c>
      <c r="BI21" s="40">
        <v>58.4</v>
      </c>
      <c r="BJ21" s="247">
        <v>12865.26</v>
      </c>
      <c r="BK21" s="246">
        <f t="shared" si="7"/>
        <v>0</v>
      </c>
      <c r="BL21" s="485">
        <f t="shared" si="8"/>
        <v>0</v>
      </c>
      <c r="BN21" s="471">
        <f t="shared" si="21"/>
        <v>7</v>
      </c>
      <c r="BO21" s="456">
        <v>6870.78</v>
      </c>
      <c r="BP21" s="472">
        <f t="shared" si="9"/>
        <v>-0.4499999999998181</v>
      </c>
      <c r="BQ21" s="473">
        <v>26.1</v>
      </c>
      <c r="BR21" s="473">
        <f t="shared" si="10"/>
        <v>0</v>
      </c>
    </row>
    <row r="22" spans="1:71" ht="12.95" customHeight="1">
      <c r="A22" s="42">
        <v>8</v>
      </c>
      <c r="B22" s="98">
        <v>6870.15</v>
      </c>
      <c r="C22" s="390">
        <f>IF(B22="",C21,VLOOKUP(TRUNC(B22,1),VLOOKUP!$A$3:$K$2834,RIGHT(TEXT(B22,"0000.00"),1)+2,FALSE))</f>
        <v>188205</v>
      </c>
      <c r="D22" s="39">
        <f t="shared" si="22"/>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1727100/325851/1.9835*1.02</f>
        <v>2.7256268136001331</v>
      </c>
      <c r="S22" s="67">
        <f>IF(((4.7*1.04)-T22)&gt;=4.2,((4.7*1.04)-T22)-4.2,0)</f>
        <v>0</v>
      </c>
      <c r="T22" s="67">
        <v>1.0917328624107463</v>
      </c>
      <c r="U22" s="124">
        <v>0</v>
      </c>
      <c r="V22" s="41">
        <v>95.4</v>
      </c>
      <c r="W22" s="41">
        <v>59.6</v>
      </c>
      <c r="X22" s="41">
        <f t="shared" si="14"/>
        <v>261.50564963560515</v>
      </c>
      <c r="Y22" s="41">
        <f t="shared" si="15"/>
        <v>261.50564963560515</v>
      </c>
      <c r="Z22" s="49"/>
      <c r="AA22" s="41"/>
      <c r="AB22" s="49"/>
      <c r="AC22" s="56">
        <f t="shared" si="23"/>
        <v>1049.1674480911943</v>
      </c>
      <c r="AD22" s="49">
        <f t="shared" si="16"/>
        <v>681.80843992348673</v>
      </c>
      <c r="AE22" s="397"/>
      <c r="AG22" s="49">
        <f t="shared" si="27"/>
        <v>5559.3647592639272</v>
      </c>
      <c r="AH22" s="41">
        <v>37.1</v>
      </c>
      <c r="AI22" s="157">
        <v>1.7</v>
      </c>
      <c r="AJ22" s="175">
        <v>1.3</v>
      </c>
      <c r="AK22" s="41">
        <v>26.1</v>
      </c>
      <c r="AL22" s="49">
        <f t="shared" si="25"/>
        <v>4077.3792387194494</v>
      </c>
      <c r="AM22" s="49"/>
      <c r="AN22" s="68">
        <f t="shared" si="17"/>
        <v>353.20000000000005</v>
      </c>
      <c r="AO22" s="41">
        <f t="shared" si="3"/>
        <v>18.308948827829539</v>
      </c>
      <c r="AP22" s="41">
        <f t="shared" si="4"/>
        <v>371.50894882782961</v>
      </c>
      <c r="AQ22" s="126">
        <v>0</v>
      </c>
      <c r="AR22" s="41">
        <f>AR21+MIN(0,AT22)</f>
        <v>1053.524150683621</v>
      </c>
      <c r="AS22" s="39"/>
      <c r="AT22" s="37">
        <f>IF(G22="",0,IF(I22&gt;=(795+Q22+R22+AI22),795-X22,I22-Q22-R22-X22-AI22)-AM22)</f>
        <v>-141.18826713758924</v>
      </c>
      <c r="AU22" s="399">
        <v>0.28000000000000003</v>
      </c>
      <c r="AV22" s="400">
        <f t="shared" si="5"/>
        <v>0.19600000000000001</v>
      </c>
      <c r="AW22" s="401">
        <f>IF(AU22="",0,VLOOKUP(ROUNDDOWN(TEXT(B22,"0000"),-1),VLOOKUP!$M$3:$W$32,RIGHT(TEXT(B22,"0000"),1)+2,FALSE))</f>
        <v>2663</v>
      </c>
      <c r="AX22" s="401">
        <f t="shared" si="19"/>
        <v>43.495666666666672</v>
      </c>
      <c r="AY22" s="33">
        <f>AX22*((IF(Z22&gt;JUN!$Z$44,JUN!$Z$44,Z22)+AC22+AD22+AR22)*1.9835)/E22</f>
        <v>6.6352436188940933</v>
      </c>
      <c r="AZ22" s="36">
        <v>0</v>
      </c>
      <c r="BA22" s="149">
        <f t="shared" si="20"/>
        <v>16.168554990435798</v>
      </c>
      <c r="BC22" s="40">
        <v>0</v>
      </c>
      <c r="BD22" s="96">
        <v>0</v>
      </c>
      <c r="BE22" s="39">
        <v>84</v>
      </c>
      <c r="BF22" s="39">
        <v>50</v>
      </c>
      <c r="BG22" s="314"/>
      <c r="BH22" s="319">
        <f t="shared" si="6"/>
        <v>7.0743503643948493</v>
      </c>
      <c r="BI22" s="40">
        <v>58.1</v>
      </c>
      <c r="BJ22" s="247">
        <v>12736.718999999999</v>
      </c>
      <c r="BK22" s="246">
        <f t="shared" si="7"/>
        <v>0</v>
      </c>
      <c r="BL22" s="485">
        <f t="shared" si="8"/>
        <v>0</v>
      </c>
      <c r="BN22" s="471">
        <f t="shared" si="21"/>
        <v>8</v>
      </c>
      <c r="BO22" s="456">
        <v>6870.6</v>
      </c>
      <c r="BP22" s="472">
        <f t="shared" si="9"/>
        <v>-0.4500000000007276</v>
      </c>
      <c r="BQ22" s="473">
        <v>26.1</v>
      </c>
      <c r="BR22" s="473">
        <f t="shared" si="10"/>
        <v>0</v>
      </c>
    </row>
    <row r="23" spans="1:71" ht="12.95" customHeight="1">
      <c r="A23" s="42">
        <v>9</v>
      </c>
      <c r="B23" s="98">
        <v>6869.9</v>
      </c>
      <c r="C23" s="390">
        <f>IF(B23="",C22,VLOOKUP(TRUNC(B23,1),VLOOKUP!$A$3:$K$2834,RIGHT(TEXT(B23,"0000.00"),1)+2,FALSE))</f>
        <v>187539</v>
      </c>
      <c r="D23" s="39">
        <f t="shared" si="22"/>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1700400/325851/1.9835*1.02</f>
        <v>2.6834901475569835</v>
      </c>
      <c r="S23" s="67">
        <f>IF(((5.2*1.04)-T23)&gt;=4.2,((5.2*1.04)-T23)-4.2,0)</f>
        <v>0.11626713758925344</v>
      </c>
      <c r="T23" s="67">
        <v>1.0917328624107463</v>
      </c>
      <c r="U23" s="124">
        <v>0</v>
      </c>
      <c r="V23" s="41">
        <v>101</v>
      </c>
      <c r="W23" s="41">
        <v>54.7</v>
      </c>
      <c r="X23" s="41">
        <f t="shared" si="14"/>
        <v>293.40012823646106</v>
      </c>
      <c r="Y23" s="41">
        <f t="shared" si="15"/>
        <v>293.40012823646106</v>
      </c>
      <c r="Z23" s="49"/>
      <c r="AA23" s="41"/>
      <c r="AB23" s="49"/>
      <c r="AC23" s="56">
        <f t="shared" si="23"/>
        <v>1045.8222282177917</v>
      </c>
      <c r="AD23" s="49">
        <f t="shared" si="16"/>
        <v>697.97699491392257</v>
      </c>
      <c r="AE23" s="397"/>
      <c r="AG23" s="49">
        <f t="shared" si="27"/>
        <v>5559.3647592639272</v>
      </c>
      <c r="AH23" s="41">
        <v>65.599999999999994</v>
      </c>
      <c r="AI23" s="157">
        <v>1.7</v>
      </c>
      <c r="AJ23" s="175">
        <v>1.3</v>
      </c>
      <c r="AK23" s="41">
        <v>43.6</v>
      </c>
      <c r="AL23" s="49">
        <f t="shared" si="25"/>
        <v>4033.7792387194495</v>
      </c>
      <c r="AM23" s="49"/>
      <c r="AN23" s="68">
        <f t="shared" si="17"/>
        <v>436.9</v>
      </c>
      <c r="AO23" s="41">
        <f t="shared" si="3"/>
        <v>10.870103352659441</v>
      </c>
      <c r="AP23" s="41">
        <f t="shared" si="4"/>
        <v>447.77010335265942</v>
      </c>
      <c r="AQ23" s="126">
        <v>0</v>
      </c>
      <c r="AR23" s="41">
        <f t="shared" si="26"/>
        <v>864.73715068362094</v>
      </c>
      <c r="AS23" s="39"/>
      <c r="AT23" s="37">
        <f>IF(G23="",0,IF(I23&gt;=(795+Q23+R23+AI23),795-X23,I23-Q23-R23-X23-AI23)-AM23)</f>
        <v>-188.78699999999998</v>
      </c>
      <c r="AU23" s="399">
        <v>0.28999999999999998</v>
      </c>
      <c r="AV23" s="400">
        <f t="shared" si="5"/>
        <v>0.20299999999999999</v>
      </c>
      <c r="AW23" s="401">
        <f>IF(AU23="",0,VLOOKUP(ROUNDDOWN(TEXT(B23,"0000"),-1),VLOOKUP!$M$3:$W$32,RIGHT(TEXT(B23,"0000"),1)+2,FALSE))</f>
        <v>2663</v>
      </c>
      <c r="AX23" s="401">
        <f t="shared" si="19"/>
        <v>45.049083333333336</v>
      </c>
      <c r="AY23" s="33">
        <f>AX23*((IF(Z23&gt;JUN!$Z$44,JUN!$Z$44,Z23)+AC23+AD23+AR23)*1.9835)/E23</f>
        <v>6.5585805486401636</v>
      </c>
      <c r="AZ23" s="36">
        <v>0</v>
      </c>
      <c r="BA23" s="149">
        <f t="shared" si="20"/>
        <v>16.168554990435798</v>
      </c>
      <c r="BC23" s="40">
        <v>0</v>
      </c>
      <c r="BD23" s="96">
        <v>0</v>
      </c>
      <c r="BE23" s="39">
        <v>86</v>
      </c>
      <c r="BF23" s="39">
        <v>54</v>
      </c>
      <c r="BG23" s="314"/>
      <c r="BH23" s="319">
        <f t="shared" si="6"/>
        <v>6.8948717635389265</v>
      </c>
      <c r="BI23" s="40">
        <v>57.9</v>
      </c>
      <c r="BJ23" s="247">
        <v>12608.885</v>
      </c>
      <c r="BK23" s="246">
        <f t="shared" si="7"/>
        <v>0</v>
      </c>
      <c r="BL23" s="485">
        <f t="shared" si="8"/>
        <v>0</v>
      </c>
      <c r="BN23" s="471">
        <f t="shared" si="21"/>
        <v>9</v>
      </c>
      <c r="BO23" s="456">
        <v>6870.34</v>
      </c>
      <c r="BP23" s="472">
        <f t="shared" si="9"/>
        <v>-0.44000000000050932</v>
      </c>
      <c r="BQ23" s="473">
        <v>43.6</v>
      </c>
      <c r="BR23" s="473">
        <f t="shared" si="10"/>
        <v>0</v>
      </c>
    </row>
    <row r="24" spans="1:71" ht="12.95" customHeight="1">
      <c r="A24" s="42">
        <v>10</v>
      </c>
      <c r="B24" s="98">
        <v>6869.65</v>
      </c>
      <c r="C24" s="390">
        <f>IF(B24="",C23,VLOOKUP(TRUNC(B24,1),VLOOKUP!$A$3:$K$2834,RIGHT(TEXT(B24,"0000.00"),1)+2,FALSE))</f>
        <v>186877</v>
      </c>
      <c r="D24" s="39">
        <f t="shared" si="22"/>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1662400/325851/1.9835*1.02</f>
        <v>2.6235203606790929</v>
      </c>
      <c r="S24" s="67">
        <f>IF(((5.5*1.04)-T24)&gt;=4.2,((5.5*1.04)-T24)-4.2,0)</f>
        <v>0.42826713758925461</v>
      </c>
      <c r="T24" s="67">
        <v>1.0917328624107463</v>
      </c>
      <c r="U24" s="124">
        <v>0</v>
      </c>
      <c r="V24" s="41">
        <v>102</v>
      </c>
      <c r="W24" s="41">
        <v>52.4</v>
      </c>
      <c r="X24" s="41">
        <f t="shared" si="14"/>
        <v>266.42772951991799</v>
      </c>
      <c r="Y24" s="41">
        <f t="shared" si="15"/>
        <v>266.42772951991799</v>
      </c>
      <c r="Z24" s="49"/>
      <c r="AA24" s="41"/>
      <c r="AB24" s="49"/>
      <c r="AC24" s="56">
        <f t="shared" si="23"/>
        <v>1042.5156587453237</v>
      </c>
      <c r="AD24" s="49">
        <f t="shared" si="16"/>
        <v>714.1455499043584</v>
      </c>
      <c r="AE24" s="397"/>
      <c r="AG24" s="49">
        <f t="shared" si="27"/>
        <v>5559.3647592639272</v>
      </c>
      <c r="AH24" s="41">
        <v>52.6</v>
      </c>
      <c r="AI24" s="157">
        <v>1.7</v>
      </c>
      <c r="AJ24" s="175">
        <v>1.3</v>
      </c>
      <c r="AK24" s="41">
        <v>74.7</v>
      </c>
      <c r="AL24" s="49">
        <f t="shared" si="25"/>
        <v>3959.0792387194497</v>
      </c>
      <c r="AM24" s="49"/>
      <c r="AN24" s="68">
        <f t="shared" si="17"/>
        <v>428.7</v>
      </c>
      <c r="AO24" s="41">
        <f t="shared" si="3"/>
        <v>10.053466095286126</v>
      </c>
      <c r="AP24" s="41">
        <f t="shared" si="4"/>
        <v>438.75346609528611</v>
      </c>
      <c r="AQ24" s="126">
        <v>0</v>
      </c>
      <c r="AR24" s="41">
        <f t="shared" si="26"/>
        <v>696.08715068362096</v>
      </c>
      <c r="AS24" s="39"/>
      <c r="AT24" s="37">
        <f t="shared" si="18"/>
        <v>-168.64999999999998</v>
      </c>
      <c r="AU24" s="399">
        <v>0.27</v>
      </c>
      <c r="AV24" s="400">
        <f t="shared" si="5"/>
        <v>0.189</v>
      </c>
      <c r="AW24" s="401">
        <f>IF(AU24="",0,VLOOKUP(ROUNDDOWN(TEXT(B24,"0000"),-1),VLOOKUP!$M$3:$W$32,RIGHT(TEXT(B24,"0000"),1)+2,FALSE))</f>
        <v>2663</v>
      </c>
      <c r="AX24" s="401">
        <f t="shared" si="19"/>
        <v>41.942250000000001</v>
      </c>
      <c r="AY24" s="33">
        <f>AX24*((IF(Z24&gt;JUN!$Z$44,JUN!$Z$44,Z24)+AC24+AD24+AR24)*1.9835)/E24</f>
        <v>5.8505649080502744</v>
      </c>
      <c r="AZ24" s="36">
        <v>0</v>
      </c>
      <c r="BA24" s="149">
        <f t="shared" si="20"/>
        <v>16.168554990435798</v>
      </c>
      <c r="BC24" s="40">
        <v>0</v>
      </c>
      <c r="BD24" s="96">
        <v>0</v>
      </c>
      <c r="BE24" s="39">
        <v>87</v>
      </c>
      <c r="BF24" s="39">
        <v>52</v>
      </c>
      <c r="BG24" s="314"/>
      <c r="BH24" s="319">
        <f t="shared" si="6"/>
        <v>7.0422704800819798</v>
      </c>
      <c r="BI24" s="40">
        <v>57.5</v>
      </c>
      <c r="BJ24" s="247">
        <v>12498.583000000001</v>
      </c>
      <c r="BK24" s="246">
        <f t="shared" si="7"/>
        <v>0</v>
      </c>
      <c r="BL24" s="485">
        <f t="shared" si="8"/>
        <v>0</v>
      </c>
      <c r="BN24" s="471">
        <f t="shared" si="21"/>
        <v>10</v>
      </c>
      <c r="BO24" s="456">
        <v>6870.08</v>
      </c>
      <c r="BP24" s="472">
        <f t="shared" si="9"/>
        <v>-0.43000000000029104</v>
      </c>
      <c r="BQ24" s="473">
        <v>74.7</v>
      </c>
      <c r="BR24" s="473">
        <f t="shared" si="10"/>
        <v>0</v>
      </c>
    </row>
    <row r="25" spans="1:71" ht="12.95" customHeight="1">
      <c r="A25" s="42">
        <v>11</v>
      </c>
      <c r="B25" s="98">
        <v>6869.39</v>
      </c>
      <c r="C25" s="390">
        <f>IF(B25="",C24,VLOOKUP(TRUNC(B25,1),VLOOKUP!$A$3:$K$2834,RIGHT(TEXT(B25,"0000.00"),1)+2,FALSE))</f>
        <v>186193</v>
      </c>
      <c r="D25" s="39">
        <f t="shared" si="22"/>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1567800/325851/1.9835*1.02</f>
        <v>2.4742271543988701</v>
      </c>
      <c r="S25" s="67">
        <f>IF(((4.9*1.04)-T25)&gt;=4.2,((4.9*1.04)-T25)-4.2,0)</f>
        <v>0</v>
      </c>
      <c r="T25" s="67">
        <v>1.0917328624107463</v>
      </c>
      <c r="U25" s="124">
        <v>0</v>
      </c>
      <c r="V25" s="41">
        <v>95</v>
      </c>
      <c r="W25" s="41">
        <v>53.8</v>
      </c>
      <c r="X25" s="41">
        <f t="shared" si="14"/>
        <v>276.22725360804094</v>
      </c>
      <c r="Y25" s="41">
        <f t="shared" si="15"/>
        <v>276.22725360804094</v>
      </c>
      <c r="Z25" s="49"/>
      <c r="AA25" s="41"/>
      <c r="AB25" s="49"/>
      <c r="AC25" s="56">
        <f t="shared" si="23"/>
        <v>1039.5660419527599</v>
      </c>
      <c r="AD25" s="49">
        <f t="shared" si="16"/>
        <v>730.31410489479424</v>
      </c>
      <c r="AE25" s="397"/>
      <c r="AG25" s="49">
        <f t="shared" si="27"/>
        <v>5559.3647592639272</v>
      </c>
      <c r="AH25" s="41">
        <v>32.799999999999997</v>
      </c>
      <c r="AI25" s="157">
        <v>1.7</v>
      </c>
      <c r="AJ25" s="175">
        <v>1.3</v>
      </c>
      <c r="AK25" s="41">
        <v>50.8</v>
      </c>
      <c r="AL25" s="49">
        <f t="shared" si="25"/>
        <v>3908.2792387194495</v>
      </c>
      <c r="AM25" s="49"/>
      <c r="AN25" s="68">
        <f t="shared" si="17"/>
        <v>399.40000000000003</v>
      </c>
      <c r="AO25" s="41">
        <f t="shared" si="3"/>
        <v>50.444971010839367</v>
      </c>
      <c r="AP25" s="41">
        <f t="shared" si="4"/>
        <v>449.8449710108394</v>
      </c>
      <c r="AQ25" s="126">
        <v>0</v>
      </c>
      <c r="AR25" s="41">
        <f t="shared" si="26"/>
        <v>517.85888354603173</v>
      </c>
      <c r="AS25" s="39"/>
      <c r="AT25" s="37">
        <f t="shared" si="18"/>
        <v>-178.22826713758923</v>
      </c>
      <c r="AU25" s="399">
        <v>0.26</v>
      </c>
      <c r="AV25" s="400">
        <f t="shared" si="5"/>
        <v>0.182</v>
      </c>
      <c r="AW25" s="401">
        <f>IF(AU25="",0,VLOOKUP(ROUNDDOWN(TEXT(B25,"0000"),-1),VLOOKUP!$M$3:$W$32,RIGHT(TEXT(B25,"0000"),1)+2,FALSE))</f>
        <v>2627</v>
      </c>
      <c r="AX25" s="401">
        <f t="shared" si="19"/>
        <v>39.842833333333331</v>
      </c>
      <c r="AY25" s="33">
        <f>AX25*((IF(Z25&gt;JUN!$Z$44,JUN!$Z$44,Z25)+AC25+AD25+AR25)*1.9835)/E25</f>
        <v>5.2875160037272915</v>
      </c>
      <c r="AZ25" s="36">
        <v>0</v>
      </c>
      <c r="BA25" s="149">
        <f t="shared" si="20"/>
        <v>16.168554990435798</v>
      </c>
      <c r="BC25" s="40">
        <v>0</v>
      </c>
      <c r="BD25" s="96">
        <v>0</v>
      </c>
      <c r="BE25" s="39">
        <v>85</v>
      </c>
      <c r="BF25" s="39">
        <v>56</v>
      </c>
      <c r="BG25" s="314"/>
      <c r="BH25" s="319">
        <f t="shared" si="6"/>
        <v>6.392746391959033</v>
      </c>
      <c r="BI25" s="40">
        <v>57.7</v>
      </c>
      <c r="BJ25" s="247">
        <v>12396.291999999999</v>
      </c>
      <c r="BK25" s="246">
        <f t="shared" si="7"/>
        <v>0</v>
      </c>
      <c r="BL25" s="485">
        <f t="shared" si="8"/>
        <v>0</v>
      </c>
      <c r="BN25" s="471">
        <f t="shared" si="21"/>
        <v>11</v>
      </c>
      <c r="BO25" s="456">
        <v>6869.84</v>
      </c>
      <c r="BP25" s="472">
        <f t="shared" si="9"/>
        <v>-0.4499999999998181</v>
      </c>
      <c r="BQ25" s="473">
        <v>50.8</v>
      </c>
      <c r="BR25" s="473">
        <f t="shared" si="10"/>
        <v>0</v>
      </c>
    </row>
    <row r="26" spans="1:71" ht="12.95" customHeight="1">
      <c r="A26" s="42">
        <v>12</v>
      </c>
      <c r="B26" s="98">
        <v>6869.27</v>
      </c>
      <c r="C26" s="390">
        <f>IF(B26="",C25,VLOOKUP(TRUNC(B26,1),VLOOKUP!$A$3:$K$2834,RIGHT(TEXT(B26,"0000.00"),1)+2,FALSE))</f>
        <v>185872</v>
      </c>
      <c r="D26" s="39">
        <f t="shared" si="22"/>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1312300/325851/1.9835*1.02</f>
        <v>2.0710092452593685</v>
      </c>
      <c r="S26" s="67">
        <f>IF(((3.6*1.04)-T26)&gt;=4.2,((3.6*1.04)-T26)-4.2,0)</f>
        <v>0</v>
      </c>
      <c r="T26" s="67">
        <v>0.99378026544854992</v>
      </c>
      <c r="U26" s="124">
        <v>0</v>
      </c>
      <c r="V26" s="41">
        <v>93</v>
      </c>
      <c r="W26" s="41">
        <v>51</v>
      </c>
      <c r="X26" s="41">
        <f t="shared" si="14"/>
        <v>235.23254718428086</v>
      </c>
      <c r="Y26" s="41">
        <f t="shared" si="15"/>
        <v>235.23254718428086</v>
      </c>
      <c r="Z26" s="49"/>
      <c r="AA26" s="41"/>
      <c r="AB26" s="49"/>
      <c r="AC26" s="56">
        <f t="shared" si="23"/>
        <v>1036.9002915097412</v>
      </c>
      <c r="AD26" s="49">
        <f t="shared" si="16"/>
        <v>746.48265988523008</v>
      </c>
      <c r="AE26" s="397"/>
      <c r="AG26" s="49">
        <f t="shared" si="27"/>
        <v>5559.3647592639272</v>
      </c>
      <c r="AH26" s="41">
        <v>44.4</v>
      </c>
      <c r="AI26" s="157">
        <v>1.7</v>
      </c>
      <c r="AJ26" s="175">
        <v>1.3</v>
      </c>
      <c r="AK26" s="41">
        <v>25.9</v>
      </c>
      <c r="AL26" s="49">
        <f t="shared" si="25"/>
        <v>3882.3792387194494</v>
      </c>
      <c r="AM26" s="49"/>
      <c r="AN26" s="68">
        <f t="shared" si="17"/>
        <v>354.29999999999995</v>
      </c>
      <c r="AO26" s="41">
        <f t="shared" si="3"/>
        <v>0</v>
      </c>
      <c r="AP26" s="41">
        <f t="shared" si="4"/>
        <v>354.29999999999995</v>
      </c>
      <c r="AQ26" s="126">
        <v>0</v>
      </c>
      <c r="AR26" s="41">
        <f t="shared" si="26"/>
        <v>403.09766381148029</v>
      </c>
      <c r="AS26" s="39"/>
      <c r="AT26" s="37">
        <f t="shared" si="18"/>
        <v>-114.76121973455146</v>
      </c>
      <c r="AU26" s="399">
        <v>0.05</v>
      </c>
      <c r="AV26" s="400">
        <f t="shared" si="5"/>
        <v>3.4999999999999996E-2</v>
      </c>
      <c r="AW26" s="401">
        <f>IF(AU26="",0,VLOOKUP(ROUNDDOWN(TEXT(B26,"0000"),-1),VLOOKUP!$M$3:$W$32,RIGHT(TEXT(B26,"0000"),1)+2,FALSE))</f>
        <v>2627</v>
      </c>
      <c r="AX26" s="401">
        <f t="shared" si="19"/>
        <v>7.6620833333333325</v>
      </c>
      <c r="AY26" s="33">
        <f>AX26*((IF(Z26&gt;JUN!$Z$44,JUN!$Z$44,Z26)+AC26+AD26+AR26)*1.9835)/E26</f>
        <v>0.98103356505764161</v>
      </c>
      <c r="AZ26" s="36">
        <v>0</v>
      </c>
      <c r="BA26" s="149">
        <f t="shared" si="20"/>
        <v>16.168554990435798</v>
      </c>
      <c r="BC26" s="40">
        <v>0</v>
      </c>
      <c r="BD26" s="96">
        <v>0.43</v>
      </c>
      <c r="BE26" s="39">
        <v>72</v>
      </c>
      <c r="BF26" s="39">
        <v>54</v>
      </c>
      <c r="BG26" s="314"/>
      <c r="BH26" s="319">
        <f t="shared" si="6"/>
        <v>5.8224528157191351</v>
      </c>
      <c r="BI26" s="40">
        <v>57.4</v>
      </c>
      <c r="BJ26" s="247">
        <v>12327.406999999999</v>
      </c>
      <c r="BK26" s="246">
        <f t="shared" si="7"/>
        <v>0</v>
      </c>
      <c r="BL26" s="485">
        <f t="shared" si="8"/>
        <v>0</v>
      </c>
      <c r="BN26" s="471">
        <f t="shared" si="21"/>
        <v>12</v>
      </c>
      <c r="BO26" s="456">
        <v>6869.73</v>
      </c>
      <c r="BP26" s="472">
        <f t="shared" si="9"/>
        <v>-0.45999999999912689</v>
      </c>
      <c r="BQ26" s="473">
        <v>25.9</v>
      </c>
      <c r="BR26" s="473">
        <f t="shared" si="10"/>
        <v>0</v>
      </c>
    </row>
    <row r="27" spans="1:71" ht="12.95" customHeight="1">
      <c r="A27" s="42">
        <v>13</v>
      </c>
      <c r="B27" s="98">
        <v>6869.12</v>
      </c>
      <c r="C27" s="390">
        <f>IF(B27="",C26,VLOOKUP(TRUNC(B27,1),VLOOKUP!$A$3:$K$2834,RIGHT(TEXT(B27,"0000.00"),1)+2,FALSE))</f>
        <v>185476</v>
      </c>
      <c r="D27" s="39">
        <f t="shared" si="22"/>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1339900/325851/1.9835*1.02</f>
        <v>2.1145662483601519</v>
      </c>
      <c r="S27" s="67">
        <f>IF(((3.6*1.04)-T27)&gt;=4.2,((3.6*1.04)-T27)-4.2,0)</f>
        <v>0</v>
      </c>
      <c r="T27" s="67">
        <v>0.99378026544854992</v>
      </c>
      <c r="U27" s="124">
        <v>0</v>
      </c>
      <c r="V27" s="41">
        <v>92.3</v>
      </c>
      <c r="W27" s="41">
        <v>54.7</v>
      </c>
      <c r="X27" s="41">
        <f t="shared" si="14"/>
        <v>207.38829453005093</v>
      </c>
      <c r="Y27" s="41">
        <f t="shared" si="15"/>
        <v>207.38829453005093</v>
      </c>
      <c r="Z27" s="49"/>
      <c r="AA27" s="41"/>
      <c r="AB27" s="49"/>
      <c r="AC27" s="56">
        <f t="shared" si="23"/>
        <v>1036.405694300234</v>
      </c>
      <c r="AD27" s="49">
        <f t="shared" si="16"/>
        <v>762.65121487566591</v>
      </c>
      <c r="AE27" s="397"/>
      <c r="AG27" s="49">
        <f t="shared" si="27"/>
        <v>5559.3647592639272</v>
      </c>
      <c r="AH27" s="41">
        <v>56.3</v>
      </c>
      <c r="AI27" s="157">
        <v>1.7</v>
      </c>
      <c r="AJ27" s="175">
        <v>1.3</v>
      </c>
      <c r="AK27" s="41">
        <v>26.3</v>
      </c>
      <c r="AL27" s="49">
        <f t="shared" si="25"/>
        <v>3856.0792387194492</v>
      </c>
      <c r="AM27" s="49"/>
      <c r="AN27" s="68">
        <f t="shared" si="17"/>
        <v>345.6</v>
      </c>
      <c r="AO27" s="41">
        <f t="shared" si="3"/>
        <v>31.047088479959626</v>
      </c>
      <c r="AP27" s="41">
        <f t="shared" si="4"/>
        <v>376.64708847995962</v>
      </c>
      <c r="AQ27" s="126">
        <v>0</v>
      </c>
      <c r="AR27" s="41">
        <f t="shared" si="26"/>
        <v>365.84644407692883</v>
      </c>
      <c r="AS27" s="39"/>
      <c r="AT27" s="37">
        <f t="shared" si="18"/>
        <v>-37.251219734551441</v>
      </c>
      <c r="AU27" s="399">
        <v>0.02</v>
      </c>
      <c r="AV27" s="400">
        <f t="shared" si="5"/>
        <v>1.3999999999999999E-2</v>
      </c>
      <c r="AW27" s="401">
        <f>IF(AU27="",0,VLOOKUP(ROUNDDOWN(TEXT(B27,"0000"),-1),VLOOKUP!$M$3:$W$32,RIGHT(TEXT(B27,"0000"),1)+2,FALSE))</f>
        <v>2627</v>
      </c>
      <c r="AX27" s="401">
        <f t="shared" si="19"/>
        <v>3.0648333333333331</v>
      </c>
      <c r="AY27" s="33">
        <f>AX27*((IF(Z27&gt;JUN!$Z$44,JUN!$Z$44,Z27)+AC27+AD27+AR27)*1.9835)/E27</f>
        <v>0.39313709223445448</v>
      </c>
      <c r="AZ27" s="36">
        <v>0</v>
      </c>
      <c r="BA27" s="149">
        <f t="shared" si="20"/>
        <v>16.168554990435798</v>
      </c>
      <c r="BC27" s="40">
        <v>0</v>
      </c>
      <c r="BD27" s="96">
        <v>0.08</v>
      </c>
      <c r="BE27" s="39">
        <v>72</v>
      </c>
      <c r="BF27" s="39">
        <v>45</v>
      </c>
      <c r="BG27" s="314"/>
      <c r="BH27" s="319">
        <f t="shared" si="6"/>
        <v>6.1567054699490615</v>
      </c>
      <c r="BI27" s="40">
        <v>57.2</v>
      </c>
      <c r="BJ27" s="247">
        <v>12224.983</v>
      </c>
      <c r="BK27" s="246">
        <f t="shared" si="7"/>
        <v>0</v>
      </c>
      <c r="BL27" s="485">
        <f t="shared" si="8"/>
        <v>0</v>
      </c>
      <c r="BN27" s="471">
        <f t="shared" si="21"/>
        <v>13</v>
      </c>
      <c r="BO27" s="456">
        <v>6869.61</v>
      </c>
      <c r="BP27" s="472">
        <f t="shared" si="9"/>
        <v>-0.48999999999978172</v>
      </c>
      <c r="BQ27" s="473">
        <v>26.3</v>
      </c>
      <c r="BR27" s="473">
        <f t="shared" si="10"/>
        <v>0</v>
      </c>
    </row>
    <row r="28" spans="1:71" ht="12.95" customHeight="1">
      <c r="A28" s="42">
        <v>14</v>
      </c>
      <c r="B28" s="98">
        <v>6869.03</v>
      </c>
      <c r="C28" s="390">
        <f>IF(B28="",C27,VLOOKUP(TRUNC(B28,1),VLOOKUP!$A$3:$K$2834,RIGHT(TEXT(B28,"0000.00"),1)+2,FALSE))</f>
        <v>185238</v>
      </c>
      <c r="D28" s="39">
        <f t="shared" si="22"/>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1437000/325851/1.9835*1.02</f>
        <v>2.2678048353560252</v>
      </c>
      <c r="S28" s="67">
        <f>IF(((4.2*1.04)-T28)&gt;=4.2,((4.2*1.04)-T28)-4.2,0)</f>
        <v>0</v>
      </c>
      <c r="T28" s="67">
        <v>0.99378026544854992</v>
      </c>
      <c r="U28" s="124">
        <v>0</v>
      </c>
      <c r="V28" s="41">
        <v>92.4</v>
      </c>
      <c r="W28" s="41">
        <v>55.1</v>
      </c>
      <c r="X28" s="41">
        <f t="shared" si="14"/>
        <v>206.37006826396845</v>
      </c>
      <c r="Y28" s="41">
        <f t="shared" si="15"/>
        <v>206.37006826396845</v>
      </c>
      <c r="Z28" s="49"/>
      <c r="AA28" s="41"/>
      <c r="AB28" s="49"/>
      <c r="AC28" s="56">
        <f t="shared" si="23"/>
        <v>1036.2074905733703</v>
      </c>
      <c r="AD28" s="49">
        <f t="shared" si="16"/>
        <v>778.81976986610175</v>
      </c>
      <c r="AE28" s="397"/>
      <c r="AG28" s="49">
        <f t="shared" si="27"/>
        <v>5559.3647592639272</v>
      </c>
      <c r="AH28" s="41">
        <v>8.48</v>
      </c>
      <c r="AI28" s="157">
        <v>1.7</v>
      </c>
      <c r="AJ28" s="175">
        <v>1.3</v>
      </c>
      <c r="AK28" s="41">
        <v>26.3</v>
      </c>
      <c r="AL28" s="49">
        <f t="shared" si="25"/>
        <v>3829.779238719449</v>
      </c>
      <c r="AM28" s="49"/>
      <c r="AN28" s="68">
        <f t="shared" si="17"/>
        <v>287.28000000000003</v>
      </c>
      <c r="AO28" s="41">
        <f t="shared" si="3"/>
        <v>2.7099168137131073</v>
      </c>
      <c r="AP28" s="41">
        <f t="shared" si="4"/>
        <v>289.98991681371314</v>
      </c>
      <c r="AQ28" s="126">
        <v>0</v>
      </c>
      <c r="AR28" s="41">
        <f>AR27+MIN(0,AT28)</f>
        <v>322.54022434237737</v>
      </c>
      <c r="AS28" s="39"/>
      <c r="AT28" s="37">
        <f t="shared" si="18"/>
        <v>-43.306219734551448</v>
      </c>
      <c r="AU28" s="399">
        <v>0.13</v>
      </c>
      <c r="AV28" s="400">
        <f t="shared" si="5"/>
        <v>9.0999999999999998E-2</v>
      </c>
      <c r="AW28" s="401">
        <f>IF(AU28="",0,VLOOKUP(ROUNDDOWN(TEXT(B28,"0000"),-1),VLOOKUP!$M$3:$W$32,RIGHT(TEXT(B28,"0000"),1)+2,FALSE))</f>
        <v>2627</v>
      </c>
      <c r="AX28" s="401">
        <f t="shared" si="19"/>
        <v>19.921416666666666</v>
      </c>
      <c r="AY28" s="33">
        <f>AX28*((IF(Z28&gt;JUN!$Z$44,JUN!$Z$44,Z28)+AC28+AD28+AR28)*1.9835)/E28</f>
        <v>2.5411913890239402</v>
      </c>
      <c r="AZ28" s="36">
        <v>0</v>
      </c>
      <c r="BA28" s="149">
        <f t="shared" si="20"/>
        <v>16.168554990435798</v>
      </c>
      <c r="BC28" s="40">
        <v>0</v>
      </c>
      <c r="BD28" s="96">
        <v>0</v>
      </c>
      <c r="BE28" s="39">
        <v>78</v>
      </c>
      <c r="BF28" s="39">
        <v>39</v>
      </c>
      <c r="BG28" s="314"/>
      <c r="BH28" s="319">
        <f t="shared" si="6"/>
        <v>6.2299317360315385</v>
      </c>
      <c r="BI28" s="40">
        <v>57.2</v>
      </c>
      <c r="BJ28" s="247">
        <v>12130.313</v>
      </c>
      <c r="BK28" s="246">
        <f t="shared" si="7"/>
        <v>0</v>
      </c>
      <c r="BL28" s="485">
        <f t="shared" si="8"/>
        <v>0</v>
      </c>
      <c r="BN28" s="471">
        <f t="shared" si="21"/>
        <v>14</v>
      </c>
      <c r="BO28" s="456">
        <v>6869.5</v>
      </c>
      <c r="BP28" s="472">
        <f t="shared" si="9"/>
        <v>-0.47000000000025466</v>
      </c>
      <c r="BQ28" s="473">
        <v>26.3</v>
      </c>
      <c r="BR28" s="473">
        <f t="shared" si="10"/>
        <v>0</v>
      </c>
    </row>
    <row r="29" spans="1:71" ht="12.95" customHeight="1">
      <c r="A29" s="42">
        <v>15</v>
      </c>
      <c r="B29" s="98">
        <v>6868.89</v>
      </c>
      <c r="C29" s="390">
        <f>IF(B29="",C28,VLOOKUP(TRUNC(B29,1),VLOOKUP!$A$3:$K$2834,RIGHT(TEXT(B29,"0000.00"),1)+2,FALSE))</f>
        <v>184871</v>
      </c>
      <c r="D29" s="39">
        <f t="shared" si="22"/>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1582700/325851/1.9835*1.02</f>
        <v>2.4977416234641483</v>
      </c>
      <c r="S29" s="67">
        <f>IF(((4.7*1.04)-T29)&gt;=4.2,((4.7*1.04)-T29)-4.2,0)</f>
        <v>0</v>
      </c>
      <c r="T29" s="67">
        <v>0.99378026544854992</v>
      </c>
      <c r="U29" s="124">
        <v>0</v>
      </c>
      <c r="V29" s="41">
        <v>93</v>
      </c>
      <c r="W29" s="41">
        <v>55.8</v>
      </c>
      <c r="X29" s="41">
        <f t="shared" si="14"/>
        <v>217.75093565856452</v>
      </c>
      <c r="Y29" s="41">
        <f t="shared" si="15"/>
        <v>217.75093565856452</v>
      </c>
      <c r="Z29" s="49"/>
      <c r="AA29" s="41"/>
      <c r="AB29" s="49"/>
      <c r="AC29" s="56">
        <f t="shared" si="23"/>
        <v>1034.9263252650649</v>
      </c>
      <c r="AD29" s="49">
        <f t="shared" si="16"/>
        <v>794.98832485653759</v>
      </c>
      <c r="AE29" s="397"/>
      <c r="AG29" s="49">
        <f t="shared" si="27"/>
        <v>5559.3647592639272</v>
      </c>
      <c r="AH29" s="41">
        <v>42</v>
      </c>
      <c r="AI29" s="157">
        <v>1.7</v>
      </c>
      <c r="AJ29" s="175">
        <v>1.3</v>
      </c>
      <c r="AK29" s="41">
        <v>26.3</v>
      </c>
      <c r="AL29" s="49">
        <f t="shared" si="25"/>
        <v>3803.4792387194489</v>
      </c>
      <c r="AM29" s="49"/>
      <c r="AN29" s="68">
        <f t="shared" si="17"/>
        <v>321.10000000000002</v>
      </c>
      <c r="AO29" s="41">
        <f t="shared" si="3"/>
        <v>10.926468364003</v>
      </c>
      <c r="AP29" s="41">
        <f t="shared" si="4"/>
        <v>332.02646836400299</v>
      </c>
      <c r="AQ29" s="126">
        <v>0</v>
      </c>
      <c r="AR29" s="41">
        <f t="shared" si="26"/>
        <v>244.59400460782592</v>
      </c>
      <c r="AS29" s="39"/>
      <c r="AT29" s="37">
        <f t="shared" si="18"/>
        <v>-77.946219734551462</v>
      </c>
      <c r="AU29" s="399">
        <v>0.16</v>
      </c>
      <c r="AV29" s="400">
        <f t="shared" si="5"/>
        <v>0.11199999999999999</v>
      </c>
      <c r="AW29" s="401">
        <f>IF(AU29="",0,VLOOKUP(ROUNDDOWN(TEXT(B29,"0000"),-1),VLOOKUP!$M$3:$W$32,RIGHT(TEXT(B29,"0000"),1)+2,FALSE))</f>
        <v>2627</v>
      </c>
      <c r="AX29" s="401">
        <f t="shared" si="19"/>
        <v>24.518666666666665</v>
      </c>
      <c r="AY29" s="33">
        <f>AX29*((IF(Z29&gt;JUN!$Z$44,JUN!$Z$44,Z29)+AC29+AD29+AR29)*1.9835)/E29</f>
        <v>3.0692438116428411</v>
      </c>
      <c r="AZ29" s="36">
        <v>0</v>
      </c>
      <c r="BA29" s="149">
        <f t="shared" si="20"/>
        <v>16.168554990435798</v>
      </c>
      <c r="BC29" s="40">
        <v>0</v>
      </c>
      <c r="BD29" s="96">
        <v>0</v>
      </c>
      <c r="BE29" s="39">
        <v>81</v>
      </c>
      <c r="BF29" s="39">
        <v>45</v>
      </c>
      <c r="BG29" s="314"/>
      <c r="BH29" s="319">
        <f t="shared" si="6"/>
        <v>6.4890643414354781</v>
      </c>
      <c r="BI29" s="40">
        <v>57.2</v>
      </c>
      <c r="BJ29" s="247">
        <v>11998.906000000001</v>
      </c>
      <c r="BK29" s="246">
        <f t="shared" si="7"/>
        <v>0</v>
      </c>
      <c r="BL29" s="485">
        <f t="shared" si="8"/>
        <v>0</v>
      </c>
      <c r="BN29" s="471">
        <f t="shared" si="21"/>
        <v>15</v>
      </c>
      <c r="BO29" s="456">
        <v>6869.36</v>
      </c>
      <c r="BP29" s="472">
        <f t="shared" si="9"/>
        <v>-0.46999999999934516</v>
      </c>
      <c r="BQ29" s="473">
        <v>26.3</v>
      </c>
      <c r="BR29" s="473">
        <f>AK29-BQ29</f>
        <v>0</v>
      </c>
    </row>
    <row r="30" spans="1:71" ht="12.95" customHeight="1">
      <c r="A30" s="42">
        <v>16</v>
      </c>
      <c r="B30" s="98">
        <v>6868.64</v>
      </c>
      <c r="C30" s="390">
        <f>IF(B30="",C29,VLOOKUP(TRUNC(B30,1),VLOOKUP!$A$3:$K$2834,RIGHT(TEXT(B30,"0000.00"),1)+2,FALSE))</f>
        <v>184219</v>
      </c>
      <c r="D30" s="39">
        <f t="shared" si="22"/>
        <v>-652</v>
      </c>
      <c r="E30" s="49">
        <f t="shared" si="11"/>
        <v>32219</v>
      </c>
      <c r="F30" s="106">
        <f t="shared" si="0"/>
        <v>-328.7118729518528</v>
      </c>
      <c r="G30" s="41">
        <v>130</v>
      </c>
      <c r="H30" s="107">
        <v>0</v>
      </c>
      <c r="I30" s="41">
        <f t="shared" si="1"/>
        <v>130</v>
      </c>
      <c r="J30" s="36">
        <f t="shared" si="12"/>
        <v>0</v>
      </c>
      <c r="K30" s="41">
        <f t="shared" si="13"/>
        <v>130</v>
      </c>
      <c r="L30" s="41">
        <f t="shared" si="2"/>
        <v>-9.2118729518527971</v>
      </c>
      <c r="M30" s="108">
        <v>150</v>
      </c>
      <c r="N30" s="36">
        <v>0</v>
      </c>
      <c r="O30" s="41">
        <f>33.1*1.05</f>
        <v>34.755000000000003</v>
      </c>
      <c r="P30" s="33">
        <v>0</v>
      </c>
      <c r="Q30" s="133">
        <f>1566500/325851/1.9835*1.02</f>
        <v>2.4721755564267318</v>
      </c>
      <c r="R30" s="67">
        <f>1474900/325851/1.9835*1.02</f>
        <v>2.3276168070052896</v>
      </c>
      <c r="S30" s="67">
        <f>IF(((4.5*1.04)-T30)&gt;=4.2,((4.5*1.04)-T30)-4.2,0)</f>
        <v>0</v>
      </c>
      <c r="T30" s="67">
        <v>0.99378026544854992</v>
      </c>
      <c r="U30" s="124">
        <v>0</v>
      </c>
      <c r="V30" s="41">
        <v>129</v>
      </c>
      <c r="W30" s="41">
        <v>54.7</v>
      </c>
      <c r="X30" s="41">
        <f t="shared" si="14"/>
        <v>293.15142737111944</v>
      </c>
      <c r="Y30" s="41">
        <f t="shared" si="15"/>
        <v>293.15142737111944</v>
      </c>
      <c r="Z30" s="49"/>
      <c r="AA30" s="41"/>
      <c r="AB30" s="49"/>
      <c r="AC30" s="56">
        <f t="shared" si="23"/>
        <v>1033.3789374094345</v>
      </c>
      <c r="AD30" s="49">
        <f t="shared" si="16"/>
        <v>811.15687984697342</v>
      </c>
      <c r="AE30" s="397"/>
      <c r="AG30" s="49">
        <f t="shared" si="27"/>
        <v>5559.3647592639272</v>
      </c>
      <c r="AH30" s="41">
        <v>66.2</v>
      </c>
      <c r="AI30" s="157">
        <v>1.7</v>
      </c>
      <c r="AJ30" s="175">
        <v>1.3</v>
      </c>
      <c r="AK30" s="41">
        <v>49.6</v>
      </c>
      <c r="AL30" s="49">
        <f t="shared" si="25"/>
        <v>3753.8792387194489</v>
      </c>
      <c r="AM30" s="49"/>
      <c r="AN30" s="68">
        <f t="shared" si="17"/>
        <v>449.5</v>
      </c>
      <c r="AO30" s="41">
        <f t="shared" si="3"/>
        <v>9.2118729518527971</v>
      </c>
      <c r="AP30" s="41">
        <f t="shared" si="4"/>
        <v>458.7118729518528</v>
      </c>
      <c r="AQ30" s="126">
        <v>0</v>
      </c>
      <c r="AR30" s="41">
        <f t="shared" si="26"/>
        <v>74.942784873274491</v>
      </c>
      <c r="AS30" s="39"/>
      <c r="AT30" s="37">
        <f t="shared" si="18"/>
        <v>-169.65121973455143</v>
      </c>
      <c r="AU30" s="399">
        <v>0.27</v>
      </c>
      <c r="AV30" s="400">
        <f t="shared" si="5"/>
        <v>0.189</v>
      </c>
      <c r="AW30" s="401">
        <f>IF(AU30="",0,VLOOKUP(ROUNDDOWN(TEXT(B30,"0000"),-1),VLOOKUP!$M$3:$W$32,RIGHT(TEXT(B30,"0000"),1)+2,FALSE))</f>
        <v>2627</v>
      </c>
      <c r="AX30" s="401">
        <f t="shared" si="19"/>
        <v>41.375250000000001</v>
      </c>
      <c r="AY30" s="33">
        <f>AX30*((IF(Z30&gt;JUN!$Z$44,JUN!$Z$44,Z30)+AC30+AD30+AR30)*1.9835)/E30</f>
        <v>4.889270371504133</v>
      </c>
      <c r="AZ30" s="36">
        <v>0</v>
      </c>
      <c r="BA30" s="149">
        <f t="shared" si="20"/>
        <v>16.168554990435798</v>
      </c>
      <c r="BC30" s="40">
        <v>0</v>
      </c>
      <c r="BD30" s="96">
        <v>0</v>
      </c>
      <c r="BE30" s="39">
        <v>82</v>
      </c>
      <c r="BF30" s="39">
        <v>51</v>
      </c>
      <c r="BG30" s="314"/>
      <c r="BH30" s="319">
        <f t="shared" si="6"/>
        <v>5.7935726288805718</v>
      </c>
      <c r="BI30" s="40">
        <v>57.2</v>
      </c>
      <c r="BJ30" s="247">
        <v>11862.968999999999</v>
      </c>
      <c r="BK30" s="246">
        <f t="shared" si="7"/>
        <v>0</v>
      </c>
      <c r="BL30" s="485">
        <f t="shared" si="8"/>
        <v>0</v>
      </c>
      <c r="BN30" s="471">
        <f t="shared" si="21"/>
        <v>16</v>
      </c>
      <c r="BO30" s="456">
        <v>6869.08</v>
      </c>
      <c r="BP30" s="472">
        <f t="shared" si="9"/>
        <v>-0.43999999999959982</v>
      </c>
      <c r="BQ30" s="473">
        <v>49.6</v>
      </c>
      <c r="BR30" s="473">
        <f t="shared" si="10"/>
        <v>0</v>
      </c>
    </row>
    <row r="31" spans="1:71" ht="12.95" customHeight="1">
      <c r="A31" s="42">
        <v>17</v>
      </c>
      <c r="B31" s="98">
        <v>6868.36</v>
      </c>
      <c r="C31" s="390">
        <f>IF(B31="",C30,VLOOKUP(TRUNC(B31,1),VLOOKUP!$A$3:$K$2834,RIGHT(TEXT(B31,"0000.00"),1)+2,FALSE))</f>
        <v>183489</v>
      </c>
      <c r="D31" s="39">
        <f t="shared" si="22"/>
        <v>-730</v>
      </c>
      <c r="E31" s="49">
        <f t="shared" si="11"/>
        <v>31489</v>
      </c>
      <c r="F31" s="106">
        <f t="shared" si="0"/>
        <v>-368.03629947063268</v>
      </c>
      <c r="G31" s="41">
        <v>119</v>
      </c>
      <c r="H31" s="107">
        <v>0</v>
      </c>
      <c r="I31" s="41">
        <f t="shared" si="1"/>
        <v>119</v>
      </c>
      <c r="J31" s="36">
        <f t="shared" si="12"/>
        <v>0</v>
      </c>
      <c r="K31" s="41">
        <f t="shared" si="13"/>
        <v>119</v>
      </c>
      <c r="L31" s="41">
        <f t="shared" si="2"/>
        <v>-28.036299470632684</v>
      </c>
      <c r="M31" s="108">
        <v>148</v>
      </c>
      <c r="N31" s="36">
        <v>0</v>
      </c>
      <c r="O31" s="41">
        <f>37.4*1.05</f>
        <v>39.270000000000003</v>
      </c>
      <c r="P31" s="33">
        <v>0</v>
      </c>
      <c r="Q31" s="133">
        <f>1287900/325851/1.9835*1.02</f>
        <v>2.032502329474617</v>
      </c>
      <c r="R31" s="67">
        <f>1624600/325851/1.9835*1.02</f>
        <v>2.5638662042584541</v>
      </c>
      <c r="S31" s="67">
        <f>IF(((4.5*1.04)-T31)&gt;=4.2,((4.5*1.04)-T31)-4.2,0)</f>
        <v>0</v>
      </c>
      <c r="T31" s="67">
        <v>0.99378026544854992</v>
      </c>
      <c r="U31" s="124">
        <v>0</v>
      </c>
      <c r="V31" s="41">
        <v>144</v>
      </c>
      <c r="W31" s="41">
        <v>55.5</v>
      </c>
      <c r="X31" s="41">
        <f t="shared" si="14"/>
        <v>302.63985120081838</v>
      </c>
      <c r="Y31" s="41">
        <f t="shared" si="15"/>
        <v>302.63985120081838</v>
      </c>
      <c r="Z31" s="49"/>
      <c r="AA31" s="41"/>
      <c r="AB31" s="49"/>
      <c r="AC31" s="56">
        <f t="shared" si="23"/>
        <v>1030.9139662112977</v>
      </c>
      <c r="AD31" s="49">
        <f>IF(BA31="",AD30,AD30+BA31)+(AT31+AR30)</f>
        <v>712.33199997613224</v>
      </c>
      <c r="AE31" s="397"/>
      <c r="AG31" s="49">
        <f t="shared" si="27"/>
        <v>5559.3647592639272</v>
      </c>
      <c r="AH31" s="41">
        <v>36.700000000000003</v>
      </c>
      <c r="AI31" s="157">
        <v>1.7</v>
      </c>
      <c r="AJ31" s="175">
        <v>1.3</v>
      </c>
      <c r="AK31" s="41">
        <v>74.8</v>
      </c>
      <c r="AL31" s="49">
        <f t="shared" si="25"/>
        <v>3679.0792387194488</v>
      </c>
      <c r="AM31" s="49"/>
      <c r="AN31" s="68">
        <f t="shared" si="17"/>
        <v>459</v>
      </c>
      <c r="AO31" s="41">
        <f t="shared" si="3"/>
        <v>28.036299470632684</v>
      </c>
      <c r="AP31" s="41">
        <f t="shared" si="4"/>
        <v>487.03629947063268</v>
      </c>
      <c r="AQ31" s="126">
        <v>0</v>
      </c>
      <c r="AR31" s="41">
        <f>AR30+MIN(0,AT31)+(-AT31-AR30)</f>
        <v>0</v>
      </c>
      <c r="AS31" s="39"/>
      <c r="AT31" s="37">
        <f>IF(G31="",0,IF(I31&gt;=(795+Q31+R31+AI31),795-X31,I31-Q31-R31-X31-AI31)-AM31)</f>
        <v>-189.93621973455146</v>
      </c>
      <c r="AU31" s="399">
        <v>0.37</v>
      </c>
      <c r="AV31" s="400">
        <f t="shared" si="5"/>
        <v>0.25900000000000001</v>
      </c>
      <c r="AW31" s="401">
        <f>IF(AU31="",0,VLOOKUP(ROUNDDOWN(TEXT(B31,"0000"),-1),VLOOKUP!$M$3:$W$32,RIGHT(TEXT(B31,"0000"),1)+2,FALSE))</f>
        <v>2590</v>
      </c>
      <c r="AX31" s="401">
        <f t="shared" si="19"/>
        <v>55.900833333333331</v>
      </c>
      <c r="AY31" s="33">
        <f>AX31*((IF(Z31&gt;JUN!$Z$44,JUN!$Z$44,Z31)+AC31+AD31+AR31)*1.9835)/E31</f>
        <v>6.1383307676697667</v>
      </c>
      <c r="AZ31" s="36">
        <v>0</v>
      </c>
      <c r="BA31" s="149">
        <f>($BA$9-$BA$12)/17</f>
        <v>16.168554990435798</v>
      </c>
      <c r="BC31" s="40">
        <v>0</v>
      </c>
      <c r="BD31" s="96">
        <v>0</v>
      </c>
      <c r="BE31" s="39">
        <v>82</v>
      </c>
      <c r="BF31" s="39">
        <v>44</v>
      </c>
      <c r="BG31" s="314"/>
      <c r="BH31" s="319">
        <f t="shared" si="6"/>
        <v>5.5901487991816214</v>
      </c>
      <c r="BI31" s="40">
        <v>31.9</v>
      </c>
      <c r="BJ31" s="247">
        <v>11741.146000000001</v>
      </c>
      <c r="BK31" s="246">
        <f t="shared" si="7"/>
        <v>0</v>
      </c>
      <c r="BL31" s="485">
        <f t="shared" si="8"/>
        <v>0</v>
      </c>
      <c r="BN31" s="471">
        <f t="shared" si="21"/>
        <v>17</v>
      </c>
      <c r="BO31" s="456">
        <v>6868.81</v>
      </c>
      <c r="BP31" s="472">
        <f t="shared" si="9"/>
        <v>-0.4500000000007276</v>
      </c>
      <c r="BQ31" s="473">
        <v>74.8</v>
      </c>
      <c r="BR31" s="473">
        <f t="shared" si="10"/>
        <v>0</v>
      </c>
    </row>
    <row r="32" spans="1:71" ht="12.95" customHeight="1">
      <c r="A32" s="42">
        <v>18</v>
      </c>
      <c r="B32" s="98">
        <v>6868.09</v>
      </c>
      <c r="C32" s="390">
        <f>IF(B32="",C31,VLOOKUP(TRUNC(B32,1),VLOOKUP!$A$3:$K$2834,RIGHT(TEXT(B32,"0000.00"),1)+2,FALSE))</f>
        <v>182785</v>
      </c>
      <c r="D32" s="39">
        <f t="shared" si="22"/>
        <v>-704</v>
      </c>
      <c r="E32" s="49">
        <f t="shared" si="11"/>
        <v>30785</v>
      </c>
      <c r="F32" s="106">
        <f t="shared" si="0"/>
        <v>-354.92815729770609</v>
      </c>
      <c r="G32" s="41">
        <v>76.7</v>
      </c>
      <c r="H32" s="107">
        <v>0</v>
      </c>
      <c r="I32" s="41">
        <f t="shared" si="1"/>
        <v>76.7</v>
      </c>
      <c r="J32" s="36">
        <f t="shared" si="12"/>
        <v>0</v>
      </c>
      <c r="K32" s="41">
        <f t="shared" si="13"/>
        <v>76.7</v>
      </c>
      <c r="L32" s="41">
        <f t="shared" si="2"/>
        <v>-21.528157297706059</v>
      </c>
      <c r="M32" s="108">
        <v>124</v>
      </c>
      <c r="N32" s="36">
        <v>0</v>
      </c>
      <c r="O32" s="41">
        <f>35.5*1.05</f>
        <v>37.274999999999999</v>
      </c>
      <c r="P32" s="33">
        <v>0</v>
      </c>
      <c r="Q32" s="133">
        <f>1340800/325851/1.9835*1.02</f>
        <v>2.1159865854177862</v>
      </c>
      <c r="R32" s="67">
        <f>1568300/325851/1.9835*1.02</f>
        <v>2.4750162305420003</v>
      </c>
      <c r="S32" s="67">
        <f>IF(((4.9*1.04)-T32)&gt;=4.2,((4.9*1.04)-T32)-4.2,0)</f>
        <v>0</v>
      </c>
      <c r="T32" s="67">
        <v>0.99378026544854992</v>
      </c>
      <c r="U32" s="124">
        <v>0</v>
      </c>
      <c r="V32" s="41">
        <v>135</v>
      </c>
      <c r="W32" s="41">
        <v>55.3</v>
      </c>
      <c r="X32" s="41">
        <f t="shared" si="14"/>
        <v>271.44021691859166</v>
      </c>
      <c r="Y32" s="41">
        <f t="shared" si="15"/>
        <v>271.44021691859166</v>
      </c>
      <c r="Z32" s="49"/>
      <c r="AA32" s="41"/>
      <c r="AB32" s="49"/>
      <c r="AC32" s="56">
        <f t="shared" si="23"/>
        <v>1027.8192695802568</v>
      </c>
      <c r="AD32" s="49">
        <f>IF(BA32="",AD31,AD31+BA32)+MIN(0,AT32)</f>
        <v>511.30078024158081</v>
      </c>
      <c r="AE32" s="397"/>
      <c r="AG32" s="49">
        <f t="shared" si="27"/>
        <v>5559.3647592639272</v>
      </c>
      <c r="AH32" s="41">
        <v>45</v>
      </c>
      <c r="AI32" s="157">
        <v>1.7</v>
      </c>
      <c r="AJ32" s="175">
        <v>1.3</v>
      </c>
      <c r="AK32" s="41">
        <v>50.8</v>
      </c>
      <c r="AL32" s="49">
        <f t="shared" si="25"/>
        <v>3628.2792387194486</v>
      </c>
      <c r="AM32" s="49"/>
      <c r="AN32" s="68">
        <f t="shared" si="17"/>
        <v>410.1</v>
      </c>
      <c r="AO32" s="41">
        <f t="shared" si="3"/>
        <v>21.528157297706059</v>
      </c>
      <c r="AP32" s="41">
        <f t="shared" si="4"/>
        <v>431.62815729770608</v>
      </c>
      <c r="AQ32" s="126">
        <v>0</v>
      </c>
      <c r="AR32" s="41"/>
      <c r="AS32" s="39"/>
      <c r="AT32" s="37">
        <f t="shared" si="18"/>
        <v>-201.03121973455143</v>
      </c>
      <c r="AU32" s="399">
        <v>0.19</v>
      </c>
      <c r="AV32" s="400">
        <f t="shared" si="5"/>
        <v>0.13299999999999998</v>
      </c>
      <c r="AW32" s="401">
        <f>IF(AU32="",0,VLOOKUP(ROUNDDOWN(TEXT(B32,"0000"),-1),VLOOKUP!$M$3:$W$32,RIGHT(TEXT(B32,"0000"),1)+2,FALSE))</f>
        <v>2590</v>
      </c>
      <c r="AX32" s="401">
        <f t="shared" si="19"/>
        <v>28.705833333333331</v>
      </c>
      <c r="AY32" s="33">
        <f>AX32*((IF(Z32&gt;JUN!$Z$44,JUN!$Z$44,Z32)+AC32+AD32+AR32)*1.9835)/E32</f>
        <v>2.846660673069898</v>
      </c>
      <c r="AZ32" s="36">
        <v>0</v>
      </c>
      <c r="BA32" s="149"/>
      <c r="BC32" s="40">
        <v>0</v>
      </c>
      <c r="BD32" s="96">
        <v>0</v>
      </c>
      <c r="BE32" s="39">
        <v>81</v>
      </c>
      <c r="BF32" s="39">
        <v>44</v>
      </c>
      <c r="BG32" s="314"/>
      <c r="BH32" s="319">
        <f t="shared" si="6"/>
        <v>5.5847830814083359</v>
      </c>
      <c r="BI32" s="40">
        <v>0</v>
      </c>
      <c r="BJ32" s="247">
        <v>11716.041999999999</v>
      </c>
      <c r="BK32" s="246">
        <f t="shared" si="7"/>
        <v>0</v>
      </c>
      <c r="BL32" s="485">
        <f t="shared" si="8"/>
        <v>0</v>
      </c>
      <c r="BN32" s="471">
        <f t="shared" si="21"/>
        <v>18</v>
      </c>
      <c r="BO32" s="456">
        <v>6868.54</v>
      </c>
      <c r="BP32" s="472">
        <f t="shared" si="9"/>
        <v>-0.4499999999998181</v>
      </c>
      <c r="BQ32" s="473">
        <v>50.8</v>
      </c>
      <c r="BR32" s="473">
        <f t="shared" si="10"/>
        <v>0</v>
      </c>
    </row>
    <row r="33" spans="1:70" ht="12.95" customHeight="1">
      <c r="A33" s="42">
        <v>19</v>
      </c>
      <c r="B33" s="98">
        <v>6867.77</v>
      </c>
      <c r="C33" s="390">
        <f>IF(B33="",C32,VLOOKUP(TRUNC(B33,1),VLOOKUP!$A$3:$K$2834,RIGHT(TEXT(B33,"0000.00"),1)+2,FALSE))</f>
        <v>181959</v>
      </c>
      <c r="D33" s="39">
        <f t="shared" si="22"/>
        <v>-826</v>
      </c>
      <c r="E33" s="49">
        <f t="shared" si="11"/>
        <v>29959</v>
      </c>
      <c r="F33" s="106">
        <f t="shared" si="0"/>
        <v>-416.43559364759261</v>
      </c>
      <c r="G33" s="41">
        <v>56.5</v>
      </c>
      <c r="H33" s="107">
        <v>0</v>
      </c>
      <c r="I33" s="41">
        <f t="shared" si="1"/>
        <v>56.5</v>
      </c>
      <c r="J33" s="36">
        <f t="shared" si="12"/>
        <v>0</v>
      </c>
      <c r="K33" s="41">
        <f t="shared" si="13"/>
        <v>56.5</v>
      </c>
      <c r="L33" s="41">
        <f t="shared" si="2"/>
        <v>-17.6355936475926</v>
      </c>
      <c r="M33" s="108">
        <v>163</v>
      </c>
      <c r="N33" s="36">
        <v>0</v>
      </c>
      <c r="O33" s="41">
        <f>36.7*1.05</f>
        <v>38.535000000000004</v>
      </c>
      <c r="P33" s="33">
        <v>0</v>
      </c>
      <c r="Q33" s="133">
        <f>1385600/325851/1.9835*1.02</f>
        <v>2.1866878078422469</v>
      </c>
      <c r="R33" s="67">
        <f>1617800/325851/1.9835*1.02</f>
        <v>2.5531347687118839</v>
      </c>
      <c r="S33" s="67">
        <f>IF(((4.4*1.04)-T33)&gt;=4.2,((4.4*1.04)-T33)-4.2,0)</f>
        <v>0</v>
      </c>
      <c r="T33" s="67">
        <v>1.3028670048678184</v>
      </c>
      <c r="U33" s="124">
        <v>0</v>
      </c>
      <c r="V33" s="41">
        <v>126</v>
      </c>
      <c r="W33" s="41">
        <v>54.6</v>
      </c>
      <c r="X33" s="41">
        <f t="shared" si="14"/>
        <v>299.02231041857806</v>
      </c>
      <c r="Y33" s="41">
        <f t="shared" si="15"/>
        <v>299.02231041857806</v>
      </c>
      <c r="Z33" s="49"/>
      <c r="AA33" s="41"/>
      <c r="AB33" s="49"/>
      <c r="AC33" s="56">
        <f t="shared" si="23"/>
        <v>1026.3840990871538</v>
      </c>
      <c r="AD33" s="49">
        <f t="shared" ref="AD33:AD34" si="28">IF(BA33="",AD32,AD32+BA33)+MIN(0,AT33)</f>
        <v>262.33864724644866</v>
      </c>
      <c r="AE33" s="397"/>
      <c r="AF33" s="397"/>
      <c r="AG33" s="49">
        <f t="shared" si="27"/>
        <v>5559.3647592639272</v>
      </c>
      <c r="AH33" s="41">
        <v>85.4</v>
      </c>
      <c r="AI33" s="157">
        <v>1.7</v>
      </c>
      <c r="AJ33" s="175">
        <v>1.3</v>
      </c>
      <c r="AK33" s="41">
        <v>26.3</v>
      </c>
      <c r="AL33" s="49">
        <f t="shared" si="25"/>
        <v>3601.9792387194484</v>
      </c>
      <c r="AM33" s="49"/>
      <c r="AN33" s="68">
        <f t="shared" si="17"/>
        <v>455.3</v>
      </c>
      <c r="AO33" s="41">
        <f t="shared" si="3"/>
        <v>17.6355936475926</v>
      </c>
      <c r="AP33" s="41">
        <f t="shared" si="4"/>
        <v>472.93559364759261</v>
      </c>
      <c r="AQ33" s="126">
        <v>0</v>
      </c>
      <c r="AR33" s="41"/>
      <c r="AS33" s="39"/>
      <c r="AT33" s="37">
        <f t="shared" si="18"/>
        <v>-248.96213299513218</v>
      </c>
      <c r="AU33" s="399">
        <v>0.12</v>
      </c>
      <c r="AV33" s="400">
        <f t="shared" si="5"/>
        <v>8.3999999999999991E-2</v>
      </c>
      <c r="AW33" s="401">
        <f>IF(AU33="",0,VLOOKUP(ROUNDDOWN(TEXT(B33,"0000"),-1),VLOOKUP!$M$3:$W$32,RIGHT(TEXT(B33,"0000"),1)+2,FALSE))</f>
        <v>2590</v>
      </c>
      <c r="AX33" s="401">
        <f t="shared" si="19"/>
        <v>18.13</v>
      </c>
      <c r="AY33" s="33">
        <f>AX33*((IF(Z33&gt;JUN!$Z$44,JUN!$Z$44,Z33)+AC33+AD33+AR33)*1.9835)/E33</f>
        <v>1.5468998236291085</v>
      </c>
      <c r="AZ33" s="36">
        <v>0</v>
      </c>
      <c r="BA33" s="149"/>
      <c r="BC33" s="40">
        <v>0</v>
      </c>
      <c r="BD33" s="96">
        <v>0</v>
      </c>
      <c r="BE33" s="39">
        <v>79</v>
      </c>
      <c r="BF33" s="39">
        <v>47</v>
      </c>
      <c r="BG33" s="314"/>
      <c r="BH33" s="319">
        <f t="shared" si="6"/>
        <v>6.042689581421949</v>
      </c>
      <c r="BI33" s="40">
        <v>0</v>
      </c>
      <c r="BJ33" s="247">
        <v>11711.041999999999</v>
      </c>
      <c r="BK33" s="246">
        <f t="shared" si="7"/>
        <v>0</v>
      </c>
      <c r="BL33" s="485">
        <f t="shared" si="8"/>
        <v>0</v>
      </c>
      <c r="BN33" s="471">
        <f t="shared" si="21"/>
        <v>19</v>
      </c>
      <c r="BO33" s="456">
        <v>6868.22</v>
      </c>
      <c r="BP33" s="472">
        <f t="shared" si="9"/>
        <v>-0.4499999999998181</v>
      </c>
      <c r="BQ33" s="473">
        <v>26.3</v>
      </c>
      <c r="BR33" s="473">
        <f t="shared" si="10"/>
        <v>0</v>
      </c>
    </row>
    <row r="34" spans="1:70" ht="12.95" customHeight="1">
      <c r="A34" s="42">
        <v>20</v>
      </c>
      <c r="B34" s="98">
        <v>6867.5</v>
      </c>
      <c r="C34" s="390">
        <f>IF(B34="",C33,VLOOKUP(TRUNC(B34,1),VLOOKUP!$A$3:$K$2834,RIGHT(TEXT(B34,"0000.00"),1)+2,FALSE))</f>
        <v>181264</v>
      </c>
      <c r="D34" s="39">
        <f t="shared" si="22"/>
        <v>-695</v>
      </c>
      <c r="E34" s="49">
        <f t="shared" si="11"/>
        <v>29264</v>
      </c>
      <c r="F34" s="106">
        <f t="shared" si="0"/>
        <v>-350.3907234686161</v>
      </c>
      <c r="G34" s="41">
        <v>55.1</v>
      </c>
      <c r="H34" s="107">
        <v>0</v>
      </c>
      <c r="I34" s="41">
        <f t="shared" si="1"/>
        <v>55.1</v>
      </c>
      <c r="J34" s="36">
        <f t="shared" si="12"/>
        <v>0</v>
      </c>
      <c r="K34" s="41">
        <f t="shared" si="13"/>
        <v>55.1</v>
      </c>
      <c r="L34" s="41">
        <f t="shared" si="2"/>
        <v>-3.6907234686161701</v>
      </c>
      <c r="M34" s="108">
        <v>136</v>
      </c>
      <c r="N34" s="36">
        <v>0</v>
      </c>
      <c r="O34" s="41">
        <f>44.3*1.05</f>
        <v>46.515000000000001</v>
      </c>
      <c r="P34" s="33">
        <v>0</v>
      </c>
      <c r="Q34" s="133">
        <f>1590700/325851/1.9835*1.02</f>
        <v>2.5103668417542302</v>
      </c>
      <c r="R34" s="67">
        <f>1526700/325851/1.9835*1.02</f>
        <v>2.4093650954335724</v>
      </c>
      <c r="S34" s="67">
        <f>IF(((4.3*1.04)-T34)&gt;=4.2,((4.3*1.04)-T34)-4.2,0)</f>
        <v>0</v>
      </c>
      <c r="T34" s="67">
        <v>1.3028670048678184</v>
      </c>
      <c r="U34" s="124">
        <v>0</v>
      </c>
      <c r="V34" s="41">
        <v>122</v>
      </c>
      <c r="W34" s="41">
        <v>55.7</v>
      </c>
      <c r="X34" s="41">
        <f t="shared" si="14"/>
        <v>260.96240105794436</v>
      </c>
      <c r="Y34" s="41">
        <f t="shared" si="15"/>
        <v>260.96240105794436</v>
      </c>
      <c r="Z34" s="49"/>
      <c r="AA34" s="41"/>
      <c r="AB34" s="49"/>
      <c r="AC34" s="56">
        <f t="shared" si="23"/>
        <v>1025.6042151327151</v>
      </c>
      <c r="AD34" s="49">
        <f t="shared" si="28"/>
        <v>49.856514251316526</v>
      </c>
      <c r="AE34" s="397"/>
      <c r="AF34" s="397"/>
      <c r="AG34" s="49">
        <f t="shared" si="27"/>
        <v>5559.3647592639272</v>
      </c>
      <c r="AH34" s="41">
        <v>61.7</v>
      </c>
      <c r="AI34" s="157">
        <v>1.7</v>
      </c>
      <c r="AJ34" s="175">
        <v>1.3</v>
      </c>
      <c r="AK34" s="41">
        <v>26.4</v>
      </c>
      <c r="AL34" s="49">
        <f t="shared" si="25"/>
        <v>3575.5792387194483</v>
      </c>
      <c r="AM34" s="49"/>
      <c r="AN34" s="68">
        <f t="shared" si="17"/>
        <v>401.79999999999995</v>
      </c>
      <c r="AO34" s="41">
        <f t="shared" si="3"/>
        <v>3.6907234686161701</v>
      </c>
      <c r="AP34" s="41">
        <f t="shared" si="4"/>
        <v>405.49072346861612</v>
      </c>
      <c r="AQ34" s="126">
        <v>0</v>
      </c>
      <c r="AR34" s="41"/>
      <c r="AS34" s="39"/>
      <c r="AT34" s="37">
        <f t="shared" si="18"/>
        <v>-212.48213299513213</v>
      </c>
      <c r="AU34" s="399">
        <v>0.05</v>
      </c>
      <c r="AV34" s="400">
        <f t="shared" si="5"/>
        <v>3.4999999999999996E-2</v>
      </c>
      <c r="AW34" s="401">
        <f>IF(AU34="",0,VLOOKUP(ROUNDDOWN(TEXT(B34,"0000"),-1),VLOOKUP!$M$3:$W$32,RIGHT(TEXT(B34,"0000"),1)+2,FALSE))</f>
        <v>2590</v>
      </c>
      <c r="AX34" s="401">
        <f t="shared" si="19"/>
        <v>7.5541666666666663</v>
      </c>
      <c r="AY34" s="33">
        <f>AX34*((IF(Z34&gt;JUN!$Z$44,JUN!$Z$44,Z34)+AC34+AD34+AR34)*1.9835)/E34</f>
        <v>0.55065506178771129</v>
      </c>
      <c r="AZ34" s="36">
        <v>0</v>
      </c>
      <c r="BA34" s="149"/>
      <c r="BC34" s="40">
        <v>0</v>
      </c>
      <c r="BD34" s="96">
        <v>0.11</v>
      </c>
      <c r="BE34" s="39">
        <v>78</v>
      </c>
      <c r="BF34" s="39">
        <v>51</v>
      </c>
      <c r="BG34" s="314"/>
      <c r="BH34" s="319">
        <f t="shared" si="6"/>
        <v>6.2225989420556207</v>
      </c>
      <c r="BI34" s="40">
        <v>0</v>
      </c>
      <c r="BJ34" s="247">
        <v>11713.802</v>
      </c>
      <c r="BK34" s="246">
        <f t="shared" si="7"/>
        <v>0</v>
      </c>
      <c r="BL34" s="485">
        <f t="shared" si="8"/>
        <v>0</v>
      </c>
      <c r="BN34" s="471">
        <f t="shared" si="21"/>
        <v>20</v>
      </c>
      <c r="BO34" s="456">
        <v>6867.98</v>
      </c>
      <c r="BP34" s="472">
        <f t="shared" si="9"/>
        <v>-0.47999999999956344</v>
      </c>
      <c r="BQ34" s="473">
        <v>26.4</v>
      </c>
      <c r="BR34" s="473">
        <f t="shared" si="10"/>
        <v>0</v>
      </c>
    </row>
    <row r="35" spans="1:70" ht="12.95" customHeight="1">
      <c r="A35" s="42">
        <v>21</v>
      </c>
      <c r="B35" s="98">
        <v>6867.26</v>
      </c>
      <c r="C35" s="390">
        <f>IF(B35="",C34,VLOOKUP(TRUNC(B35,1),VLOOKUP!$A$3:$K$2834,RIGHT(TEXT(B35,"0000.00"),1)+2,FALSE))</f>
        <v>180647</v>
      </c>
      <c r="D35" s="39">
        <f t="shared" si="22"/>
        <v>-617</v>
      </c>
      <c r="E35" s="49">
        <f t="shared" si="11"/>
        <v>28647</v>
      </c>
      <c r="F35" s="106">
        <f t="shared" si="0"/>
        <v>-311.06629694983616</v>
      </c>
      <c r="G35" s="41">
        <v>55</v>
      </c>
      <c r="H35" s="107">
        <v>0</v>
      </c>
      <c r="I35" s="41">
        <f t="shared" si="1"/>
        <v>55</v>
      </c>
      <c r="J35" s="36">
        <f t="shared" si="12"/>
        <v>0</v>
      </c>
      <c r="K35" s="41">
        <f t="shared" si="13"/>
        <v>55</v>
      </c>
      <c r="L35" s="41">
        <f t="shared" si="2"/>
        <v>-20.866296949836169</v>
      </c>
      <c r="M35" s="108">
        <v>113</v>
      </c>
      <c r="N35" s="36">
        <v>0</v>
      </c>
      <c r="O35" s="41">
        <f>27.1*1.05</f>
        <v>28.455000000000002</v>
      </c>
      <c r="P35" s="33">
        <v>0</v>
      </c>
      <c r="Q35" s="133">
        <f>1372600/325851/1.9835*1.02</f>
        <v>2.1661718281208628</v>
      </c>
      <c r="R35" s="67">
        <f>1787800/325851/1.9835*1.02</f>
        <v>2.8214206573761325</v>
      </c>
      <c r="S35" s="67">
        <f>IF(((5.6*1.04)-T35)&gt;=4.2,((5.6*1.04)-T35)-4.2,0)</f>
        <v>0.32113299513218152</v>
      </c>
      <c r="T35" s="67">
        <v>1.3028670048678184</v>
      </c>
      <c r="U35" s="124">
        <v>0</v>
      </c>
      <c r="V35" s="41">
        <v>119</v>
      </c>
      <c r="W35" s="41">
        <v>55.8</v>
      </c>
      <c r="X35" s="41">
        <f t="shared" si="14"/>
        <v>252.73340751450303</v>
      </c>
      <c r="Y35" s="41">
        <f t="shared" si="15"/>
        <v>252.73340751450303</v>
      </c>
      <c r="Z35" s="49"/>
      <c r="AA35" s="41"/>
      <c r="AB35" s="49"/>
      <c r="AC35" s="56">
        <f t="shared" si="23"/>
        <v>1025.3265972543245</v>
      </c>
      <c r="AD35" s="49">
        <f>IF(BA35="",AD34,AD34+BA35)+MIN(0,AT35)+(-AT35-AD34)</f>
        <v>0</v>
      </c>
      <c r="AE35" s="397"/>
      <c r="AF35" s="397"/>
      <c r="AG35" s="49">
        <f>AG34-(-AT35-AD34)</f>
        <v>5404.800273515244</v>
      </c>
      <c r="AH35" s="41">
        <v>31</v>
      </c>
      <c r="AI35" s="157">
        <v>1.7</v>
      </c>
      <c r="AJ35" s="175">
        <v>1.3</v>
      </c>
      <c r="AK35" s="41">
        <v>26.4</v>
      </c>
      <c r="AL35" s="49">
        <f t="shared" si="25"/>
        <v>3549.1792387194482</v>
      </c>
      <c r="AM35" s="49"/>
      <c r="AN35" s="68">
        <f t="shared" si="17"/>
        <v>345.2</v>
      </c>
      <c r="AO35" s="41">
        <f t="shared" si="3"/>
        <v>20.866296949836169</v>
      </c>
      <c r="AP35" s="41">
        <f t="shared" si="4"/>
        <v>366.06629694983616</v>
      </c>
      <c r="AQ35" s="126">
        <v>0</v>
      </c>
      <c r="AR35" s="41"/>
      <c r="AS35" s="39"/>
      <c r="AT35" s="37">
        <f t="shared" si="18"/>
        <v>-204.42100000000002</v>
      </c>
      <c r="AU35" s="399">
        <v>0.2</v>
      </c>
      <c r="AV35" s="400">
        <f t="shared" si="5"/>
        <v>0.13999999999999999</v>
      </c>
      <c r="AW35" s="401">
        <f>IF(AU35="",0,VLOOKUP(ROUNDDOWN(TEXT(B35,"0000"),-1),VLOOKUP!$M$3:$W$32,RIGHT(TEXT(B35,"0000"),1)+2,FALSE))</f>
        <v>2552</v>
      </c>
      <c r="AX35" s="401">
        <f t="shared" si="19"/>
        <v>29.77333333333333</v>
      </c>
      <c r="AY35" s="33">
        <f>AX35*((IF(Z35&gt;JUN!$Z$44,JUN!$Z$44,Z35)+AC35+AD35+AR35)*1.9835)/E35</f>
        <v>2.1136970421685928</v>
      </c>
      <c r="AZ35" s="36">
        <v>0</v>
      </c>
      <c r="BA35" s="149"/>
      <c r="BC35" s="40">
        <v>0</v>
      </c>
      <c r="BD35" s="96">
        <v>0.14000000000000001</v>
      </c>
      <c r="BE35" s="39">
        <v>81</v>
      </c>
      <c r="BF35" s="39">
        <v>47</v>
      </c>
      <c r="BG35" s="314"/>
      <c r="BH35" s="319">
        <f t="shared" si="6"/>
        <v>6.6115924854969945</v>
      </c>
      <c r="BI35" s="40">
        <v>0</v>
      </c>
      <c r="BJ35" s="247">
        <v>11717.343999999999</v>
      </c>
      <c r="BK35" s="246">
        <f t="shared" si="7"/>
        <v>0</v>
      </c>
      <c r="BL35" s="485">
        <f t="shared" si="8"/>
        <v>0</v>
      </c>
      <c r="BN35" s="471">
        <f t="shared" si="21"/>
        <v>21</v>
      </c>
      <c r="BO35" s="456">
        <v>6867.74</v>
      </c>
      <c r="BP35" s="472">
        <f t="shared" si="9"/>
        <v>-0.47999999999956344</v>
      </c>
      <c r="BQ35" s="473">
        <v>26.4</v>
      </c>
      <c r="BR35" s="473">
        <f t="shared" si="10"/>
        <v>0</v>
      </c>
    </row>
    <row r="36" spans="1:70" ht="12.95" customHeight="1">
      <c r="A36" s="42">
        <v>22</v>
      </c>
      <c r="B36" s="98">
        <v>6867.04</v>
      </c>
      <c r="C36" s="390">
        <f>IF(B36="",C35,VLOOKUP(TRUNC(B36,1),VLOOKUP!$A$3:$K$2834,RIGHT(TEXT(B36,"0000.00"),1)+2,FALSE))</f>
        <v>180082</v>
      </c>
      <c r="D36" s="39">
        <f t="shared" si="22"/>
        <v>-565</v>
      </c>
      <c r="E36" s="49">
        <f t="shared" si="11"/>
        <v>28082</v>
      </c>
      <c r="F36" s="106">
        <f t="shared" si="0"/>
        <v>-284.85001260398286</v>
      </c>
      <c r="G36" s="41">
        <v>53.5</v>
      </c>
      <c r="H36" s="107">
        <v>0</v>
      </c>
      <c r="I36" s="41">
        <f t="shared" si="1"/>
        <v>53.5</v>
      </c>
      <c r="J36" s="36">
        <f t="shared" si="12"/>
        <v>5.0499873960171158</v>
      </c>
      <c r="K36" s="41">
        <f t="shared" si="13"/>
        <v>58.549987396017116</v>
      </c>
      <c r="L36" s="41">
        <f t="shared" si="2"/>
        <v>5.0499873960171158</v>
      </c>
      <c r="M36" s="108">
        <v>114</v>
      </c>
      <c r="N36" s="36">
        <v>0</v>
      </c>
      <c r="O36" s="41">
        <f>16.6*1.05</f>
        <v>17.430000000000003</v>
      </c>
      <c r="P36" s="33">
        <v>0</v>
      </c>
      <c r="Q36" s="133">
        <f>1601000/325851/1.9835*1.02</f>
        <v>2.5266218103027116</v>
      </c>
      <c r="R36" s="67">
        <f>1539800/325851/1.9835*1.02</f>
        <v>2.4300388903835821</v>
      </c>
      <c r="S36" s="67">
        <f>IF(((5.9*1.04)-T36)&gt;=4.2,((5.9*1.04)-T36)-4.2,0)</f>
        <v>0.63313299513218269</v>
      </c>
      <c r="T36" s="67">
        <v>1.3028670048678184</v>
      </c>
      <c r="U36" s="124">
        <v>0</v>
      </c>
      <c r="V36" s="41">
        <v>116</v>
      </c>
      <c r="W36" s="41">
        <v>55.7</v>
      </c>
      <c r="X36" s="41">
        <f t="shared" si="14"/>
        <v>261.37733929931369</v>
      </c>
      <c r="Y36" s="41">
        <f t="shared" si="15"/>
        <v>261.37733929931369</v>
      </c>
      <c r="Z36" s="49"/>
      <c r="AA36" s="41"/>
      <c r="AB36" s="49"/>
      <c r="AC36" s="56">
        <f t="shared" si="23"/>
        <v>1024.2609572028152</v>
      </c>
      <c r="AD36" s="49"/>
      <c r="AE36" s="397"/>
      <c r="AF36" s="397"/>
      <c r="AG36" s="49">
        <f t="shared" ref="AG36:AG44" si="29">AG35+MIN(0,AT36)</f>
        <v>5190.2662735152444</v>
      </c>
      <c r="AH36" s="41">
        <v>31</v>
      </c>
      <c r="AI36" s="157">
        <v>1.7</v>
      </c>
      <c r="AJ36" s="175">
        <v>1.3</v>
      </c>
      <c r="AK36" s="41">
        <v>26.7</v>
      </c>
      <c r="AL36" s="49">
        <f t="shared" si="25"/>
        <v>3522.4792387194484</v>
      </c>
      <c r="AM36" s="49"/>
      <c r="AN36" s="68">
        <f t="shared" si="17"/>
        <v>343.4</v>
      </c>
      <c r="AO36" s="41">
        <f t="shared" si="3"/>
        <v>0</v>
      </c>
      <c r="AP36" s="41">
        <f t="shared" si="4"/>
        <v>343.4</v>
      </c>
      <c r="AQ36" s="126">
        <v>0</v>
      </c>
      <c r="AR36" s="41"/>
      <c r="AS36" s="39"/>
      <c r="AT36" s="37">
        <f t="shared" si="18"/>
        <v>-214.53399999999999</v>
      </c>
      <c r="AU36" s="399">
        <v>0.05</v>
      </c>
      <c r="AV36" s="400">
        <f t="shared" si="5"/>
        <v>3.4999999999999996E-2</v>
      </c>
      <c r="AW36" s="401">
        <f>IF(AU36="",0,VLOOKUP(ROUNDDOWN(TEXT(B36,"0000"),-1),VLOOKUP!$M$3:$W$32,RIGHT(TEXT(B36,"0000"),1)+2,FALSE))</f>
        <v>2552</v>
      </c>
      <c r="AX36" s="401">
        <f t="shared" si="19"/>
        <v>7.4433333333333325</v>
      </c>
      <c r="AY36" s="33">
        <f>AX36*((IF(Z36&gt;JUN!$Z$44,JUN!$Z$44,Z36)+AC36+AD36+AR36)*1.9835)/E36</f>
        <v>0.53849572110606003</v>
      </c>
      <c r="AZ36" s="36">
        <v>0</v>
      </c>
      <c r="BA36" s="149"/>
      <c r="BC36" s="40">
        <v>0</v>
      </c>
      <c r="BD36" s="96">
        <v>0.33</v>
      </c>
      <c r="BE36" s="39">
        <v>73</v>
      </c>
      <c r="BF36" s="39">
        <v>49</v>
      </c>
      <c r="BG36" s="314"/>
      <c r="BH36" s="319">
        <f t="shared" si="6"/>
        <v>6.892660700686295</v>
      </c>
      <c r="BI36" s="40">
        <v>0</v>
      </c>
      <c r="BJ36" s="247">
        <v>11712.968999999999</v>
      </c>
      <c r="BK36" s="246">
        <f t="shared" si="7"/>
        <v>0</v>
      </c>
      <c r="BL36" s="485">
        <f t="shared" si="8"/>
        <v>0</v>
      </c>
      <c r="BN36" s="471">
        <f t="shared" si="21"/>
        <v>22</v>
      </c>
      <c r="BO36" s="456">
        <v>6867.55</v>
      </c>
      <c r="BP36" s="472">
        <f t="shared" si="9"/>
        <v>-0.51000000000021828</v>
      </c>
      <c r="BQ36" s="473">
        <v>26.7</v>
      </c>
      <c r="BR36" s="473">
        <f t="shared" si="10"/>
        <v>0</v>
      </c>
    </row>
    <row r="37" spans="1:70" ht="12.95" customHeight="1">
      <c r="A37" s="42">
        <v>23</v>
      </c>
      <c r="B37" s="98">
        <v>6866.8</v>
      </c>
      <c r="C37" s="390">
        <f>IF(B37="",C36,VLOOKUP(TRUNC(B37,1),VLOOKUP!$A$3:$K$2834,RIGHT(TEXT(B37,"0000.00"),1)+2,FALSE))</f>
        <v>179472</v>
      </c>
      <c r="D37" s="39">
        <f t="shared" si="22"/>
        <v>-610</v>
      </c>
      <c r="E37" s="49">
        <f t="shared" si="11"/>
        <v>27472</v>
      </c>
      <c r="F37" s="106">
        <f t="shared" si="0"/>
        <v>-307.53718174943282</v>
      </c>
      <c r="G37" s="41">
        <v>59.4</v>
      </c>
      <c r="H37" s="107">
        <v>0</v>
      </c>
      <c r="I37" s="41">
        <f t="shared" si="1"/>
        <v>59.4</v>
      </c>
      <c r="J37" s="36">
        <f t="shared" si="12"/>
        <v>0</v>
      </c>
      <c r="K37" s="41">
        <f t="shared" si="13"/>
        <v>59.4</v>
      </c>
      <c r="L37" s="41">
        <f t="shared" si="2"/>
        <v>-23.537181749432762</v>
      </c>
      <c r="M37" s="108">
        <v>117</v>
      </c>
      <c r="N37" s="36">
        <v>0</v>
      </c>
      <c r="O37" s="41">
        <f>20.3*1.05</f>
        <v>21.315000000000001</v>
      </c>
      <c r="P37" s="33">
        <v>0</v>
      </c>
      <c r="Q37" s="133">
        <f>1646300/325851/1.9835*1.02</f>
        <v>2.5981121088703021</v>
      </c>
      <c r="R37" s="67">
        <f>1263900/325851/1.9835*1.02</f>
        <v>1.9946266746043704</v>
      </c>
      <c r="S37" s="67">
        <f>IF(((3.4*1.04)-T37)&gt;=4.2,((3.4*1.04)-T37)-4.2,0)</f>
        <v>0</v>
      </c>
      <c r="T37" s="67">
        <v>1.3028670048678184</v>
      </c>
      <c r="U37" s="124">
        <v>0</v>
      </c>
      <c r="V37" s="41">
        <v>114</v>
      </c>
      <c r="W37" s="41">
        <v>54.5</v>
      </c>
      <c r="X37" s="41">
        <f t="shared" si="14"/>
        <v>258.28939421165751</v>
      </c>
      <c r="Y37" s="41">
        <f t="shared" si="15"/>
        <v>258.28939421165751</v>
      </c>
      <c r="Z37" s="49"/>
      <c r="AA37" s="41"/>
      <c r="AB37" s="49"/>
      <c r="AC37" s="56">
        <f t="shared" si="23"/>
        <v>1023.9894695692856</v>
      </c>
      <c r="AD37" s="49"/>
      <c r="AE37" s="397"/>
      <c r="AF37" s="397"/>
      <c r="AG37" s="49">
        <f t="shared" si="29"/>
        <v>4985.0841405201118</v>
      </c>
      <c r="AH37" s="41">
        <v>31.1</v>
      </c>
      <c r="AI37" s="157">
        <v>1.7</v>
      </c>
      <c r="AJ37" s="175">
        <v>1.3</v>
      </c>
      <c r="AK37" s="41">
        <v>26.8</v>
      </c>
      <c r="AL37" s="49">
        <f t="shared" si="25"/>
        <v>3495.6792387194482</v>
      </c>
      <c r="AM37" s="49"/>
      <c r="AN37" s="68">
        <f t="shared" si="17"/>
        <v>343.40000000000003</v>
      </c>
      <c r="AO37" s="41">
        <f t="shared" si="3"/>
        <v>23.537181749432762</v>
      </c>
      <c r="AP37" s="41">
        <f t="shared" si="4"/>
        <v>366.9371817494328</v>
      </c>
      <c r="AQ37" s="126">
        <v>0</v>
      </c>
      <c r="AR37" s="41"/>
      <c r="AS37" s="39"/>
      <c r="AT37" s="37">
        <f t="shared" si="18"/>
        <v>-205.18213299513218</v>
      </c>
      <c r="AU37" s="399">
        <v>0.26</v>
      </c>
      <c r="AV37" s="400">
        <f t="shared" si="5"/>
        <v>0.182</v>
      </c>
      <c r="AW37" s="401">
        <f>IF(AU37="",0,VLOOKUP(ROUNDDOWN(TEXT(B37,"0000"),-1),VLOOKUP!$M$3:$W$32,RIGHT(TEXT(B37,"0000"),1)+2,FALSE))</f>
        <v>2552</v>
      </c>
      <c r="AX37" s="401">
        <f t="shared" si="19"/>
        <v>38.705333333333336</v>
      </c>
      <c r="AY37" s="33">
        <f>AX37*((IF(Z37&gt;JUN!$Z$44,JUN!$Z$44,Z37)+AC37+AD37+AR37)*1.9835)/E37</f>
        <v>2.8615954030335611</v>
      </c>
      <c r="AZ37" s="36">
        <v>0</v>
      </c>
      <c r="BA37" s="149"/>
      <c r="BC37" s="40">
        <v>0</v>
      </c>
      <c r="BD37" s="96">
        <v>0.01</v>
      </c>
      <c r="BE37" s="39">
        <v>70</v>
      </c>
      <c r="BF37" s="39">
        <v>41</v>
      </c>
      <c r="BG37" s="314"/>
      <c r="BH37" s="319">
        <f t="shared" si="6"/>
        <v>5.8956057883424906</v>
      </c>
      <c r="BI37" s="40">
        <v>0</v>
      </c>
      <c r="BJ37" s="247">
        <v>11718.073</v>
      </c>
      <c r="BK37" s="246">
        <f t="shared" si="7"/>
        <v>0</v>
      </c>
      <c r="BL37" s="485">
        <f t="shared" si="8"/>
        <v>0</v>
      </c>
      <c r="BN37" s="471">
        <f t="shared" si="21"/>
        <v>23</v>
      </c>
      <c r="BO37" s="456">
        <v>6867.33</v>
      </c>
      <c r="BP37" s="472">
        <f t="shared" si="9"/>
        <v>-0.52999999999974534</v>
      </c>
      <c r="BQ37" s="473">
        <v>26.8</v>
      </c>
      <c r="BR37" s="473">
        <f t="shared" si="10"/>
        <v>0</v>
      </c>
    </row>
    <row r="38" spans="1:70" ht="12.75" customHeight="1">
      <c r="A38" s="42">
        <v>24</v>
      </c>
      <c r="B38" s="98">
        <v>6866.6</v>
      </c>
      <c r="C38" s="390">
        <f>IF(B38="",C37,VLOOKUP(TRUNC(B38,1),VLOOKUP!$A$3:$K$2834,RIGHT(TEXT(B38,"0000.00"),1)+2,FALSE))</f>
        <v>178965</v>
      </c>
      <c r="D38" s="39">
        <f t="shared" si="22"/>
        <v>-507</v>
      </c>
      <c r="E38" s="49">
        <f>C38-152000</f>
        <v>26965</v>
      </c>
      <c r="F38" s="106">
        <f>D38/$D$2</f>
        <v>-255.60877237206958</v>
      </c>
      <c r="G38" s="41">
        <v>58</v>
      </c>
      <c r="H38" s="107">
        <v>0</v>
      </c>
      <c r="I38" s="41">
        <f t="shared" si="1"/>
        <v>58</v>
      </c>
      <c r="J38" s="36">
        <f t="shared" si="12"/>
        <v>0</v>
      </c>
      <c r="K38" s="41">
        <f t="shared" si="13"/>
        <v>58</v>
      </c>
      <c r="L38" s="41">
        <f t="shared" si="2"/>
        <v>-3.1087723720695806</v>
      </c>
      <c r="M38" s="108">
        <v>106</v>
      </c>
      <c r="N38" s="36">
        <v>0</v>
      </c>
      <c r="O38" s="41">
        <f>23*1.05</f>
        <v>24.150000000000002</v>
      </c>
      <c r="P38" s="33">
        <v>0</v>
      </c>
      <c r="Q38" s="133">
        <f>1552500/325851/1.9835*1.02</f>
        <v>2.4500814244190874</v>
      </c>
      <c r="R38" s="67">
        <f>1430100/325851/1.9835*1.02</f>
        <v>2.2569155845808289</v>
      </c>
      <c r="S38" s="67">
        <f>IF(((3.6*1.04)-T38)&gt;=4.2,((3.6*1.04)-T38)-4.2,0)</f>
        <v>0</v>
      </c>
      <c r="T38" s="67">
        <v>1.3028670048678184</v>
      </c>
      <c r="U38" s="124">
        <v>0</v>
      </c>
      <c r="V38" s="41">
        <v>115</v>
      </c>
      <c r="W38" s="41">
        <v>51.3</v>
      </c>
      <c r="X38" s="41">
        <f t="shared" si="14"/>
        <v>242.14013598613229</v>
      </c>
      <c r="Y38" s="41">
        <f t="shared" si="15"/>
        <v>242.14013598613229</v>
      </c>
      <c r="Z38" s="49"/>
      <c r="AA38" s="41"/>
      <c r="AB38" s="49"/>
      <c r="AC38" s="56">
        <f t="shared" si="23"/>
        <v>1022.5467695929641</v>
      </c>
      <c r="AD38" s="49"/>
      <c r="AE38" s="397"/>
      <c r="AF38" s="397"/>
      <c r="AG38" s="49">
        <f t="shared" si="29"/>
        <v>4794.5370075249793</v>
      </c>
      <c r="AH38" s="41">
        <v>11.2</v>
      </c>
      <c r="AI38" s="157">
        <v>1.7</v>
      </c>
      <c r="AJ38" s="175">
        <v>1.3</v>
      </c>
      <c r="AK38" s="41">
        <v>27</v>
      </c>
      <c r="AL38" s="49">
        <f t="shared" si="25"/>
        <v>3468.6792387194482</v>
      </c>
      <c r="AM38" s="49"/>
      <c r="AN38" s="68">
        <f t="shared" si="17"/>
        <v>310.5</v>
      </c>
      <c r="AO38" s="41">
        <f t="shared" si="3"/>
        <v>3.1087723720695806</v>
      </c>
      <c r="AP38" s="41">
        <f t="shared" si="4"/>
        <v>313.60877237206955</v>
      </c>
      <c r="AQ38" s="126">
        <v>0</v>
      </c>
      <c r="AR38" s="41"/>
      <c r="AS38" s="39"/>
      <c r="AT38" s="37">
        <f t="shared" si="18"/>
        <v>-190.54713299513219</v>
      </c>
      <c r="AU38" s="399">
        <v>0.1</v>
      </c>
      <c r="AV38" s="400">
        <f t="shared" si="5"/>
        <v>6.9999999999999993E-2</v>
      </c>
      <c r="AW38" s="401">
        <f>IF(AU38="",0,VLOOKUP(ROUNDDOWN(TEXT(B38,"0000"),-1),VLOOKUP!$M$3:$W$32,RIGHT(TEXT(B38,"0000"),1)+2,FALSE))</f>
        <v>2552</v>
      </c>
      <c r="AX38" s="401">
        <f t="shared" si="19"/>
        <v>14.886666666666665</v>
      </c>
      <c r="AY38" s="33">
        <f>AX38*((IF(Z38&gt;JUN!$Z$44,JUN!$Z$44,Z38)+AC38+AD38+AR38)*1.9835)/E38</f>
        <v>1.119727708399755</v>
      </c>
      <c r="AZ38" s="36">
        <v>0</v>
      </c>
      <c r="BA38" s="149"/>
      <c r="BC38" s="40">
        <v>0</v>
      </c>
      <c r="BD38" s="96">
        <v>0</v>
      </c>
      <c r="BE38" s="39">
        <v>76</v>
      </c>
      <c r="BF38" s="39">
        <v>42</v>
      </c>
      <c r="BG38" s="314"/>
      <c r="BH38" s="319">
        <f t="shared" si="6"/>
        <v>6.0098640138677348</v>
      </c>
      <c r="BI38" s="40">
        <v>0</v>
      </c>
      <c r="BJ38" s="71">
        <v>11714.375</v>
      </c>
      <c r="BK38" s="246">
        <f t="shared" si="7"/>
        <v>0</v>
      </c>
      <c r="BL38" s="485">
        <f t="shared" si="8"/>
        <v>0</v>
      </c>
      <c r="BN38" s="471">
        <f t="shared" si="21"/>
        <v>24</v>
      </c>
      <c r="BO38" s="456">
        <v>6867.09</v>
      </c>
      <c r="BP38" s="472">
        <f t="shared" si="9"/>
        <v>-0.48999999999978172</v>
      </c>
      <c r="BQ38" s="473">
        <f>AK38</f>
        <v>27</v>
      </c>
      <c r="BR38" s="473">
        <f t="shared" si="10"/>
        <v>0</v>
      </c>
    </row>
    <row r="39" spans="1:70" ht="12.95" customHeight="1">
      <c r="A39" s="42">
        <v>25</v>
      </c>
      <c r="B39" s="98">
        <v>6866.38</v>
      </c>
      <c r="C39" s="390">
        <f>IF(B39="",C38,VLOOKUP(TRUNC(B39,1),VLOOKUP!$A$3:$K$2834,RIGHT(TEXT(B39,"0000.00"),1)+2,FALSE))</f>
        <v>178408</v>
      </c>
      <c r="D39" s="39">
        <f t="shared" si="22"/>
        <v>-557</v>
      </c>
      <c r="E39" s="49">
        <f t="shared" si="11"/>
        <v>26408</v>
      </c>
      <c r="F39" s="106">
        <f t="shared" si="0"/>
        <v>-280.8167380892362</v>
      </c>
      <c r="G39" s="41">
        <v>51.2</v>
      </c>
      <c r="H39" s="107">
        <v>0</v>
      </c>
      <c r="I39" s="41">
        <f t="shared" si="1"/>
        <v>51.2</v>
      </c>
      <c r="J39" s="36">
        <f t="shared" si="12"/>
        <v>0</v>
      </c>
      <c r="K39" s="41">
        <f t="shared" si="13"/>
        <v>51.2</v>
      </c>
      <c r="L39" s="41">
        <f t="shared" si="2"/>
        <v>-4.5167380892361848</v>
      </c>
      <c r="M39" s="108">
        <v>104</v>
      </c>
      <c r="N39" s="36">
        <v>0</v>
      </c>
      <c r="O39" s="41">
        <f>11.9*1.05</f>
        <v>12.495000000000001</v>
      </c>
      <c r="P39" s="33">
        <v>0</v>
      </c>
      <c r="Q39" s="133">
        <f>1671500/325851/1.9835*1.02</f>
        <v>2.6378815464840613</v>
      </c>
      <c r="R39" s="67">
        <f>1439300/325851/1.9835*1.02</f>
        <v>2.2714345856144242</v>
      </c>
      <c r="S39" s="67">
        <f>IF(((4.9*1.04)-T39)&gt;=4.2,((4.9*1.04)-T39)-4.2,0)</f>
        <v>0</v>
      </c>
      <c r="T39" s="67">
        <v>1.3028670048678184</v>
      </c>
      <c r="U39" s="124">
        <v>0</v>
      </c>
      <c r="V39" s="41">
        <v>114</v>
      </c>
      <c r="W39" s="41">
        <v>50.8</v>
      </c>
      <c r="X39" s="41">
        <f t="shared" si="14"/>
        <v>250.0928168630337</v>
      </c>
      <c r="Y39" s="41">
        <f t="shared" si="15"/>
        <v>250.0928168630337</v>
      </c>
      <c r="Z39" s="49"/>
      <c r="AA39" s="41"/>
      <c r="AB39" s="49"/>
      <c r="AC39" s="56">
        <f t="shared" si="23"/>
        <v>1021.9822484392461</v>
      </c>
      <c r="AD39" s="49"/>
      <c r="AE39" s="397"/>
      <c r="AF39" s="397"/>
      <c r="AG39" s="49">
        <f t="shared" si="29"/>
        <v>4589.034874529847</v>
      </c>
      <c r="AH39" s="41">
        <v>31.7</v>
      </c>
      <c r="AI39" s="157">
        <v>1.7</v>
      </c>
      <c r="AJ39" s="175">
        <v>1.3</v>
      </c>
      <c r="AK39" s="41">
        <v>27</v>
      </c>
      <c r="AL39" s="49">
        <f t="shared" si="25"/>
        <v>3441.6792387194482</v>
      </c>
      <c r="AM39" s="49"/>
      <c r="AN39" s="68">
        <f t="shared" si="17"/>
        <v>327.5</v>
      </c>
      <c r="AO39" s="41">
        <f t="shared" si="3"/>
        <v>4.5167380892361848</v>
      </c>
      <c r="AP39" s="41">
        <f t="shared" si="4"/>
        <v>332.01673808923618</v>
      </c>
      <c r="AQ39" s="126">
        <v>0</v>
      </c>
      <c r="AR39" s="41"/>
      <c r="AS39" s="39"/>
      <c r="AT39" s="37">
        <f t="shared" si="18"/>
        <v>-205.50213299513217</v>
      </c>
      <c r="AU39" s="399">
        <v>0.12</v>
      </c>
      <c r="AV39" s="400">
        <f t="shared" si="5"/>
        <v>8.3999999999999991E-2</v>
      </c>
      <c r="AW39" s="401">
        <f>IF(AU39="",0,VLOOKUP(ROUNDDOWN(TEXT(B39,"0000"),-1),VLOOKUP!$M$3:$W$32,RIGHT(TEXT(B39,"0000"),1)+2,FALSE))</f>
        <v>2514</v>
      </c>
      <c r="AX39" s="401">
        <f t="shared" si="19"/>
        <v>17.597999999999999</v>
      </c>
      <c r="AY39" s="33">
        <f>AX39*((IF(Z39&gt;JUN!$Z$44,JUN!$Z$44,Z39)+AC39+AD39+AR39)*1.9835)/E39</f>
        <v>1.3508382799354417</v>
      </c>
      <c r="AZ39" s="36">
        <v>0</v>
      </c>
      <c r="BA39" s="149"/>
      <c r="BC39" s="40">
        <v>0</v>
      </c>
      <c r="BD39" s="96">
        <v>0</v>
      </c>
      <c r="BE39" s="39">
        <v>79</v>
      </c>
      <c r="BF39" s="39">
        <v>44</v>
      </c>
      <c r="BG39" s="314"/>
      <c r="BH39" s="319">
        <f t="shared" si="6"/>
        <v>6.2121831369663036</v>
      </c>
      <c r="BI39" s="40">
        <v>0</v>
      </c>
      <c r="BJ39" s="71">
        <v>11710.8</v>
      </c>
      <c r="BK39" s="246">
        <f t="shared" si="7"/>
        <v>0</v>
      </c>
      <c r="BL39" s="485">
        <f t="shared" si="8"/>
        <v>0</v>
      </c>
      <c r="BN39" s="471">
        <f t="shared" si="21"/>
        <v>25</v>
      </c>
      <c r="BO39" s="456">
        <v>6866.86</v>
      </c>
      <c r="BP39" s="472">
        <f t="shared" si="9"/>
        <v>-0.47999999999956344</v>
      </c>
      <c r="BQ39" s="473">
        <f t="shared" ref="BQ39:BQ44" si="30">AK39</f>
        <v>27</v>
      </c>
      <c r="BR39" s="473">
        <f t="shared" si="10"/>
        <v>0</v>
      </c>
    </row>
    <row r="40" spans="1:70" ht="12.95" customHeight="1">
      <c r="A40" s="42">
        <v>26</v>
      </c>
      <c r="B40" s="98">
        <v>6866.15</v>
      </c>
      <c r="C40" s="390">
        <f>IF(B40="",C39,VLOOKUP(TRUNC(B40,1),VLOOKUP!$A$3:$K$2834,RIGHT(TEXT(B40,"0000.00"),1)+2,FALSE))</f>
        <v>177825</v>
      </c>
      <c r="D40" s="39">
        <f t="shared" si="22"/>
        <v>-583</v>
      </c>
      <c r="E40" s="49">
        <f t="shared" si="11"/>
        <v>25825</v>
      </c>
      <c r="F40" s="106">
        <f t="shared" si="0"/>
        <v>-293.92488026216284</v>
      </c>
      <c r="G40" s="41">
        <v>46.8</v>
      </c>
      <c r="H40" s="107">
        <v>0</v>
      </c>
      <c r="I40" s="41">
        <f t="shared" si="1"/>
        <v>46.8</v>
      </c>
      <c r="J40" s="36">
        <f t="shared" si="12"/>
        <v>0</v>
      </c>
      <c r="K40" s="41">
        <f t="shared" si="13"/>
        <v>46.8</v>
      </c>
      <c r="L40" s="41">
        <f t="shared" si="2"/>
        <v>-11.224880262162856</v>
      </c>
      <c r="M40" s="108">
        <v>89.7</v>
      </c>
      <c r="N40" s="36">
        <v>0</v>
      </c>
      <c r="O40" s="41">
        <f>8.69*1.05</f>
        <v>9.1244999999999994</v>
      </c>
      <c r="P40" s="33">
        <v>0</v>
      </c>
      <c r="Q40" s="133">
        <f>1557200/325851/1.9835*1.02</f>
        <v>2.4574987401645112</v>
      </c>
      <c r="R40" s="67">
        <f>1546600/325851/1.9835*1.02</f>
        <v>2.4407703259301523</v>
      </c>
      <c r="S40" s="67">
        <f>IF(((4.4*1.04)-T40)&gt;=4.2,((4.4*1.04)-T40)-4.2,0)</f>
        <v>0</v>
      </c>
      <c r="T40" s="67">
        <v>0.94901933992129761</v>
      </c>
      <c r="U40" s="124">
        <v>0</v>
      </c>
      <c r="V40" s="41">
        <v>112</v>
      </c>
      <c r="W40" s="41">
        <v>41.5</v>
      </c>
      <c r="X40" s="41">
        <f t="shared" si="14"/>
        <v>228.22821159398404</v>
      </c>
      <c r="Y40" s="41">
        <f t="shared" si="15"/>
        <v>228.22821159398404</v>
      </c>
      <c r="Z40" s="49"/>
      <c r="AA40" s="41"/>
      <c r="AB40" s="49"/>
      <c r="AC40" s="56">
        <f t="shared" si="23"/>
        <v>1021.3012107382451</v>
      </c>
      <c r="AD40" s="49"/>
      <c r="AE40" s="397"/>
      <c r="AF40" s="397"/>
      <c r="AG40" s="49">
        <f t="shared" si="29"/>
        <v>4401.008393869768</v>
      </c>
      <c r="AH40" s="41">
        <v>59.3</v>
      </c>
      <c r="AI40" s="157">
        <v>1.7</v>
      </c>
      <c r="AJ40" s="175">
        <v>1.3</v>
      </c>
      <c r="AK40" s="41">
        <v>27</v>
      </c>
      <c r="AL40" s="49">
        <f t="shared" si="25"/>
        <v>3414.6792387194482</v>
      </c>
      <c r="AM40" s="49"/>
      <c r="AN40" s="68">
        <f t="shared" si="17"/>
        <v>329.5</v>
      </c>
      <c r="AO40" s="41">
        <f t="shared" si="3"/>
        <v>11.224880262162856</v>
      </c>
      <c r="AP40" s="41">
        <f t="shared" si="4"/>
        <v>340.72488026216286</v>
      </c>
      <c r="AQ40" s="126">
        <v>0</v>
      </c>
      <c r="AR40" s="41"/>
      <c r="AS40" s="39"/>
      <c r="AT40" s="37">
        <f t="shared" si="18"/>
        <v>-188.0264806600787</v>
      </c>
      <c r="AU40" s="399">
        <v>0.2</v>
      </c>
      <c r="AV40" s="400">
        <f t="shared" si="5"/>
        <v>0.13999999999999999</v>
      </c>
      <c r="AW40" s="401">
        <f>IF(AU40="",0,VLOOKUP(ROUNDDOWN(TEXT(B40,"0000"),-1),VLOOKUP!$M$3:$W$32,RIGHT(TEXT(B40,"0000"),1)+2,FALSE))</f>
        <v>2514</v>
      </c>
      <c r="AX40" s="401">
        <f t="shared" si="19"/>
        <v>29.33</v>
      </c>
      <c r="AY40" s="33">
        <f>AX40*((IF(Z40&gt;JUN!$Z$44,JUN!$Z$44,Z40)+AC40+AD40+AR40)*1.9835)/E40</f>
        <v>2.3006883023223517</v>
      </c>
      <c r="AZ40" s="36">
        <v>0</v>
      </c>
      <c r="BA40" s="149"/>
      <c r="BC40" s="40">
        <v>0</v>
      </c>
      <c r="BD40" s="96">
        <v>0</v>
      </c>
      <c r="BE40" s="39">
        <v>79</v>
      </c>
      <c r="BF40" s="39">
        <v>47</v>
      </c>
      <c r="BG40" s="314"/>
      <c r="BH40" s="319">
        <f t="shared" si="6"/>
        <v>5.8472884060159611</v>
      </c>
      <c r="BI40" s="40">
        <v>0</v>
      </c>
      <c r="BJ40" s="71">
        <v>11706</v>
      </c>
      <c r="BK40" s="246">
        <f t="shared" si="7"/>
        <v>0</v>
      </c>
      <c r="BL40" s="485">
        <f t="shared" si="8"/>
        <v>0</v>
      </c>
      <c r="BN40" s="471">
        <f t="shared" si="21"/>
        <v>26</v>
      </c>
      <c r="BO40" s="456">
        <v>6866.64</v>
      </c>
      <c r="BP40" s="472">
        <f t="shared" si="9"/>
        <v>-0.49000000000069122</v>
      </c>
      <c r="BQ40" s="473">
        <f t="shared" si="30"/>
        <v>27</v>
      </c>
      <c r="BR40" s="473">
        <f t="shared" si="10"/>
        <v>0</v>
      </c>
    </row>
    <row r="41" spans="1:70" ht="12.95" customHeight="1">
      <c r="A41" s="42">
        <v>27</v>
      </c>
      <c r="B41" s="98">
        <v>6865.94</v>
      </c>
      <c r="C41" s="390">
        <f>IF(B41="",C40,VLOOKUP(TRUNC(B41,1),VLOOKUP!$A$3:$K$2834,RIGHT(TEXT(B41,"0000.00"),1)+2,FALSE))</f>
        <v>177296</v>
      </c>
      <c r="D41" s="39">
        <f t="shared" si="22"/>
        <v>-529</v>
      </c>
      <c r="E41" s="49">
        <f t="shared" si="11"/>
        <v>25296</v>
      </c>
      <c r="F41" s="106">
        <f t="shared" si="0"/>
        <v>-266.7002772876229</v>
      </c>
      <c r="G41" s="41">
        <v>47.3</v>
      </c>
      <c r="H41" s="107">
        <v>0</v>
      </c>
      <c r="I41" s="41">
        <f t="shared" si="1"/>
        <v>47.3</v>
      </c>
      <c r="J41" s="36">
        <f t="shared" si="12"/>
        <v>2.2997227123771609</v>
      </c>
      <c r="K41" s="41">
        <f t="shared" si="13"/>
        <v>49.599722712377158</v>
      </c>
      <c r="L41" s="41">
        <f t="shared" si="2"/>
        <v>2.2997227123771609</v>
      </c>
      <c r="M41" s="108">
        <v>77.8</v>
      </c>
      <c r="N41" s="36">
        <v>0</v>
      </c>
      <c r="O41" s="41">
        <f>8.71*1.05</f>
        <v>9.145500000000002</v>
      </c>
      <c r="P41" s="33">
        <v>0</v>
      </c>
      <c r="Q41" s="133">
        <f>1780530/325851/1.9835*1.02</f>
        <v>2.8099474902550194</v>
      </c>
      <c r="R41" s="67">
        <f>1422100/325851/1.9835*1.02</f>
        <v>2.244290366290747</v>
      </c>
      <c r="S41" s="67">
        <f>IF(((3.7*1.04)-T41)&gt;=4.2,((3.7*1.04)-T41)-4.2,0)</f>
        <v>0</v>
      </c>
      <c r="T41" s="67">
        <v>0.94901933992129761</v>
      </c>
      <c r="U41" s="124">
        <v>0</v>
      </c>
      <c r="V41" s="41">
        <v>110</v>
      </c>
      <c r="W41" s="41">
        <v>37</v>
      </c>
      <c r="X41" s="41">
        <f t="shared" si="14"/>
        <v>209.65124280353294</v>
      </c>
      <c r="Y41" s="41">
        <f t="shared" si="15"/>
        <v>209.65124280353294</v>
      </c>
      <c r="Z41" s="49"/>
      <c r="AA41" s="41"/>
      <c r="AB41" s="49"/>
      <c r="AC41" s="56">
        <f t="shared" si="23"/>
        <v>1020.1412973012285</v>
      </c>
      <c r="AD41" s="49"/>
      <c r="AE41" s="397"/>
      <c r="AF41" s="397"/>
      <c r="AG41" s="49">
        <f t="shared" si="29"/>
        <v>4231.9029132096894</v>
      </c>
      <c r="AH41" s="41">
        <v>64.400000000000006</v>
      </c>
      <c r="AI41" s="157">
        <v>1.7</v>
      </c>
      <c r="AJ41" s="175">
        <v>1.3</v>
      </c>
      <c r="AK41" s="41">
        <v>27.1</v>
      </c>
      <c r="AL41" s="49">
        <f t="shared" si="25"/>
        <v>3387.5792387194483</v>
      </c>
      <c r="AM41" s="49"/>
      <c r="AN41" s="68">
        <f t="shared" si="17"/>
        <v>316.30000000000007</v>
      </c>
      <c r="AO41" s="41">
        <f t="shared" si="3"/>
        <v>0</v>
      </c>
      <c r="AP41" s="41">
        <f t="shared" si="4"/>
        <v>316.30000000000007</v>
      </c>
      <c r="AQ41" s="126">
        <v>0</v>
      </c>
      <c r="AR41" s="41"/>
      <c r="AS41" s="39"/>
      <c r="AT41" s="37">
        <f t="shared" si="18"/>
        <v>-169.10548066007868</v>
      </c>
      <c r="AU41" s="399">
        <v>0.09</v>
      </c>
      <c r="AV41" s="400">
        <f t="shared" si="5"/>
        <v>6.3E-2</v>
      </c>
      <c r="AW41" s="401">
        <f>IF(AU41="",0,VLOOKUP(ROUNDDOWN(TEXT(B41,"0000"),-1),VLOOKUP!$M$3:$W$32,RIGHT(TEXT(B41,"0000"),1)+2,FALSE))</f>
        <v>2514</v>
      </c>
      <c r="AX41" s="401">
        <f t="shared" si="19"/>
        <v>13.198500000000001</v>
      </c>
      <c r="AY41" s="33">
        <f>AX41*((IF(Z41&gt;JUN!$Z$44,JUN!$Z$44,Z41)+AC41+AD41+AR41)*1.9835)/E41</f>
        <v>1.0557601319894621</v>
      </c>
      <c r="AZ41" s="36">
        <v>0</v>
      </c>
      <c r="BA41" s="149"/>
      <c r="BC41" s="40">
        <v>0</v>
      </c>
      <c r="BD41" s="96">
        <v>0.05</v>
      </c>
      <c r="BE41" s="39">
        <v>76</v>
      </c>
      <c r="BF41" s="39">
        <v>47</v>
      </c>
      <c r="BG41" s="314"/>
      <c r="BH41" s="319">
        <f t="shared" si="6"/>
        <v>6.0032571964670645</v>
      </c>
      <c r="BI41" s="40">
        <v>0</v>
      </c>
      <c r="BJ41" s="71">
        <v>11705.1</v>
      </c>
      <c r="BK41" s="246">
        <f t="shared" si="7"/>
        <v>0</v>
      </c>
      <c r="BL41" s="485">
        <f t="shared" si="8"/>
        <v>0</v>
      </c>
      <c r="BN41" s="471">
        <f t="shared" si="21"/>
        <v>27</v>
      </c>
      <c r="BO41" s="456">
        <v>6866.43</v>
      </c>
      <c r="BP41" s="472">
        <f t="shared" si="9"/>
        <v>-0.49000000000069122</v>
      </c>
      <c r="BQ41" s="473">
        <f t="shared" si="30"/>
        <v>27.1</v>
      </c>
      <c r="BR41" s="473">
        <f t="shared" si="10"/>
        <v>0</v>
      </c>
    </row>
    <row r="42" spans="1:70" ht="12.95" customHeight="1">
      <c r="A42" s="42">
        <v>28</v>
      </c>
      <c r="B42" s="98">
        <v>6865.73</v>
      </c>
      <c r="C42" s="390">
        <f>IF(B42="",C41,VLOOKUP(TRUNC(B42,1),VLOOKUP!$A$3:$K$2834,RIGHT(TEXT(B42,"0000.00"),1)+2,FALSE))</f>
        <v>176772</v>
      </c>
      <c r="D42" s="39">
        <f t="shared" si="22"/>
        <v>-524</v>
      </c>
      <c r="E42" s="49">
        <f t="shared" si="11"/>
        <v>24772</v>
      </c>
      <c r="F42" s="106">
        <f t="shared" si="0"/>
        <v>-264.17948071590621</v>
      </c>
      <c r="G42" s="41">
        <v>48.6</v>
      </c>
      <c r="H42" s="107">
        <v>0</v>
      </c>
      <c r="I42" s="41">
        <f t="shared" si="1"/>
        <v>48.6</v>
      </c>
      <c r="J42" s="36">
        <f t="shared" si="12"/>
        <v>0</v>
      </c>
      <c r="K42" s="41">
        <f t="shared" si="13"/>
        <v>48.6</v>
      </c>
      <c r="L42" s="41">
        <f t="shared" si="2"/>
        <v>-11.079480715906158</v>
      </c>
      <c r="M42" s="108">
        <v>76</v>
      </c>
      <c r="N42" s="36">
        <v>0</v>
      </c>
      <c r="O42" s="41">
        <f>9.5*1.05</f>
        <v>9.9749999999999996</v>
      </c>
      <c r="P42" s="33">
        <v>0</v>
      </c>
      <c r="Q42" s="133">
        <f>1725070/325851/1.9835*1.02</f>
        <v>2.7224231644590247</v>
      </c>
      <c r="R42" s="67">
        <f>1636600/325851/1.9835*1.02</f>
        <v>2.582804031693577</v>
      </c>
      <c r="S42" s="67">
        <f>IF(((4.6*1.04)-T42)&gt;=4.2,((4.6*1.04)-T42)-4.2,0)</f>
        <v>0</v>
      </c>
      <c r="T42" s="67">
        <v>0.94901933992129761</v>
      </c>
      <c r="U42" s="124">
        <v>0</v>
      </c>
      <c r="V42" s="41">
        <v>110</v>
      </c>
      <c r="W42" s="41">
        <v>36</v>
      </c>
      <c r="X42" s="41">
        <f t="shared" si="14"/>
        <v>205.7707534639261</v>
      </c>
      <c r="Y42" s="41">
        <f t="shared" si="15"/>
        <v>205.7707534639261</v>
      </c>
      <c r="Z42" s="49"/>
      <c r="AA42" s="41"/>
      <c r="AB42" s="49"/>
      <c r="AC42" s="56">
        <f t="shared" si="23"/>
        <v>1019.6090259969737</v>
      </c>
      <c r="AD42" s="49"/>
      <c r="AE42" s="397"/>
      <c r="AF42" s="397"/>
      <c r="AG42" s="49">
        <f t="shared" si="29"/>
        <v>4067.7269325496109</v>
      </c>
      <c r="AH42" s="41">
        <v>52.6</v>
      </c>
      <c r="AI42" s="157">
        <v>1.7</v>
      </c>
      <c r="AJ42" s="175">
        <v>1.3</v>
      </c>
      <c r="AK42" s="41">
        <v>27.1</v>
      </c>
      <c r="AL42" s="49">
        <f t="shared" si="25"/>
        <v>3360.4792387194484</v>
      </c>
      <c r="AM42" s="49"/>
      <c r="AN42" s="68">
        <f t="shared" si="17"/>
        <v>301.70000000000005</v>
      </c>
      <c r="AO42" s="41">
        <f t="shared" si="3"/>
        <v>11.079480715906158</v>
      </c>
      <c r="AP42" s="41">
        <f t="shared" si="4"/>
        <v>312.77948071590617</v>
      </c>
      <c r="AQ42" s="126">
        <v>0</v>
      </c>
      <c r="AR42" s="41"/>
      <c r="AS42" s="39"/>
      <c r="AT42" s="37">
        <f t="shared" si="18"/>
        <v>-164.17598066007869</v>
      </c>
      <c r="AU42" s="399">
        <v>0.02</v>
      </c>
      <c r="AV42" s="400">
        <f t="shared" si="5"/>
        <v>1.3999999999999999E-2</v>
      </c>
      <c r="AW42" s="401">
        <f>IF(AU42="",0,VLOOKUP(ROUNDDOWN(TEXT(B42,"0000"),-1),VLOOKUP!$M$3:$W$32,RIGHT(TEXT(B42,"0000"),1)+2,FALSE))</f>
        <v>2514</v>
      </c>
      <c r="AX42" s="401">
        <f t="shared" si="19"/>
        <v>2.9329999999999998</v>
      </c>
      <c r="AY42" s="33">
        <f>AX42*((IF(Z42&gt;JUN!$Z$44,JUN!$Z$44,Z42)+AC42+AD42+AR42)*1.9835)/E42</f>
        <v>0.23945111728926358</v>
      </c>
      <c r="AZ42" s="36">
        <v>0</v>
      </c>
      <c r="BA42" s="149"/>
      <c r="BC42" s="40">
        <v>0</v>
      </c>
      <c r="BD42" s="96">
        <v>0.08</v>
      </c>
      <c r="BE42" s="39">
        <v>74</v>
      </c>
      <c r="BF42" s="39">
        <v>47</v>
      </c>
      <c r="BG42" s="314"/>
      <c r="BH42" s="319">
        <f t="shared" si="6"/>
        <v>6.2542465360739001</v>
      </c>
      <c r="BI42" s="40">
        <v>0</v>
      </c>
      <c r="BJ42" s="71">
        <v>11709.9</v>
      </c>
      <c r="BK42" s="246">
        <f t="shared" si="7"/>
        <v>0</v>
      </c>
      <c r="BL42" s="485">
        <f t="shared" si="8"/>
        <v>0</v>
      </c>
      <c r="BN42" s="471">
        <f t="shared" si="21"/>
        <v>28</v>
      </c>
      <c r="BO42" s="456">
        <v>6866.23</v>
      </c>
      <c r="BP42" s="472">
        <f t="shared" si="9"/>
        <v>-0.5</v>
      </c>
      <c r="BQ42" s="473">
        <f t="shared" si="30"/>
        <v>27.1</v>
      </c>
      <c r="BR42" s="473">
        <f t="shared" si="10"/>
        <v>0</v>
      </c>
    </row>
    <row r="43" spans="1:70" ht="12.95" customHeight="1">
      <c r="A43" s="42">
        <v>29</v>
      </c>
      <c r="B43" s="98">
        <v>6865.58</v>
      </c>
      <c r="C43" s="390">
        <f>IF(B43="",C42,VLOOKUP(TRUNC(B43,1),VLOOKUP!$A$3:$K$2834,RIGHT(TEXT(B43,"0000.00"),1)+2,FALSE))</f>
        <v>176397</v>
      </c>
      <c r="D43" s="39">
        <f t="shared" si="22"/>
        <v>-375</v>
      </c>
      <c r="E43" s="49">
        <f t="shared" si="11"/>
        <v>24397</v>
      </c>
      <c r="F43" s="106">
        <f t="shared" si="0"/>
        <v>-189.05974287874969</v>
      </c>
      <c r="G43" s="41">
        <v>54.9</v>
      </c>
      <c r="H43" s="107">
        <v>0</v>
      </c>
      <c r="I43" s="41">
        <f t="shared" si="1"/>
        <v>54.9</v>
      </c>
      <c r="J43" s="36">
        <f t="shared" si="12"/>
        <v>0</v>
      </c>
      <c r="K43" s="41">
        <f t="shared" si="13"/>
        <v>54.9</v>
      </c>
      <c r="L43" s="41">
        <f t="shared" si="2"/>
        <v>-2.2897428787497063</v>
      </c>
      <c r="M43" s="108">
        <v>74.5</v>
      </c>
      <c r="N43" s="36">
        <v>0</v>
      </c>
      <c r="O43" s="41">
        <f>7.44*1.05</f>
        <v>7.8120000000000012</v>
      </c>
      <c r="P43" s="33">
        <v>0</v>
      </c>
      <c r="Q43" s="133">
        <f>1772100/325851/1.9835*1.02</f>
        <v>2.7966436664818457</v>
      </c>
      <c r="R43" s="67">
        <f>1383400/325851/1.9835*1.02</f>
        <v>2.183215872812474</v>
      </c>
      <c r="S43" s="67">
        <f>IF(((4*1.04)-T43)&gt;=4.2,((4*1.04)-T43)-4.2,0)</f>
        <v>0</v>
      </c>
      <c r="T43" s="67">
        <v>0.94901933992129761</v>
      </c>
      <c r="U43" s="124">
        <v>0</v>
      </c>
      <c r="V43" s="41">
        <v>106</v>
      </c>
      <c r="W43" s="41">
        <v>31</v>
      </c>
      <c r="X43" s="41">
        <f t="shared" si="14"/>
        <v>197.75912112078439</v>
      </c>
      <c r="Y43" s="41">
        <f t="shared" si="15"/>
        <v>197.75912112078439</v>
      </c>
      <c r="Z43" s="49"/>
      <c r="AA43" s="41"/>
      <c r="AB43" s="49"/>
      <c r="AC43" s="56">
        <f t="shared" si="23"/>
        <v>1019.4883044858624</v>
      </c>
      <c r="AD43" s="49"/>
      <c r="AE43" s="397"/>
      <c r="AF43" s="397"/>
      <c r="AG43" s="49">
        <f t="shared" si="29"/>
        <v>3918.1879518895321</v>
      </c>
      <c r="AH43" s="41">
        <v>2.97</v>
      </c>
      <c r="AI43" s="157">
        <v>1.7</v>
      </c>
      <c r="AJ43" s="175">
        <v>1.3</v>
      </c>
      <c r="AK43" s="41">
        <v>27.2</v>
      </c>
      <c r="AL43" s="49">
        <f t="shared" si="25"/>
        <v>3333.2792387194486</v>
      </c>
      <c r="AM43" s="49"/>
      <c r="AN43" s="68">
        <f t="shared" si="17"/>
        <v>241.67</v>
      </c>
      <c r="AO43" s="41">
        <f t="shared" si="3"/>
        <v>2.2897428787497063</v>
      </c>
      <c r="AP43" s="41">
        <f t="shared" si="4"/>
        <v>243.95974287874969</v>
      </c>
      <c r="AQ43" s="126">
        <v>0</v>
      </c>
      <c r="AR43" s="41"/>
      <c r="AS43" s="39"/>
      <c r="AT43" s="37">
        <f t="shared" si="18"/>
        <v>-149.53898066007869</v>
      </c>
      <c r="AU43" s="399">
        <v>0.09</v>
      </c>
      <c r="AV43" s="400">
        <f t="shared" si="5"/>
        <v>6.3E-2</v>
      </c>
      <c r="AW43" s="401">
        <f>IF(AU43="",0,VLOOKUP(ROUNDDOWN(TEXT(B43,"0000"),-1),VLOOKUP!$M$3:$W$32,RIGHT(TEXT(B43,"0000"),1)+2,FALSE))</f>
        <v>2514</v>
      </c>
      <c r="AX43" s="401">
        <f t="shared" si="19"/>
        <v>13.198500000000001</v>
      </c>
      <c r="AY43" s="33">
        <f>AX43*((IF(Z43&gt;JUN!$Z$44,JUN!$Z$44,Z43)+AC43+AD43+AR43)*1.9835)/E43</f>
        <v>1.0939629238484989</v>
      </c>
      <c r="AZ43" s="36">
        <v>0</v>
      </c>
      <c r="BA43" s="149"/>
      <c r="BC43" s="40">
        <v>0</v>
      </c>
      <c r="BD43" s="96">
        <v>0</v>
      </c>
      <c r="BE43" s="39">
        <v>74</v>
      </c>
      <c r="BF43" s="39">
        <v>43</v>
      </c>
      <c r="BG43" s="314"/>
      <c r="BH43" s="319">
        <f t="shared" si="6"/>
        <v>5.9288788792156168</v>
      </c>
      <c r="BI43" s="40">
        <v>0</v>
      </c>
      <c r="BJ43" s="71">
        <v>11709.478999999999</v>
      </c>
      <c r="BK43" s="246">
        <f t="shared" si="7"/>
        <v>0</v>
      </c>
      <c r="BL43" s="485">
        <f t="shared" si="8"/>
        <v>0</v>
      </c>
      <c r="BN43" s="471">
        <f t="shared" si="21"/>
        <v>29</v>
      </c>
      <c r="BO43" s="456">
        <v>6866.07</v>
      </c>
      <c r="BP43" s="472">
        <f t="shared" si="9"/>
        <v>-0.48999999999978172</v>
      </c>
      <c r="BQ43" s="473">
        <f t="shared" si="30"/>
        <v>27.2</v>
      </c>
      <c r="BR43" s="473">
        <f t="shared" si="10"/>
        <v>0</v>
      </c>
    </row>
    <row r="44" spans="1:70" ht="12.95" customHeight="1">
      <c r="A44" s="42">
        <v>30</v>
      </c>
      <c r="B44" s="98">
        <v>6865.4</v>
      </c>
      <c r="C44" s="390">
        <f>IF(B44="",C43,VLOOKUP(TRUNC(B44,1),VLOOKUP!$A$3:$K$2834,RIGHT(TEXT(B44,"0000.00"),1)+2,FALSE))</f>
        <v>175948</v>
      </c>
      <c r="D44" s="39">
        <f t="shared" si="22"/>
        <v>-449</v>
      </c>
      <c r="E44" s="49">
        <f t="shared" si="11"/>
        <v>23948</v>
      </c>
      <c r="F44" s="106">
        <f t="shared" si="0"/>
        <v>-226.36753214015627</v>
      </c>
      <c r="G44" s="41">
        <v>57.3</v>
      </c>
      <c r="H44" s="107">
        <v>0</v>
      </c>
      <c r="I44" s="41">
        <f t="shared" si="1"/>
        <v>57.3</v>
      </c>
      <c r="J44" s="36">
        <f t="shared" si="12"/>
        <v>0</v>
      </c>
      <c r="K44" s="41">
        <f t="shared" si="13"/>
        <v>57.3</v>
      </c>
      <c r="L44" s="41">
        <f t="shared" si="2"/>
        <v>-20.06753214015626</v>
      </c>
      <c r="M44" s="108">
        <v>72.599999999999994</v>
      </c>
      <c r="N44" s="36">
        <v>0</v>
      </c>
      <c r="O44" s="41">
        <f>11.2*1.05</f>
        <v>11.76</v>
      </c>
      <c r="P44" s="33">
        <v>0</v>
      </c>
      <c r="Q44" s="133">
        <f>1681600/325851/1.9835*1.02</f>
        <v>2.65382088457529</v>
      </c>
      <c r="R44" s="67">
        <f>1460600/325851/1.9835*1.02</f>
        <v>2.3050492293117673</v>
      </c>
      <c r="S44" s="67">
        <f>IF(((4.3*1.04)-T44)&gt;=4.2,((4.3*1.04)-T44)-3.2,0)</f>
        <v>0</v>
      </c>
      <c r="T44" s="67">
        <v>0.94901933992129761</v>
      </c>
      <c r="U44" s="124">
        <v>0</v>
      </c>
      <c r="V44" s="41">
        <v>105</v>
      </c>
      <c r="W44" s="41">
        <v>26.3</v>
      </c>
      <c r="X44" s="41">
        <f t="shared" si="14"/>
        <v>186.23211054619165</v>
      </c>
      <c r="Y44" s="41">
        <f t="shared" si="15"/>
        <v>186.23211054619165</v>
      </c>
      <c r="Z44" s="49"/>
      <c r="AA44" s="41"/>
      <c r="AB44" s="49"/>
      <c r="AC44" s="56">
        <f t="shared" si="23"/>
        <v>1018.9367728882579</v>
      </c>
      <c r="AD44" s="49"/>
      <c r="AE44" s="397"/>
      <c r="AF44" s="397"/>
      <c r="AG44" s="49">
        <f t="shared" si="29"/>
        <v>3782.5969712294536</v>
      </c>
      <c r="AH44" s="41">
        <v>32.4</v>
      </c>
      <c r="AI44" s="157">
        <v>1.7</v>
      </c>
      <c r="AJ44" s="175">
        <v>1.3</v>
      </c>
      <c r="AK44" s="41">
        <v>27.3</v>
      </c>
      <c r="AL44" s="49">
        <f t="shared" si="25"/>
        <v>3305.9792387194484</v>
      </c>
      <c r="AM44" s="49"/>
      <c r="AN44" s="68">
        <f t="shared" si="17"/>
        <v>263.60000000000002</v>
      </c>
      <c r="AO44" s="41">
        <f t="shared" si="3"/>
        <v>20.06753214015626</v>
      </c>
      <c r="AP44" s="41">
        <f t="shared" si="4"/>
        <v>283.66753214015625</v>
      </c>
      <c r="AQ44" s="126">
        <v>0</v>
      </c>
      <c r="AR44" s="41"/>
      <c r="AS44" s="39"/>
      <c r="AT44" s="37">
        <f t="shared" si="18"/>
        <v>-135.59098066007869</v>
      </c>
      <c r="AU44" s="399">
        <v>0.02</v>
      </c>
      <c r="AV44" s="400">
        <f t="shared" si="5"/>
        <v>1.3999999999999999E-2</v>
      </c>
      <c r="AW44" s="401">
        <f>IF(AU44="",0,VLOOKUP(ROUNDDOWN(TEXT(B44,"0000"),-1),VLOOKUP!$M$3:$W$32,RIGHT(TEXT(B44,"0000"),1)+2,FALSE))</f>
        <v>2476</v>
      </c>
      <c r="AX44" s="401">
        <f>AV44/12*AW44</f>
        <v>2.8886666666666665</v>
      </c>
      <c r="AY44" s="33">
        <f>AX44*((IF(Z44&gt;JUN!$Z$44,JUN!$Z$44,Z44)+AC44+AD44+AR44)*1.9835)/E44</f>
        <v>0.24378535991148553</v>
      </c>
      <c r="AZ44" s="36">
        <v>0</v>
      </c>
      <c r="BA44" s="149"/>
      <c r="BC44" s="40">
        <v>0</v>
      </c>
      <c r="BD44" s="96">
        <v>0</v>
      </c>
      <c r="BE44" s="39">
        <v>75</v>
      </c>
      <c r="BF44" s="39">
        <v>47</v>
      </c>
      <c r="BG44" s="314"/>
      <c r="BH44" s="319">
        <f t="shared" si="6"/>
        <v>5.9078894538083553</v>
      </c>
      <c r="BI44" s="40">
        <v>0</v>
      </c>
      <c r="BJ44" s="71">
        <v>11703.978999999999</v>
      </c>
      <c r="BK44" s="246">
        <f t="shared" si="7"/>
        <v>0</v>
      </c>
      <c r="BL44" s="485">
        <f t="shared" si="8"/>
        <v>0</v>
      </c>
      <c r="BN44" s="471">
        <f t="shared" si="21"/>
        <v>30</v>
      </c>
      <c r="BO44" s="456">
        <v>6865.9</v>
      </c>
      <c r="BP44" s="472">
        <f t="shared" si="9"/>
        <v>-0.5</v>
      </c>
      <c r="BQ44" s="473">
        <f t="shared" si="30"/>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-9017.3934963448446</v>
      </c>
      <c r="G46" s="49">
        <f t="shared" ref="G46:AH46" si="31">SUM(G15:G44)</f>
        <v>2754.1000000000004</v>
      </c>
      <c r="H46" s="49">
        <f t="shared" si="31"/>
        <v>0</v>
      </c>
      <c r="I46" s="49">
        <f t="shared" si="31"/>
        <v>2754.1000000000004</v>
      </c>
      <c r="J46" s="49">
        <f t="shared" si="31"/>
        <v>72.814570204184491</v>
      </c>
      <c r="K46" s="49">
        <f t="shared" si="31"/>
        <v>2826.9145702041842</v>
      </c>
      <c r="L46" s="49">
        <f t="shared" si="31"/>
        <v>-411.84349634484454</v>
      </c>
      <c r="M46" s="94">
        <f t="shared" si="31"/>
        <v>3916.6</v>
      </c>
      <c r="N46" s="49">
        <f t="shared" ref="N46:U46" si="32">SUM(N15:N44)</f>
        <v>0</v>
      </c>
      <c r="O46" s="49">
        <f t="shared" si="32"/>
        <v>899.15699999999993</v>
      </c>
      <c r="P46" s="49">
        <f t="shared" si="32"/>
        <v>0</v>
      </c>
      <c r="Q46" s="49">
        <f t="shared" si="32"/>
        <v>82.413163986484079</v>
      </c>
      <c r="R46" s="49">
        <f t="shared" si="32"/>
        <v>75.692760290673263</v>
      </c>
      <c r="S46" s="49">
        <f t="shared" si="32"/>
        <v>3.0445120159165127</v>
      </c>
      <c r="T46" s="49">
        <f t="shared" si="32"/>
        <v>33.208854328302763</v>
      </c>
      <c r="U46" s="95">
        <f t="shared" si="32"/>
        <v>0</v>
      </c>
      <c r="V46" s="49">
        <f t="shared" si="31"/>
        <v>3276.8</v>
      </c>
      <c r="W46" s="49">
        <f t="shared" si="31"/>
        <v>1636.3999999999999</v>
      </c>
      <c r="X46" s="49">
        <f>SUM(X15:X44)</f>
        <v>7736.2837093786229</v>
      </c>
      <c r="Y46" s="49">
        <f>SUM(Y15:Y44)</f>
        <v>7736.2837093786229</v>
      </c>
      <c r="Z46" s="49"/>
      <c r="AA46" s="49"/>
      <c r="AB46" s="49"/>
      <c r="AC46" s="49"/>
      <c r="AD46" s="49"/>
      <c r="AE46" s="397"/>
      <c r="AF46" s="397">
        <f>SUM(AF15:AF44)</f>
        <v>0</v>
      </c>
      <c r="AG46" s="43">
        <f>AG12-AG44</f>
        <v>1776.7677880344736</v>
      </c>
      <c r="AH46" s="49">
        <f t="shared" si="31"/>
        <v>1440.0500000000002</v>
      </c>
      <c r="AI46" s="94">
        <f>SUM(AI15:AI44)</f>
        <v>51.000000000000021</v>
      </c>
      <c r="AJ46" s="95">
        <f>SUM(AJ15:AJ44)</f>
        <v>38.999999999999993</v>
      </c>
      <c r="AK46" s="49">
        <f>SUM(AK15:AK44)</f>
        <v>1089.7999999999997</v>
      </c>
      <c r="AL46" s="49"/>
      <c r="AM46" s="49">
        <f t="shared" ref="AM46:AS46" si="33">SUM(AM15:AM44)</f>
        <v>0</v>
      </c>
      <c r="AN46" s="49">
        <f t="shared" si="33"/>
        <v>11359.650000000001</v>
      </c>
      <c r="AO46" s="49">
        <f t="shared" si="33"/>
        <v>484.65806654902906</v>
      </c>
      <c r="AP46" s="353">
        <f t="shared" si="33"/>
        <v>11844.308066549029</v>
      </c>
      <c r="AQ46" s="49">
        <f t="shared" si="33"/>
        <v>0</v>
      </c>
      <c r="AR46" s="56">
        <f>AR44</f>
        <v>0</v>
      </c>
      <c r="AS46" s="49">
        <f t="shared" si="33"/>
        <v>0</v>
      </c>
      <c r="AT46" s="49"/>
      <c r="AU46" s="397"/>
      <c r="AV46" s="397"/>
      <c r="AW46" s="397"/>
      <c r="AX46" s="397"/>
      <c r="AY46" s="49"/>
      <c r="AZ46" s="49">
        <f>SUM(AZ15:AZ44)</f>
        <v>0</v>
      </c>
      <c r="BA46" s="49">
        <f>SUM(BA15:BA44)</f>
        <v>274.8654348374086</v>
      </c>
      <c r="BB46" s="49">
        <f>SUM(BB15:BB44)</f>
        <v>0</v>
      </c>
      <c r="BC46" s="49">
        <f>SUM(BC15:BC44)</f>
        <v>0</v>
      </c>
      <c r="BD46" s="96">
        <f>SUM(BD15:BD44)</f>
        <v>1.2300000000000002</v>
      </c>
      <c r="BE46" s="39">
        <f>AVERAGE(BE15:BE44)</f>
        <v>79.766666666666666</v>
      </c>
      <c r="BF46" s="39">
        <f>AVERAGE(BF15:BF44)</f>
        <v>48.266666666666666</v>
      </c>
      <c r="BG46" s="97" t="s">
        <v>43</v>
      </c>
      <c r="BH46" s="325">
        <f>SUM(BH15:BH44)</f>
        <v>194.35929062137666</v>
      </c>
      <c r="BI46" s="43">
        <f>SUM(BI14:BI44)</f>
        <v>961.00000000000023</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-17886</v>
      </c>
      <c r="E47" s="49"/>
      <c r="F47" s="93">
        <f t="shared" ref="F47:R47" si="34">F46*$D$2</f>
        <v>-17886</v>
      </c>
      <c r="G47" s="49">
        <f t="shared" si="34"/>
        <v>5462.7573500000008</v>
      </c>
      <c r="H47" s="49">
        <f t="shared" si="34"/>
        <v>0</v>
      </c>
      <c r="I47" s="49">
        <f t="shared" si="34"/>
        <v>5462.7573500000008</v>
      </c>
      <c r="J47" s="49">
        <f t="shared" si="34"/>
        <v>144.42769999999993</v>
      </c>
      <c r="K47" s="49">
        <f t="shared" si="34"/>
        <v>5607.1850499999991</v>
      </c>
      <c r="L47" s="49">
        <f t="shared" si="34"/>
        <v>-816.89157499999919</v>
      </c>
      <c r="M47" s="94">
        <f t="shared" si="34"/>
        <v>7768.5761000000002</v>
      </c>
      <c r="N47" s="49">
        <f t="shared" si="34"/>
        <v>0</v>
      </c>
      <c r="O47" s="49">
        <f t="shared" si="34"/>
        <v>1783.4779094999999</v>
      </c>
      <c r="P47" s="49">
        <f t="shared" si="34"/>
        <v>0</v>
      </c>
      <c r="Q47" s="49">
        <f>Q46*$D$2</f>
        <v>163.46651076719118</v>
      </c>
      <c r="R47" s="49">
        <f t="shared" si="34"/>
        <v>150.13659003655042</v>
      </c>
      <c r="S47" s="49">
        <f t="shared" ref="S47:Y47" si="35">S46*$D$2</f>
        <v>6.0387895835704031</v>
      </c>
      <c r="T47" s="49">
        <f t="shared" si="35"/>
        <v>65.869762560188533</v>
      </c>
      <c r="U47" s="95">
        <f t="shared" si="35"/>
        <v>0</v>
      </c>
      <c r="V47" s="49">
        <f t="shared" si="35"/>
        <v>6499.5328000000009</v>
      </c>
      <c r="W47" s="49">
        <f t="shared" si="35"/>
        <v>3245.7993999999999</v>
      </c>
      <c r="X47" s="49">
        <f t="shared" si="35"/>
        <v>15344.918737552498</v>
      </c>
      <c r="Y47" s="49">
        <f t="shared" si="35"/>
        <v>15344.918737552498</v>
      </c>
      <c r="Z47" s="49"/>
      <c r="AA47" s="49"/>
      <c r="AB47" s="49"/>
      <c r="AC47" s="49"/>
      <c r="AD47" s="49"/>
      <c r="AE47" s="397"/>
      <c r="AF47" s="397">
        <f>AF46*$D$2</f>
        <v>0</v>
      </c>
      <c r="AG47" s="43">
        <f>AG46*$D$2</f>
        <v>3524.2189075663787</v>
      </c>
      <c r="AH47" s="49">
        <f t="shared" ref="AH47:AP47" si="36">AH46*$D$2</f>
        <v>2856.3391750000005</v>
      </c>
      <c r="AI47" s="94">
        <f>AI46*$D$2</f>
        <v>101.15850000000005</v>
      </c>
      <c r="AJ47" s="95">
        <f>AJ46*$D$2</f>
        <v>77.356499999999983</v>
      </c>
      <c r="AK47" s="49">
        <f t="shared" si="36"/>
        <v>2161.6182999999996</v>
      </c>
      <c r="AL47" s="49"/>
      <c r="AM47" s="49">
        <f t="shared" si="36"/>
        <v>0</v>
      </c>
      <c r="AN47" s="49">
        <f t="shared" si="36"/>
        <v>22531.865775000002</v>
      </c>
      <c r="AO47" s="49">
        <f t="shared" si="36"/>
        <v>961.31927499999915</v>
      </c>
      <c r="AP47" s="352">
        <f t="shared" si="36"/>
        <v>23493.18505</v>
      </c>
      <c r="AQ47" s="49">
        <f>AQ46*$D$2</f>
        <v>0</v>
      </c>
      <c r="AR47" s="49">
        <f>AR46*$D$2</f>
        <v>0</v>
      </c>
      <c r="AS47" s="49">
        <f>AS46*$D$2</f>
        <v>0</v>
      </c>
      <c r="AT47" s="49"/>
      <c r="AU47" s="397">
        <f>SUM(AU15:AU44)</f>
        <v>5.219999999999998</v>
      </c>
      <c r="AV47" s="397"/>
      <c r="AW47" s="397"/>
      <c r="AX47" s="397">
        <f>SUM(AX15:AX44)</f>
        <v>801.28008333333344</v>
      </c>
      <c r="AY47" s="49">
        <f>SUM(AY15:AY44)</f>
        <v>105.07549677623597</v>
      </c>
      <c r="AZ47" s="49">
        <f>AZ46*$D$2</f>
        <v>0</v>
      </c>
      <c r="BA47" s="49">
        <f>BA46*$D$2</f>
        <v>545.19558999999992</v>
      </c>
      <c r="BB47" s="49">
        <f>BB46*$D$2</f>
        <v>0</v>
      </c>
      <c r="BC47" s="49">
        <f>BC46*$D$2</f>
        <v>0</v>
      </c>
      <c r="BD47" s="96"/>
      <c r="BE47" s="39">
        <f>MAX(BE15:BE44)</f>
        <v>90</v>
      </c>
      <c r="BF47" s="39">
        <f>MAX(BF15:BF44)</f>
        <v>56</v>
      </c>
      <c r="BG47" s="97" t="s">
        <v>34</v>
      </c>
      <c r="BH47" s="325">
        <f>BH46*$D$2</f>
        <v>385.51165294750064</v>
      </c>
      <c r="BI47" s="43">
        <f>BI46*$D$2</f>
        <v>1906.1435000000006</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37">F12+F46</f>
        <v>-19447.441391479701</v>
      </c>
      <c r="G49" s="49">
        <f t="shared" si="37"/>
        <v>58520.2</v>
      </c>
      <c r="H49" s="49">
        <f t="shared" si="37"/>
        <v>424.20000000000005</v>
      </c>
      <c r="I49" s="49">
        <f t="shared" si="37"/>
        <v>58944.400000000009</v>
      </c>
      <c r="J49" s="49">
        <f t="shared" si="37"/>
        <v>1453.7641088984117</v>
      </c>
      <c r="K49" s="49">
        <f t="shared" si="37"/>
        <v>60398.164108898418</v>
      </c>
      <c r="L49" s="49">
        <f t="shared" si="37"/>
        <v>-2746.8813914797074</v>
      </c>
      <c r="M49" s="94">
        <f t="shared" si="37"/>
        <v>30411.239999999998</v>
      </c>
      <c r="N49" s="49">
        <f t="shared" si="37"/>
        <v>32.912500000000009</v>
      </c>
      <c r="O49" s="49">
        <f>O12+O46</f>
        <v>6474.6365000000005</v>
      </c>
      <c r="P49" s="49">
        <f t="shared" si="37"/>
        <v>7.2</v>
      </c>
      <c r="Q49" s="49"/>
      <c r="R49" s="49"/>
      <c r="S49" s="49"/>
      <c r="T49" s="49"/>
      <c r="U49" s="95"/>
      <c r="V49" s="49">
        <f>V12+V46</f>
        <v>16667.32</v>
      </c>
      <c r="W49" s="49">
        <f>W12+W46</f>
        <v>8911.5700000000015</v>
      </c>
      <c r="X49" s="49">
        <f>X12+X46</f>
        <v>50400.282334048512</v>
      </c>
      <c r="Y49" s="49">
        <f>Y12+Y46</f>
        <v>50160.46647873029</v>
      </c>
      <c r="Z49" s="56"/>
      <c r="AA49" s="49"/>
      <c r="AB49" s="49"/>
      <c r="AC49" s="43">
        <f>AC44</f>
        <v>1018.9367728882579</v>
      </c>
      <c r="AD49" s="43">
        <f>AD35</f>
        <v>0</v>
      </c>
      <c r="AE49" s="397"/>
      <c r="AF49" s="397">
        <f>AF12+AF46</f>
        <v>0</v>
      </c>
      <c r="AG49" s="43">
        <f>AG46+AG13</f>
        <v>1776.7677880344736</v>
      </c>
      <c r="AH49" s="49">
        <f>AH12+AH46</f>
        <v>14165.75</v>
      </c>
      <c r="AI49" s="94">
        <f>AI12+AI46</f>
        <v>311.10000000000014</v>
      </c>
      <c r="AJ49" s="95">
        <f>AJ12+AJ46</f>
        <v>237.89999999999995</v>
      </c>
      <c r="AK49" s="49">
        <f t="shared" ref="AK49" si="38">AK12+AK46</f>
        <v>5489.0799999999981</v>
      </c>
      <c r="AL49" s="49"/>
      <c r="AM49" s="49">
        <f t="shared" ref="AM49:AQ49" si="39">AM12+AM46</f>
        <v>0</v>
      </c>
      <c r="AN49" s="49">
        <f t="shared" si="39"/>
        <v>75644.959999999992</v>
      </c>
      <c r="AO49" s="49">
        <f t="shared" si="39"/>
        <v>4200.6455003781193</v>
      </c>
      <c r="AP49" s="49">
        <f t="shared" si="39"/>
        <v>79845.605500378108</v>
      </c>
      <c r="AQ49" s="189">
        <f t="shared" si="39"/>
        <v>0</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1468.7006782522094</v>
      </c>
      <c r="BI49" s="43">
        <f>BI12+BI46</f>
        <v>2196.73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0">F49*$D$2</f>
        <v>-38573.999999999985</v>
      </c>
      <c r="G50" s="49">
        <f t="shared" si="40"/>
        <v>116074.8167</v>
      </c>
      <c r="H50" s="49">
        <f t="shared" si="40"/>
        <v>841.40070000000014</v>
      </c>
      <c r="I50" s="49">
        <f t="shared" si="40"/>
        <v>116916.21740000002</v>
      </c>
      <c r="J50" s="49">
        <f t="shared" si="40"/>
        <v>2883.5411099999997</v>
      </c>
      <c r="K50" s="49">
        <f t="shared" si="40"/>
        <v>119799.75851000001</v>
      </c>
      <c r="L50" s="49">
        <f t="shared" si="40"/>
        <v>-5448.4392399999997</v>
      </c>
      <c r="M50" s="94">
        <f t="shared" si="40"/>
        <v>60320.694539999997</v>
      </c>
      <c r="N50" s="49">
        <f t="shared" si="40"/>
        <v>65.281943750000025</v>
      </c>
      <c r="O50" s="49">
        <f>O49*$D$2</f>
        <v>12842.441497750002</v>
      </c>
      <c r="P50" s="49">
        <f t="shared" si="40"/>
        <v>14.2812</v>
      </c>
      <c r="Q50" s="49"/>
      <c r="R50" s="49"/>
      <c r="S50" s="49"/>
      <c r="T50" s="49"/>
      <c r="U50" s="95"/>
      <c r="V50" s="49">
        <f t="shared" si="40"/>
        <v>33059.629220000003</v>
      </c>
      <c r="W50" s="49">
        <f t="shared" si="40"/>
        <v>17676.099095000005</v>
      </c>
      <c r="X50" s="49">
        <f t="shared" si="40"/>
        <v>99968.960009585222</v>
      </c>
      <c r="Y50" s="49">
        <f>Y49*$D$2</f>
        <v>99493.285260561534</v>
      </c>
      <c r="Z50" s="56"/>
      <c r="AA50" s="49"/>
      <c r="AB50" s="49"/>
      <c r="AC50" s="43">
        <f>AC49*D$2</f>
        <v>2021.0610890238595</v>
      </c>
      <c r="AD50" s="43">
        <f>AD49*D$2</f>
        <v>0</v>
      </c>
      <c r="AE50" s="397"/>
      <c r="AF50" s="397">
        <f>AF49*$D$2</f>
        <v>0</v>
      </c>
      <c r="AG50" s="43">
        <f t="shared" ref="AG50" si="41">AG49*$D$2</f>
        <v>3524.2189075663787</v>
      </c>
      <c r="AH50" s="95">
        <f t="shared" si="40"/>
        <v>28097.765125000002</v>
      </c>
      <c r="AI50" s="49">
        <f>AI49*$D$2</f>
        <v>617.06685000000027</v>
      </c>
      <c r="AJ50" s="95">
        <f>AJ49*$D$2</f>
        <v>471.87464999999992</v>
      </c>
      <c r="AK50" s="49">
        <f>AK49*$D$2</f>
        <v>10887.590179999996</v>
      </c>
      <c r="AL50" s="49"/>
      <c r="AM50" s="49">
        <f>AM49*$D$2</f>
        <v>0</v>
      </c>
      <c r="AN50" s="49">
        <f>AN49*$D$2</f>
        <v>150041.77815999999</v>
      </c>
      <c r="AO50" s="49">
        <f t="shared" si="40"/>
        <v>8331.9803499999998</v>
      </c>
      <c r="AP50" s="49">
        <f t="shared" si="40"/>
        <v>158373.75850999999</v>
      </c>
      <c r="AQ50" s="189">
        <f t="shared" si="40"/>
        <v>0</v>
      </c>
      <c r="AR50" s="56"/>
      <c r="AS50" s="49"/>
      <c r="AT50" s="49"/>
      <c r="AU50" s="397">
        <f>AU13+AU47</f>
        <v>45.847499999999997</v>
      </c>
      <c r="AV50" s="397"/>
      <c r="AW50" s="397"/>
      <c r="AX50" s="397">
        <f>SUM(AX13,AX47)</f>
        <v>8518.2133749999994</v>
      </c>
      <c r="AY50" s="49">
        <f>AY12+AY47</f>
        <v>3282.9529724007334</v>
      </c>
      <c r="AZ50" s="49">
        <f>AZ49*$D$2</f>
        <v>2647.0000000000005</v>
      </c>
      <c r="BA50" s="49">
        <f>BA49*$D$2</f>
        <v>1641.0000000000002</v>
      </c>
      <c r="BB50" s="49">
        <f>BB49*$D$2</f>
        <v>41.124566666666659</v>
      </c>
      <c r="BC50" s="49">
        <f>BC49*$D$2</f>
        <v>1913.6000000000001</v>
      </c>
      <c r="BD50" s="96">
        <f>AUG!BD51+BD46</f>
        <v>4.3210000000000006</v>
      </c>
      <c r="BE50" s="39"/>
      <c r="BF50" s="39"/>
      <c r="BG50" s="314"/>
      <c r="BH50" s="325">
        <f>BH49*$D$2</f>
        <v>2913.1677953132576</v>
      </c>
      <c r="BI50" s="43">
        <f>BI49*$D$2</f>
        <v>4357.2139550000002</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2">F13+F46</f>
        <v>-16780.438618603472</v>
      </c>
      <c r="G52" s="49">
        <f t="shared" si="42"/>
        <v>64764.4</v>
      </c>
      <c r="H52" s="49">
        <f t="shared" si="42"/>
        <v>554.09</v>
      </c>
      <c r="I52" s="49">
        <f t="shared" si="42"/>
        <v>65318.490000000005</v>
      </c>
      <c r="J52" s="49">
        <f t="shared" si="42"/>
        <v>4312.8737585076879</v>
      </c>
      <c r="K52" s="49">
        <f t="shared" si="42"/>
        <v>69631.363758507694</v>
      </c>
      <c r="L52" s="49">
        <f t="shared" si="42"/>
        <v>-1130.1086186034786</v>
      </c>
      <c r="M52" s="94">
        <f t="shared" si="42"/>
        <v>31269.39</v>
      </c>
      <c r="N52" s="49">
        <f t="shared" si="42"/>
        <v>32.912500000000009</v>
      </c>
      <c r="O52" s="49">
        <f>O13+O46</f>
        <v>6474.6469999999999</v>
      </c>
      <c r="P52" s="49">
        <f>P13+P46</f>
        <v>7.2</v>
      </c>
      <c r="Q52" s="49">
        <f>Q13+Q46</f>
        <v>791.98343538559527</v>
      </c>
      <c r="R52" s="49">
        <f t="shared" si="42"/>
        <v>623.43845255652855</v>
      </c>
      <c r="S52" s="49">
        <f t="shared" ref="S52:X52" si="43">S13+S46</f>
        <v>322.40672932454345</v>
      </c>
      <c r="T52" s="49">
        <f>T13+T46</f>
        <v>304.85894459382075</v>
      </c>
      <c r="U52" s="95">
        <f t="shared" si="43"/>
        <v>64.300345839550417</v>
      </c>
      <c r="V52" s="49">
        <f t="shared" si="43"/>
        <v>17393.62</v>
      </c>
      <c r="W52" s="49">
        <f t="shared" si="43"/>
        <v>8927.19</v>
      </c>
      <c r="X52" s="49">
        <f t="shared" si="43"/>
        <v>50576.872918430476</v>
      </c>
      <c r="Y52" s="49">
        <f>Y13+Y46</f>
        <v>50160.46647873029</v>
      </c>
      <c r="Z52" s="49"/>
      <c r="AA52" s="49"/>
      <c r="AB52" s="49"/>
      <c r="AC52" s="49"/>
      <c r="AD52" s="49"/>
      <c r="AE52" s="397"/>
      <c r="AF52" s="397">
        <f>AF12+AF46</f>
        <v>0</v>
      </c>
      <c r="AG52" s="49">
        <f>AG13+AG46</f>
        <v>1776.7677880344736</v>
      </c>
      <c r="AH52" s="95"/>
      <c r="AI52" s="49">
        <f>AI13+AI46</f>
        <v>311.10000000000014</v>
      </c>
      <c r="AJ52" s="95">
        <f>AJ13+AJ46</f>
        <v>237.89999999999995</v>
      </c>
      <c r="AK52" s="49">
        <f>AK13+AK46</f>
        <v>9212.8699999999972</v>
      </c>
      <c r="AL52" s="49">
        <f>AL44</f>
        <v>3305.9792387194484</v>
      </c>
      <c r="AM52" s="49">
        <f t="shared" ref="AM52:AS52" si="44">AM13+AM46</f>
        <v>0</v>
      </c>
      <c r="AN52" s="49">
        <f t="shared" si="44"/>
        <v>80968.820000000007</v>
      </c>
      <c r="AO52" s="49">
        <f t="shared" si="44"/>
        <v>5442.982377111166</v>
      </c>
      <c r="AP52" s="353">
        <f t="shared" si="44"/>
        <v>86411.802377111162</v>
      </c>
      <c r="AQ52" s="49">
        <f t="shared" si="44"/>
        <v>685.9</v>
      </c>
      <c r="AR52" s="56"/>
      <c r="AS52" s="49">
        <f t="shared" si="44"/>
        <v>416.40643970018664</v>
      </c>
      <c r="AT52" s="49"/>
      <c r="AU52" s="397"/>
      <c r="AV52" s="397"/>
      <c r="AW52" s="397"/>
      <c r="AX52" s="397"/>
      <c r="AY52" s="49"/>
      <c r="AZ52" s="49"/>
      <c r="BA52" s="49">
        <f>BA49</f>
        <v>827.32543483740869</v>
      </c>
      <c r="BB52" s="49">
        <f>BB46+BB49</f>
        <v>20.733333333333331</v>
      </c>
      <c r="BC52" s="43"/>
      <c r="BD52" s="96">
        <f>BD13+BD46</f>
        <v>7.6565000000000003</v>
      </c>
      <c r="BE52" s="39"/>
      <c r="BF52" s="39"/>
      <c r="BG52" s="314"/>
      <c r="BH52" s="325">
        <f>BH13+BH46</f>
        <v>2147.1004077000384</v>
      </c>
      <c r="BI52" s="43">
        <f>BI13+BI46</f>
        <v>2196.73</v>
      </c>
      <c r="BJ52" s="71"/>
      <c r="BK52" s="56">
        <f>BK13+BK46</f>
        <v>3418.0769282139827</v>
      </c>
      <c r="BL52" s="147">
        <f>BL13+BL46</f>
        <v>675.05430737694769</v>
      </c>
      <c r="BO52" s="396"/>
      <c r="BP52" s="396"/>
      <c r="BQ52" s="412">
        <f>BQ13+BQ46</f>
        <v>1089.7999999999997</v>
      </c>
      <c r="BR52" s="412">
        <f>BR13+BR46</f>
        <v>0</v>
      </c>
    </row>
    <row r="53" spans="1:70" ht="12.95" customHeight="1">
      <c r="A53" s="43" t="s">
        <v>39</v>
      </c>
      <c r="B53" s="189"/>
      <c r="C53" s="49"/>
      <c r="D53" s="49">
        <f>D13+D47</f>
        <v>-33284</v>
      </c>
      <c r="E53" s="49">
        <f>E44</f>
        <v>23948</v>
      </c>
      <c r="F53" s="93">
        <f t="shared" ref="F53:AL53" si="45">F52*$D$2</f>
        <v>-33283.999999999985</v>
      </c>
      <c r="G53" s="49">
        <f t="shared" si="45"/>
        <v>128460.18740000001</v>
      </c>
      <c r="H53" s="49">
        <f t="shared" si="45"/>
        <v>1099.037515</v>
      </c>
      <c r="I53" s="49">
        <f t="shared" si="45"/>
        <v>129559.22491500001</v>
      </c>
      <c r="J53" s="49">
        <f t="shared" si="45"/>
        <v>8554.5850999999984</v>
      </c>
      <c r="K53" s="49">
        <f t="shared" si="45"/>
        <v>138113.81001500002</v>
      </c>
      <c r="L53" s="49">
        <f t="shared" si="45"/>
        <v>-2241.5704449999998</v>
      </c>
      <c r="M53" s="94">
        <f t="shared" si="45"/>
        <v>62022.835064999999</v>
      </c>
      <c r="N53" s="49">
        <f t="shared" si="45"/>
        <v>65.281943750000025</v>
      </c>
      <c r="O53" s="49">
        <f t="shared" si="45"/>
        <v>12842.4623245</v>
      </c>
      <c r="P53" s="49">
        <f t="shared" si="45"/>
        <v>14.2812</v>
      </c>
      <c r="Q53" s="49">
        <f>Q52*$D$2</f>
        <v>1570.8991440873283</v>
      </c>
      <c r="R53" s="49">
        <f t="shared" si="45"/>
        <v>1236.5901706458744</v>
      </c>
      <c r="S53" s="49">
        <f>S52*$D$2</f>
        <v>639.493747615232</v>
      </c>
      <c r="T53" s="49">
        <f>T52*$D$2</f>
        <v>604.68771660184348</v>
      </c>
      <c r="U53" s="95">
        <f>U52*$D$2</f>
        <v>127.53973597274826</v>
      </c>
      <c r="V53" s="49">
        <f t="shared" si="45"/>
        <v>34500.245269999999</v>
      </c>
      <c r="W53" s="49">
        <f t="shared" si="45"/>
        <v>17707.081365000002</v>
      </c>
      <c r="X53" s="49">
        <f t="shared" si="45"/>
        <v>100319.22743370685</v>
      </c>
      <c r="Y53" s="49">
        <f t="shared" si="45"/>
        <v>99493.285260561534</v>
      </c>
      <c r="Z53" s="49"/>
      <c r="AA53" s="49"/>
      <c r="AB53" s="49"/>
      <c r="AC53" s="49"/>
      <c r="AD53" s="49"/>
      <c r="AE53" s="397"/>
      <c r="AF53" s="397">
        <f>AF52*$D$2</f>
        <v>0</v>
      </c>
      <c r="AG53" s="43">
        <f>AG52*$D$2</f>
        <v>3524.2189075663787</v>
      </c>
      <c r="AH53" s="115"/>
      <c r="AI53" s="49">
        <f>AI52*$D$2</f>
        <v>617.06685000000027</v>
      </c>
      <c r="AJ53" s="115">
        <f>AJ52*$D$2</f>
        <v>471.87464999999992</v>
      </c>
      <c r="AK53" s="49">
        <f>AK52*$D$2</f>
        <v>18273.727644999995</v>
      </c>
      <c r="AL53" s="49">
        <f t="shared" si="45"/>
        <v>6557.4098200000262</v>
      </c>
      <c r="AM53" s="49">
        <f t="shared" ref="AM53:AS53" si="46">AM52*$D$2</f>
        <v>0</v>
      </c>
      <c r="AN53" s="49">
        <f t="shared" si="46"/>
        <v>160601.65447000001</v>
      </c>
      <c r="AO53" s="49">
        <f t="shared" si="46"/>
        <v>10796.155544999998</v>
      </c>
      <c r="AP53" s="93">
        <f t="shared" si="46"/>
        <v>171397.810015</v>
      </c>
      <c r="AQ53" s="49">
        <f t="shared" si="46"/>
        <v>1360.4826499999999</v>
      </c>
      <c r="AR53" s="56"/>
      <c r="AS53" s="49">
        <f t="shared" si="46"/>
        <v>825.94217314532023</v>
      </c>
      <c r="AT53" s="49"/>
      <c r="AU53" s="397"/>
      <c r="AV53" s="397"/>
      <c r="AW53" s="397"/>
      <c r="AX53" s="397"/>
      <c r="AY53" s="49">
        <f>AY13+AY47</f>
        <v>112.72543694291716</v>
      </c>
      <c r="AZ53" s="49"/>
      <c r="BA53" s="49">
        <f>BA50</f>
        <v>1641.0000000000002</v>
      </c>
      <c r="BB53" s="49">
        <f>BB52*1.9835</f>
        <v>41.124566666666659</v>
      </c>
      <c r="BC53" s="43"/>
      <c r="BD53" s="96"/>
      <c r="BE53" s="39"/>
      <c r="BF53" s="39"/>
      <c r="BG53" s="314"/>
      <c r="BH53" s="325">
        <f>BH52*$D$2</f>
        <v>4258.7736586730261</v>
      </c>
      <c r="BI53" s="43">
        <f>BI52*$D$2</f>
        <v>4357.2139550000002</v>
      </c>
      <c r="BJ53" s="71"/>
      <c r="BK53" s="337">
        <f>BK52*$D$2</f>
        <v>6779.755587112435</v>
      </c>
      <c r="BL53" s="338">
        <f>BL52*$D$2</f>
        <v>1338.9702186821758</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0.95124968503251717</v>
      </c>
      <c r="W55" s="24"/>
      <c r="X55" s="25"/>
      <c r="Y55" s="54"/>
      <c r="Z55" s="43"/>
      <c r="AA55" s="54"/>
      <c r="AB55" s="43"/>
      <c r="AE55" s="417"/>
      <c r="AF55" s="417"/>
      <c r="AH55" s="229">
        <f>AH50/AH8</f>
        <v>0.90334893020190332</v>
      </c>
      <c r="AI55" s="40"/>
      <c r="AJ55" s="40"/>
      <c r="AK55" s="43"/>
      <c r="AN55" s="24"/>
      <c r="AO55" s="24"/>
      <c r="AP55" s="46"/>
      <c r="AQ55" s="167"/>
      <c r="AR55" s="25"/>
      <c r="AS55" s="167"/>
      <c r="AT55" s="210"/>
      <c r="AU55" s="391"/>
      <c r="AV55" s="391"/>
      <c r="AW55" s="391"/>
      <c r="AX55" s="391">
        <f>AX50-AY50</f>
        <v>5235.2604025992659</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658.15850224999849</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tabSelected="1" zoomScaleNormal="100" workbookViewId="0">
      <pane xSplit="1" ySplit="14" topLeftCell="B15" activePane="bottomRight" state="frozenSplit"/>
      <selection activeCell="L52" sqref="L52"/>
      <selection pane="topRight" activeCell="L52" sqref="L52"/>
      <selection pane="bottomLeft" activeCell="L52" sqref="L52"/>
      <selection pane="bottomRight" activeCell="A34" sqref="A34:XFD34"/>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customWidth="1"/>
    <col min="63" max="64" width="9.33203125" style="2" customWidth="1"/>
    <col min="65" max="65" width="10.1640625" style="2" customWidth="1"/>
    <col min="66" max="67" width="14.83203125" style="2" customWidth="1"/>
    <col min="68" max="68" width="9.33203125" style="459" hidden="1" customWidth="1"/>
    <col min="69" max="69" width="7" style="405" hidden="1" customWidth="1"/>
    <col min="70" max="70" width="7.6640625"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4" t="s">
        <v>224</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8" t="s">
        <v>137</v>
      </c>
      <c r="AJ5" s="769"/>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227</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75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t="s">
        <v>228</v>
      </c>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42">
        <f>((180+213+205)*3.2)</f>
        <v>1913.6000000000001</v>
      </c>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-19447.441391479701</v>
      </c>
      <c r="G12" s="49">
        <f>SEP!G49</f>
        <v>58520.2</v>
      </c>
      <c r="H12" s="172">
        <f>SEP!H49</f>
        <v>424.20000000000005</v>
      </c>
      <c r="I12" s="49">
        <f>SEP!I49</f>
        <v>58944.400000000009</v>
      </c>
      <c r="J12" s="49">
        <f>SEP!J49</f>
        <v>1453.7641088984117</v>
      </c>
      <c r="K12" s="49">
        <f>SEP!K49</f>
        <v>60398.164108898418</v>
      </c>
      <c r="L12" s="95">
        <f>SEP!L49</f>
        <v>-2746.8813914797074</v>
      </c>
      <c r="M12" s="596">
        <f>SEP!M49</f>
        <v>30411.239999999998</v>
      </c>
      <c r="N12" s="49">
        <f>SEP!N49</f>
        <v>32.912500000000009</v>
      </c>
      <c r="O12" s="49">
        <f>SEP!O49</f>
        <v>6474.6365000000005</v>
      </c>
      <c r="P12" s="33">
        <f>SEP!P49</f>
        <v>7.2</v>
      </c>
      <c r="Q12" s="49"/>
      <c r="R12" s="49"/>
      <c r="S12" s="49"/>
      <c r="T12" s="49"/>
      <c r="U12" s="119"/>
      <c r="V12" s="49">
        <f>SEP!V49</f>
        <v>16667.32</v>
      </c>
      <c r="W12" s="49">
        <f>SEP!W49</f>
        <v>8911.5700000000015</v>
      </c>
      <c r="X12" s="49">
        <f>SEP!X49</f>
        <v>50400.282334048512</v>
      </c>
      <c r="Y12" s="49">
        <f>SEP!Y49</f>
        <v>50160.46647873029</v>
      </c>
      <c r="Z12" s="49">
        <f>SEP!Z44</f>
        <v>0</v>
      </c>
      <c r="AA12" s="49"/>
      <c r="AB12" s="49">
        <f>SEP!AB12</f>
        <v>0</v>
      </c>
      <c r="AC12" s="49">
        <f>SEP!AC44</f>
        <v>1018.9367728882579</v>
      </c>
      <c r="AD12" s="49">
        <f>SEP!AD44</f>
        <v>0</v>
      </c>
      <c r="AE12" s="397">
        <f>SEP!AE44</f>
        <v>0</v>
      </c>
      <c r="AF12" s="397"/>
      <c r="AG12" s="49">
        <f>SEP!AG44</f>
        <v>3782.5969712294536</v>
      </c>
      <c r="AH12" s="49">
        <f>SEP!AH49</f>
        <v>14165.75</v>
      </c>
      <c r="AI12" s="94">
        <f>SEP!AI49</f>
        <v>311.10000000000014</v>
      </c>
      <c r="AJ12" s="95">
        <f>SEP!AJ49</f>
        <v>237.89999999999995</v>
      </c>
      <c r="AK12" s="49">
        <f>SEP!AK49</f>
        <v>5489.0799999999981</v>
      </c>
      <c r="AL12" s="49"/>
      <c r="AM12" s="49"/>
      <c r="AN12" s="49">
        <f>SEP!AN49</f>
        <v>75644.959999999992</v>
      </c>
      <c r="AO12" s="49">
        <f>SEP!AO49</f>
        <v>4200.6455003781193</v>
      </c>
      <c r="AP12" s="49">
        <f>SEP!AP49</f>
        <v>79845.605500378108</v>
      </c>
      <c r="AQ12" s="126">
        <f>SEP!AQ49</f>
        <v>0</v>
      </c>
      <c r="AR12" s="56"/>
      <c r="AS12" s="443">
        <f>SEP!AR49</f>
        <v>0</v>
      </c>
      <c r="AT12" s="36"/>
      <c r="AU12" s="36"/>
      <c r="AV12" s="396"/>
      <c r="AW12" s="396"/>
      <c r="AX12" s="396"/>
      <c r="AY12" s="396"/>
      <c r="AZ12" s="36">
        <f>SEP!AY50</f>
        <v>3282.9529724007334</v>
      </c>
      <c r="BA12" s="36">
        <f>SEP!AZ49</f>
        <v>1334.5097050668014</v>
      </c>
      <c r="BB12" s="36"/>
      <c r="BC12" s="39">
        <f>SEP!BA49</f>
        <v>827.32543483740869</v>
      </c>
      <c r="BD12" s="39">
        <f>SEP!BB49</f>
        <v>20.733333333333331</v>
      </c>
      <c r="BE12" s="39"/>
      <c r="BF12" s="169"/>
      <c r="BG12" s="39"/>
      <c r="BH12" s="39"/>
      <c r="BI12" s="314"/>
      <c r="BJ12" s="329">
        <f>SEP!BH49</f>
        <v>1468.7006782522094</v>
      </c>
      <c r="BK12" s="40">
        <f>SEP!BI49</f>
        <v>2196.73</v>
      </c>
      <c r="BL12" s="334"/>
      <c r="BM12" s="512">
        <f>SEP!BK49</f>
        <v>3418.0769282139827</v>
      </c>
      <c r="BN12" s="315">
        <f>SEP!BL49</f>
        <v>1299.1086614201768</v>
      </c>
      <c r="BQ12" s="396"/>
      <c r="BR12" s="396"/>
      <c r="BS12" s="412"/>
      <c r="BT12" s="412"/>
    </row>
    <row r="13" spans="1:72" s="3" customFormat="1" ht="12.95" customHeight="1">
      <c r="A13" s="43" t="s">
        <v>31</v>
      </c>
      <c r="B13" s="98">
        <f>SEP!B44</f>
        <v>6865.4</v>
      </c>
      <c r="C13" s="49">
        <f>SEP!C44</f>
        <v>175948</v>
      </c>
      <c r="D13" s="49">
        <f>SEP!D53</f>
        <v>-33284</v>
      </c>
      <c r="E13" s="49">
        <f>SEP!E53</f>
        <v>23948</v>
      </c>
      <c r="F13" s="93">
        <f>SEP!F52</f>
        <v>-16780.438618603472</v>
      </c>
      <c r="G13" s="49">
        <f>SEP!G52</f>
        <v>64764.4</v>
      </c>
      <c r="H13" s="172">
        <f>SEP!H52</f>
        <v>554.09</v>
      </c>
      <c r="I13" s="49">
        <f>SEP!I52</f>
        <v>65318.490000000005</v>
      </c>
      <c r="J13" s="49">
        <f>SEP!J52</f>
        <v>4312.8737585076879</v>
      </c>
      <c r="K13" s="49">
        <f>SEP!K52</f>
        <v>69631.363758507694</v>
      </c>
      <c r="L13" s="115">
        <f>SEP!L52</f>
        <v>-1130.1086186034786</v>
      </c>
      <c r="M13" s="596">
        <f>SEP!M52</f>
        <v>31269.39</v>
      </c>
      <c r="N13" s="49">
        <f>SEP!N52</f>
        <v>32.912500000000009</v>
      </c>
      <c r="O13" s="49">
        <f>SEP!O52</f>
        <v>6474.6469999999999</v>
      </c>
      <c r="P13" s="133">
        <f>SEP!P52</f>
        <v>7.2</v>
      </c>
      <c r="Q13" s="49">
        <f>SEP!Q52</f>
        <v>791.98343538559527</v>
      </c>
      <c r="R13" s="39">
        <f>SEP!R52</f>
        <v>623.43845255652855</v>
      </c>
      <c r="S13" s="49">
        <f>SEP!S52</f>
        <v>322.40672932454345</v>
      </c>
      <c r="T13" s="49">
        <f>SEP!T52</f>
        <v>304.85894459382075</v>
      </c>
      <c r="U13" s="291">
        <f>SEP!U52</f>
        <v>64.300345839550417</v>
      </c>
      <c r="V13" s="49">
        <f>SEP!V52</f>
        <v>17393.62</v>
      </c>
      <c r="W13" s="49">
        <f>SEP!W52</f>
        <v>8927.19</v>
      </c>
      <c r="X13" s="49">
        <f>SEP!X52</f>
        <v>50576.872918430476</v>
      </c>
      <c r="Y13" s="49">
        <f>SEP!Y52</f>
        <v>50160.46647873029</v>
      </c>
      <c r="Z13" s="49"/>
      <c r="AA13" s="49"/>
      <c r="AB13" s="49"/>
      <c r="AC13" s="49"/>
      <c r="AD13" s="49"/>
      <c r="AE13" s="397"/>
      <c r="AF13" s="397"/>
      <c r="AG13" s="49">
        <f>SEP!AG52</f>
        <v>1776.7677880344736</v>
      </c>
      <c r="AH13" s="49">
        <f>SEP!AH50</f>
        <v>28097.765125000002</v>
      </c>
      <c r="AI13" s="176">
        <f>AI12</f>
        <v>311.10000000000014</v>
      </c>
      <c r="AJ13" s="115">
        <f>AJ12</f>
        <v>237.89999999999995</v>
      </c>
      <c r="AK13" s="49">
        <f>SEP!AK52</f>
        <v>9212.8699999999972</v>
      </c>
      <c r="AL13" s="49">
        <f>SEP!AL52</f>
        <v>3305.9792387194484</v>
      </c>
      <c r="AM13" s="49">
        <f>SEP!AM52</f>
        <v>0</v>
      </c>
      <c r="AN13" s="49">
        <f>SEP!AN52</f>
        <v>80968.820000000007</v>
      </c>
      <c r="AO13" s="49">
        <f>SEP!AO52</f>
        <v>5442.982377111166</v>
      </c>
      <c r="AP13" s="49">
        <f>SEP!AP52</f>
        <v>86411.802377111162</v>
      </c>
      <c r="AQ13" s="126">
        <f>SEP!AQ52</f>
        <v>685.9</v>
      </c>
      <c r="AR13" s="68">
        <f>SEP!AR44</f>
        <v>0</v>
      </c>
      <c r="AS13" s="397">
        <f>SEP!AR52</f>
        <v>0</v>
      </c>
      <c r="AT13" s="36">
        <f>SEP!AS52</f>
        <v>416.40643970018664</v>
      </c>
      <c r="AU13" s="36"/>
      <c r="AV13" s="396">
        <f>SEP!AU50</f>
        <v>45.847499999999997</v>
      </c>
      <c r="AW13" s="397"/>
      <c r="AX13" s="397"/>
      <c r="AY13" s="397">
        <f>SEP!AX50</f>
        <v>8518.2133749999994</v>
      </c>
      <c r="AZ13" s="33">
        <f>SEP!AY44</f>
        <v>0.24378535991148553</v>
      </c>
      <c r="BA13" s="33"/>
      <c r="BB13" s="33"/>
      <c r="BC13" s="39">
        <f>SEP!BA52</f>
        <v>827.32543483740869</v>
      </c>
      <c r="BD13" s="39">
        <f>SEP!BB52</f>
        <v>20.733333333333331</v>
      </c>
      <c r="BE13" s="39">
        <f>SEP!BC49</f>
        <v>964.75926392740109</v>
      </c>
      <c r="BF13" s="169">
        <f>SEP!BD52</f>
        <v>7.6565000000000003</v>
      </c>
      <c r="BG13" s="39"/>
      <c r="BH13" s="39"/>
      <c r="BI13" s="315"/>
      <c r="BJ13" s="325">
        <f>SEP!BH52</f>
        <v>2147.1004077000384</v>
      </c>
      <c r="BK13" s="40">
        <f>SEP!BI52</f>
        <v>2196.73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v>6865.23</v>
      </c>
      <c r="C15" s="390">
        <f>IF(B15="",C13,VLOOKUP(TRUNC(B15,1),VLOOKUP!$A$3:$K$2834,RIGHT(TEXT(B15,"0000.00"),1)+2,FALSE))</f>
        <v>175524</v>
      </c>
      <c r="D15" s="39">
        <f>C15-C13</f>
        <v>-424</v>
      </c>
      <c r="E15" s="49">
        <f t="shared" ref="E15:E45" si="0">C15-152000</f>
        <v>23524</v>
      </c>
      <c r="F15" s="106">
        <f t="shared" ref="F15:F45" si="1">D15/$D$2</f>
        <v>-213.76354928157298</v>
      </c>
      <c r="G15" s="41">
        <v>53.1</v>
      </c>
      <c r="H15" s="174">
        <v>0</v>
      </c>
      <c r="I15" s="41">
        <f t="shared" ref="I15:I45" si="2">G15+H15</f>
        <v>53.1</v>
      </c>
      <c r="J15" s="36">
        <f>IF(L15&gt;0,L15,0)</f>
        <v>0</v>
      </c>
      <c r="K15" s="41">
        <f t="shared" ref="K15:K45" si="3">I15+J15</f>
        <v>53.1</v>
      </c>
      <c r="L15" s="41">
        <f>IF(G15="",0,F15-(I15-AN15))</f>
        <v>-5.0935492815729901</v>
      </c>
      <c r="M15" s="108">
        <v>70.2</v>
      </c>
      <c r="N15" s="33">
        <v>0</v>
      </c>
      <c r="O15" s="36">
        <f>15.1*1.05</f>
        <v>15.855</v>
      </c>
      <c r="P15" s="33">
        <v>0</v>
      </c>
      <c r="Q15" s="133">
        <f>1856400/325851/1.9835*1.02</f>
        <v>2.9296819042135875</v>
      </c>
      <c r="R15" s="67">
        <f>IF(((4.2*1.04)-T15)&gt;=4.2,4.2,(4.2*1.04)-T15)</f>
        <v>3.4185258221491934</v>
      </c>
      <c r="S15" s="67">
        <f>IF(((4.2*1.04)-T15)&gt;=4.2,((4.2*1.04)-T15)-4.2,0)</f>
        <v>0</v>
      </c>
      <c r="T15" s="67">
        <v>0.9494741778508069</v>
      </c>
      <c r="U15" s="124">
        <v>0</v>
      </c>
      <c r="V15" s="41">
        <v>105</v>
      </c>
      <c r="W15" s="41">
        <v>2.57</v>
      </c>
      <c r="X15" s="41">
        <f t="shared" ref="X15:X33" si="4">MAX(0,M15-N15-O15-P15-Q15-R15-S15-T15-U15+V15+W15-BD15+BA15)</f>
        <v>154.6173180957864</v>
      </c>
      <c r="Y15" s="41">
        <f t="shared" ref="Y15:Y33" si="5">X15-AT15</f>
        <v>154.6173180957864</v>
      </c>
      <c r="Z15" s="49"/>
      <c r="AA15" s="41"/>
      <c r="AB15" s="49"/>
      <c r="AC15" s="56">
        <f>AC12-IF(AV13="",0,AZ13/1.9835)</f>
        <v>1018.8138662283579</v>
      </c>
      <c r="AD15" s="49"/>
      <c r="AE15" s="397"/>
      <c r="AG15" s="39">
        <f>AG12+MIN(0,AU15)</f>
        <v>3673.0314454073045</v>
      </c>
      <c r="AH15" s="41">
        <v>56.5</v>
      </c>
      <c r="AI15" s="157">
        <v>1.7</v>
      </c>
      <c r="AJ15" s="175">
        <v>1.3</v>
      </c>
      <c r="AK15" s="41">
        <v>27.5</v>
      </c>
      <c r="AL15" s="49">
        <f>AL13-AK15</f>
        <v>3278.4792387194484</v>
      </c>
      <c r="AM15" s="49"/>
      <c r="AN15" s="68">
        <f>M15+V15+W15+AH15+AK15</f>
        <v>261.77</v>
      </c>
      <c r="AO15" s="41">
        <f>IF(L15&lt;0,L15*-1,0)</f>
        <v>5.0935492815729901</v>
      </c>
      <c r="AP15" s="41">
        <f t="shared" ref="AP15:AP45" si="6">AN15+AO15</f>
        <v>266.863549281573</v>
      </c>
      <c r="AQ15" s="170">
        <v>0</v>
      </c>
      <c r="AR15" s="559"/>
      <c r="AS15" s="443"/>
      <c r="AT15" s="36"/>
      <c r="AU15" s="37">
        <f t="shared" ref="AU15:AU29" si="7">IF(G15="",0,IF(I15&gt;=(795+Q15+R15+AI15),795-X15,I15-Q15-R15-X15-AI15)-AM15)</f>
        <v>-109.56552582214918</v>
      </c>
      <c r="AV15" s="399">
        <v>0.1</v>
      </c>
      <c r="AW15" s="524">
        <f>AV15*0.7</f>
        <v>6.9999999999999993E-2</v>
      </c>
      <c r="AX15" s="401">
        <f>IF(AV15="",0,VLOOKUP(ROUNDDOWN(TEXT(B15,"0000"),-1),VLOOKUP!$M$3:$W$32,RIGHT(TEXT(B15,"0000"),1)+2,FALSE))</f>
        <v>2476</v>
      </c>
      <c r="AY15" s="401">
        <f>AW15/12*AX15</f>
        <v>14.443333333333332</v>
      </c>
      <c r="AZ15" s="33">
        <f>AY15*((IF(Z15&gt;JUN!$Z$44,JUN!$Z$44,Z15)+AC15+AD15+AR15)*1.9835)/E15</f>
        <v>1.2407472335736391</v>
      </c>
      <c r="BA15" s="33"/>
      <c r="BB15" s="33"/>
      <c r="BC15" s="149"/>
      <c r="BD15" s="24"/>
      <c r="BE15" s="40"/>
      <c r="BF15" s="169">
        <v>0.03</v>
      </c>
      <c r="BG15" s="39">
        <v>76</v>
      </c>
      <c r="BH15" s="39">
        <v>47</v>
      </c>
      <c r="BI15" s="314"/>
      <c r="BJ15" s="319">
        <f t="shared" ref="BJ15:BJ45" si="8">SUM(N15,P15:U15)</f>
        <v>7.2976819042135883</v>
      </c>
      <c r="BK15" s="40">
        <v>0</v>
      </c>
      <c r="BL15" s="71">
        <v>11700.010415999999</v>
      </c>
      <c r="BM15" s="534">
        <f t="shared" ref="BM15:BM45" si="9">IF(G15="",0,IF(I15&lt;(795+Q15+R15+AI15+AJ15),0,I15-(795+Q15+R15+AI15+AJ15)))</f>
        <v>0</v>
      </c>
      <c r="BN15" s="247">
        <f t="shared" ref="BN15:BN45" si="10">MIN(505,BM15,SUM(O15,AH15))</f>
        <v>0</v>
      </c>
      <c r="BP15" s="471">
        <v>1</v>
      </c>
      <c r="BQ15" s="456">
        <v>6865.73</v>
      </c>
      <c r="BR15" s="472">
        <f t="shared" ref="BR15:BR45" si="11">B15-BQ15</f>
        <v>-0.5</v>
      </c>
      <c r="BS15" s="473">
        <f>AK15</f>
        <v>27.5</v>
      </c>
      <c r="BT15" s="473">
        <f t="shared" ref="BT15:BT45" si="12">AK15-BS15</f>
        <v>0</v>
      </c>
    </row>
    <row r="16" spans="1:72" ht="12.95" customHeight="1">
      <c r="A16" s="42">
        <f t="shared" ref="A16:A38" si="13">A15+1</f>
        <v>2</v>
      </c>
      <c r="B16" s="98">
        <v>6865.06</v>
      </c>
      <c r="C16" s="390">
        <f>IF(B16="",C15,VLOOKUP(TRUNC(B16,1),VLOOKUP!$A$3:$K$2834,RIGHT(TEXT(B16,"0000.00"),1)+2,FALSE))</f>
        <v>175100</v>
      </c>
      <c r="D16" s="39">
        <f t="shared" ref="D16:D45" si="14">C16-C15</f>
        <v>-424</v>
      </c>
      <c r="E16" s="49">
        <f t="shared" si="0"/>
        <v>23100</v>
      </c>
      <c r="F16" s="106">
        <f t="shared" si="1"/>
        <v>-213.76354928157298</v>
      </c>
      <c r="G16" s="41">
        <v>47.7</v>
      </c>
      <c r="H16" s="174">
        <v>0</v>
      </c>
      <c r="I16" s="41">
        <f t="shared" si="2"/>
        <v>47.7</v>
      </c>
      <c r="J16" s="36">
        <f t="shared" ref="J16:J45" si="15">IF(L16&gt;0,L16,0)</f>
        <v>0</v>
      </c>
      <c r="K16" s="41">
        <f t="shared" si="3"/>
        <v>47.7</v>
      </c>
      <c r="L16" s="41">
        <f t="shared" ref="L16:L45" si="16">IF(G16="",0,F16-(I16-AN16))</f>
        <v>-3.8635492815729435</v>
      </c>
      <c r="M16" s="108">
        <v>65.599999999999994</v>
      </c>
      <c r="N16" s="33">
        <v>0</v>
      </c>
      <c r="O16" s="36">
        <f>16.3*1.05</f>
        <v>17.115000000000002</v>
      </c>
      <c r="P16" s="33">
        <v>0</v>
      </c>
      <c r="Q16" s="133">
        <f>1571100/325851/1.9835*1.02</f>
        <v>2.4794350569435286</v>
      </c>
      <c r="R16" s="67">
        <f>IF(((3.9*1.04)-T16)&gt;=4.2,4.2,(3.9*1.04)-T16)</f>
        <v>3.1065258221491932</v>
      </c>
      <c r="S16" s="67">
        <f>IF(((3.9*1.04)-T16)&gt;=4.2,((3.9*1.04)-T16)-4.2,0)</f>
        <v>0</v>
      </c>
      <c r="T16" s="67">
        <v>0.9494741778508069</v>
      </c>
      <c r="U16" s="124">
        <v>0</v>
      </c>
      <c r="V16" s="41">
        <v>101</v>
      </c>
      <c r="W16" s="41">
        <v>0</v>
      </c>
      <c r="X16" s="41">
        <f t="shared" si="4"/>
        <v>142.94956494305646</v>
      </c>
      <c r="Y16" s="41">
        <f t="shared" si="5"/>
        <v>142.94956494305646</v>
      </c>
      <c r="Z16" s="49"/>
      <c r="AA16" s="41"/>
      <c r="AB16" s="49"/>
      <c r="AC16" s="56">
        <f>AC15-IF(AV15="",0,AZ15/1.9835)</f>
        <v>1018.188331953806</v>
      </c>
      <c r="AD16" s="49"/>
      <c r="AE16" s="397"/>
      <c r="AF16" s="445"/>
      <c r="AG16" s="39">
        <f t="shared" ref="AG16:AG29" si="17">AG15+MIN(0,AU16)</f>
        <v>3570.4959195851552</v>
      </c>
      <c r="AH16" s="41">
        <v>63.4</v>
      </c>
      <c r="AI16" s="157">
        <v>1.7</v>
      </c>
      <c r="AJ16" s="175">
        <v>1.3</v>
      </c>
      <c r="AK16" s="41">
        <v>27.6</v>
      </c>
      <c r="AL16" s="49">
        <f>AL15-AK16</f>
        <v>3250.8792387194485</v>
      </c>
      <c r="AM16" s="49"/>
      <c r="AN16" s="68">
        <f t="shared" ref="AN16:AN45" si="18">M16+V16+W16+AH16+AK16</f>
        <v>257.60000000000002</v>
      </c>
      <c r="AO16" s="41">
        <f t="shared" ref="AO16:AO45" si="19">IF(L16&lt;0,L16*-1,0)</f>
        <v>3.8635492815729435</v>
      </c>
      <c r="AP16" s="41">
        <f t="shared" si="6"/>
        <v>261.46354928157297</v>
      </c>
      <c r="AQ16" s="170">
        <v>0</v>
      </c>
      <c r="AR16" s="559"/>
      <c r="AS16" s="443"/>
      <c r="AT16" s="36"/>
      <c r="AU16" s="37">
        <f t="shared" si="7"/>
        <v>-102.53552582214918</v>
      </c>
      <c r="AV16" s="399">
        <v>0.21</v>
      </c>
      <c r="AW16" s="524">
        <f t="shared" ref="AW16:AW26" si="20">AV16*0.7</f>
        <v>0.14699999999999999</v>
      </c>
      <c r="AX16" s="401">
        <f>IF(AV16="",0,VLOOKUP(ROUNDDOWN(TEXT(B16,"0000"),-1),VLOOKUP!$M$3:$W$32,RIGHT(TEXT(B16,"0000"),1)+2,FALSE))</f>
        <v>2476</v>
      </c>
      <c r="AY16" s="401">
        <f>AW16/12*AX16</f>
        <v>30.330999999999996</v>
      </c>
      <c r="AZ16" s="33">
        <f>AY16*((IF(Z16&gt;JUN!$Z$44,JUN!$Z$44,Z16)+AC16+AD16+AR16)*1.9835)/E16</f>
        <v>2.6517652178826698</v>
      </c>
      <c r="BA16" s="33"/>
      <c r="BB16" s="33"/>
      <c r="BC16" s="149"/>
      <c r="BD16" s="24"/>
      <c r="BE16" s="40"/>
      <c r="BF16" s="169">
        <v>0</v>
      </c>
      <c r="BG16" s="39">
        <v>82</v>
      </c>
      <c r="BH16" s="39">
        <v>46</v>
      </c>
      <c r="BI16" s="314"/>
      <c r="BJ16" s="485">
        <f t="shared" si="8"/>
        <v>6.5354350569435287</v>
      </c>
      <c r="BK16" s="40">
        <v>0</v>
      </c>
      <c r="BL16" s="71">
        <v>11696.458333</v>
      </c>
      <c r="BM16" s="534">
        <f t="shared" si="9"/>
        <v>0</v>
      </c>
      <c r="BN16" s="247">
        <f t="shared" si="10"/>
        <v>0</v>
      </c>
      <c r="BP16" s="471">
        <f t="shared" ref="BP16:BP45" si="21">BP15+1</f>
        <v>2</v>
      </c>
      <c r="BQ16" s="456">
        <v>6865.53</v>
      </c>
      <c r="BR16" s="472">
        <f t="shared" si="11"/>
        <v>-0.46999999999934516</v>
      </c>
      <c r="BS16" s="473">
        <f t="shared" ref="BS16:BS44" si="22">AK16</f>
        <v>27.6</v>
      </c>
      <c r="BT16" s="473">
        <f t="shared" si="12"/>
        <v>0</v>
      </c>
    </row>
    <row r="17" spans="1:72" ht="12.95" customHeight="1">
      <c r="A17" s="42">
        <f t="shared" si="13"/>
        <v>3</v>
      </c>
      <c r="B17" s="98">
        <v>6864.9</v>
      </c>
      <c r="C17" s="390">
        <f>IF(B17="",C16,VLOOKUP(TRUNC(B17,1),VLOOKUP!$A$3:$K$2834,RIGHT(TEXT(B17,"0000.00"),1)+2,FALSE))</f>
        <v>174704</v>
      </c>
      <c r="D17" s="39">
        <f t="shared" si="14"/>
        <v>-396</v>
      </c>
      <c r="E17" s="49">
        <f t="shared" si="0"/>
        <v>22704</v>
      </c>
      <c r="F17" s="106">
        <f t="shared" si="1"/>
        <v>-199.64708847995965</v>
      </c>
      <c r="G17" s="41">
        <v>44.5</v>
      </c>
      <c r="H17" s="174">
        <v>0</v>
      </c>
      <c r="I17" s="41">
        <f t="shared" si="2"/>
        <v>44.5</v>
      </c>
      <c r="J17" s="36">
        <f t="shared" si="15"/>
        <v>0</v>
      </c>
      <c r="K17" s="41">
        <f t="shared" si="3"/>
        <v>44.5</v>
      </c>
      <c r="L17" s="41">
        <f t="shared" si="16"/>
        <v>-11.997088479959643</v>
      </c>
      <c r="M17" s="108">
        <v>73.599999999999994</v>
      </c>
      <c r="N17" s="33">
        <v>0</v>
      </c>
      <c r="O17" s="36">
        <f>16.8*1.05</f>
        <v>17.64</v>
      </c>
      <c r="P17" s="33">
        <v>0</v>
      </c>
      <c r="Q17" s="133">
        <f>1558600/325851/1.9835*1.02</f>
        <v>2.4597081533652756</v>
      </c>
      <c r="R17" s="67">
        <f>IF(((4.3*1.04)-T17)&gt;=4.2,4.2,(4.3*1.04)-T17)</f>
        <v>3.5225258221491926</v>
      </c>
      <c r="S17" s="67">
        <f>IF(((4.3*1.04)-T17)&gt;=4.2,((4.3*1.04)-T17)-4.2,0)</f>
        <v>0</v>
      </c>
      <c r="T17" s="67">
        <v>0.9494741778508069</v>
      </c>
      <c r="U17" s="124">
        <v>0</v>
      </c>
      <c r="V17" s="41">
        <v>99.4</v>
      </c>
      <c r="W17" s="41">
        <v>0.05</v>
      </c>
      <c r="X17" s="41">
        <f t="shared" si="4"/>
        <v>148.47829184663473</v>
      </c>
      <c r="Y17" s="41">
        <f t="shared" si="5"/>
        <v>148.47829184663473</v>
      </c>
      <c r="Z17" s="49"/>
      <c r="AA17" s="41"/>
      <c r="AB17" s="49"/>
      <c r="AC17" s="56">
        <f t="shared" ref="AC17:AC29" si="23">AC16-IF(AV16="",0,AZ16/1.9835)</f>
        <v>1016.8514198197588</v>
      </c>
      <c r="AD17" s="49"/>
      <c r="AE17" s="397"/>
      <c r="AG17" s="39">
        <f t="shared" si="17"/>
        <v>3458.8353937630059</v>
      </c>
      <c r="AH17" s="41">
        <v>31.5</v>
      </c>
      <c r="AI17" s="157">
        <v>1.7</v>
      </c>
      <c r="AJ17" s="175">
        <v>1.3</v>
      </c>
      <c r="AK17" s="41">
        <v>27.6</v>
      </c>
      <c r="AL17" s="49">
        <f>AL16-AK17</f>
        <v>3223.2792387194486</v>
      </c>
      <c r="AM17" s="49"/>
      <c r="AN17" s="68">
        <f t="shared" si="18"/>
        <v>232.15</v>
      </c>
      <c r="AO17" s="41">
        <f t="shared" si="19"/>
        <v>11.997088479959643</v>
      </c>
      <c r="AP17" s="41">
        <f t="shared" si="6"/>
        <v>244.14708847995965</v>
      </c>
      <c r="AQ17" s="170">
        <v>0</v>
      </c>
      <c r="AR17" s="559"/>
      <c r="AS17" s="443"/>
      <c r="AT17" s="36"/>
      <c r="AU17" s="37">
        <f t="shared" si="7"/>
        <v>-111.66052582214921</v>
      </c>
      <c r="AV17" s="399">
        <v>0.17</v>
      </c>
      <c r="AW17" s="524">
        <f t="shared" si="20"/>
        <v>0.11899999999999999</v>
      </c>
      <c r="AX17" s="401">
        <f>IF(AV17="",0,VLOOKUP(ROUNDDOWN(TEXT(B17,"0000"),-1),VLOOKUP!$M$3:$W$32,RIGHT(TEXT(B17,"0000"),1)+2,FALSE))</f>
        <v>2476</v>
      </c>
      <c r="AY17" s="401">
        <f t="shared" ref="AY17:AY43" si="24">AW17/12*AX17</f>
        <v>24.553666666666665</v>
      </c>
      <c r="AZ17" s="33">
        <f>AY17*((IF(Z17&gt;JUN!$Z$44,JUN!$Z$44,Z17)+AC17+AD17+AR17)*1.9835)/E17</f>
        <v>2.1812411476025271</v>
      </c>
      <c r="BA17" s="33"/>
      <c r="BB17" s="33"/>
      <c r="BC17" s="149"/>
      <c r="BD17" s="24"/>
      <c r="BE17" s="40"/>
      <c r="BF17" s="169">
        <v>0.03</v>
      </c>
      <c r="BG17" s="39">
        <v>83</v>
      </c>
      <c r="BH17" s="39">
        <v>49</v>
      </c>
      <c r="BI17" s="314"/>
      <c r="BJ17" s="319">
        <f t="shared" si="8"/>
        <v>6.9317081533652747</v>
      </c>
      <c r="BK17" s="40">
        <v>0</v>
      </c>
      <c r="BL17" s="71">
        <v>11690.5</v>
      </c>
      <c r="BM17" s="534">
        <f t="shared" si="9"/>
        <v>0</v>
      </c>
      <c r="BN17" s="247">
        <f t="shared" si="10"/>
        <v>0</v>
      </c>
      <c r="BP17" s="471">
        <f t="shared" si="21"/>
        <v>3</v>
      </c>
      <c r="BQ17" s="456">
        <v>6865.37</v>
      </c>
      <c r="BR17" s="472">
        <f t="shared" si="11"/>
        <v>-0.47000000000025466</v>
      </c>
      <c r="BS17" s="473">
        <f t="shared" si="22"/>
        <v>27.6</v>
      </c>
      <c r="BT17" s="473">
        <f t="shared" si="12"/>
        <v>0</v>
      </c>
    </row>
    <row r="18" spans="1:72" ht="12.95" customHeight="1">
      <c r="A18" s="42">
        <f t="shared" si="13"/>
        <v>4</v>
      </c>
      <c r="B18" s="98">
        <v>6864.75</v>
      </c>
      <c r="C18" s="390">
        <f>IF(B18="",C17,VLOOKUP(TRUNC(B18,1),VLOOKUP!$A$3:$K$2834,RIGHT(TEXT(B18,"0000.00"),1)+2,FALSE))</f>
        <v>174336</v>
      </c>
      <c r="D18" s="39">
        <f t="shared" si="14"/>
        <v>-368</v>
      </c>
      <c r="E18" s="49">
        <f t="shared" si="0"/>
        <v>22336</v>
      </c>
      <c r="F18" s="106">
        <f t="shared" si="1"/>
        <v>-185.53062767834635</v>
      </c>
      <c r="G18" s="41">
        <v>50.3</v>
      </c>
      <c r="H18" s="174">
        <v>0</v>
      </c>
      <c r="I18" s="41">
        <f t="shared" si="2"/>
        <v>50.3</v>
      </c>
      <c r="J18" s="36">
        <f t="shared" si="15"/>
        <v>0</v>
      </c>
      <c r="K18" s="41">
        <f t="shared" si="3"/>
        <v>50.3</v>
      </c>
      <c r="L18" s="41">
        <f t="shared" si="16"/>
        <v>-13.230627678346337</v>
      </c>
      <c r="M18" s="108">
        <v>71.400000000000006</v>
      </c>
      <c r="N18" s="33">
        <v>0</v>
      </c>
      <c r="O18" s="36">
        <f>12.8*1.05</f>
        <v>13.440000000000001</v>
      </c>
      <c r="P18" s="33">
        <v>0</v>
      </c>
      <c r="Q18" s="133">
        <f>1698200/325851/1.9835*1.02</f>
        <v>2.680018212527211</v>
      </c>
      <c r="R18" s="67">
        <f>IF(((4.7*1.04)-T18)&gt;=4.2,4.2,(4.7*1.04)-T18)</f>
        <v>4.0561339153509017</v>
      </c>
      <c r="S18" s="67">
        <f>IF(((4.7*1.04)-T18)&gt;=4.2,((4.7*1.04)-T18)-4.2,0)</f>
        <v>0</v>
      </c>
      <c r="T18" s="67">
        <v>0.83186608464909884</v>
      </c>
      <c r="U18" s="124">
        <v>0</v>
      </c>
      <c r="V18" s="41">
        <v>100</v>
      </c>
      <c r="W18" s="41">
        <v>0</v>
      </c>
      <c r="X18" s="41">
        <f t="shared" si="4"/>
        <v>150.39198178747279</v>
      </c>
      <c r="Y18" s="41">
        <f t="shared" si="5"/>
        <v>150.39198178747279</v>
      </c>
      <c r="Z18" s="49"/>
      <c r="AA18" s="41"/>
      <c r="AB18" s="49"/>
      <c r="AC18" s="56">
        <f t="shared" si="23"/>
        <v>1015.7517267783661</v>
      </c>
      <c r="AD18" s="49"/>
      <c r="AE18" s="397"/>
      <c r="AG18" s="39">
        <f t="shared" si="17"/>
        <v>3350.3072598476551</v>
      </c>
      <c r="AH18" s="41">
        <v>23.6</v>
      </c>
      <c r="AI18" s="157">
        <v>1.7</v>
      </c>
      <c r="AJ18" s="175">
        <v>1.3</v>
      </c>
      <c r="AK18" s="41">
        <v>27.6</v>
      </c>
      <c r="AL18" s="49">
        <f t="shared" ref="AL18:AL45" si="25">AL17-AK18</f>
        <v>3195.6792387194487</v>
      </c>
      <c r="AM18" s="49"/>
      <c r="AN18" s="68">
        <f t="shared" si="18"/>
        <v>222.6</v>
      </c>
      <c r="AO18" s="41">
        <f t="shared" si="19"/>
        <v>13.230627678346337</v>
      </c>
      <c r="AP18" s="41">
        <f t="shared" si="6"/>
        <v>235.83062767834633</v>
      </c>
      <c r="AQ18" s="170">
        <v>0</v>
      </c>
      <c r="AR18" s="559"/>
      <c r="AS18" s="443"/>
      <c r="AT18" s="36"/>
      <c r="AU18" s="37">
        <f t="shared" si="7"/>
        <v>-108.52813391535091</v>
      </c>
      <c r="AV18" s="399">
        <v>0.08</v>
      </c>
      <c r="AW18" s="524">
        <f t="shared" si="20"/>
        <v>5.5999999999999994E-2</v>
      </c>
      <c r="AX18" s="401">
        <f>IF(AV18="",0,VLOOKUP(ROUNDDOWN(TEXT(B18,"0000"),-1),VLOOKUP!$M$3:$W$32,RIGHT(TEXT(B18,"0000"),1)+2,FALSE))</f>
        <v>2476</v>
      </c>
      <c r="AY18" s="401">
        <f t="shared" si="24"/>
        <v>11.554666666666666</v>
      </c>
      <c r="AZ18" s="33">
        <f>AY18*((IF(Z18&gt;JUN!$Z$44,JUN!$Z$44,Z18)+AC18+AD18+AR18)*1.9835)/E18</f>
        <v>1.0422497376350481</v>
      </c>
      <c r="BA18" s="33"/>
      <c r="BB18" s="33"/>
      <c r="BC18" s="149"/>
      <c r="BD18" s="24"/>
      <c r="BE18" s="40"/>
      <c r="BF18" s="169">
        <v>0.09</v>
      </c>
      <c r="BG18" s="39">
        <v>71</v>
      </c>
      <c r="BH18" s="39">
        <v>39</v>
      </c>
      <c r="BI18" s="314"/>
      <c r="BJ18" s="319">
        <f t="shared" si="8"/>
        <v>7.5680182125272113</v>
      </c>
      <c r="BK18" s="40">
        <v>0</v>
      </c>
      <c r="BL18" s="71">
        <v>11687.75</v>
      </c>
      <c r="BM18" s="534">
        <f t="shared" si="9"/>
        <v>0</v>
      </c>
      <c r="BN18" s="247">
        <f t="shared" si="10"/>
        <v>0</v>
      </c>
      <c r="BP18" s="471">
        <f t="shared" si="21"/>
        <v>4</v>
      </c>
      <c r="BQ18" s="456">
        <v>6865.24</v>
      </c>
      <c r="BR18" s="472">
        <f t="shared" si="11"/>
        <v>-0.48999999999978172</v>
      </c>
      <c r="BS18" s="473">
        <f t="shared" si="22"/>
        <v>27.6</v>
      </c>
      <c r="BT18" s="473">
        <f t="shared" si="12"/>
        <v>0</v>
      </c>
    </row>
    <row r="19" spans="1:72" ht="12.95" customHeight="1">
      <c r="A19" s="42">
        <f t="shared" si="13"/>
        <v>5</v>
      </c>
      <c r="B19" s="98">
        <v>6864.63</v>
      </c>
      <c r="C19" s="390">
        <f>IF(B19="",C18,VLOOKUP(TRUNC(B19,1),VLOOKUP!$A$3:$K$2834,RIGHT(TEXT(B19,"0000.00"),1)+2,FALSE))</f>
        <v>174041</v>
      </c>
      <c r="D19" s="39">
        <f t="shared" si="14"/>
        <v>-295</v>
      </c>
      <c r="E19" s="49">
        <f t="shared" si="0"/>
        <v>22041</v>
      </c>
      <c r="F19" s="106">
        <f t="shared" si="1"/>
        <v>-148.72699773128309</v>
      </c>
      <c r="G19" s="41">
        <v>95.8</v>
      </c>
      <c r="H19" s="174">
        <v>0</v>
      </c>
      <c r="I19" s="41">
        <f t="shared" si="2"/>
        <v>95.8</v>
      </c>
      <c r="J19" s="36">
        <f t="shared" si="15"/>
        <v>0</v>
      </c>
      <c r="K19" s="41">
        <f t="shared" si="3"/>
        <v>95.8</v>
      </c>
      <c r="L19" s="41">
        <f t="shared" si="16"/>
        <v>-18.726997731283092</v>
      </c>
      <c r="M19" s="108">
        <v>67.3</v>
      </c>
      <c r="N19" s="33">
        <v>0</v>
      </c>
      <c r="O19" s="36">
        <f>17.1*1.05</f>
        <v>17.955000000000002</v>
      </c>
      <c r="P19" s="33">
        <v>0</v>
      </c>
      <c r="Q19" s="133">
        <f>1646700/325851/1.9835*1.02</f>
        <v>2.5987433697848061</v>
      </c>
      <c r="R19" s="67">
        <f>IF(((4.1*1.04)-T19)&gt;=4.2,4.2,(4.1*1.04)-T19)</f>
        <v>3.4321339153509003</v>
      </c>
      <c r="S19" s="67">
        <f>IF(((4.1*1.04)-T19)&gt;=4.2,((4.1*1.04)-T19)-4.2,0)</f>
        <v>0</v>
      </c>
      <c r="T19" s="67">
        <v>0.83186608464909884</v>
      </c>
      <c r="U19" s="124">
        <v>0</v>
      </c>
      <c r="V19" s="41">
        <v>99.8</v>
      </c>
      <c r="W19" s="41">
        <v>0</v>
      </c>
      <c r="X19" s="41">
        <f t="shared" si="4"/>
        <v>142.28225663021519</v>
      </c>
      <c r="Y19" s="41">
        <f t="shared" si="5"/>
        <v>142.28225663021519</v>
      </c>
      <c r="Z19" s="49"/>
      <c r="AA19" s="41"/>
      <c r="AB19" s="49"/>
      <c r="AC19" s="56">
        <f t="shared" si="23"/>
        <v>1015.2262668652655</v>
      </c>
      <c r="AD19" s="49"/>
      <c r="AE19" s="397"/>
      <c r="AG19" s="39">
        <f t="shared" si="17"/>
        <v>3296.0941259323045</v>
      </c>
      <c r="AH19" s="41">
        <v>31</v>
      </c>
      <c r="AI19" s="157">
        <v>1.7</v>
      </c>
      <c r="AJ19" s="175">
        <v>1.3</v>
      </c>
      <c r="AK19" s="41">
        <v>27.7</v>
      </c>
      <c r="AL19" s="49">
        <f t="shared" si="25"/>
        <v>3167.9792387194489</v>
      </c>
      <c r="AM19" s="49"/>
      <c r="AN19" s="68">
        <f t="shared" si="18"/>
        <v>225.79999999999998</v>
      </c>
      <c r="AO19" s="41">
        <f t="shared" si="19"/>
        <v>18.726997731283092</v>
      </c>
      <c r="AP19" s="41">
        <f t="shared" si="6"/>
        <v>244.52699773128307</v>
      </c>
      <c r="AQ19" s="170">
        <v>0</v>
      </c>
      <c r="AR19" s="559"/>
      <c r="AS19" s="443"/>
      <c r="AT19" s="36"/>
      <c r="AU19" s="37">
        <f t="shared" si="7"/>
        <v>-54.213133915350895</v>
      </c>
      <c r="AV19" s="399">
        <v>0.09</v>
      </c>
      <c r="AW19" s="524">
        <f t="shared" si="20"/>
        <v>6.3E-2</v>
      </c>
      <c r="AX19" s="401">
        <f>IF(AV19="",0,VLOOKUP(ROUNDDOWN(TEXT(B19,"0000"),-1),VLOOKUP!$M$3:$W$32,RIGHT(TEXT(B19,"0000"),1)+2,FALSE))</f>
        <v>2476</v>
      </c>
      <c r="AY19" s="401">
        <f t="shared" si="24"/>
        <v>12.999000000000001</v>
      </c>
      <c r="AZ19" s="33">
        <f>AY19*((IF(Z19&gt;JUN!$Z$44,JUN!$Z$44,Z19)+AC19+AD19+AR19)*1.9835)/E19</f>
        <v>1.1876096004243901</v>
      </c>
      <c r="BA19" s="33"/>
      <c r="BB19" s="33"/>
      <c r="BC19" s="149"/>
      <c r="BD19" s="24"/>
      <c r="BE19" s="40"/>
      <c r="BF19" s="169">
        <v>0</v>
      </c>
      <c r="BG19" s="39">
        <v>70</v>
      </c>
      <c r="BH19" s="39">
        <v>35</v>
      </c>
      <c r="BI19" s="314"/>
      <c r="BJ19" s="319">
        <f t="shared" si="8"/>
        <v>6.8627433697848055</v>
      </c>
      <c r="BK19" s="40">
        <v>0</v>
      </c>
      <c r="BL19" s="71">
        <v>11682.25</v>
      </c>
      <c r="BM19" s="534">
        <f t="shared" si="9"/>
        <v>0</v>
      </c>
      <c r="BN19" s="247">
        <f t="shared" si="10"/>
        <v>0</v>
      </c>
      <c r="BP19" s="471">
        <f t="shared" si="21"/>
        <v>5</v>
      </c>
      <c r="BQ19" s="474">
        <v>6865.12</v>
      </c>
      <c r="BR19" s="472">
        <f t="shared" si="11"/>
        <v>-0.48999999999978172</v>
      </c>
      <c r="BS19" s="473">
        <f t="shared" si="22"/>
        <v>27.7</v>
      </c>
      <c r="BT19" s="473">
        <f t="shared" si="12"/>
        <v>0</v>
      </c>
    </row>
    <row r="20" spans="1:72" ht="12.95" customHeight="1">
      <c r="A20" s="42">
        <f t="shared" si="13"/>
        <v>6</v>
      </c>
      <c r="B20" s="98">
        <v>6864.51</v>
      </c>
      <c r="C20" s="390">
        <f>IF(B20="",C19,VLOOKUP(TRUNC(B20,1),VLOOKUP!$A$3:$K$2834,RIGHT(TEXT(B20,"0000.00"),1)+2,FALSE))</f>
        <v>173746</v>
      </c>
      <c r="D20" s="39">
        <f t="shared" si="14"/>
        <v>-295</v>
      </c>
      <c r="E20" s="49">
        <f t="shared" si="0"/>
        <v>21746</v>
      </c>
      <c r="F20" s="106">
        <f t="shared" si="1"/>
        <v>-148.72699773128309</v>
      </c>
      <c r="G20" s="41">
        <v>76.8</v>
      </c>
      <c r="H20" s="174">
        <v>0</v>
      </c>
      <c r="I20" s="41">
        <f t="shared" si="2"/>
        <v>76.8</v>
      </c>
      <c r="J20" s="36">
        <f t="shared" si="15"/>
        <v>6.9730022687168969</v>
      </c>
      <c r="K20" s="41">
        <f t="shared" si="3"/>
        <v>83.773002268716894</v>
      </c>
      <c r="L20" s="41">
        <f t="shared" si="16"/>
        <v>6.9730022687168969</v>
      </c>
      <c r="M20" s="108">
        <v>77.8</v>
      </c>
      <c r="N20" s="33">
        <v>0</v>
      </c>
      <c r="O20" s="36">
        <f>20.5*1.05</f>
        <v>21.525000000000002</v>
      </c>
      <c r="P20" s="33">
        <v>0</v>
      </c>
      <c r="Q20" s="133">
        <f>1963000/325851/1.9835*1.02</f>
        <v>3.0979129379289336</v>
      </c>
      <c r="R20" s="67">
        <f>IF(((3.6*1.04)-T20)&gt;=4.2,4.2,(3.6*1.04)-T20)</f>
        <v>2.9121339153509016</v>
      </c>
      <c r="S20" s="67">
        <f>IF(((3.6*1.04)-T20)&gt;=4.2,((3.6*1.04)-T20)-4.2,0)</f>
        <v>0</v>
      </c>
      <c r="T20" s="67">
        <v>0.83186608464909884</v>
      </c>
      <c r="U20" s="124">
        <v>0</v>
      </c>
      <c r="V20" s="41">
        <v>96</v>
      </c>
      <c r="W20" s="41">
        <v>0</v>
      </c>
      <c r="X20" s="41">
        <f t="shared" si="4"/>
        <v>145.43308706207105</v>
      </c>
      <c r="Y20" s="41">
        <f t="shared" si="5"/>
        <v>145.43308706207105</v>
      </c>
      <c r="Z20" s="49"/>
      <c r="AA20" s="41"/>
      <c r="AB20" s="49"/>
      <c r="AC20" s="56">
        <f t="shared" si="23"/>
        <v>1014.627522423408</v>
      </c>
      <c r="AD20" s="49"/>
      <c r="AE20" s="397"/>
      <c r="AG20" s="39">
        <f t="shared" si="17"/>
        <v>3219.7509920169537</v>
      </c>
      <c r="AH20" s="41">
        <v>31</v>
      </c>
      <c r="AI20" s="157">
        <v>1.7</v>
      </c>
      <c r="AJ20" s="175">
        <v>1.3</v>
      </c>
      <c r="AK20" s="41">
        <v>27.7</v>
      </c>
      <c r="AL20" s="49">
        <f t="shared" si="25"/>
        <v>3140.279238719449</v>
      </c>
      <c r="AM20" s="49"/>
      <c r="AN20" s="68">
        <f t="shared" si="18"/>
        <v>232.5</v>
      </c>
      <c r="AO20" s="41">
        <f t="shared" si="19"/>
        <v>0</v>
      </c>
      <c r="AP20" s="41">
        <f t="shared" si="6"/>
        <v>232.5</v>
      </c>
      <c r="AQ20" s="170">
        <v>0</v>
      </c>
      <c r="AR20" s="559"/>
      <c r="AS20" s="443"/>
      <c r="AT20" s="36"/>
      <c r="AU20" s="37">
        <f t="shared" si="7"/>
        <v>-76.343133915350904</v>
      </c>
      <c r="AV20" s="399">
        <v>0.16</v>
      </c>
      <c r="AW20" s="524">
        <f t="shared" si="20"/>
        <v>0.11199999999999999</v>
      </c>
      <c r="AX20" s="401">
        <f>IF(AV20="",0,VLOOKUP(ROUNDDOWN(TEXT(B20,"0000"),-1),VLOOKUP!$M$3:$W$32,RIGHT(TEXT(B20,"0000"),1)+2,FALSE))</f>
        <v>2476</v>
      </c>
      <c r="AY20" s="401">
        <f t="shared" si="24"/>
        <v>23.109333333333332</v>
      </c>
      <c r="AZ20" s="33">
        <f>AY20*((IF(Z20&gt;JUN!$Z$44,JUN!$Z$44,Z20)+AC20+AD20+AR20)*1.9835)/E20</f>
        <v>2.1386852624346187</v>
      </c>
      <c r="BA20" s="33"/>
      <c r="BB20" s="33"/>
      <c r="BC20" s="149"/>
      <c r="BD20" s="24"/>
      <c r="BE20" s="40"/>
      <c r="BF20" s="169">
        <v>0</v>
      </c>
      <c r="BG20" s="39">
        <v>74</v>
      </c>
      <c r="BH20" s="39">
        <v>37</v>
      </c>
      <c r="BI20" s="314"/>
      <c r="BJ20" s="319">
        <f t="shared" si="8"/>
        <v>6.8419129379289343</v>
      </c>
      <c r="BK20" s="40">
        <v>0</v>
      </c>
      <c r="BL20" s="71">
        <v>11678.125</v>
      </c>
      <c r="BM20" s="534">
        <f t="shared" si="9"/>
        <v>0</v>
      </c>
      <c r="BN20" s="247">
        <f t="shared" si="10"/>
        <v>0</v>
      </c>
      <c r="BP20" s="471">
        <f t="shared" si="21"/>
        <v>6</v>
      </c>
      <c r="BQ20" s="474">
        <v>6864.98</v>
      </c>
      <c r="BR20" s="472">
        <f>B20-BQ20</f>
        <v>-0.46999999999934516</v>
      </c>
      <c r="BS20" s="473">
        <f t="shared" si="22"/>
        <v>27.7</v>
      </c>
      <c r="BT20" s="473">
        <f t="shared" si="12"/>
        <v>0</v>
      </c>
    </row>
    <row r="21" spans="1:72" ht="12.95" customHeight="1">
      <c r="A21" s="42">
        <f t="shared" si="13"/>
        <v>7</v>
      </c>
      <c r="B21" s="98">
        <v>6864.36</v>
      </c>
      <c r="C21" s="390">
        <f>IF(B21="",C20,VLOOKUP(TRUNC(B21,1),VLOOKUP!$A$3:$K$2834,RIGHT(TEXT(B21,"0000.00"),1)+2,FALSE))</f>
        <v>173378</v>
      </c>
      <c r="D21" s="39">
        <f t="shared" si="14"/>
        <v>-368</v>
      </c>
      <c r="E21" s="49">
        <f t="shared" si="0"/>
        <v>21378</v>
      </c>
      <c r="F21" s="106">
        <f t="shared" si="1"/>
        <v>-185.53062767834635</v>
      </c>
      <c r="G21" s="41">
        <v>64</v>
      </c>
      <c r="H21" s="174">
        <v>0</v>
      </c>
      <c r="I21" s="41">
        <f t="shared" si="2"/>
        <v>64</v>
      </c>
      <c r="J21" s="36">
        <f t="shared" si="15"/>
        <v>0</v>
      </c>
      <c r="K21" s="41">
        <f t="shared" si="3"/>
        <v>64</v>
      </c>
      <c r="L21" s="41">
        <f t="shared" si="16"/>
        <v>-34.630627678346372</v>
      </c>
      <c r="M21" s="108">
        <v>65.599999999999994</v>
      </c>
      <c r="N21" s="33">
        <v>0</v>
      </c>
      <c r="O21" s="36">
        <f>12.5*1.05</f>
        <v>13.125</v>
      </c>
      <c r="P21" s="33">
        <v>0</v>
      </c>
      <c r="Q21" s="133">
        <f>1618000/325851/1.9835*1.02</f>
        <v>2.5534503991691366</v>
      </c>
      <c r="R21" s="67">
        <f>IF(((4.6*1.04)-T21)&gt;=4.2,4.2,(4.6*1.04)-T21)</f>
        <v>3.9521339153509008</v>
      </c>
      <c r="S21" s="67">
        <f>IF(((4.6*1.04)-T21)&gt;=4.2,((4.6*1.04)-T21)-4.2,0)</f>
        <v>0</v>
      </c>
      <c r="T21" s="67">
        <v>0.83186608464909884</v>
      </c>
      <c r="U21" s="124">
        <v>0</v>
      </c>
      <c r="V21" s="41">
        <v>92</v>
      </c>
      <c r="W21" s="41">
        <v>0</v>
      </c>
      <c r="X21" s="41">
        <f t="shared" si="4"/>
        <v>137.13754960083085</v>
      </c>
      <c r="Y21" s="41">
        <f t="shared" si="5"/>
        <v>137.13754960083085</v>
      </c>
      <c r="Z21" s="49"/>
      <c r="AA21" s="41"/>
      <c r="AB21" s="49"/>
      <c r="AC21" s="56">
        <f t="shared" si="23"/>
        <v>1013.5492843279028</v>
      </c>
      <c r="AD21" s="49"/>
      <c r="AE21" s="397"/>
      <c r="AG21" s="39">
        <f t="shared" si="17"/>
        <v>3138.4078581016029</v>
      </c>
      <c r="AH21" s="41">
        <v>29.6</v>
      </c>
      <c r="AI21" s="157">
        <v>1.7</v>
      </c>
      <c r="AJ21" s="175">
        <v>1.3</v>
      </c>
      <c r="AK21" s="41">
        <v>27.7</v>
      </c>
      <c r="AL21" s="49">
        <f t="shared" si="25"/>
        <v>3112.5792387194492</v>
      </c>
      <c r="AM21" s="49"/>
      <c r="AN21" s="68">
        <f t="shared" si="18"/>
        <v>214.89999999999998</v>
      </c>
      <c r="AO21" s="41">
        <f t="shared" si="19"/>
        <v>34.630627678346372</v>
      </c>
      <c r="AP21" s="41">
        <f t="shared" si="6"/>
        <v>249.53062767834635</v>
      </c>
      <c r="AQ21" s="170">
        <v>0</v>
      </c>
      <c r="AR21" s="559"/>
      <c r="AS21" s="443"/>
      <c r="AT21" s="36"/>
      <c r="AU21" s="37">
        <f t="shared" si="7"/>
        <v>-81.34313391535089</v>
      </c>
      <c r="AV21" s="399">
        <v>0.17</v>
      </c>
      <c r="AW21" s="524">
        <f t="shared" si="20"/>
        <v>0.11899999999999999</v>
      </c>
      <c r="AX21" s="401">
        <f>IF(AV21="",0,VLOOKUP(ROUNDDOWN(TEXT(B21,"0000"),-1),VLOOKUP!$M$3:$W$32,RIGHT(TEXT(B21,"0000"),1)+2,FALSE))</f>
        <v>2437</v>
      </c>
      <c r="AY21" s="401">
        <f t="shared" si="24"/>
        <v>24.166916666666665</v>
      </c>
      <c r="AZ21" s="33">
        <f>AY21*((IF(Z21&gt;JUN!$Z$44,JUN!$Z$44,Z21)+AC21+AD21+AR21)*1.9835)/E21</f>
        <v>2.2726431483678353</v>
      </c>
      <c r="BA21" s="33"/>
      <c r="BB21" s="33"/>
      <c r="BC21" s="149"/>
      <c r="BD21" s="24"/>
      <c r="BE21" s="40"/>
      <c r="BF21" s="169">
        <v>0</v>
      </c>
      <c r="BG21" s="39">
        <v>78</v>
      </c>
      <c r="BH21" s="39">
        <v>40</v>
      </c>
      <c r="BI21" s="314"/>
      <c r="BJ21" s="319">
        <f t="shared" si="8"/>
        <v>7.3374503991691364</v>
      </c>
      <c r="BK21" s="40">
        <v>0</v>
      </c>
      <c r="BL21" s="71">
        <v>11674.083000000001</v>
      </c>
      <c r="BM21" s="534">
        <f t="shared" si="9"/>
        <v>0</v>
      </c>
      <c r="BN21" s="247">
        <f t="shared" si="10"/>
        <v>0</v>
      </c>
      <c r="BP21" s="471">
        <f t="shared" si="21"/>
        <v>7</v>
      </c>
      <c r="BQ21" s="474">
        <v>6864.85</v>
      </c>
      <c r="BR21" s="472">
        <f>B21-BQ21</f>
        <v>-0.49000000000069122</v>
      </c>
      <c r="BS21" s="473">
        <f t="shared" si="22"/>
        <v>27.7</v>
      </c>
      <c r="BT21" s="473">
        <f t="shared" si="12"/>
        <v>0</v>
      </c>
    </row>
    <row r="22" spans="1:72" ht="12.95" customHeight="1">
      <c r="A22" s="42">
        <f t="shared" si="13"/>
        <v>8</v>
      </c>
      <c r="B22" s="98">
        <v>6864.26</v>
      </c>
      <c r="C22" s="390">
        <f>IF(B22="",C21,VLOOKUP(TRUNC(B22,1),VLOOKUP!$A$3:$K$2834,RIGHT(TEXT(B22,"0000.00"),1)+2,FALSE))</f>
        <v>173132</v>
      </c>
      <c r="D22" s="39">
        <f t="shared" si="14"/>
        <v>-246</v>
      </c>
      <c r="E22" s="49">
        <f t="shared" si="0"/>
        <v>21132</v>
      </c>
      <c r="F22" s="106">
        <f t="shared" si="1"/>
        <v>-124.02319132845979</v>
      </c>
      <c r="G22" s="41">
        <v>57.6</v>
      </c>
      <c r="H22" s="174">
        <v>0</v>
      </c>
      <c r="I22" s="41">
        <f>G22+H22</f>
        <v>57.6</v>
      </c>
      <c r="J22" s="36">
        <f t="shared" si="15"/>
        <v>0</v>
      </c>
      <c r="K22" s="41">
        <f t="shared" si="3"/>
        <v>57.6</v>
      </c>
      <c r="L22" s="41">
        <f t="shared" si="16"/>
        <v>-0.8431913284598096</v>
      </c>
      <c r="M22" s="108">
        <v>57.7</v>
      </c>
      <c r="N22" s="33">
        <v>0</v>
      </c>
      <c r="O22" s="36">
        <f>11.1*1.05</f>
        <v>11.654999999999999</v>
      </c>
      <c r="P22" s="33">
        <v>0</v>
      </c>
      <c r="Q22" s="133">
        <f>1575200/325851/1.9835*1.02</f>
        <v>2.4859054813171957</v>
      </c>
      <c r="R22" s="67">
        <f>IF(((4*1.04)-T22)&gt;=4.2,4.2,(4*1.04)-T22)</f>
        <v>3.3281339153509011</v>
      </c>
      <c r="S22" s="67">
        <f>IF(((4*1.04)-T22)&gt;=4.2,((4*1.04)-T22)-4.2,0)</f>
        <v>0</v>
      </c>
      <c r="T22" s="67">
        <v>0.83186608464909884</v>
      </c>
      <c r="U22" s="124">
        <v>0</v>
      </c>
      <c r="V22" s="41">
        <v>91.5</v>
      </c>
      <c r="W22" s="41">
        <v>0</v>
      </c>
      <c r="X22" s="41">
        <f t="shared" si="4"/>
        <v>130.8990945186828</v>
      </c>
      <c r="Y22" s="41">
        <f t="shared" si="5"/>
        <v>130.8990945186828</v>
      </c>
      <c r="Z22" s="49"/>
      <c r="AA22" s="41"/>
      <c r="AB22" s="49"/>
      <c r="AC22" s="56">
        <f t="shared" si="23"/>
        <v>1012.4035101164746</v>
      </c>
      <c r="AD22" s="49"/>
      <c r="AE22" s="397"/>
      <c r="AG22" s="39">
        <f t="shared" si="17"/>
        <v>3057.5947241862518</v>
      </c>
      <c r="AH22" s="41">
        <v>3.88</v>
      </c>
      <c r="AI22" s="157">
        <v>1.7</v>
      </c>
      <c r="AJ22" s="175">
        <v>1.3</v>
      </c>
      <c r="AK22" s="41">
        <v>27.7</v>
      </c>
      <c r="AL22" s="49">
        <f t="shared" si="25"/>
        <v>3084.8792387194494</v>
      </c>
      <c r="AM22" s="49"/>
      <c r="AN22" s="68">
        <f t="shared" si="18"/>
        <v>180.77999999999997</v>
      </c>
      <c r="AO22" s="41">
        <f t="shared" si="19"/>
        <v>0.8431913284598096</v>
      </c>
      <c r="AP22" s="41">
        <f t="shared" si="6"/>
        <v>181.62319132845977</v>
      </c>
      <c r="AQ22" s="170">
        <v>0</v>
      </c>
      <c r="AR22" s="559"/>
      <c r="AS22" s="443"/>
      <c r="AT22" s="36"/>
      <c r="AU22" s="37">
        <f t="shared" si="7"/>
        <v>-80.813133915350903</v>
      </c>
      <c r="AV22" s="399">
        <v>0.16</v>
      </c>
      <c r="AW22" s="524">
        <f t="shared" si="20"/>
        <v>0.11199999999999999</v>
      </c>
      <c r="AX22" s="401">
        <f>IF(AV22="",0,VLOOKUP(ROUNDDOWN(TEXT(B22,"0000"),-1),VLOOKUP!$M$3:$W$32,RIGHT(TEXT(B22,"0000"),1)+2,FALSE))</f>
        <v>2437</v>
      </c>
      <c r="AY22" s="401">
        <f t="shared" si="24"/>
        <v>22.745333333333331</v>
      </c>
      <c r="AZ22" s="33">
        <f>AY22*((IF(Z22&gt;JUN!$Z$44,JUN!$Z$44,Z22)+AC22+AD22+AR22)*1.9835)/E22</f>
        <v>2.1614119628209423</v>
      </c>
      <c r="BA22" s="33"/>
      <c r="BB22" s="33"/>
      <c r="BC22" s="149"/>
      <c r="BD22" s="24"/>
      <c r="BE22" s="40"/>
      <c r="BF22" s="169">
        <v>0</v>
      </c>
      <c r="BG22" s="39">
        <v>80</v>
      </c>
      <c r="BH22" s="39">
        <v>42</v>
      </c>
      <c r="BI22" s="314"/>
      <c r="BJ22" s="319">
        <f t="shared" si="8"/>
        <v>6.6459054813171958</v>
      </c>
      <c r="BK22" s="40">
        <v>0</v>
      </c>
      <c r="BL22" s="71">
        <v>11669.375</v>
      </c>
      <c r="BM22" s="534">
        <f t="shared" si="9"/>
        <v>0</v>
      </c>
      <c r="BN22" s="247">
        <f t="shared" si="10"/>
        <v>0</v>
      </c>
      <c r="BP22" s="471">
        <f t="shared" si="21"/>
        <v>8</v>
      </c>
      <c r="BQ22" s="474">
        <v>6864.74</v>
      </c>
      <c r="BR22" s="472">
        <f t="shared" si="11"/>
        <v>-0.47999999999956344</v>
      </c>
      <c r="BS22" s="473">
        <f t="shared" si="22"/>
        <v>27.7</v>
      </c>
      <c r="BT22" s="473">
        <f t="shared" si="12"/>
        <v>0</v>
      </c>
    </row>
    <row r="23" spans="1:72" ht="12.95" customHeight="1">
      <c r="A23" s="42">
        <f t="shared" si="13"/>
        <v>9</v>
      </c>
      <c r="B23" s="98">
        <v>6864.23</v>
      </c>
      <c r="C23" s="390">
        <f>IF(B23="",C22,VLOOKUP(TRUNC(B23,1),VLOOKUP!$A$3:$K$2834,RIGHT(TEXT(B23,"0000.00"),1)+2,FALSE))</f>
        <v>173058</v>
      </c>
      <c r="D23" s="39">
        <f t="shared" si="14"/>
        <v>-74</v>
      </c>
      <c r="E23" s="49">
        <f t="shared" si="0"/>
        <v>21058</v>
      </c>
      <c r="F23" s="106">
        <f t="shared" si="1"/>
        <v>-37.307789261406604</v>
      </c>
      <c r="G23" s="41">
        <v>54.4</v>
      </c>
      <c r="H23" s="174">
        <v>0</v>
      </c>
      <c r="I23" s="41">
        <f t="shared" si="2"/>
        <v>54.4</v>
      </c>
      <c r="J23" s="36">
        <f t="shared" si="15"/>
        <v>27.392210738593384</v>
      </c>
      <c r="K23" s="41">
        <f t="shared" si="3"/>
        <v>81.792210738593383</v>
      </c>
      <c r="L23" s="41">
        <f t="shared" si="16"/>
        <v>27.392210738593384</v>
      </c>
      <c r="M23" s="108">
        <v>10.3</v>
      </c>
      <c r="N23" s="33">
        <v>0</v>
      </c>
      <c r="O23" s="36">
        <f>5.7*1.05</f>
        <v>5.9850000000000003</v>
      </c>
      <c r="P23" s="33">
        <v>0</v>
      </c>
      <c r="Q23" s="133">
        <f>1478900/325851/1.9835*1.02</f>
        <v>2.333929416150331</v>
      </c>
      <c r="R23" s="67">
        <f>IF(((3.9*1.04)-T23)&gt;=4.2,4.2,(3.9*1.04)-T23)</f>
        <v>3.224133915350901</v>
      </c>
      <c r="S23" s="67">
        <f>IF(((3.9*1.04)-T23)&gt;=4.2,((3.9*1.04)-T23)-4.2,0)</f>
        <v>0</v>
      </c>
      <c r="T23" s="67">
        <v>0.83186608464909884</v>
      </c>
      <c r="U23" s="124">
        <v>0</v>
      </c>
      <c r="V23" s="41">
        <v>81</v>
      </c>
      <c r="W23" s="41">
        <v>0</v>
      </c>
      <c r="X23" s="41">
        <f t="shared" si="4"/>
        <v>78.925070583849674</v>
      </c>
      <c r="Y23" s="41">
        <f t="shared" si="5"/>
        <v>78.925070583849674</v>
      </c>
      <c r="Z23" s="49"/>
      <c r="AA23" s="41"/>
      <c r="AB23" s="49"/>
      <c r="AC23" s="56">
        <f t="shared" si="23"/>
        <v>1011.3138141432854</v>
      </c>
      <c r="AD23" s="49"/>
      <c r="AE23" s="397"/>
      <c r="AG23" s="39">
        <f t="shared" si="17"/>
        <v>3025.811590270901</v>
      </c>
      <c r="AH23" s="41">
        <v>0</v>
      </c>
      <c r="AI23" s="157">
        <v>1.7</v>
      </c>
      <c r="AJ23" s="175">
        <v>1.3</v>
      </c>
      <c r="AK23" s="41">
        <v>27.8</v>
      </c>
      <c r="AL23" s="49">
        <f t="shared" si="25"/>
        <v>3057.0792387194492</v>
      </c>
      <c r="AM23" s="49"/>
      <c r="AN23" s="68">
        <f t="shared" si="18"/>
        <v>119.1</v>
      </c>
      <c r="AO23" s="41">
        <f t="shared" si="19"/>
        <v>0</v>
      </c>
      <c r="AP23" s="41">
        <f t="shared" si="6"/>
        <v>119.1</v>
      </c>
      <c r="AQ23" s="170">
        <v>0</v>
      </c>
      <c r="AR23" s="559"/>
      <c r="AS23" s="443"/>
      <c r="AT23" s="36"/>
      <c r="AU23" s="37">
        <f t="shared" si="7"/>
        <v>-31.783133915350913</v>
      </c>
      <c r="AV23" s="399">
        <v>0</v>
      </c>
      <c r="AW23" s="524">
        <f t="shared" si="20"/>
        <v>0</v>
      </c>
      <c r="AX23" s="401">
        <f>IF(AV23="",0,VLOOKUP(ROUNDDOWN(TEXT(B23,"0000"),-1),VLOOKUP!$M$3:$W$32,RIGHT(TEXT(B23,"0000"),1)+2,FALSE))</f>
        <v>2437</v>
      </c>
      <c r="AY23" s="401">
        <f t="shared" si="24"/>
        <v>0</v>
      </c>
      <c r="AZ23" s="33">
        <f>AY23*((IF(Z23&gt;JUN!$Z$44,JUN!$Z$44,Z23)+AC23+AD23+AR23)*1.9835)/E23</f>
        <v>0</v>
      </c>
      <c r="BA23" s="33"/>
      <c r="BB23" s="33"/>
      <c r="BC23" s="149"/>
      <c r="BD23" s="24"/>
      <c r="BE23" s="40"/>
      <c r="BF23" s="169">
        <v>0.15</v>
      </c>
      <c r="BG23" s="50">
        <v>80</v>
      </c>
      <c r="BH23" s="39">
        <v>52</v>
      </c>
      <c r="BI23" s="314"/>
      <c r="BJ23" s="319">
        <f t="shared" si="8"/>
        <v>6.3899294161503315</v>
      </c>
      <c r="BK23" s="40">
        <v>0</v>
      </c>
      <c r="BL23" s="71">
        <v>11668.166999999999</v>
      </c>
      <c r="BM23" s="534">
        <f t="shared" si="9"/>
        <v>0</v>
      </c>
      <c r="BN23" s="247">
        <f t="shared" si="10"/>
        <v>0</v>
      </c>
      <c r="BP23" s="471">
        <f t="shared" si="21"/>
        <v>9</v>
      </c>
      <c r="BQ23" s="474">
        <v>6864.69</v>
      </c>
      <c r="BR23" s="472">
        <f t="shared" si="11"/>
        <v>-0.46000000000003638</v>
      </c>
      <c r="BS23" s="473">
        <f t="shared" si="22"/>
        <v>27.8</v>
      </c>
      <c r="BT23" s="473">
        <f t="shared" si="12"/>
        <v>0</v>
      </c>
    </row>
    <row r="24" spans="1:72" ht="12.95" customHeight="1">
      <c r="A24" s="42">
        <f t="shared" si="13"/>
        <v>10</v>
      </c>
      <c r="B24" s="98">
        <v>6864.27</v>
      </c>
      <c r="C24" s="390">
        <f>IF(B24="",C23,VLOOKUP(TRUNC(B24,1),VLOOKUP!$A$3:$K$2834,RIGHT(TEXT(B24,"0000.00"),1)+2,FALSE))</f>
        <v>173157</v>
      </c>
      <c r="D24" s="39">
        <f t="shared" si="14"/>
        <v>99</v>
      </c>
      <c r="E24" s="49">
        <f t="shared" si="0"/>
        <v>21157</v>
      </c>
      <c r="F24" s="106">
        <f t="shared" si="1"/>
        <v>49.911772119989912</v>
      </c>
      <c r="G24" s="41">
        <v>59</v>
      </c>
      <c r="H24" s="174">
        <v>0</v>
      </c>
      <c r="I24" s="41">
        <f t="shared" si="2"/>
        <v>59</v>
      </c>
      <c r="J24" s="36">
        <f t="shared" si="15"/>
        <v>29.17177211998991</v>
      </c>
      <c r="K24" s="41">
        <f t="shared" si="3"/>
        <v>88.17177211998991</v>
      </c>
      <c r="L24" s="41">
        <f t="shared" si="16"/>
        <v>29.17177211998991</v>
      </c>
      <c r="M24" s="108">
        <v>9.1199999999999992</v>
      </c>
      <c r="N24" s="33">
        <v>0</v>
      </c>
      <c r="O24" s="36">
        <f>0*1.05</f>
        <v>0</v>
      </c>
      <c r="P24" s="33">
        <v>0</v>
      </c>
      <c r="Q24" s="133">
        <f>1489600/325851/1.9835*1.02</f>
        <v>2.350815645613316</v>
      </c>
      <c r="R24" s="67">
        <f>IF(((3.4*1.04)-T24)&gt;=4.2,4.2,(3.4*1.04)-T24)</f>
        <v>2.704133915350901</v>
      </c>
      <c r="S24" s="67">
        <f>IF(((3.4*1.04)-T24)&gt;=4.2,((3.4*1.04)-T24)-4.2,0)</f>
        <v>0</v>
      </c>
      <c r="T24" s="67">
        <v>0.83186608464909895</v>
      </c>
      <c r="U24" s="124">
        <v>0</v>
      </c>
      <c r="V24" s="41">
        <v>2.2400000000000002</v>
      </c>
      <c r="W24" s="41">
        <v>0</v>
      </c>
      <c r="X24" s="41">
        <f t="shared" si="4"/>
        <v>5.4731843543866825</v>
      </c>
      <c r="Y24" s="41">
        <f t="shared" si="5"/>
        <v>5.4731843543866825</v>
      </c>
      <c r="Z24" s="49"/>
      <c r="AA24" s="41"/>
      <c r="AB24" s="49"/>
      <c r="AC24" s="56">
        <f t="shared" si="23"/>
        <v>1011.3138141432854</v>
      </c>
      <c r="AD24" s="49"/>
      <c r="AE24" s="397"/>
      <c r="AG24" s="39">
        <f t="shared" si="17"/>
        <v>3025.811590270901</v>
      </c>
      <c r="AH24" s="41">
        <v>0</v>
      </c>
      <c r="AI24" s="157">
        <v>1.7</v>
      </c>
      <c r="AJ24" s="175">
        <v>1.3</v>
      </c>
      <c r="AK24" s="41">
        <v>26.9</v>
      </c>
      <c r="AL24" s="49">
        <f t="shared" si="25"/>
        <v>3030.1792387194491</v>
      </c>
      <c r="AM24" s="49"/>
      <c r="AN24" s="68">
        <f t="shared" si="18"/>
        <v>38.26</v>
      </c>
      <c r="AO24" s="41">
        <f t="shared" si="19"/>
        <v>0</v>
      </c>
      <c r="AP24" s="41">
        <f t="shared" si="6"/>
        <v>38.26</v>
      </c>
      <c r="AQ24" s="170">
        <v>0</v>
      </c>
      <c r="AR24" s="559"/>
      <c r="AS24" s="443"/>
      <c r="AT24" s="36"/>
      <c r="AU24" s="37">
        <f t="shared" si="7"/>
        <v>46.771866084649098</v>
      </c>
      <c r="AV24" s="399">
        <v>0.05</v>
      </c>
      <c r="AW24" s="524">
        <f t="shared" si="20"/>
        <v>3.4999999999999996E-2</v>
      </c>
      <c r="AX24" s="401">
        <f>IF(AV24="",0,VLOOKUP(ROUNDDOWN(TEXT(B24,"0000"),-1),VLOOKUP!$M$3:$W$32,RIGHT(TEXT(B24,"0000"),1)+2,FALSE))</f>
        <v>2437</v>
      </c>
      <c r="AY24" s="401">
        <f t="shared" si="24"/>
        <v>7.1079166666666662</v>
      </c>
      <c r="AZ24" s="33">
        <f>AY24*((IF(Z24&gt;JUN!$Z$44,JUN!$Z$44,Z24)+AC24+AD24+AR24)*1.9835)/E24</f>
        <v>0.67391695955781683</v>
      </c>
      <c r="BA24" s="33"/>
      <c r="BB24" s="33"/>
      <c r="BC24" s="149"/>
      <c r="BD24" s="24"/>
      <c r="BE24" s="40"/>
      <c r="BF24" s="169">
        <v>0.39</v>
      </c>
      <c r="BG24" s="39">
        <v>64</v>
      </c>
      <c r="BH24" s="39">
        <v>53</v>
      </c>
      <c r="BI24" s="314"/>
      <c r="BJ24" s="319">
        <f t="shared" si="8"/>
        <v>5.8868156456133161</v>
      </c>
      <c r="BK24" s="40">
        <v>0</v>
      </c>
      <c r="BL24" s="71">
        <v>11674.625</v>
      </c>
      <c r="BM24" s="534">
        <f t="shared" si="9"/>
        <v>0</v>
      </c>
      <c r="BN24" s="247">
        <f t="shared" si="10"/>
        <v>0</v>
      </c>
      <c r="BP24" s="471">
        <f t="shared" si="21"/>
        <v>10</v>
      </c>
      <c r="BQ24" s="474">
        <v>6864.78</v>
      </c>
      <c r="BR24" s="472">
        <f t="shared" si="11"/>
        <v>-0.50999999999930878</v>
      </c>
      <c r="BS24" s="473">
        <f t="shared" si="22"/>
        <v>26.9</v>
      </c>
      <c r="BT24" s="473">
        <f t="shared" si="12"/>
        <v>0</v>
      </c>
    </row>
    <row r="25" spans="1:72" ht="12.75" customHeight="1">
      <c r="A25" s="42">
        <f t="shared" si="13"/>
        <v>11</v>
      </c>
      <c r="B25" s="98">
        <v>6864.51</v>
      </c>
      <c r="C25" s="390">
        <f>IF(B25="",C24,VLOOKUP(TRUNC(B25,1),VLOOKUP!$A$3:$K$2834,RIGHT(TEXT(B25,"0000.00"),1)+2,FALSE))</f>
        <v>173746</v>
      </c>
      <c r="D25" s="39">
        <f t="shared" si="14"/>
        <v>589</v>
      </c>
      <c r="E25" s="49">
        <f t="shared" si="0"/>
        <v>21746</v>
      </c>
      <c r="F25" s="106">
        <f t="shared" si="1"/>
        <v>296.94983614822286</v>
      </c>
      <c r="G25" s="41">
        <v>292</v>
      </c>
      <c r="H25" s="174">
        <v>0</v>
      </c>
      <c r="I25" s="41">
        <f t="shared" si="2"/>
        <v>292</v>
      </c>
      <c r="J25" s="36">
        <f t="shared" si="15"/>
        <v>41.989836148222849</v>
      </c>
      <c r="K25" s="41">
        <f t="shared" si="3"/>
        <v>333.98983614822282</v>
      </c>
      <c r="L25" s="41">
        <f t="shared" si="16"/>
        <v>41.989836148222849</v>
      </c>
      <c r="M25" s="108">
        <v>10.8</v>
      </c>
      <c r="N25" s="33">
        <v>0</v>
      </c>
      <c r="O25" s="36">
        <f>0*1.05</f>
        <v>0</v>
      </c>
      <c r="P25" s="33">
        <v>0</v>
      </c>
      <c r="Q25" s="133">
        <f>1628200/325851/1.9835*1.02</f>
        <v>2.569547552488991</v>
      </c>
      <c r="R25" s="67">
        <f>IF(((4.6*1.04)-T25)&gt;=4.2,4.2,(4.6*1.04)-T25)</f>
        <v>3.75549773189694</v>
      </c>
      <c r="S25" s="67">
        <f>IF(((4.6*1.04)-T25)&gt;=4.2,((4.6*1.04)-T25)-4.2,0)</f>
        <v>0</v>
      </c>
      <c r="T25" s="67">
        <v>1.0285022681030598</v>
      </c>
      <c r="U25" s="124">
        <v>0</v>
      </c>
      <c r="V25" s="41">
        <v>0.94</v>
      </c>
      <c r="W25" s="41">
        <v>0</v>
      </c>
      <c r="X25" s="41">
        <f t="shared" si="4"/>
        <v>4.3864524475110098</v>
      </c>
      <c r="Y25" s="41">
        <f t="shared" si="5"/>
        <v>4.3864524475110098</v>
      </c>
      <c r="Z25" s="49"/>
      <c r="AA25" s="41"/>
      <c r="AB25" s="49"/>
      <c r="AC25" s="56">
        <f t="shared" si="23"/>
        <v>1010.9740526310304</v>
      </c>
      <c r="AD25" s="49"/>
      <c r="AE25" s="397"/>
      <c r="AG25" s="39">
        <f t="shared" si="17"/>
        <v>3025.811590270901</v>
      </c>
      <c r="AH25" s="41">
        <v>0</v>
      </c>
      <c r="AI25" s="157">
        <v>1.7</v>
      </c>
      <c r="AJ25" s="175">
        <v>1.3</v>
      </c>
      <c r="AK25" s="41">
        <v>25.3</v>
      </c>
      <c r="AL25" s="49">
        <f t="shared" si="25"/>
        <v>3004.8792387194489</v>
      </c>
      <c r="AM25" s="49"/>
      <c r="AN25" s="68">
        <f t="shared" si="18"/>
        <v>37.04</v>
      </c>
      <c r="AO25" s="41">
        <f t="shared" si="19"/>
        <v>0</v>
      </c>
      <c r="AP25" s="41">
        <f t="shared" si="6"/>
        <v>37.04</v>
      </c>
      <c r="AQ25" s="170">
        <v>0</v>
      </c>
      <c r="AR25" s="559"/>
      <c r="AS25" s="443"/>
      <c r="AT25" s="36"/>
      <c r="AU25" s="37">
        <f t="shared" si="7"/>
        <v>279.58850226810307</v>
      </c>
      <c r="AV25" s="399">
        <v>0.05</v>
      </c>
      <c r="AW25" s="524">
        <f t="shared" si="20"/>
        <v>3.4999999999999996E-2</v>
      </c>
      <c r="AX25" s="401">
        <f>IF(AV25="",0,VLOOKUP(ROUNDDOWN(TEXT(B25,"0000"),-1),VLOOKUP!$M$3:$W$32,RIGHT(TEXT(B25,"0000"),1)+2,FALSE))</f>
        <v>2476</v>
      </c>
      <c r="AY25" s="401">
        <f t="shared" si="24"/>
        <v>7.2216666666666658</v>
      </c>
      <c r="AZ25" s="33">
        <f>AY25*((IF(Z25&gt;JUN!$Z$44,JUN!$Z$44,Z25)+AC25+AD25+AR25)*1.9835)/E25</f>
        <v>0.66593258957162083</v>
      </c>
      <c r="BA25" s="33"/>
      <c r="BB25" s="33"/>
      <c r="BC25" s="149"/>
      <c r="BD25" s="24"/>
      <c r="BE25" s="40"/>
      <c r="BF25" s="169">
        <v>0.93</v>
      </c>
      <c r="BG25" s="39">
        <v>65</v>
      </c>
      <c r="BH25" s="39">
        <v>52</v>
      </c>
      <c r="BI25" s="314"/>
      <c r="BJ25" s="319">
        <f t="shared" si="8"/>
        <v>7.3535475524889904</v>
      </c>
      <c r="BK25" s="40">
        <v>0</v>
      </c>
      <c r="BL25" s="71">
        <v>11688.091</v>
      </c>
      <c r="BM25" s="534">
        <f t="shared" si="9"/>
        <v>0</v>
      </c>
      <c r="BN25" s="247">
        <f t="shared" si="10"/>
        <v>0</v>
      </c>
      <c r="BP25" s="471">
        <f t="shared" si="21"/>
        <v>11</v>
      </c>
      <c r="BQ25" s="474">
        <v>6865.02</v>
      </c>
      <c r="BR25" s="472">
        <f t="shared" si="11"/>
        <v>-0.51000000000021828</v>
      </c>
      <c r="BS25" s="473">
        <f t="shared" si="22"/>
        <v>25.3</v>
      </c>
      <c r="BT25" s="473">
        <f t="shared" si="12"/>
        <v>0</v>
      </c>
    </row>
    <row r="26" spans="1:72" ht="12.95" customHeight="1">
      <c r="A26" s="42">
        <f t="shared" si="13"/>
        <v>12</v>
      </c>
      <c r="B26" s="98">
        <v>6865.02</v>
      </c>
      <c r="C26" s="390">
        <f>IF(B26="",C25,VLOOKUP(TRUNC(B26,1),VLOOKUP!$A$3:$K$2834,RIGHT(TEXT(B26,"0000.00"),1)+2,FALSE))</f>
        <v>175000</v>
      </c>
      <c r="D26" s="39">
        <f t="shared" si="14"/>
        <v>1254</v>
      </c>
      <c r="E26" s="49">
        <f t="shared" si="0"/>
        <v>23000</v>
      </c>
      <c r="F26" s="106">
        <f t="shared" si="1"/>
        <v>632.21578018653895</v>
      </c>
      <c r="G26" s="41">
        <v>617</v>
      </c>
      <c r="H26" s="174">
        <v>0</v>
      </c>
      <c r="I26" s="41">
        <f t="shared" si="2"/>
        <v>617</v>
      </c>
      <c r="J26" s="36">
        <f t="shared" si="15"/>
        <v>70.015780186538905</v>
      </c>
      <c r="K26" s="41">
        <f t="shared" si="3"/>
        <v>687.0157801865389</v>
      </c>
      <c r="L26" s="41">
        <f t="shared" si="16"/>
        <v>70.015780186538905</v>
      </c>
      <c r="M26" s="108">
        <v>29.8</v>
      </c>
      <c r="N26" s="33">
        <v>0</v>
      </c>
      <c r="O26" s="36">
        <f>3.2*1.05</f>
        <v>3.3600000000000003</v>
      </c>
      <c r="P26" s="33">
        <v>0</v>
      </c>
      <c r="Q26" s="133">
        <f>1519400/325851/1.9835*1.02</f>
        <v>2.3978445837438724</v>
      </c>
      <c r="R26" s="67">
        <f>IF(((4.7*1.04)-T26)&gt;=4.2,4.2,(4.7*1.04)-T26)</f>
        <v>3.859497731896941</v>
      </c>
      <c r="S26" s="67">
        <f>IF(((4.7*1.04)-T26)&gt;=4.2,((4.7*1.04)-T26)-4.2,0)</f>
        <v>0</v>
      </c>
      <c r="T26" s="67">
        <v>1.0285022681030598</v>
      </c>
      <c r="U26" s="124">
        <v>0</v>
      </c>
      <c r="V26" s="41">
        <v>0</v>
      </c>
      <c r="W26" s="41">
        <v>0</v>
      </c>
      <c r="X26" s="41">
        <f t="shared" si="4"/>
        <v>19.154155416256128</v>
      </c>
      <c r="Y26" s="41">
        <f t="shared" si="5"/>
        <v>19.154155416256128</v>
      </c>
      <c r="Z26" s="49"/>
      <c r="AA26" s="41"/>
      <c r="AB26" s="49"/>
      <c r="AC26" s="56">
        <f t="shared" si="23"/>
        <v>1010.6383165132731</v>
      </c>
      <c r="AD26" s="49"/>
      <c r="AE26" s="397"/>
      <c r="AG26" s="39">
        <f t="shared" si="17"/>
        <v>3025.811590270901</v>
      </c>
      <c r="AH26" s="41">
        <v>0</v>
      </c>
      <c r="AI26" s="157">
        <v>1.7</v>
      </c>
      <c r="AJ26" s="175">
        <v>1.3</v>
      </c>
      <c r="AK26" s="41">
        <v>25</v>
      </c>
      <c r="AL26" s="49">
        <f t="shared" si="25"/>
        <v>2979.8792387194489</v>
      </c>
      <c r="AM26" s="49"/>
      <c r="AN26" s="68">
        <f t="shared" si="18"/>
        <v>54.8</v>
      </c>
      <c r="AO26" s="41">
        <f t="shared" si="19"/>
        <v>0</v>
      </c>
      <c r="AP26" s="41">
        <f t="shared" si="6"/>
        <v>54.8</v>
      </c>
      <c r="AQ26" s="170">
        <v>0</v>
      </c>
      <c r="AR26" s="559"/>
      <c r="AS26" s="443"/>
      <c r="AT26" s="36"/>
      <c r="AU26" s="37">
        <f t="shared" si="7"/>
        <v>589.88850226810303</v>
      </c>
      <c r="AV26" s="399">
        <v>0.05</v>
      </c>
      <c r="AW26" s="524">
        <f t="shared" si="20"/>
        <v>3.4999999999999996E-2</v>
      </c>
      <c r="AX26" s="401">
        <f>IF(AV26="",0,VLOOKUP(ROUNDDOWN(TEXT(B26,"0000"),-1),VLOOKUP!$M$3:$W$32,RIGHT(TEXT(B26,"0000"),1)+2,FALSE))</f>
        <v>2476</v>
      </c>
      <c r="AY26" s="401">
        <f t="shared" si="24"/>
        <v>7.2216666666666658</v>
      </c>
      <c r="AZ26" s="33">
        <f>AY26*((IF(Z26&gt;JUN!$Z$44,JUN!$Z$44,Z26)+AC26+AD26+AR26)*1.9835)/E26</f>
        <v>0.6294156934626135</v>
      </c>
      <c r="BA26" s="33"/>
      <c r="BB26" s="33"/>
      <c r="BC26" s="149"/>
      <c r="BD26" s="24"/>
      <c r="BE26" s="40"/>
      <c r="BF26" s="169">
        <v>7.0000000000000007E-2</v>
      </c>
      <c r="BG26" s="39">
        <v>67</v>
      </c>
      <c r="BH26" s="39">
        <v>47</v>
      </c>
      <c r="BI26" s="314"/>
      <c r="BJ26" s="319">
        <f t="shared" si="8"/>
        <v>7.2858445837438737</v>
      </c>
      <c r="BK26" s="40">
        <v>0</v>
      </c>
      <c r="BL26" s="71">
        <v>11726.666999999999</v>
      </c>
      <c r="BM26" s="534">
        <f t="shared" si="9"/>
        <v>0</v>
      </c>
      <c r="BN26" s="247">
        <f t="shared" si="10"/>
        <v>0</v>
      </c>
      <c r="BP26" s="471">
        <f t="shared" si="21"/>
        <v>12</v>
      </c>
      <c r="BQ26" s="456">
        <v>6865.51</v>
      </c>
      <c r="BR26" s="472">
        <f t="shared" si="11"/>
        <v>-0.48999999999978172</v>
      </c>
      <c r="BS26" s="473">
        <f t="shared" si="22"/>
        <v>25</v>
      </c>
      <c r="BT26" s="473">
        <f t="shared" si="12"/>
        <v>0</v>
      </c>
    </row>
    <row r="27" spans="1:72" ht="12.95" customHeight="1">
      <c r="A27" s="42">
        <f t="shared" si="13"/>
        <v>13</v>
      </c>
      <c r="B27" s="98">
        <v>6865.39</v>
      </c>
      <c r="C27" s="390">
        <f>IF(B27="",C26,VLOOKUP(TRUNC(B27,1),VLOOKUP!$A$3:$K$2834,RIGHT(TEXT(B27,"0000.00"),1)+2,FALSE))</f>
        <v>175923</v>
      </c>
      <c r="D27" s="39">
        <f t="shared" si="14"/>
        <v>923</v>
      </c>
      <c r="E27" s="49">
        <f t="shared" si="0"/>
        <v>23923</v>
      </c>
      <c r="F27" s="106">
        <f t="shared" si="1"/>
        <v>465.33904713889586</v>
      </c>
      <c r="G27" s="41">
        <v>390</v>
      </c>
      <c r="H27" s="174">
        <v>0</v>
      </c>
      <c r="I27" s="41">
        <f t="shared" si="2"/>
        <v>390</v>
      </c>
      <c r="J27" s="36">
        <f t="shared" si="15"/>
        <v>121.63904713889588</v>
      </c>
      <c r="K27" s="41">
        <f t="shared" si="3"/>
        <v>511.63904713889588</v>
      </c>
      <c r="L27" s="41">
        <f t="shared" si="16"/>
        <v>121.63904713889588</v>
      </c>
      <c r="M27" s="108">
        <v>21</v>
      </c>
      <c r="N27" s="33">
        <v>0</v>
      </c>
      <c r="O27" s="36">
        <f>9.4*1.05</f>
        <v>9.870000000000001</v>
      </c>
      <c r="P27" s="33">
        <v>0</v>
      </c>
      <c r="Q27" s="133">
        <f>1517300/325851/1.9835*1.02</f>
        <v>2.3945304639427261</v>
      </c>
      <c r="R27" s="67">
        <f>IF(((3*1.04)-T27)&gt;=4.2,4.2,(3*1.04)-T27)</f>
        <v>2.0914977318969403</v>
      </c>
      <c r="S27" s="67">
        <f>IF(((3*1.04)-T27)&gt;=4.2,((3*1.04)-T27)-4.2,0)</f>
        <v>0</v>
      </c>
      <c r="T27" s="67">
        <v>1.0285022681030598</v>
      </c>
      <c r="U27" s="124">
        <v>0</v>
      </c>
      <c r="V27" s="41">
        <v>0</v>
      </c>
      <c r="W27" s="41">
        <v>0</v>
      </c>
      <c r="X27" s="41">
        <f t="shared" si="4"/>
        <v>5.6154695360572742</v>
      </c>
      <c r="Y27" s="41">
        <f t="shared" si="5"/>
        <v>5.6154695360572742</v>
      </c>
      <c r="Z27" s="49"/>
      <c r="AA27" s="41"/>
      <c r="AB27" s="49"/>
      <c r="AC27" s="56">
        <f t="shared" si="23"/>
        <v>1010.3209907288201</v>
      </c>
      <c r="AD27" s="49"/>
      <c r="AE27" s="397"/>
      <c r="AG27" s="39">
        <f t="shared" si="17"/>
        <v>3025.811590270901</v>
      </c>
      <c r="AH27" s="41">
        <v>0</v>
      </c>
      <c r="AI27" s="157">
        <v>1.7</v>
      </c>
      <c r="AJ27" s="175">
        <v>1.3</v>
      </c>
      <c r="AK27" s="41">
        <v>25.3</v>
      </c>
      <c r="AL27" s="49">
        <f t="shared" si="25"/>
        <v>2954.5792387194488</v>
      </c>
      <c r="AM27" s="49"/>
      <c r="AN27" s="68">
        <f t="shared" si="18"/>
        <v>46.3</v>
      </c>
      <c r="AO27" s="41">
        <f t="shared" si="19"/>
        <v>0</v>
      </c>
      <c r="AP27" s="41">
        <f t="shared" si="6"/>
        <v>46.3</v>
      </c>
      <c r="AQ27" s="170">
        <v>0</v>
      </c>
      <c r="AR27" s="559"/>
      <c r="AS27" s="443"/>
      <c r="AT27" s="36"/>
      <c r="AU27" s="37">
        <f t="shared" si="7"/>
        <v>378.19850226810308</v>
      </c>
      <c r="AV27" s="399">
        <v>0.05</v>
      </c>
      <c r="AW27" s="524">
        <f>AV27*0.7</f>
        <v>3.4999999999999996E-2</v>
      </c>
      <c r="AX27" s="401">
        <f>IF(AV27="",0,VLOOKUP(ROUNDDOWN(TEXT(B27,"0000"),-1),VLOOKUP!$M$3:$W$32,RIGHT(TEXT(B27,"0000"),1)+2,FALSE))</f>
        <v>2476</v>
      </c>
      <c r="AY27" s="401">
        <f t="shared" si="24"/>
        <v>7.2216666666666658</v>
      </c>
      <c r="AZ27" s="33">
        <f>AY27*((IF(Z27&gt;JUN!$Z$44,JUN!$Z$44,Z27)+AC27+AD27+AR27)*1.9835)/E27</f>
        <v>0.60494150061895058</v>
      </c>
      <c r="BA27" s="33"/>
      <c r="BB27" s="33"/>
      <c r="BC27" s="149"/>
      <c r="BD27" s="24"/>
      <c r="BE27" s="40"/>
      <c r="BF27" s="169">
        <v>1.0649999999999999</v>
      </c>
      <c r="BG27" s="39">
        <v>67</v>
      </c>
      <c r="BH27" s="39">
        <v>45</v>
      </c>
      <c r="BI27" s="314"/>
      <c r="BJ27" s="319">
        <f t="shared" si="8"/>
        <v>5.5145304639427266</v>
      </c>
      <c r="BK27" s="40">
        <v>0</v>
      </c>
      <c r="BL27" s="71">
        <v>11733.294</v>
      </c>
      <c r="BM27" s="534">
        <f t="shared" si="9"/>
        <v>0</v>
      </c>
      <c r="BN27" s="247">
        <f t="shared" si="10"/>
        <v>0</v>
      </c>
      <c r="BP27" s="471">
        <f t="shared" si="21"/>
        <v>13</v>
      </c>
      <c r="BQ27" s="456">
        <v>6865.87</v>
      </c>
      <c r="BR27" s="472">
        <f t="shared" si="11"/>
        <v>-0.47999999999956344</v>
      </c>
      <c r="BS27" s="473">
        <f t="shared" si="22"/>
        <v>25.3</v>
      </c>
      <c r="BT27" s="473">
        <f t="shared" si="12"/>
        <v>0</v>
      </c>
    </row>
    <row r="28" spans="1:72" ht="12.95" customHeight="1">
      <c r="A28" s="42">
        <f t="shared" si="13"/>
        <v>14</v>
      </c>
      <c r="B28" s="98">
        <v>6866.12</v>
      </c>
      <c r="C28" s="390">
        <f>IF(B28="",C27,VLOOKUP(TRUNC(B28,1),VLOOKUP!$A$3:$K$2834,RIGHT(TEXT(B28,"0000.00"),1)+2,FALSE))</f>
        <v>177749</v>
      </c>
      <c r="D28" s="39">
        <f t="shared" si="14"/>
        <v>1826</v>
      </c>
      <c r="E28" s="49">
        <f t="shared" si="0"/>
        <v>25749</v>
      </c>
      <c r="F28" s="106">
        <f t="shared" si="1"/>
        <v>920.59490799092509</v>
      </c>
      <c r="G28" s="41">
        <v>1010</v>
      </c>
      <c r="H28" s="174">
        <v>0</v>
      </c>
      <c r="I28" s="41">
        <f t="shared" si="2"/>
        <v>1010</v>
      </c>
      <c r="J28" s="36">
        <f t="shared" si="15"/>
        <v>0</v>
      </c>
      <c r="K28" s="41">
        <f t="shared" si="3"/>
        <v>1010</v>
      </c>
      <c r="L28" s="41">
        <f t="shared" si="16"/>
        <v>-56.385092009074924</v>
      </c>
      <c r="M28" s="108">
        <v>7.82</v>
      </c>
      <c r="N28" s="33">
        <v>0</v>
      </c>
      <c r="O28" s="36">
        <f>9.75*1.05</f>
        <v>10.237500000000001</v>
      </c>
      <c r="P28" s="33">
        <v>0</v>
      </c>
      <c r="Q28" s="133">
        <f>1511200/325851/1.9835*1.02</f>
        <v>2.3849037349965383</v>
      </c>
      <c r="R28" s="67">
        <f>IF(((3.6*1.04)-T28)&gt;=4.2,4.2,(3.6*1.04)-T28)</f>
        <v>2.7154977318969404</v>
      </c>
      <c r="S28" s="67">
        <f>IF(((3.6*1.04)-T28)&gt;=4.2,((3.6*1.04)-T28)-4.2,0)</f>
        <v>0</v>
      </c>
      <c r="T28" s="67">
        <v>1.0285022681030598</v>
      </c>
      <c r="U28" s="124">
        <v>0</v>
      </c>
      <c r="V28" s="41">
        <v>0</v>
      </c>
      <c r="W28" s="41">
        <v>0</v>
      </c>
      <c r="X28" s="41">
        <f t="shared" si="4"/>
        <v>0</v>
      </c>
      <c r="Y28" s="41">
        <f t="shared" si="5"/>
        <v>0</v>
      </c>
      <c r="Z28" s="49"/>
      <c r="AA28" s="41"/>
      <c r="AB28" s="49"/>
      <c r="AC28" s="56">
        <f t="shared" si="23"/>
        <v>1010.0160038366503</v>
      </c>
      <c r="AD28" s="49"/>
      <c r="AE28" s="397"/>
      <c r="AG28" s="39">
        <f t="shared" si="17"/>
        <v>3025.811590270901</v>
      </c>
      <c r="AH28" s="41">
        <v>0</v>
      </c>
      <c r="AI28" s="157">
        <v>1.7</v>
      </c>
      <c r="AJ28" s="175">
        <v>1.3</v>
      </c>
      <c r="AK28" s="41">
        <v>25.2</v>
      </c>
      <c r="AL28" s="49">
        <f t="shared" si="25"/>
        <v>2929.3792387194489</v>
      </c>
      <c r="AM28" s="49"/>
      <c r="AN28" s="68">
        <f t="shared" si="18"/>
        <v>33.019999999999996</v>
      </c>
      <c r="AO28" s="41">
        <f t="shared" si="19"/>
        <v>56.385092009074924</v>
      </c>
      <c r="AP28" s="41">
        <f>AN28+AO28</f>
        <v>89.40509200907492</v>
      </c>
      <c r="AQ28" s="170">
        <v>0</v>
      </c>
      <c r="AR28" s="559"/>
      <c r="AS28" s="443"/>
      <c r="AT28" s="36"/>
      <c r="AU28" s="37">
        <f>IF(G28="",0,IF(I28&gt;=(795+Q28+R28+AI28),795-X28,I28-Q28-R28-X28-AI28)-AM28)</f>
        <v>795</v>
      </c>
      <c r="AV28" s="399">
        <v>0.28999999999999998</v>
      </c>
      <c r="AW28" s="524">
        <f t="shared" ref="AW28:AW44" si="26">AV28*0.7</f>
        <v>0.20299999999999999</v>
      </c>
      <c r="AX28" s="401">
        <f>IF(AV28="",0,VLOOKUP(ROUNDDOWN(TEXT(B28,"0000"),-1),VLOOKUP!$M$3:$W$32,RIGHT(TEXT(B28,"0000"),1)+2,FALSE))</f>
        <v>2514</v>
      </c>
      <c r="AY28" s="401">
        <f>AW28/12*AX28</f>
        <v>42.528500000000001</v>
      </c>
      <c r="AZ28" s="33">
        <f>AY28*((IF(Z28&gt;JUN!$Z$44,JUN!$Z$44,Z28)+AC28+AD28+AR28)*1.9835)/E28</f>
        <v>3.3088734535561657</v>
      </c>
      <c r="BA28" s="33"/>
      <c r="BB28" s="33"/>
      <c r="BC28" s="149"/>
      <c r="BD28" s="24"/>
      <c r="BE28" s="40"/>
      <c r="BF28" s="169">
        <v>0</v>
      </c>
      <c r="BG28" s="50">
        <v>71</v>
      </c>
      <c r="BH28" s="39">
        <v>50</v>
      </c>
      <c r="BI28" s="314"/>
      <c r="BJ28" s="319">
        <f t="shared" si="8"/>
        <v>6.1289037349965376</v>
      </c>
      <c r="BK28" s="40">
        <v>0</v>
      </c>
      <c r="BL28" s="71">
        <v>11759.597</v>
      </c>
      <c r="BM28" s="534">
        <f t="shared" si="9"/>
        <v>206.89959853310654</v>
      </c>
      <c r="BN28" s="247">
        <f t="shared" si="10"/>
        <v>10.237500000000001</v>
      </c>
      <c r="BP28" s="471">
        <f t="shared" si="21"/>
        <v>14</v>
      </c>
      <c r="BQ28" s="456">
        <v>6866.6</v>
      </c>
      <c r="BR28" s="472">
        <f t="shared" si="11"/>
        <v>-0.48000000000047294</v>
      </c>
      <c r="BS28" s="473">
        <f t="shared" si="22"/>
        <v>25.2</v>
      </c>
      <c r="BT28" s="473">
        <f t="shared" si="12"/>
        <v>0</v>
      </c>
    </row>
    <row r="29" spans="1:72" ht="12.75">
      <c r="A29" s="42">
        <f t="shared" si="13"/>
        <v>15</v>
      </c>
      <c r="B29" s="98">
        <v>6866.69</v>
      </c>
      <c r="C29" s="390">
        <f>IF(B29="",C28,VLOOKUP(TRUNC(B29,1),VLOOKUP!$A$3:$K$2834,RIGHT(TEXT(B29,"0000.00"),1)+2,FALSE))</f>
        <v>179193</v>
      </c>
      <c r="D29" s="39">
        <f t="shared" si="14"/>
        <v>1444</v>
      </c>
      <c r="E29" s="49">
        <f t="shared" si="0"/>
        <v>27193</v>
      </c>
      <c r="F29" s="106">
        <f t="shared" si="1"/>
        <v>728.00604991177215</v>
      </c>
      <c r="G29" s="41">
        <v>721</v>
      </c>
      <c r="H29" s="174">
        <v>0</v>
      </c>
      <c r="I29" s="41">
        <f t="shared" si="2"/>
        <v>721</v>
      </c>
      <c r="J29" s="36">
        <f t="shared" si="15"/>
        <v>39.23604991177217</v>
      </c>
      <c r="K29" s="41">
        <f t="shared" si="3"/>
        <v>760.23604991177217</v>
      </c>
      <c r="L29" s="41">
        <f t="shared" si="16"/>
        <v>39.23604991177217</v>
      </c>
      <c r="M29" s="108">
        <v>7.23</v>
      </c>
      <c r="N29" s="33">
        <v>0</v>
      </c>
      <c r="O29" s="36">
        <f>12.5*1.05</f>
        <v>13.125</v>
      </c>
      <c r="P29" s="33">
        <v>0</v>
      </c>
      <c r="Q29" s="133">
        <f>1267800/325851/1.9835*1.02</f>
        <v>2.0007814685207856</v>
      </c>
      <c r="R29" s="67">
        <f>IF(((3.7*1.04)-T29)&gt;=4.2,4.2,(3.7*1.04)-T29)</f>
        <v>2.8194977318969405</v>
      </c>
      <c r="S29" s="67">
        <f>IF(((3.7*1.04)-T29)&gt;=4.2,((3.7*1.04)-T29)-4.2,0)</f>
        <v>0</v>
      </c>
      <c r="T29" s="67">
        <v>1.0285022681030598</v>
      </c>
      <c r="U29" s="198">
        <f t="shared" ref="U29:U45" si="27">M29-(Q29+R29+S29+T29)</f>
        <v>1.3812185314792149</v>
      </c>
      <c r="V29" s="41">
        <v>0</v>
      </c>
      <c r="W29" s="41">
        <v>0</v>
      </c>
      <c r="X29" s="41">
        <f t="shared" si="4"/>
        <v>0</v>
      </c>
      <c r="Y29" s="41">
        <f t="shared" si="5"/>
        <v>0</v>
      </c>
      <c r="Z29" s="49"/>
      <c r="AA29" s="41"/>
      <c r="AB29" s="49"/>
      <c r="AC29" s="56">
        <f t="shared" si="23"/>
        <v>1008.3478044650566</v>
      </c>
      <c r="AD29" s="49"/>
      <c r="AE29" s="397"/>
      <c r="AG29" s="39">
        <f t="shared" si="17"/>
        <v>3025.811590270901</v>
      </c>
      <c r="AH29" s="41">
        <v>0</v>
      </c>
      <c r="AI29" s="157">
        <v>1.7</v>
      </c>
      <c r="AJ29" s="175">
        <v>1.3</v>
      </c>
      <c r="AK29" s="41">
        <v>25</v>
      </c>
      <c r="AL29" s="49">
        <f t="shared" si="25"/>
        <v>2904.3792387194489</v>
      </c>
      <c r="AM29" s="49"/>
      <c r="AN29" s="68">
        <f t="shared" si="18"/>
        <v>32.230000000000004</v>
      </c>
      <c r="AO29" s="41">
        <f t="shared" si="19"/>
        <v>0</v>
      </c>
      <c r="AP29" s="41">
        <f t="shared" si="6"/>
        <v>32.230000000000004</v>
      </c>
      <c r="AQ29" s="170">
        <v>0</v>
      </c>
      <c r="AR29" s="559"/>
      <c r="AS29" s="443"/>
      <c r="AT29" s="36"/>
      <c r="AU29" s="37">
        <f t="shared" si="7"/>
        <v>714.4797207995822</v>
      </c>
      <c r="AV29" s="399">
        <v>0.15</v>
      </c>
      <c r="AW29" s="524">
        <f t="shared" si="26"/>
        <v>0.105</v>
      </c>
      <c r="AX29" s="401">
        <f>IF(AV29="",0,VLOOKUP(ROUNDDOWN(TEXT(B29,"0000"),-1),VLOOKUP!$M$3:$W$32,RIGHT(TEXT(B29,"0000"),1)+2,FALSE))</f>
        <v>2552</v>
      </c>
      <c r="AY29" s="401">
        <f t="shared" si="24"/>
        <v>22.33</v>
      </c>
      <c r="AZ29" s="33">
        <f>AY29*((IF(Z29&gt;JUN!$Z$44,JUN!$Z$44,Z29)+AC29+AD29+AR29)*1.9835)/E29</f>
        <v>1.6423819453754016</v>
      </c>
      <c r="BA29" s="33"/>
      <c r="BB29" s="33"/>
      <c r="BC29" s="149"/>
      <c r="BD29" s="24"/>
      <c r="BE29" s="40"/>
      <c r="BF29" s="169">
        <v>0</v>
      </c>
      <c r="BG29" s="50">
        <v>72</v>
      </c>
      <c r="BH29" s="39">
        <v>49</v>
      </c>
      <c r="BI29" s="314"/>
      <c r="BJ29" s="319">
        <f t="shared" si="8"/>
        <v>7.23</v>
      </c>
      <c r="BK29" s="40">
        <v>0</v>
      </c>
      <c r="BL29" s="71">
        <v>11761.146000000001</v>
      </c>
      <c r="BM29" s="534">
        <f t="shared" si="9"/>
        <v>0</v>
      </c>
      <c r="BN29" s="247">
        <f t="shared" si="10"/>
        <v>0</v>
      </c>
      <c r="BP29" s="471">
        <f t="shared" si="21"/>
        <v>15</v>
      </c>
      <c r="BQ29" s="456">
        <v>6867.18</v>
      </c>
      <c r="BR29" s="472">
        <f t="shared" si="11"/>
        <v>-0.49000000000069122</v>
      </c>
      <c r="BS29" s="473">
        <f t="shared" si="22"/>
        <v>25</v>
      </c>
      <c r="BT29" s="473">
        <f t="shared" si="12"/>
        <v>0</v>
      </c>
    </row>
    <row r="30" spans="1:72" ht="13.5" customHeight="1">
      <c r="A30" s="42">
        <f t="shared" si="13"/>
        <v>16</v>
      </c>
      <c r="B30" s="98">
        <v>6867.02</v>
      </c>
      <c r="C30" s="390">
        <f>IF(B30="",C29,VLOOKUP(TRUNC(B30,1),VLOOKUP!$A$3:$K$2834,RIGHT(TEXT(B30,"0000.00"),1)+2,FALSE))</f>
        <v>180030</v>
      </c>
      <c r="D30" s="39">
        <f t="shared" si="14"/>
        <v>837</v>
      </c>
      <c r="E30" s="49">
        <f t="shared" si="0"/>
        <v>28030</v>
      </c>
      <c r="F30" s="106">
        <f t="shared" si="1"/>
        <v>421.98134610536931</v>
      </c>
      <c r="G30" s="41">
        <v>446</v>
      </c>
      <c r="H30" s="174">
        <v>0</v>
      </c>
      <c r="I30" s="41">
        <f t="shared" si="2"/>
        <v>446</v>
      </c>
      <c r="J30" s="36">
        <f t="shared" si="15"/>
        <v>5.6513461053693277</v>
      </c>
      <c r="K30" s="41">
        <f t="shared" si="3"/>
        <v>451.65134610536933</v>
      </c>
      <c r="L30" s="41">
        <f t="shared" si="16"/>
        <v>5.6513461053693277</v>
      </c>
      <c r="M30" s="108">
        <v>4.67</v>
      </c>
      <c r="N30" s="33">
        <v>0</v>
      </c>
      <c r="O30" s="36">
        <f>8.86*1.05</f>
        <v>9.302999999999999</v>
      </c>
      <c r="P30" s="33">
        <v>0</v>
      </c>
      <c r="Q30" s="133">
        <f>1281100/325851/1.9835*1.02</f>
        <v>2.0217708939280472</v>
      </c>
      <c r="R30" s="67">
        <f>IF(((3.1*1.04)-T30)&gt;=4.2,4.2,(3.1*1.04)-T30)</f>
        <v>2.1954977318969404</v>
      </c>
      <c r="S30" s="67">
        <f>IF(((3.1*1.04)-T30)&gt;=4.2,((3.1*1.04)-T30)-4.2,0)</f>
        <v>0</v>
      </c>
      <c r="T30" s="67">
        <v>1.0285022681030598</v>
      </c>
      <c r="U30" s="198">
        <f t="shared" si="27"/>
        <v>-0.57577089392804659</v>
      </c>
      <c r="V30" s="41">
        <v>0</v>
      </c>
      <c r="W30" s="41">
        <v>0</v>
      </c>
      <c r="X30" s="41">
        <f t="shared" si="4"/>
        <v>0</v>
      </c>
      <c r="Y30" s="41">
        <f t="shared" si="5"/>
        <v>0</v>
      </c>
      <c r="Z30" s="49"/>
      <c r="AA30" s="41"/>
      <c r="AB30" s="49"/>
      <c r="AC30" s="49">
        <v>0</v>
      </c>
      <c r="AD30" s="49"/>
      <c r="AE30" s="397"/>
      <c r="AG30" s="49">
        <v>0</v>
      </c>
      <c r="AH30" s="41">
        <v>0</v>
      </c>
      <c r="AI30" s="157">
        <v>1.7</v>
      </c>
      <c r="AJ30" s="175">
        <v>1.3</v>
      </c>
      <c r="AK30" s="41">
        <v>25</v>
      </c>
      <c r="AL30" s="49">
        <f t="shared" si="25"/>
        <v>2879.3792387194489</v>
      </c>
      <c r="AM30" s="49"/>
      <c r="AN30" s="68">
        <f t="shared" si="18"/>
        <v>29.67</v>
      </c>
      <c r="AO30" s="41">
        <f t="shared" si="19"/>
        <v>0</v>
      </c>
      <c r="AP30" s="41">
        <f t="shared" si="6"/>
        <v>29.67</v>
      </c>
      <c r="AQ30" s="170">
        <v>0</v>
      </c>
      <c r="AR30" s="559"/>
      <c r="AS30" s="443"/>
      <c r="AT30" s="36"/>
      <c r="AU30" s="37">
        <v>0</v>
      </c>
      <c r="AV30" s="399">
        <v>0.05</v>
      </c>
      <c r="AW30" s="524">
        <f t="shared" si="26"/>
        <v>3.4999999999999996E-2</v>
      </c>
      <c r="AX30" s="401">
        <f>IF(AV30="",0,VLOOKUP(ROUNDDOWN(TEXT(B30,"0000"),-1),VLOOKUP!$M$3:$W$32,RIGHT(TEXT(B30,"0000"),1)+2,FALSE))</f>
        <v>2552</v>
      </c>
      <c r="AY30" s="401">
        <f t="shared" si="24"/>
        <v>7.4433333333333325</v>
      </c>
      <c r="AZ30" s="33">
        <f>AY30*((IF(Z30&gt;JUN!$Z$44,JUN!$Z$44,Z30)+AC30+AD30+AR30)*1.9835)/E30</f>
        <v>0</v>
      </c>
      <c r="BA30" s="33"/>
      <c r="BB30" s="36"/>
      <c r="BC30" s="149"/>
      <c r="BD30" s="24"/>
      <c r="BE30" s="40"/>
      <c r="BF30" s="169">
        <v>0</v>
      </c>
      <c r="BG30" s="50">
        <v>59</v>
      </c>
      <c r="BH30" s="39">
        <v>33</v>
      </c>
      <c r="BI30" s="314"/>
      <c r="BJ30" s="319">
        <f t="shared" si="8"/>
        <v>4.67</v>
      </c>
      <c r="BK30" s="40">
        <v>0</v>
      </c>
      <c r="BL30" s="71">
        <v>11759.5</v>
      </c>
      <c r="BM30" s="534">
        <f t="shared" si="9"/>
        <v>0</v>
      </c>
      <c r="BN30" s="247">
        <f t="shared" si="10"/>
        <v>0</v>
      </c>
      <c r="BP30" s="471">
        <f t="shared" si="21"/>
        <v>16</v>
      </c>
      <c r="BQ30" s="456">
        <v>6867.5</v>
      </c>
      <c r="BR30" s="472">
        <f t="shared" si="11"/>
        <v>-0.47999999999956344</v>
      </c>
      <c r="BS30" s="473">
        <f t="shared" si="22"/>
        <v>25</v>
      </c>
      <c r="BT30" s="473">
        <f t="shared" si="12"/>
        <v>0</v>
      </c>
    </row>
    <row r="31" spans="1:72" ht="12.95" customHeight="1">
      <c r="A31" s="42">
        <f t="shared" si="13"/>
        <v>17</v>
      </c>
      <c r="B31" s="98">
        <v>6867.24</v>
      </c>
      <c r="C31" s="390">
        <f>IF(B31="",C30,VLOOKUP(TRUNC(B31,1),VLOOKUP!$A$3:$K$2834,RIGHT(TEXT(B31,"0000.00"),1)+2,FALSE))</f>
        <v>180596</v>
      </c>
      <c r="D31" s="39">
        <f t="shared" si="14"/>
        <v>566</v>
      </c>
      <c r="E31" s="49">
        <f t="shared" si="0"/>
        <v>28596</v>
      </c>
      <c r="F31" s="106">
        <f t="shared" si="1"/>
        <v>285.35417191832619</v>
      </c>
      <c r="G31" s="41">
        <v>330</v>
      </c>
      <c r="H31" s="174">
        <v>0</v>
      </c>
      <c r="I31" s="41">
        <f t="shared" si="2"/>
        <v>330</v>
      </c>
      <c r="J31" s="36">
        <f t="shared" si="15"/>
        <v>1.3541719183261876</v>
      </c>
      <c r="K31" s="41">
        <f t="shared" si="3"/>
        <v>331.35417191832619</v>
      </c>
      <c r="L31" s="41">
        <f t="shared" si="16"/>
        <v>1.3541719183261876</v>
      </c>
      <c r="M31" s="108">
        <v>21</v>
      </c>
      <c r="N31" s="33">
        <v>0</v>
      </c>
      <c r="O31" s="36">
        <f>18.1*1.05</f>
        <v>19.005000000000003</v>
      </c>
      <c r="P31" s="33">
        <v>0</v>
      </c>
      <c r="Q31" s="133">
        <f>1190200/325851/1.9835*1.02</f>
        <v>1.8783168511069877</v>
      </c>
      <c r="R31" s="67">
        <f>IF(((3.1*1.04)-T31)&gt;=4.2,4.2,(3.1*1.04)-T31)</f>
        <v>2.1954977318969404</v>
      </c>
      <c r="S31" s="67">
        <f>IF(((3.1*1.04)-T31)&gt;=4.2,((3.1*1.04)-T31)-4.2,0)</f>
        <v>0</v>
      </c>
      <c r="T31" s="67">
        <v>1.0285022681030598</v>
      </c>
      <c r="U31" s="198">
        <f t="shared" si="27"/>
        <v>15.897683148893012</v>
      </c>
      <c r="V31" s="41">
        <v>0</v>
      </c>
      <c r="W31" s="41">
        <v>0</v>
      </c>
      <c r="X31" s="41">
        <f t="shared" si="4"/>
        <v>0</v>
      </c>
      <c r="Y31" s="41">
        <f t="shared" si="5"/>
        <v>0</v>
      </c>
      <c r="Z31" s="49"/>
      <c r="AA31" s="41"/>
      <c r="AB31" s="49"/>
      <c r="AC31" s="49"/>
      <c r="AD31" s="49"/>
      <c r="AE31" s="397"/>
      <c r="AG31" s="39"/>
      <c r="AH31" s="41">
        <v>0</v>
      </c>
      <c r="AI31" s="157">
        <v>1.7</v>
      </c>
      <c r="AJ31" s="175">
        <v>1.3</v>
      </c>
      <c r="AK31" s="41">
        <v>25</v>
      </c>
      <c r="AL31" s="49">
        <f t="shared" si="25"/>
        <v>2854.3792387194489</v>
      </c>
      <c r="AM31" s="49"/>
      <c r="AN31" s="68">
        <f t="shared" si="18"/>
        <v>46</v>
      </c>
      <c r="AO31" s="41">
        <f t="shared" si="19"/>
        <v>0</v>
      </c>
      <c r="AP31" s="41">
        <f t="shared" si="6"/>
        <v>46</v>
      </c>
      <c r="AQ31" s="170">
        <v>0</v>
      </c>
      <c r="AR31" s="559"/>
      <c r="AS31" s="443"/>
      <c r="AT31" s="36"/>
      <c r="AU31" s="37">
        <v>0</v>
      </c>
      <c r="AV31" s="399">
        <v>0.09</v>
      </c>
      <c r="AW31" s="524">
        <f t="shared" si="26"/>
        <v>6.3E-2</v>
      </c>
      <c r="AX31" s="401">
        <f>IF(AV31="",0,VLOOKUP(ROUNDDOWN(TEXT(B31,"0000"),-1),VLOOKUP!$M$3:$W$32,RIGHT(TEXT(B31,"0000"),1)+2,FALSE))</f>
        <v>2552</v>
      </c>
      <c r="AY31" s="401">
        <f t="shared" si="24"/>
        <v>13.398000000000001</v>
      </c>
      <c r="AZ31" s="33">
        <f>AY31*((IF(Z31&gt;JUN!$Z$44,JUN!$Z$44,Z31)+AC31+AD31+AR31)*1.9835)/E31</f>
        <v>0</v>
      </c>
      <c r="BA31" s="33"/>
      <c r="BB31" s="36"/>
      <c r="BC31" s="149"/>
      <c r="BD31" s="24"/>
      <c r="BE31" s="40"/>
      <c r="BF31" s="169">
        <v>0</v>
      </c>
      <c r="BG31" s="50">
        <v>61</v>
      </c>
      <c r="BH31" s="39">
        <v>31</v>
      </c>
      <c r="BI31" s="314"/>
      <c r="BJ31" s="319">
        <f t="shared" si="8"/>
        <v>21</v>
      </c>
      <c r="BK31" s="40">
        <v>0</v>
      </c>
      <c r="BL31" s="71">
        <v>11759.5</v>
      </c>
      <c r="BM31" s="534">
        <f t="shared" si="9"/>
        <v>0</v>
      </c>
      <c r="BN31" s="247">
        <f t="shared" si="10"/>
        <v>0</v>
      </c>
      <c r="BP31" s="471">
        <f t="shared" si="21"/>
        <v>17</v>
      </c>
      <c r="BQ31" s="456">
        <v>6867.71</v>
      </c>
      <c r="BR31" s="472">
        <f t="shared" si="11"/>
        <v>-0.47000000000025466</v>
      </c>
      <c r="BS31" s="473">
        <f t="shared" si="22"/>
        <v>25</v>
      </c>
      <c r="BT31" s="473">
        <f t="shared" si="12"/>
        <v>0</v>
      </c>
    </row>
    <row r="32" spans="1:72" ht="12.95" customHeight="1">
      <c r="A32" s="42">
        <f t="shared" si="13"/>
        <v>18</v>
      </c>
      <c r="B32" s="98">
        <v>6867.38</v>
      </c>
      <c r="C32" s="390">
        <f>IF(B32="",C31,VLOOKUP(TRUNC(B32,1),VLOOKUP!$A$3:$K$2834,RIGHT(TEXT(B32,"0000.00"),1)+2,FALSE))</f>
        <v>180956</v>
      </c>
      <c r="D32" s="39">
        <f t="shared" si="14"/>
        <v>360</v>
      </c>
      <c r="E32" s="49">
        <f t="shared" si="0"/>
        <v>28956</v>
      </c>
      <c r="F32" s="106">
        <f t="shared" si="1"/>
        <v>181.49735316359968</v>
      </c>
      <c r="G32" s="41">
        <v>266</v>
      </c>
      <c r="H32" s="174">
        <v>0</v>
      </c>
      <c r="I32" s="41">
        <f t="shared" si="2"/>
        <v>266</v>
      </c>
      <c r="J32" s="36">
        <f t="shared" si="15"/>
        <v>0</v>
      </c>
      <c r="K32" s="41">
        <f t="shared" si="3"/>
        <v>266</v>
      </c>
      <c r="L32" s="41">
        <f t="shared" si="16"/>
        <v>-25.202646836400305</v>
      </c>
      <c r="M32" s="108">
        <v>34.299999999999997</v>
      </c>
      <c r="N32" s="33">
        <v>0</v>
      </c>
      <c r="O32" s="36">
        <f>17.5*1.05</f>
        <v>18.375</v>
      </c>
      <c r="P32" s="33">
        <v>0</v>
      </c>
      <c r="Q32" s="133">
        <f>1110900/325851/1.9835*1.02</f>
        <v>1.7531693748065471</v>
      </c>
      <c r="R32" s="67">
        <f>IF(((3*1.04)-T32)&gt;=4.2,4.2,(3*1.04)-T32)</f>
        <v>2.3739033534869538</v>
      </c>
      <c r="S32" s="67">
        <f>IF(((3*1.04)-T32)&gt;=4.2,((3*1.04)-T32)-4.2,0)</f>
        <v>0</v>
      </c>
      <c r="T32" s="67">
        <v>0.74609664651304641</v>
      </c>
      <c r="U32" s="198">
        <f t="shared" si="27"/>
        <v>29.42683062519345</v>
      </c>
      <c r="V32" s="41">
        <v>0</v>
      </c>
      <c r="W32" s="41">
        <v>0</v>
      </c>
      <c r="X32" s="41">
        <f t="shared" si="4"/>
        <v>0</v>
      </c>
      <c r="Y32" s="41">
        <f t="shared" si="5"/>
        <v>0</v>
      </c>
      <c r="Z32" s="49"/>
      <c r="AA32" s="41"/>
      <c r="AB32" s="49"/>
      <c r="AC32" s="49"/>
      <c r="AD32" s="49"/>
      <c r="AE32" s="397"/>
      <c r="AG32" s="39"/>
      <c r="AH32" s="41">
        <v>0</v>
      </c>
      <c r="AI32" s="157">
        <v>1.7</v>
      </c>
      <c r="AJ32" s="175">
        <v>1.3</v>
      </c>
      <c r="AK32" s="41">
        <v>25</v>
      </c>
      <c r="AL32" s="49">
        <f t="shared" si="25"/>
        <v>2829.3792387194489</v>
      </c>
      <c r="AM32" s="49"/>
      <c r="AN32" s="68">
        <f t="shared" si="18"/>
        <v>59.3</v>
      </c>
      <c r="AO32" s="41">
        <f t="shared" si="19"/>
        <v>25.202646836400305</v>
      </c>
      <c r="AP32" s="41">
        <f t="shared" si="6"/>
        <v>84.502646836400302</v>
      </c>
      <c r="AQ32" s="170">
        <v>0</v>
      </c>
      <c r="AR32" s="559"/>
      <c r="AS32" s="443"/>
      <c r="AT32" s="36"/>
      <c r="AU32" s="37">
        <v>0</v>
      </c>
      <c r="AV32" s="399">
        <v>0.13</v>
      </c>
      <c r="AW32" s="524">
        <f t="shared" si="26"/>
        <v>9.0999999999999998E-2</v>
      </c>
      <c r="AX32" s="401">
        <f>IF(AV32="",0,VLOOKUP(ROUNDDOWN(TEXT(B32,"0000"),-1),VLOOKUP!$M$3:$W$32,RIGHT(TEXT(B32,"0000"),1)+2,FALSE))</f>
        <v>2552</v>
      </c>
      <c r="AY32" s="401">
        <f t="shared" si="24"/>
        <v>19.352666666666668</v>
      </c>
      <c r="AZ32" s="33">
        <f>AY32*((IF(Z32&gt;JUN!$Z$44,JUN!$Z$44,Z32)+AC32+AD32+AR32)*1.9835)/E32</f>
        <v>0</v>
      </c>
      <c r="BA32" s="33"/>
      <c r="BB32" s="36"/>
      <c r="BC32" s="149"/>
      <c r="BD32" s="24"/>
      <c r="BE32" s="40"/>
      <c r="BF32" s="169">
        <v>0</v>
      </c>
      <c r="BG32" s="50">
        <v>68</v>
      </c>
      <c r="BH32" s="39">
        <v>33</v>
      </c>
      <c r="BI32" s="314"/>
      <c r="BJ32" s="319">
        <f t="shared" si="8"/>
        <v>34.299999999999997</v>
      </c>
      <c r="BK32" s="40">
        <v>0</v>
      </c>
      <c r="BL32" s="71">
        <v>1157.8</v>
      </c>
      <c r="BM32" s="534">
        <f t="shared" si="9"/>
        <v>0</v>
      </c>
      <c r="BN32" s="247">
        <f t="shared" si="10"/>
        <v>0</v>
      </c>
      <c r="BP32" s="471">
        <f t="shared" si="21"/>
        <v>18</v>
      </c>
      <c r="BQ32" s="456">
        <v>6867.87</v>
      </c>
      <c r="BR32" s="472">
        <f t="shared" si="11"/>
        <v>-0.48999999999978172</v>
      </c>
      <c r="BS32" s="473">
        <f t="shared" si="22"/>
        <v>25</v>
      </c>
      <c r="BT32" s="473">
        <f t="shared" si="12"/>
        <v>0</v>
      </c>
    </row>
    <row r="33" spans="1:72" ht="12.95" customHeight="1">
      <c r="A33" s="42">
        <f t="shared" si="13"/>
        <v>19</v>
      </c>
      <c r="B33" s="98">
        <v>6867.52</v>
      </c>
      <c r="C33" s="390">
        <f>IF(B33="",C32,VLOOKUP(TRUNC(B33,1),VLOOKUP!$A$3:$K$2834,RIGHT(TEXT(B33,"0000.00"),1)+2,FALSE))</f>
        <v>181316</v>
      </c>
      <c r="D33" s="39">
        <f t="shared" si="14"/>
        <v>360</v>
      </c>
      <c r="E33" s="49">
        <f t="shared" si="0"/>
        <v>29316</v>
      </c>
      <c r="F33" s="106">
        <f t="shared" si="1"/>
        <v>181.49735316359968</v>
      </c>
      <c r="G33" s="41">
        <v>224</v>
      </c>
      <c r="H33" s="174">
        <v>0</v>
      </c>
      <c r="I33" s="41">
        <f t="shared" si="2"/>
        <v>224</v>
      </c>
      <c r="J33" s="36">
        <f t="shared" si="15"/>
        <v>0</v>
      </c>
      <c r="K33" s="41">
        <f t="shared" si="3"/>
        <v>224</v>
      </c>
      <c r="L33" s="41">
        <f t="shared" si="16"/>
        <v>-6.2026468364003051</v>
      </c>
      <c r="M33" s="108">
        <v>11.3</v>
      </c>
      <c r="N33" s="33">
        <v>0</v>
      </c>
      <c r="O33" s="36">
        <f>14.1*1.05</f>
        <v>14.805</v>
      </c>
      <c r="P33" s="33">
        <v>0</v>
      </c>
      <c r="Q33" s="133">
        <f>1062700/325851/1.9835*1.02</f>
        <v>1.6771024346088017</v>
      </c>
      <c r="R33" s="67">
        <f>IF(((2*1.04)-T33)&gt;=4.2,4.2,(2*1.04)-T33)</f>
        <v>1.3339033534869538</v>
      </c>
      <c r="S33" s="67">
        <f>IF(((2*1.04)-T33)&gt;=4.2,((2*1.04)-T33)-4.2,0)</f>
        <v>0</v>
      </c>
      <c r="T33" s="67">
        <v>0.74609664651304641</v>
      </c>
      <c r="U33" s="198">
        <f t="shared" si="27"/>
        <v>7.5428975653911987</v>
      </c>
      <c r="V33" s="41">
        <v>0</v>
      </c>
      <c r="W33" s="41">
        <v>0</v>
      </c>
      <c r="X33" s="41">
        <f t="shared" si="4"/>
        <v>0</v>
      </c>
      <c r="Y33" s="41">
        <f t="shared" si="5"/>
        <v>0</v>
      </c>
      <c r="Z33" s="49"/>
      <c r="AA33" s="41"/>
      <c r="AB33" s="49"/>
      <c r="AC33" s="49"/>
      <c r="AD33" s="49"/>
      <c r="AE33" s="397"/>
      <c r="AG33" s="39"/>
      <c r="AH33" s="41">
        <v>0</v>
      </c>
      <c r="AI33" s="157">
        <v>1.7</v>
      </c>
      <c r="AJ33" s="175">
        <v>1.3</v>
      </c>
      <c r="AK33" s="41">
        <v>25</v>
      </c>
      <c r="AL33" s="49">
        <f t="shared" si="25"/>
        <v>2804.3792387194489</v>
      </c>
      <c r="AM33" s="49"/>
      <c r="AN33" s="68">
        <f t="shared" si="18"/>
        <v>36.299999999999997</v>
      </c>
      <c r="AO33" s="41">
        <f t="shared" si="19"/>
        <v>6.2026468364003051</v>
      </c>
      <c r="AP33" s="41">
        <f t="shared" si="6"/>
        <v>42.502646836400302</v>
      </c>
      <c r="AQ33" s="170">
        <v>0</v>
      </c>
      <c r="AR33" s="559"/>
      <c r="AS33" s="443"/>
      <c r="AT33" s="36"/>
      <c r="AU33" s="37">
        <v>0</v>
      </c>
      <c r="AV33" s="399">
        <v>0.11</v>
      </c>
      <c r="AW33" s="524">
        <f t="shared" si="26"/>
        <v>7.6999999999999999E-2</v>
      </c>
      <c r="AX33" s="401">
        <f>IF(AV33="",0,VLOOKUP(ROUNDDOWN(TEXT(B33,"0000"),-1),VLOOKUP!$M$3:$W$32,RIGHT(TEXT(B33,"0000"),1)+2,FALSE))</f>
        <v>2590</v>
      </c>
      <c r="AY33" s="401">
        <f t="shared" si="24"/>
        <v>16.619166666666668</v>
      </c>
      <c r="AZ33" s="33">
        <f>AY33*((IF(Z33&gt;JUN!$Z$44,JUN!$Z$44,Z33)+AC33+AD33+AR33)*1.9835)/E33</f>
        <v>0</v>
      </c>
      <c r="BA33" s="33"/>
      <c r="BB33" s="33"/>
      <c r="BC33" s="149"/>
      <c r="BD33" s="24"/>
      <c r="BE33" s="40"/>
      <c r="BF33" s="169">
        <v>0</v>
      </c>
      <c r="BG33" s="50">
        <v>71</v>
      </c>
      <c r="BH33" s="39">
        <v>35</v>
      </c>
      <c r="BI33" s="314"/>
      <c r="BJ33" s="319">
        <f t="shared" si="8"/>
        <v>11.3</v>
      </c>
      <c r="BK33" s="40">
        <v>0</v>
      </c>
      <c r="BL33" s="71">
        <v>11755</v>
      </c>
      <c r="BM33" s="534">
        <f t="shared" si="9"/>
        <v>0</v>
      </c>
      <c r="BN33" s="247">
        <f t="shared" si="10"/>
        <v>0</v>
      </c>
      <c r="BP33" s="471">
        <f t="shared" si="21"/>
        <v>19</v>
      </c>
      <c r="BQ33" s="456">
        <v>6867.98</v>
      </c>
      <c r="BR33" s="472">
        <f t="shared" si="11"/>
        <v>-0.45999999999912689</v>
      </c>
      <c r="BS33" s="473">
        <f t="shared" si="22"/>
        <v>25</v>
      </c>
      <c r="BT33" s="473">
        <f t="shared" si="12"/>
        <v>0</v>
      </c>
    </row>
    <row r="34" spans="1:72" ht="12.95" customHeight="1">
      <c r="A34" s="42">
        <f t="shared" si="13"/>
        <v>20</v>
      </c>
      <c r="B34" s="98">
        <v>6867.6</v>
      </c>
      <c r="C34" s="390">
        <f>IF(B34="",C33,VLOOKUP(TRUNC(B34,1),VLOOKUP!$A$3:$K$2834,RIGHT(TEXT(B34,"0000.00"),1)+2,FALSE))</f>
        <v>181521</v>
      </c>
      <c r="D34" s="39">
        <f t="shared" si="14"/>
        <v>205</v>
      </c>
      <c r="E34" s="49">
        <f t="shared" si="0"/>
        <v>29521</v>
      </c>
      <c r="F34" s="106">
        <f t="shared" si="1"/>
        <v>103.35265944038316</v>
      </c>
      <c r="G34" s="41">
        <v>195</v>
      </c>
      <c r="H34" s="174">
        <v>0</v>
      </c>
      <c r="I34" s="41">
        <f t="shared" si="2"/>
        <v>195</v>
      </c>
      <c r="J34" s="36">
        <f t="shared" si="15"/>
        <v>0</v>
      </c>
      <c r="K34" s="41">
        <f t="shared" si="3"/>
        <v>195</v>
      </c>
      <c r="L34" s="41">
        <f t="shared" si="16"/>
        <v>-54.847340559616825</v>
      </c>
      <c r="M34" s="108">
        <v>11.8</v>
      </c>
      <c r="N34" s="33">
        <v>0</v>
      </c>
      <c r="O34" s="36">
        <f>16*1.05</f>
        <v>16.8</v>
      </c>
      <c r="P34" s="33">
        <v>0</v>
      </c>
      <c r="Q34" s="133">
        <f>1128200/325851/1.9835*1.02</f>
        <v>1.7804714093588501</v>
      </c>
      <c r="R34" s="67">
        <f>IF(((2.5*1.04)-T34)&gt;=4.2,4.2,(2.5*1.04)-T34)</f>
        <v>1.8539033534869538</v>
      </c>
      <c r="S34" s="67">
        <f>IF(((2.5*1.04)-T34)&gt;=4.2,((2.5*1.04)-T34)-4.2,0)</f>
        <v>0</v>
      </c>
      <c r="T34" s="67">
        <v>0.74609664651304641</v>
      </c>
      <c r="U34" s="198">
        <f t="shared" si="27"/>
        <v>7.4195285906411508</v>
      </c>
      <c r="V34" s="41">
        <v>0</v>
      </c>
      <c r="W34" s="41">
        <v>0</v>
      </c>
      <c r="X34" s="41">
        <f t="shared" ref="X34:X45" si="28">MAX(0,M34-N34-O34-P34-Q34-R34-S34-T34-U34+V34+W34-BD34+BA34)</f>
        <v>0</v>
      </c>
      <c r="Y34" s="41">
        <f t="shared" ref="Y34:Y45" si="29">X34-AT34</f>
        <v>0</v>
      </c>
      <c r="Z34" s="49"/>
      <c r="AA34" s="41"/>
      <c r="AB34" s="49"/>
      <c r="AC34" s="49"/>
      <c r="AD34" s="49"/>
      <c r="AE34" s="397"/>
      <c r="AG34" s="39"/>
      <c r="AH34" s="41">
        <v>0</v>
      </c>
      <c r="AI34" s="157">
        <v>1.7</v>
      </c>
      <c r="AJ34" s="175">
        <v>1.3</v>
      </c>
      <c r="AK34" s="41">
        <v>25</v>
      </c>
      <c r="AL34" s="49">
        <f t="shared" si="25"/>
        <v>2779.3792387194489</v>
      </c>
      <c r="AM34" s="49"/>
      <c r="AN34" s="68">
        <f t="shared" si="18"/>
        <v>36.799999999999997</v>
      </c>
      <c r="AO34" s="41">
        <f t="shared" si="19"/>
        <v>54.847340559616825</v>
      </c>
      <c r="AP34" s="41">
        <f t="shared" si="6"/>
        <v>91.647340559616822</v>
      </c>
      <c r="AQ34" s="170">
        <v>0</v>
      </c>
      <c r="AR34" s="559"/>
      <c r="AS34" s="443"/>
      <c r="AT34" s="36"/>
      <c r="AU34" s="37">
        <v>0</v>
      </c>
      <c r="AV34" s="399">
        <v>0.14000000000000001</v>
      </c>
      <c r="AW34" s="524">
        <f t="shared" si="26"/>
        <v>9.8000000000000004E-2</v>
      </c>
      <c r="AX34" s="401">
        <f>IF(AV34="",0,VLOOKUP(ROUNDDOWN(TEXT(B34,"0000"),-1),VLOOKUP!$M$3:$W$32,RIGHT(TEXT(B34,"0000"),1)+2,FALSE))</f>
        <v>2590</v>
      </c>
      <c r="AY34" s="401">
        <f t="shared" si="24"/>
        <v>21.151666666666667</v>
      </c>
      <c r="AZ34" s="33">
        <f>AY34*((IF(Z34&gt;JUN!$Z$44,JUN!$Z$44,Z34)+AC34+AD34+AR34)*1.9835)/E34</f>
        <v>0</v>
      </c>
      <c r="BA34" s="33"/>
      <c r="BB34" s="33"/>
      <c r="BC34" s="149"/>
      <c r="BD34" s="24"/>
      <c r="BE34" s="40"/>
      <c r="BF34" s="169">
        <v>0</v>
      </c>
      <c r="BG34" s="50">
        <v>69</v>
      </c>
      <c r="BH34" s="39">
        <v>36</v>
      </c>
      <c r="BI34" s="314"/>
      <c r="BJ34" s="319">
        <f t="shared" si="8"/>
        <v>11.8</v>
      </c>
      <c r="BK34" s="40">
        <v>0</v>
      </c>
      <c r="BL34" s="71">
        <v>11751.718999999999</v>
      </c>
      <c r="BM34" s="534">
        <f t="shared" si="9"/>
        <v>0</v>
      </c>
      <c r="BN34" s="247">
        <f t="shared" si="10"/>
        <v>0</v>
      </c>
      <c r="BP34" s="471">
        <f t="shared" si="21"/>
        <v>20</v>
      </c>
      <c r="BQ34" s="456"/>
      <c r="BR34" s="472">
        <f t="shared" si="11"/>
        <v>6867.6</v>
      </c>
      <c r="BS34" s="473">
        <f t="shared" si="22"/>
        <v>25</v>
      </c>
      <c r="BT34" s="473">
        <f t="shared" si="12"/>
        <v>0</v>
      </c>
    </row>
    <row r="35" spans="1:72" ht="12.95" customHeight="1">
      <c r="A35" s="42">
        <f t="shared" si="13"/>
        <v>21</v>
      </c>
      <c r="B35" s="98"/>
      <c r="C35" s="390">
        <f>IF(B35="",C34,VLOOKUP(TRUNC(B35,1),VLOOKUP!$A$3:$K$2834,RIGHT(TEXT(B35,"0000.00"),1)+2,FALSE))</f>
        <v>181521</v>
      </c>
      <c r="D35" s="39">
        <f t="shared" si="14"/>
        <v>0</v>
      </c>
      <c r="E35" s="49">
        <f t="shared" si="0"/>
        <v>29521</v>
      </c>
      <c r="F35" s="106">
        <f t="shared" si="1"/>
        <v>0</v>
      </c>
      <c r="G35" s="41"/>
      <c r="H35" s="174"/>
      <c r="I35" s="41">
        <f t="shared" si="2"/>
        <v>0</v>
      </c>
      <c r="J35" s="36">
        <f t="shared" si="15"/>
        <v>0</v>
      </c>
      <c r="K35" s="41">
        <f t="shared" si="3"/>
        <v>0</v>
      </c>
      <c r="L35" s="41">
        <f t="shared" si="16"/>
        <v>0</v>
      </c>
      <c r="M35" s="108"/>
      <c r="N35" s="33">
        <v>0</v>
      </c>
      <c r="O35" s="36"/>
      <c r="P35" s="33">
        <v>0</v>
      </c>
      <c r="Q35" s="133">
        <f>1032600/325851/1.9835*1.02</f>
        <v>1.6296000507923671</v>
      </c>
      <c r="R35" s="67">
        <f>IF(((2.5*1.04)-T35)&gt;=4.2,4.2,(2.5*1.04)-T35)</f>
        <v>1.8539033534869538</v>
      </c>
      <c r="S35" s="67">
        <f>IF(((2.5*1.04)-T35)&gt;=4.2,((2.5*1.04)-T35)-4.2,0)</f>
        <v>0</v>
      </c>
      <c r="T35" s="67">
        <v>0.74609664651304641</v>
      </c>
      <c r="U35" s="198">
        <f t="shared" si="27"/>
        <v>-4.2296000507923672</v>
      </c>
      <c r="V35" s="41">
        <v>0</v>
      </c>
      <c r="W35" s="41">
        <v>0</v>
      </c>
      <c r="X35" s="41">
        <f t="shared" si="28"/>
        <v>0</v>
      </c>
      <c r="Y35" s="41">
        <f t="shared" si="29"/>
        <v>0</v>
      </c>
      <c r="Z35" s="49"/>
      <c r="AA35" s="41"/>
      <c r="AB35" s="49"/>
      <c r="AC35" s="49"/>
      <c r="AD35" s="49"/>
      <c r="AE35" s="397"/>
      <c r="AG35" s="39"/>
      <c r="AH35" s="41">
        <v>0</v>
      </c>
      <c r="AI35" s="157">
        <v>1.7</v>
      </c>
      <c r="AJ35" s="175">
        <v>1.3</v>
      </c>
      <c r="AK35" s="41"/>
      <c r="AL35" s="49">
        <f t="shared" si="25"/>
        <v>2779.3792387194489</v>
      </c>
      <c r="AM35" s="49"/>
      <c r="AN35" s="68">
        <f t="shared" si="18"/>
        <v>0</v>
      </c>
      <c r="AO35" s="41">
        <f t="shared" si="19"/>
        <v>0</v>
      </c>
      <c r="AP35" s="41">
        <f t="shared" si="6"/>
        <v>0</v>
      </c>
      <c r="AQ35" s="170">
        <v>0</v>
      </c>
      <c r="AR35" s="559"/>
      <c r="AS35" s="443"/>
      <c r="AT35" s="36"/>
      <c r="AU35" s="37">
        <v>0</v>
      </c>
      <c r="AV35" s="399"/>
      <c r="AW35" s="524">
        <f t="shared" si="26"/>
        <v>0</v>
      </c>
      <c r="AX35" s="401">
        <f>IF(AV35="",0,VLOOKUP(ROUNDDOWN(TEXT(B35,"0000"),-1),VLOOKUP!$M$3:$W$32,RIGHT(TEXT(B35,"0000"),1)+2,FALSE))</f>
        <v>0</v>
      </c>
      <c r="AY35" s="401">
        <f t="shared" si="24"/>
        <v>0</v>
      </c>
      <c r="AZ35" s="33">
        <f>AY35*((IF(Z35&gt;JUN!$Z$44,JUN!$Z$44,Z35)+AC35+AD35+AR35)*1.9835)/E35</f>
        <v>0</v>
      </c>
      <c r="BA35" s="33"/>
      <c r="BB35" s="33"/>
      <c r="BC35" s="149"/>
      <c r="BD35" s="24"/>
      <c r="BE35" s="40"/>
      <c r="BF35" s="169"/>
      <c r="BG35" s="39"/>
      <c r="BH35" s="39"/>
      <c r="BI35" s="314"/>
      <c r="BJ35" s="319">
        <f t="shared" si="8"/>
        <v>0</v>
      </c>
      <c r="BK35" s="40"/>
      <c r="BL35" s="71"/>
      <c r="BM35" s="534">
        <f t="shared" si="9"/>
        <v>0</v>
      </c>
      <c r="BN35" s="247">
        <f t="shared" si="10"/>
        <v>0</v>
      </c>
      <c r="BP35" s="471">
        <f t="shared" si="21"/>
        <v>21</v>
      </c>
      <c r="BQ35" s="456"/>
      <c r="BR35" s="472">
        <f t="shared" si="11"/>
        <v>0</v>
      </c>
      <c r="BS35" s="473">
        <f t="shared" si="22"/>
        <v>0</v>
      </c>
      <c r="BT35" s="473">
        <f t="shared" si="12"/>
        <v>0</v>
      </c>
    </row>
    <row r="36" spans="1:72" ht="12.95" customHeight="1">
      <c r="A36" s="42">
        <f t="shared" si="13"/>
        <v>22</v>
      </c>
      <c r="B36" s="98"/>
      <c r="C36" s="390">
        <f>IF(B36="",C35,VLOOKUP(TRUNC(B36,1),VLOOKUP!$A$3:$K$2834,RIGHT(TEXT(B36,"0000.00"),1)+2,FALSE))</f>
        <v>181521</v>
      </c>
      <c r="D36" s="39">
        <f t="shared" si="14"/>
        <v>0</v>
      </c>
      <c r="E36" s="49">
        <f t="shared" si="0"/>
        <v>29521</v>
      </c>
      <c r="F36" s="106">
        <f t="shared" si="1"/>
        <v>0</v>
      </c>
      <c r="G36" s="41"/>
      <c r="H36" s="174"/>
      <c r="I36" s="41">
        <f>G36+H36</f>
        <v>0</v>
      </c>
      <c r="J36" s="36">
        <f t="shared" si="15"/>
        <v>0</v>
      </c>
      <c r="K36" s="41">
        <f t="shared" si="3"/>
        <v>0</v>
      </c>
      <c r="L36" s="41">
        <f t="shared" si="16"/>
        <v>0</v>
      </c>
      <c r="M36" s="108"/>
      <c r="N36" s="33">
        <v>0</v>
      </c>
      <c r="O36" s="36"/>
      <c r="P36" s="33">
        <v>0</v>
      </c>
      <c r="Q36" s="133">
        <f>1106400/325851/1.9835*1.02</f>
        <v>1.746067689518376</v>
      </c>
      <c r="R36" s="67">
        <f>IF(((2.6*1.04)-T36)&gt;=4.2,4.2,(2.6*1.04)-T36)</f>
        <v>1.9579033534869539</v>
      </c>
      <c r="S36" s="67">
        <f>IF(((2.6*1.04)-T36)&gt;=4.2,((2.6*1.04)-T36)-4.2,0)</f>
        <v>0</v>
      </c>
      <c r="T36" s="67">
        <v>0.74609664651304641</v>
      </c>
      <c r="U36" s="198">
        <f t="shared" si="27"/>
        <v>-4.4500676895183764</v>
      </c>
      <c r="V36" s="41">
        <v>0</v>
      </c>
      <c r="W36" s="41">
        <v>0</v>
      </c>
      <c r="X36" s="41">
        <f t="shared" si="28"/>
        <v>0</v>
      </c>
      <c r="Y36" s="41">
        <f t="shared" si="29"/>
        <v>0</v>
      </c>
      <c r="Z36" s="49"/>
      <c r="AA36" s="41"/>
      <c r="AB36" s="49"/>
      <c r="AC36" s="49"/>
      <c r="AD36" s="49"/>
      <c r="AE36" s="397"/>
      <c r="AG36" s="39"/>
      <c r="AH36" s="41">
        <v>0</v>
      </c>
      <c r="AI36" s="157">
        <v>1.7</v>
      </c>
      <c r="AJ36" s="175">
        <v>1.3</v>
      </c>
      <c r="AK36" s="41"/>
      <c r="AL36" s="49">
        <f t="shared" si="25"/>
        <v>2779.3792387194489</v>
      </c>
      <c r="AM36" s="49"/>
      <c r="AN36" s="68">
        <f t="shared" si="18"/>
        <v>0</v>
      </c>
      <c r="AO36" s="41">
        <f t="shared" si="19"/>
        <v>0</v>
      </c>
      <c r="AP36" s="41">
        <f t="shared" si="6"/>
        <v>0</v>
      </c>
      <c r="AQ36" s="170">
        <v>0</v>
      </c>
      <c r="AR36" s="559"/>
      <c r="AS36" s="443"/>
      <c r="AT36" s="36"/>
      <c r="AU36" s="37">
        <v>0</v>
      </c>
      <c r="AV36" s="399"/>
      <c r="AW36" s="524">
        <f t="shared" si="26"/>
        <v>0</v>
      </c>
      <c r="AX36" s="401">
        <f>IF(AV36="",0,VLOOKUP(ROUNDDOWN(TEXT(B36,"0000"),-1),VLOOKUP!$M$3:$W$32,RIGHT(TEXT(B36,"0000"),1)+2,FALSE))</f>
        <v>0</v>
      </c>
      <c r="AY36" s="401">
        <f t="shared" si="24"/>
        <v>0</v>
      </c>
      <c r="AZ36" s="33">
        <f>AY36*((IF(Z36&gt;JUN!$Z$44,JUN!$Z$44,Z36)+AC36+AD36+AR36)*1.9835)/E36</f>
        <v>0</v>
      </c>
      <c r="BA36" s="33"/>
      <c r="BB36" s="33"/>
      <c r="BC36" s="149"/>
      <c r="BD36" s="24"/>
      <c r="BE36" s="40"/>
      <c r="BF36" s="169"/>
      <c r="BG36" s="39"/>
      <c r="BH36" s="39"/>
      <c r="BI36" s="314"/>
      <c r="BJ36" s="319">
        <f t="shared" si="8"/>
        <v>0</v>
      </c>
      <c r="BK36" s="40"/>
      <c r="BL36" s="71"/>
      <c r="BM36" s="534">
        <f t="shared" si="9"/>
        <v>0</v>
      </c>
      <c r="BN36" s="247">
        <f t="shared" si="10"/>
        <v>0</v>
      </c>
      <c r="BP36" s="471">
        <f t="shared" si="21"/>
        <v>22</v>
      </c>
      <c r="BQ36" s="456"/>
      <c r="BR36" s="472">
        <f t="shared" si="11"/>
        <v>0</v>
      </c>
      <c r="BS36" s="473">
        <f t="shared" si="22"/>
        <v>0</v>
      </c>
      <c r="BT36" s="473">
        <f t="shared" si="12"/>
        <v>0</v>
      </c>
    </row>
    <row r="37" spans="1:72" ht="12.95" customHeight="1">
      <c r="A37" s="42">
        <f t="shared" si="13"/>
        <v>23</v>
      </c>
      <c r="B37" s="98"/>
      <c r="C37" s="390">
        <f>IF(B37="",C36,VLOOKUP(TRUNC(B37,1),VLOOKUP!$A$3:$K$2834,RIGHT(TEXT(B37,"0000.00"),1)+2,FALSE))</f>
        <v>181521</v>
      </c>
      <c r="D37" s="39">
        <f t="shared" si="14"/>
        <v>0</v>
      </c>
      <c r="E37" s="49">
        <f t="shared" si="0"/>
        <v>29521</v>
      </c>
      <c r="F37" s="106">
        <f t="shared" si="1"/>
        <v>0</v>
      </c>
      <c r="G37" s="41"/>
      <c r="H37" s="174"/>
      <c r="I37" s="41">
        <f t="shared" si="2"/>
        <v>0</v>
      </c>
      <c r="J37" s="36">
        <f t="shared" si="15"/>
        <v>0</v>
      </c>
      <c r="K37" s="41">
        <f t="shared" si="3"/>
        <v>0</v>
      </c>
      <c r="L37" s="41">
        <f t="shared" si="16"/>
        <v>0</v>
      </c>
      <c r="M37" s="108"/>
      <c r="N37" s="33">
        <v>0</v>
      </c>
      <c r="O37" s="36"/>
      <c r="P37" s="33">
        <v>0</v>
      </c>
      <c r="Q37" s="133">
        <f>1020200/325851/1.9835*1.02</f>
        <v>1.6100309624427396</v>
      </c>
      <c r="R37" s="67">
        <f>IF(((2.5*1.04)-T37)&gt;=4.2,4.2,(2.5*1.04)-T37)</f>
        <v>1.8539033534869538</v>
      </c>
      <c r="S37" s="67">
        <f>IF(((2.5*1.04)-T37)&gt;=4.2,((2.5*1.04)-T37)-4.2,0)</f>
        <v>0</v>
      </c>
      <c r="T37" s="67">
        <v>0.74609664651304641</v>
      </c>
      <c r="U37" s="198">
        <f t="shared" si="27"/>
        <v>-4.2100309624427394</v>
      </c>
      <c r="V37" s="41">
        <v>0</v>
      </c>
      <c r="W37" s="41">
        <v>0</v>
      </c>
      <c r="X37" s="41">
        <f t="shared" si="28"/>
        <v>0</v>
      </c>
      <c r="Y37" s="41">
        <f t="shared" si="29"/>
        <v>0</v>
      </c>
      <c r="Z37" s="49"/>
      <c r="AA37" s="41"/>
      <c r="AB37" s="49"/>
      <c r="AC37" s="49"/>
      <c r="AD37" s="49"/>
      <c r="AE37" s="397"/>
      <c r="AG37" s="39"/>
      <c r="AH37" s="41">
        <v>0</v>
      </c>
      <c r="AI37" s="157">
        <v>1.7</v>
      </c>
      <c r="AJ37" s="175">
        <v>1.3</v>
      </c>
      <c r="AK37" s="41"/>
      <c r="AL37" s="49">
        <f t="shared" si="25"/>
        <v>2779.3792387194489</v>
      </c>
      <c r="AM37" s="49"/>
      <c r="AN37" s="68">
        <f t="shared" si="18"/>
        <v>0</v>
      </c>
      <c r="AO37" s="41">
        <f t="shared" si="19"/>
        <v>0</v>
      </c>
      <c r="AP37" s="41">
        <f t="shared" si="6"/>
        <v>0</v>
      </c>
      <c r="AQ37" s="170">
        <v>0</v>
      </c>
      <c r="AR37" s="559"/>
      <c r="AS37" s="443"/>
      <c r="AT37" s="36"/>
      <c r="AU37" s="37">
        <v>0</v>
      </c>
      <c r="AV37" s="399"/>
      <c r="AW37" s="524">
        <f t="shared" si="26"/>
        <v>0</v>
      </c>
      <c r="AX37" s="401">
        <f>IF(AV37="",0,VLOOKUP(ROUNDDOWN(TEXT(B37,"0000"),-1),VLOOKUP!$M$3:$W$32,RIGHT(TEXT(B37,"0000"),1)+2,FALSE))</f>
        <v>0</v>
      </c>
      <c r="AY37" s="401">
        <f t="shared" si="24"/>
        <v>0</v>
      </c>
      <c r="AZ37" s="33">
        <f>AY37*((IF(Z37&gt;JUN!$Z$44,JUN!$Z$44,Z37)+AC37+AD37+AR37)*1.9835)/E37</f>
        <v>0</v>
      </c>
      <c r="BA37" s="33"/>
      <c r="BB37" s="33"/>
      <c r="BC37" s="149"/>
      <c r="BD37" s="24"/>
      <c r="BE37" s="40"/>
      <c r="BF37" s="169"/>
      <c r="BG37" s="39"/>
      <c r="BH37" s="50"/>
      <c r="BI37" s="314"/>
      <c r="BJ37" s="319">
        <f t="shared" si="8"/>
        <v>0</v>
      </c>
      <c r="BK37" s="40"/>
      <c r="BL37" s="71"/>
      <c r="BM37" s="534">
        <f t="shared" si="9"/>
        <v>0</v>
      </c>
      <c r="BN37" s="247">
        <f t="shared" si="10"/>
        <v>0</v>
      </c>
      <c r="BP37" s="471">
        <f t="shared" si="21"/>
        <v>23</v>
      </c>
      <c r="BQ37" s="456"/>
      <c r="BR37" s="472">
        <f t="shared" si="11"/>
        <v>0</v>
      </c>
      <c r="BS37" s="473">
        <f t="shared" si="22"/>
        <v>0</v>
      </c>
      <c r="BT37" s="473">
        <f t="shared" si="12"/>
        <v>0</v>
      </c>
    </row>
    <row r="38" spans="1:72" ht="12.95" customHeight="1">
      <c r="A38" s="42">
        <f t="shared" si="13"/>
        <v>24</v>
      </c>
      <c r="B38" s="98"/>
      <c r="C38" s="390">
        <f>IF(B38="",C37,VLOOKUP(TRUNC(B38,1),VLOOKUP!$A$3:$K$2834,RIGHT(TEXT(B38,"0000.00"),1)+2,FALSE))</f>
        <v>181521</v>
      </c>
      <c r="D38" s="39">
        <f t="shared" si="14"/>
        <v>0</v>
      </c>
      <c r="E38" s="49">
        <f t="shared" si="0"/>
        <v>29521</v>
      </c>
      <c r="F38" s="106">
        <f t="shared" si="1"/>
        <v>0</v>
      </c>
      <c r="G38" s="41"/>
      <c r="H38" s="174"/>
      <c r="I38" s="41">
        <f t="shared" si="2"/>
        <v>0</v>
      </c>
      <c r="J38" s="36">
        <f t="shared" si="15"/>
        <v>0</v>
      </c>
      <c r="K38" s="41">
        <f t="shared" si="3"/>
        <v>0</v>
      </c>
      <c r="L38" s="41">
        <f t="shared" si="16"/>
        <v>0</v>
      </c>
      <c r="M38" s="108"/>
      <c r="N38" s="33">
        <v>0</v>
      </c>
      <c r="O38" s="36"/>
      <c r="P38" s="33">
        <v>0</v>
      </c>
      <c r="Q38" s="133">
        <f>1053900/325851/1.9835*1.02</f>
        <v>1.663214694489711</v>
      </c>
      <c r="R38" s="67">
        <f>IF(((2.3*1.04)-T38)&gt;=4.2,4.2,(2.3*1.04)-T38)</f>
        <v>1.6459033534869536</v>
      </c>
      <c r="S38" s="67">
        <f>IF(((2.3*1.04)-T38)&gt;=4.2,((2.3*1.04)-T38)-4.2,0)</f>
        <v>0</v>
      </c>
      <c r="T38" s="67">
        <v>0.74609664651304641</v>
      </c>
      <c r="U38" s="198">
        <f t="shared" si="27"/>
        <v>-4.0552146944897114</v>
      </c>
      <c r="V38" s="41">
        <v>0</v>
      </c>
      <c r="W38" s="41">
        <v>0</v>
      </c>
      <c r="X38" s="41">
        <f t="shared" si="28"/>
        <v>0</v>
      </c>
      <c r="Y38" s="41">
        <f t="shared" si="29"/>
        <v>0</v>
      </c>
      <c r="Z38" s="49"/>
      <c r="AA38" s="41"/>
      <c r="AB38" s="49"/>
      <c r="AC38" s="49"/>
      <c r="AD38" s="49"/>
      <c r="AE38" s="397"/>
      <c r="AG38" s="39"/>
      <c r="AH38" s="41">
        <v>0</v>
      </c>
      <c r="AI38" s="157">
        <v>1.7</v>
      </c>
      <c r="AJ38" s="175">
        <v>1.3</v>
      </c>
      <c r="AK38" s="41"/>
      <c r="AL38" s="49">
        <f t="shared" si="25"/>
        <v>2779.3792387194489</v>
      </c>
      <c r="AM38" s="49"/>
      <c r="AN38" s="68">
        <f t="shared" si="18"/>
        <v>0</v>
      </c>
      <c r="AO38" s="41">
        <f t="shared" si="19"/>
        <v>0</v>
      </c>
      <c r="AP38" s="41">
        <f t="shared" si="6"/>
        <v>0</v>
      </c>
      <c r="AQ38" s="170">
        <v>0</v>
      </c>
      <c r="AR38" s="559"/>
      <c r="AS38" s="443"/>
      <c r="AT38" s="36"/>
      <c r="AU38" s="37">
        <v>0</v>
      </c>
      <c r="AV38" s="399"/>
      <c r="AW38" s="524">
        <f t="shared" si="26"/>
        <v>0</v>
      </c>
      <c r="AX38" s="401">
        <f>IF(AV38="",0,VLOOKUP(ROUNDDOWN(TEXT(B38,"0000"),-1),VLOOKUP!$M$3:$W$32,RIGHT(TEXT(B38,"0000"),1)+2,FALSE))</f>
        <v>0</v>
      </c>
      <c r="AY38" s="401">
        <f t="shared" si="24"/>
        <v>0</v>
      </c>
      <c r="AZ38" s="33">
        <f>AY38*((IF(Z38&gt;JUN!$Z$44,JUN!$Z$44,Z38)+AC38+AD38+AR38)*1.9835)/E38</f>
        <v>0</v>
      </c>
      <c r="BA38" s="33"/>
      <c r="BB38" s="33"/>
      <c r="BC38" s="149"/>
      <c r="BD38" s="24"/>
      <c r="BE38" s="40"/>
      <c r="BF38" s="169"/>
      <c r="BG38" s="39"/>
      <c r="BH38" s="50"/>
      <c r="BI38" s="314"/>
      <c r="BJ38" s="319">
        <f t="shared" si="8"/>
        <v>0</v>
      </c>
      <c r="BK38" s="40"/>
      <c r="BL38" s="71"/>
      <c r="BM38" s="534">
        <f t="shared" si="9"/>
        <v>0</v>
      </c>
      <c r="BN38" s="247">
        <f t="shared" si="10"/>
        <v>0</v>
      </c>
      <c r="BP38" s="471">
        <f t="shared" si="21"/>
        <v>24</v>
      </c>
      <c r="BQ38" s="456"/>
      <c r="BR38" s="472">
        <f t="shared" si="11"/>
        <v>0</v>
      </c>
      <c r="BS38" s="473">
        <f t="shared" si="22"/>
        <v>0</v>
      </c>
      <c r="BT38" s="473">
        <f t="shared" si="12"/>
        <v>0</v>
      </c>
    </row>
    <row r="39" spans="1:72" ht="12.95" customHeight="1">
      <c r="A39" s="42">
        <v>25</v>
      </c>
      <c r="B39" s="98"/>
      <c r="C39" s="390">
        <f>IF(B39="",C38,VLOOKUP(TRUNC(B39,1),VLOOKUP!$A$3:$K$2834,RIGHT(TEXT(B39,"0000.00"),1)+2,FALSE))</f>
        <v>181521</v>
      </c>
      <c r="D39" s="39">
        <f t="shared" si="14"/>
        <v>0</v>
      </c>
      <c r="E39" s="49">
        <f t="shared" si="0"/>
        <v>29521</v>
      </c>
      <c r="F39" s="106">
        <f t="shared" si="1"/>
        <v>0</v>
      </c>
      <c r="G39" s="41"/>
      <c r="H39" s="174"/>
      <c r="I39" s="41">
        <f t="shared" si="2"/>
        <v>0</v>
      </c>
      <c r="J39" s="36">
        <f t="shared" si="15"/>
        <v>0</v>
      </c>
      <c r="K39" s="41">
        <f t="shared" si="3"/>
        <v>0</v>
      </c>
      <c r="L39" s="41">
        <f t="shared" si="16"/>
        <v>0</v>
      </c>
      <c r="M39" s="108"/>
      <c r="N39" s="33">
        <v>0</v>
      </c>
      <c r="O39" s="36"/>
      <c r="P39" s="33">
        <v>0</v>
      </c>
      <c r="Q39" s="133">
        <f>1097100/325851/1.9835*1.02</f>
        <v>1.7313908732561554</v>
      </c>
      <c r="R39" s="67">
        <f>IF(((2.2*1.04)-T39)&gt;=4.2,4.2,(2.2*1.04)-T39)</f>
        <v>1.5811331249071368</v>
      </c>
      <c r="S39" s="67">
        <f>IF(((2.2*1.04)-T39)&gt;=4.2,((2.2*1.04)-T39)-4.2,0)</f>
        <v>0</v>
      </c>
      <c r="T39" s="67">
        <v>0.7068668750928635</v>
      </c>
      <c r="U39" s="198">
        <f t="shared" si="27"/>
        <v>-4.0193908732561558</v>
      </c>
      <c r="V39" s="41">
        <v>0</v>
      </c>
      <c r="W39" s="41">
        <v>0</v>
      </c>
      <c r="X39" s="41">
        <f t="shared" si="28"/>
        <v>0</v>
      </c>
      <c r="Y39" s="41">
        <f t="shared" si="29"/>
        <v>0</v>
      </c>
      <c r="Z39" s="49"/>
      <c r="AA39" s="41"/>
      <c r="AB39" s="49"/>
      <c r="AC39" s="49"/>
      <c r="AD39" s="49"/>
      <c r="AE39" s="397"/>
      <c r="AG39" s="39"/>
      <c r="AH39" s="41">
        <v>0</v>
      </c>
      <c r="AI39" s="157">
        <v>1.7</v>
      </c>
      <c r="AJ39" s="175">
        <v>1.3</v>
      </c>
      <c r="AK39" s="41"/>
      <c r="AL39" s="49">
        <f t="shared" si="25"/>
        <v>2779.3792387194489</v>
      </c>
      <c r="AM39" s="49"/>
      <c r="AN39" s="68">
        <f t="shared" si="18"/>
        <v>0</v>
      </c>
      <c r="AO39" s="41">
        <f t="shared" si="19"/>
        <v>0</v>
      </c>
      <c r="AP39" s="41">
        <f t="shared" si="6"/>
        <v>0</v>
      </c>
      <c r="AQ39" s="170">
        <v>0</v>
      </c>
      <c r="AR39" s="559"/>
      <c r="AS39" s="443"/>
      <c r="AT39" s="36"/>
      <c r="AU39" s="37">
        <v>0</v>
      </c>
      <c r="AV39" s="399"/>
      <c r="AW39" s="524">
        <f t="shared" si="26"/>
        <v>0</v>
      </c>
      <c r="AX39" s="401">
        <f>IF(AV39="",0,VLOOKUP(ROUNDDOWN(TEXT(B39,"0000"),-1),VLOOKUP!$M$3:$W$32,RIGHT(TEXT(B39,"0000"),1)+2,FALSE))</f>
        <v>0</v>
      </c>
      <c r="AY39" s="401">
        <f t="shared" si="24"/>
        <v>0</v>
      </c>
      <c r="AZ39" s="33">
        <f>AY39*((IF(Z39&gt;JUN!$Z$44,JUN!$Z$44,Z39)+AC39+AD39+AR39)*1.9835)/E39</f>
        <v>0</v>
      </c>
      <c r="BA39" s="33"/>
      <c r="BB39" s="33"/>
      <c r="BC39" s="149"/>
      <c r="BD39" s="24"/>
      <c r="BE39" s="40"/>
      <c r="BF39" s="169"/>
      <c r="BG39" s="39"/>
      <c r="BH39" s="50"/>
      <c r="BI39" s="314"/>
      <c r="BJ39" s="319">
        <f t="shared" si="8"/>
        <v>0</v>
      </c>
      <c r="BK39" s="40"/>
      <c r="BL39" s="71"/>
      <c r="BM39" s="534">
        <f t="shared" si="9"/>
        <v>0</v>
      </c>
      <c r="BN39" s="247">
        <f t="shared" si="10"/>
        <v>0</v>
      </c>
      <c r="BP39" s="471">
        <f t="shared" si="21"/>
        <v>25</v>
      </c>
      <c r="BQ39" s="456"/>
      <c r="BR39" s="472">
        <f t="shared" si="11"/>
        <v>0</v>
      </c>
      <c r="BS39" s="473">
        <f t="shared" si="22"/>
        <v>0</v>
      </c>
      <c r="BT39" s="473">
        <f t="shared" si="12"/>
        <v>0</v>
      </c>
    </row>
    <row r="40" spans="1:72" ht="12.95" customHeight="1">
      <c r="A40" s="42">
        <v>26</v>
      </c>
      <c r="B40" s="98"/>
      <c r="C40" s="390">
        <f>IF(B40="",C39,VLOOKUP(TRUNC(B40,1),VLOOKUP!$A$3:$K$2834,RIGHT(TEXT(B40,"0000.00"),1)+2,FALSE))</f>
        <v>181521</v>
      </c>
      <c r="D40" s="39">
        <f t="shared" si="14"/>
        <v>0</v>
      </c>
      <c r="E40" s="49">
        <f t="shared" si="0"/>
        <v>29521</v>
      </c>
      <c r="F40" s="106">
        <f t="shared" si="1"/>
        <v>0</v>
      </c>
      <c r="G40" s="41"/>
      <c r="H40" s="174"/>
      <c r="I40" s="41">
        <f t="shared" si="2"/>
        <v>0</v>
      </c>
      <c r="J40" s="36">
        <f t="shared" si="15"/>
        <v>0</v>
      </c>
      <c r="K40" s="41">
        <f t="shared" si="3"/>
        <v>0</v>
      </c>
      <c r="L40" s="41">
        <f t="shared" si="16"/>
        <v>0</v>
      </c>
      <c r="M40" s="108"/>
      <c r="N40" s="33">
        <v>0</v>
      </c>
      <c r="O40" s="36"/>
      <c r="P40" s="33">
        <v>0</v>
      </c>
      <c r="Q40" s="133">
        <f>1108400/325851/1.9835*1.02</f>
        <v>1.7492239940908965</v>
      </c>
      <c r="R40" s="67">
        <f>IF(((2.2*1.04)-T40)&gt;=4.2,4.2,(2.2*1.04)-T40)</f>
        <v>1.5811331249071368</v>
      </c>
      <c r="S40" s="67">
        <f>IF(((2.2*1.04)-T40)&gt;=4.2,((2.2*1.04)-T40)-4.2,0)</f>
        <v>0</v>
      </c>
      <c r="T40" s="67">
        <v>0.7068668750928635</v>
      </c>
      <c r="U40" s="198">
        <f t="shared" si="27"/>
        <v>-4.0372239940908967</v>
      </c>
      <c r="V40" s="41">
        <v>0</v>
      </c>
      <c r="W40" s="41">
        <v>0</v>
      </c>
      <c r="X40" s="41">
        <f t="shared" si="28"/>
        <v>0</v>
      </c>
      <c r="Y40" s="41">
        <f t="shared" si="29"/>
        <v>0</v>
      </c>
      <c r="Z40" s="49"/>
      <c r="AA40" s="41"/>
      <c r="AB40" s="49"/>
      <c r="AC40" s="49"/>
      <c r="AD40" s="49"/>
      <c r="AE40" s="397"/>
      <c r="AG40" s="39"/>
      <c r="AH40" s="41">
        <v>0</v>
      </c>
      <c r="AI40" s="157">
        <v>1.7</v>
      </c>
      <c r="AJ40" s="175">
        <v>1.3</v>
      </c>
      <c r="AK40" s="41"/>
      <c r="AL40" s="49">
        <f t="shared" si="25"/>
        <v>2779.3792387194489</v>
      </c>
      <c r="AM40" s="49"/>
      <c r="AN40" s="68">
        <f t="shared" si="18"/>
        <v>0</v>
      </c>
      <c r="AO40" s="41">
        <f t="shared" si="19"/>
        <v>0</v>
      </c>
      <c r="AP40" s="41">
        <f t="shared" si="6"/>
        <v>0</v>
      </c>
      <c r="AQ40" s="170">
        <v>0</v>
      </c>
      <c r="AR40" s="559"/>
      <c r="AS40" s="443"/>
      <c r="AT40" s="36"/>
      <c r="AU40" s="37">
        <v>0</v>
      </c>
      <c r="AV40" s="399"/>
      <c r="AW40" s="524">
        <f t="shared" si="26"/>
        <v>0</v>
      </c>
      <c r="AX40" s="401">
        <f>IF(AV40="",0,VLOOKUP(ROUNDDOWN(TEXT(B40,"0000"),-1),VLOOKUP!$M$3:$W$32,RIGHT(TEXT(B40,"0000"),1)+2,FALSE))</f>
        <v>0</v>
      </c>
      <c r="AY40" s="401">
        <f t="shared" si="24"/>
        <v>0</v>
      </c>
      <c r="AZ40" s="33">
        <f>AY40*((IF(Z40&gt;JUN!$Z$44,JUN!$Z$44,Z40)+AC40+AD40+AR40)*1.9835)/E40</f>
        <v>0</v>
      </c>
      <c r="BA40" s="33"/>
      <c r="BB40" s="33"/>
      <c r="BC40" s="149"/>
      <c r="BD40" s="24"/>
      <c r="BE40" s="40"/>
      <c r="BF40" s="169"/>
      <c r="BG40" s="39"/>
      <c r="BH40" s="50"/>
      <c r="BI40" s="314"/>
      <c r="BJ40" s="319">
        <f t="shared" si="8"/>
        <v>0</v>
      </c>
      <c r="BK40" s="40"/>
      <c r="BL40" s="71"/>
      <c r="BM40" s="534">
        <f t="shared" si="9"/>
        <v>0</v>
      </c>
      <c r="BN40" s="247">
        <f t="shared" si="10"/>
        <v>0</v>
      </c>
      <c r="BP40" s="471">
        <f t="shared" si="21"/>
        <v>26</v>
      </c>
      <c r="BQ40" s="456"/>
      <c r="BR40" s="472">
        <f t="shared" si="11"/>
        <v>0</v>
      </c>
      <c r="BS40" s="473">
        <f t="shared" si="22"/>
        <v>0</v>
      </c>
      <c r="BT40" s="473">
        <f t="shared" si="12"/>
        <v>0</v>
      </c>
    </row>
    <row r="41" spans="1:72" ht="12.95" customHeight="1">
      <c r="A41" s="42">
        <v>27</v>
      </c>
      <c r="B41" s="98"/>
      <c r="C41" s="390">
        <f>IF(B41="",C40,VLOOKUP(TRUNC(B41,1),VLOOKUP!$A$3:$K$2834,RIGHT(TEXT(B41,"0000.00"),1)+2,FALSE))</f>
        <v>181521</v>
      </c>
      <c r="D41" s="39">
        <f t="shared" si="14"/>
        <v>0</v>
      </c>
      <c r="E41" s="49">
        <f t="shared" si="0"/>
        <v>29521</v>
      </c>
      <c r="F41" s="106">
        <f t="shared" si="1"/>
        <v>0</v>
      </c>
      <c r="G41" s="41"/>
      <c r="H41" s="174"/>
      <c r="I41" s="41">
        <f t="shared" si="2"/>
        <v>0</v>
      </c>
      <c r="J41" s="36">
        <f t="shared" si="15"/>
        <v>0</v>
      </c>
      <c r="K41" s="41">
        <f t="shared" si="3"/>
        <v>0</v>
      </c>
      <c r="L41" s="41">
        <f>IF(G41="",0,F41-(I41-AN41))</f>
        <v>0</v>
      </c>
      <c r="M41" s="108"/>
      <c r="N41" s="33">
        <v>0</v>
      </c>
      <c r="O41" s="36"/>
      <c r="P41" s="33">
        <v>0</v>
      </c>
      <c r="Q41" s="133">
        <f>1299200/325851/1.9835*1.02</f>
        <v>2.0503354503093587</v>
      </c>
      <c r="R41" s="67">
        <f>IF(((2.3*1.04)-T41)&gt;=4.2,4.2,(2.3*1.04)-T41)</f>
        <v>1.6851331249071364</v>
      </c>
      <c r="S41" s="67">
        <f>IF(((2.3*1.04)-T41)&gt;=4.2,((2.3*1.04)-T41)-4.2,0)</f>
        <v>0</v>
      </c>
      <c r="T41" s="67">
        <v>0.7068668750928635</v>
      </c>
      <c r="U41" s="198">
        <f t="shared" si="27"/>
        <v>-4.4423354503093586</v>
      </c>
      <c r="V41" s="41">
        <v>0</v>
      </c>
      <c r="W41" s="41">
        <v>0</v>
      </c>
      <c r="X41" s="41">
        <f t="shared" si="28"/>
        <v>0</v>
      </c>
      <c r="Y41" s="41">
        <f t="shared" si="29"/>
        <v>0</v>
      </c>
      <c r="Z41" s="49"/>
      <c r="AA41" s="41"/>
      <c r="AB41" s="49"/>
      <c r="AC41" s="49"/>
      <c r="AD41" s="49"/>
      <c r="AE41" s="397"/>
      <c r="AG41" s="39"/>
      <c r="AH41" s="41">
        <v>0</v>
      </c>
      <c r="AI41" s="157">
        <v>1.7</v>
      </c>
      <c r="AJ41" s="175">
        <v>1.3</v>
      </c>
      <c r="AK41" s="41"/>
      <c r="AL41" s="49">
        <f t="shared" si="25"/>
        <v>2779.3792387194489</v>
      </c>
      <c r="AM41" s="49"/>
      <c r="AN41" s="68">
        <f t="shared" si="18"/>
        <v>0</v>
      </c>
      <c r="AO41" s="41">
        <f t="shared" si="19"/>
        <v>0</v>
      </c>
      <c r="AP41" s="41">
        <f t="shared" si="6"/>
        <v>0</v>
      </c>
      <c r="AQ41" s="170">
        <v>0</v>
      </c>
      <c r="AR41" s="559"/>
      <c r="AS41" s="443"/>
      <c r="AT41" s="36"/>
      <c r="AU41" s="37">
        <v>0</v>
      </c>
      <c r="AV41" s="399"/>
      <c r="AW41" s="524">
        <f t="shared" si="26"/>
        <v>0</v>
      </c>
      <c r="AX41" s="401">
        <f>IF(AV41="",0,VLOOKUP(ROUNDDOWN(TEXT(B41,"0000"),-1),VLOOKUP!$M$3:$W$32,RIGHT(TEXT(B41,"0000"),1)+2,FALSE))</f>
        <v>0</v>
      </c>
      <c r="AY41" s="401">
        <f t="shared" si="24"/>
        <v>0</v>
      </c>
      <c r="AZ41" s="33">
        <f>AY41*((IF(Z41&gt;JUN!$Z$44,JUN!$Z$44,Z41)+AC41+AD41+AR41)*1.9835)/E41</f>
        <v>0</v>
      </c>
      <c r="BA41" s="33"/>
      <c r="BB41" s="33"/>
      <c r="BC41" s="149"/>
      <c r="BD41" s="24"/>
      <c r="BE41" s="40"/>
      <c r="BF41" s="169"/>
      <c r="BG41" s="39"/>
      <c r="BH41" s="50"/>
      <c r="BI41" s="314"/>
      <c r="BJ41" s="319">
        <f t="shared" si="8"/>
        <v>0</v>
      </c>
      <c r="BK41" s="40"/>
      <c r="BL41" s="71"/>
      <c r="BM41" s="534">
        <f t="shared" si="9"/>
        <v>0</v>
      </c>
      <c r="BN41" s="247">
        <f t="shared" si="10"/>
        <v>0</v>
      </c>
      <c r="BP41" s="471">
        <f t="shared" si="21"/>
        <v>27</v>
      </c>
      <c r="BQ41" s="456"/>
      <c r="BR41" s="472">
        <f t="shared" si="11"/>
        <v>0</v>
      </c>
      <c r="BS41" s="473">
        <f t="shared" si="22"/>
        <v>0</v>
      </c>
      <c r="BT41" s="473">
        <f t="shared" si="12"/>
        <v>0</v>
      </c>
    </row>
    <row r="42" spans="1:72" ht="12.95" customHeight="1">
      <c r="A42" s="42">
        <v>28</v>
      </c>
      <c r="B42" s="98"/>
      <c r="C42" s="390">
        <f>IF(B42="",C41,VLOOKUP(TRUNC(B42,1),VLOOKUP!$A$3:$K$2834,RIGHT(TEXT(B42,"0000.00"),1)+2,FALSE))</f>
        <v>181521</v>
      </c>
      <c r="D42" s="39">
        <f t="shared" si="14"/>
        <v>0</v>
      </c>
      <c r="E42" s="49">
        <f t="shared" si="0"/>
        <v>29521</v>
      </c>
      <c r="F42" s="106">
        <f t="shared" si="1"/>
        <v>0</v>
      </c>
      <c r="G42" s="41"/>
      <c r="H42" s="174"/>
      <c r="I42" s="41">
        <f t="shared" si="2"/>
        <v>0</v>
      </c>
      <c r="J42" s="36">
        <f t="shared" si="15"/>
        <v>0</v>
      </c>
      <c r="K42" s="41">
        <f t="shared" si="3"/>
        <v>0</v>
      </c>
      <c r="L42" s="41">
        <f t="shared" si="16"/>
        <v>0</v>
      </c>
      <c r="M42" s="108"/>
      <c r="N42" s="33">
        <v>0</v>
      </c>
      <c r="O42" s="36"/>
      <c r="P42" s="33">
        <v>0</v>
      </c>
      <c r="Q42" s="133">
        <f>1115700/325851/1.9835*1.02</f>
        <v>1.7607445057805966</v>
      </c>
      <c r="R42" s="67">
        <f>IF(((2.5*1.04)-T42)&gt;=4.2,4.2,(2.5*1.04)-T42)</f>
        <v>1.8931331249071366</v>
      </c>
      <c r="S42" s="67">
        <f>IF(((2.5*1.04)-T42)&gt;=4.2,((2.5*1.04)-T42)-4.2,0)</f>
        <v>0</v>
      </c>
      <c r="T42" s="67">
        <v>0.7068668750928635</v>
      </c>
      <c r="U42" s="198">
        <f t="shared" si="27"/>
        <v>-4.3607445057805965</v>
      </c>
      <c r="V42" s="41">
        <v>0</v>
      </c>
      <c r="W42" s="41">
        <v>0</v>
      </c>
      <c r="X42" s="41">
        <f t="shared" si="28"/>
        <v>0</v>
      </c>
      <c r="Y42" s="41">
        <f t="shared" si="29"/>
        <v>0</v>
      </c>
      <c r="Z42" s="49"/>
      <c r="AA42" s="41"/>
      <c r="AB42" s="49"/>
      <c r="AC42" s="49"/>
      <c r="AD42" s="49"/>
      <c r="AE42" s="397"/>
      <c r="AG42" s="39"/>
      <c r="AH42" s="41">
        <v>0</v>
      </c>
      <c r="AI42" s="157">
        <v>1.7</v>
      </c>
      <c r="AJ42" s="175">
        <v>1.3</v>
      </c>
      <c r="AK42" s="41"/>
      <c r="AL42" s="49">
        <f t="shared" si="25"/>
        <v>2779.3792387194489</v>
      </c>
      <c r="AM42" s="49"/>
      <c r="AN42" s="68">
        <f t="shared" si="18"/>
        <v>0</v>
      </c>
      <c r="AO42" s="41">
        <f t="shared" si="19"/>
        <v>0</v>
      </c>
      <c r="AP42" s="41">
        <f t="shared" si="6"/>
        <v>0</v>
      </c>
      <c r="AQ42" s="170">
        <v>0</v>
      </c>
      <c r="AR42" s="559"/>
      <c r="AS42" s="443"/>
      <c r="AT42" s="36"/>
      <c r="AU42" s="37">
        <v>0</v>
      </c>
      <c r="AV42" s="399"/>
      <c r="AW42" s="524">
        <f t="shared" si="26"/>
        <v>0</v>
      </c>
      <c r="AX42" s="401">
        <f>IF(AV42="",0,VLOOKUP(ROUNDDOWN(TEXT(B42,"0000"),-1),VLOOKUP!$M$3:$W$32,RIGHT(TEXT(B42,"0000"),1)+2,FALSE))</f>
        <v>0</v>
      </c>
      <c r="AY42" s="401">
        <f t="shared" si="24"/>
        <v>0</v>
      </c>
      <c r="AZ42" s="33">
        <f>AY42*((IF(Z42&gt;JUN!$Z$44,JUN!$Z$44,Z42)+AC42+AD42+AR42)*1.9835)/E42</f>
        <v>0</v>
      </c>
      <c r="BA42" s="33"/>
      <c r="BB42" s="33"/>
      <c r="BC42" s="149"/>
      <c r="BD42" s="24"/>
      <c r="BE42" s="40"/>
      <c r="BF42" s="169"/>
      <c r="BG42" s="39"/>
      <c r="BH42" s="50"/>
      <c r="BI42" s="314"/>
      <c r="BJ42" s="319">
        <f t="shared" si="8"/>
        <v>0</v>
      </c>
      <c r="BK42" s="40"/>
      <c r="BL42" s="71"/>
      <c r="BM42" s="534">
        <f t="shared" si="9"/>
        <v>0</v>
      </c>
      <c r="BN42" s="247">
        <f t="shared" si="10"/>
        <v>0</v>
      </c>
      <c r="BP42" s="471">
        <f t="shared" si="21"/>
        <v>28</v>
      </c>
      <c r="BQ42" s="456"/>
      <c r="BR42" s="472">
        <f t="shared" si="11"/>
        <v>0</v>
      </c>
      <c r="BS42" s="473">
        <f t="shared" si="22"/>
        <v>0</v>
      </c>
      <c r="BT42" s="473">
        <f t="shared" si="12"/>
        <v>0</v>
      </c>
    </row>
    <row r="43" spans="1:72" ht="12.95" customHeight="1">
      <c r="A43" s="42">
        <v>29</v>
      </c>
      <c r="B43" s="98"/>
      <c r="C43" s="390">
        <f>IF(B43="",C42,VLOOKUP(TRUNC(B43,1),VLOOKUP!$A$3:$K$2834,RIGHT(TEXT(B43,"0000.00"),1)+2,FALSE))</f>
        <v>181521</v>
      </c>
      <c r="D43" s="39">
        <f t="shared" si="14"/>
        <v>0</v>
      </c>
      <c r="E43" s="49">
        <f t="shared" si="0"/>
        <v>29521</v>
      </c>
      <c r="F43" s="106">
        <f t="shared" si="1"/>
        <v>0</v>
      </c>
      <c r="G43" s="41"/>
      <c r="H43" s="174"/>
      <c r="I43" s="41">
        <f t="shared" si="2"/>
        <v>0</v>
      </c>
      <c r="J43" s="36">
        <f t="shared" si="15"/>
        <v>0</v>
      </c>
      <c r="K43" s="41">
        <f t="shared" si="3"/>
        <v>0</v>
      </c>
      <c r="L43" s="41">
        <f t="shared" si="16"/>
        <v>0</v>
      </c>
      <c r="M43" s="108"/>
      <c r="N43" s="33">
        <v>0</v>
      </c>
      <c r="O43" s="36"/>
      <c r="P43" s="33">
        <v>0</v>
      </c>
      <c r="Q43" s="133">
        <f>667500/325851/1.9835*1.02</f>
        <v>1.0534166510787384</v>
      </c>
      <c r="R43" s="67">
        <f>IF(((2.7*1.04)-T43)&gt;=4.2,4.2,(2.7*1.04)-T43)</f>
        <v>2.101133124907137</v>
      </c>
      <c r="S43" s="67">
        <f>IF(((2.7*1.04)-T43)&gt;=4.2,((2.7*1.04)-T43)-4.2,0)</f>
        <v>0</v>
      </c>
      <c r="T43" s="67">
        <v>0.7068668750928635</v>
      </c>
      <c r="U43" s="198">
        <f t="shared" si="27"/>
        <v>-3.8614166510787387</v>
      </c>
      <c r="V43" s="41">
        <v>0</v>
      </c>
      <c r="W43" s="41">
        <v>0</v>
      </c>
      <c r="X43" s="41">
        <f t="shared" si="28"/>
        <v>0</v>
      </c>
      <c r="Y43" s="41">
        <f t="shared" si="29"/>
        <v>0</v>
      </c>
      <c r="Z43" s="49"/>
      <c r="AA43" s="41"/>
      <c r="AB43" s="49"/>
      <c r="AC43" s="49"/>
      <c r="AD43" s="49"/>
      <c r="AE43" s="397"/>
      <c r="AG43" s="39"/>
      <c r="AH43" s="41">
        <v>0</v>
      </c>
      <c r="AI43" s="157">
        <v>1.7</v>
      </c>
      <c r="AJ43" s="175">
        <v>1.3</v>
      </c>
      <c r="AK43" s="41"/>
      <c r="AL43" s="49">
        <f t="shared" si="25"/>
        <v>2779.3792387194489</v>
      </c>
      <c r="AM43" s="49"/>
      <c r="AN43" s="68">
        <f t="shared" si="18"/>
        <v>0</v>
      </c>
      <c r="AO43" s="41">
        <f t="shared" si="19"/>
        <v>0</v>
      </c>
      <c r="AP43" s="41">
        <f t="shared" si="6"/>
        <v>0</v>
      </c>
      <c r="AQ43" s="170">
        <v>0</v>
      </c>
      <c r="AR43" s="559"/>
      <c r="AS43" s="443"/>
      <c r="AT43" s="36"/>
      <c r="AU43" s="37">
        <v>0</v>
      </c>
      <c r="AV43" s="399"/>
      <c r="AW43" s="524">
        <f t="shared" si="26"/>
        <v>0</v>
      </c>
      <c r="AX43" s="401">
        <f>IF(AV43="",0,VLOOKUP(ROUNDDOWN(TEXT(B43,"0000"),-1),VLOOKUP!$M$3:$W$32,RIGHT(TEXT(B43,"0000"),1)+2,FALSE))</f>
        <v>0</v>
      </c>
      <c r="AY43" s="401">
        <f t="shared" si="24"/>
        <v>0</v>
      </c>
      <c r="AZ43" s="33">
        <f>AY43*((IF(Z43&gt;JUN!$Z$44,JUN!$Z$44,Z43)+AC43+AD43+AR43)*1.9835)/E43</f>
        <v>0</v>
      </c>
      <c r="BA43" s="33"/>
      <c r="BB43" s="33"/>
      <c r="BC43" s="149"/>
      <c r="BD43" s="24"/>
      <c r="BE43" s="40"/>
      <c r="BF43" s="169"/>
      <c r="BG43" s="39"/>
      <c r="BH43" s="50"/>
      <c r="BI43" s="314"/>
      <c r="BJ43" s="319">
        <f t="shared" si="8"/>
        <v>0</v>
      </c>
      <c r="BK43" s="40"/>
      <c r="BL43" s="71"/>
      <c r="BM43" s="534">
        <f t="shared" si="9"/>
        <v>0</v>
      </c>
      <c r="BN43" s="247">
        <f t="shared" si="10"/>
        <v>0</v>
      </c>
      <c r="BP43" s="471">
        <f t="shared" si="21"/>
        <v>29</v>
      </c>
      <c r="BQ43" s="456"/>
      <c r="BR43" s="472">
        <f t="shared" si="11"/>
        <v>0</v>
      </c>
      <c r="BS43" s="473">
        <f t="shared" si="22"/>
        <v>0</v>
      </c>
      <c r="BT43" s="473">
        <f t="shared" si="12"/>
        <v>0</v>
      </c>
    </row>
    <row r="44" spans="1:72" ht="12.95" customHeight="1">
      <c r="A44" s="42">
        <v>30</v>
      </c>
      <c r="B44" s="98"/>
      <c r="C44" s="390">
        <f>IF(B44="",C43,VLOOKUP(TRUNC(B44,1),VLOOKUP!$A$3:$K$2834,RIGHT(TEXT(B44,"0000.00"),1)+2,FALSE))</f>
        <v>181521</v>
      </c>
      <c r="D44" s="39">
        <f t="shared" si="14"/>
        <v>0</v>
      </c>
      <c r="E44" s="49">
        <f t="shared" si="0"/>
        <v>29521</v>
      </c>
      <c r="F44" s="106">
        <f t="shared" si="1"/>
        <v>0</v>
      </c>
      <c r="G44" s="41"/>
      <c r="H44" s="174"/>
      <c r="I44" s="41">
        <f t="shared" si="2"/>
        <v>0</v>
      </c>
      <c r="J44" s="36">
        <f t="shared" si="15"/>
        <v>0</v>
      </c>
      <c r="K44" s="41">
        <f t="shared" si="3"/>
        <v>0</v>
      </c>
      <c r="L44" s="41">
        <f t="shared" si="16"/>
        <v>0</v>
      </c>
      <c r="M44" s="108"/>
      <c r="N44" s="33">
        <v>0</v>
      </c>
      <c r="O44" s="36"/>
      <c r="P44" s="33">
        <v>0</v>
      </c>
      <c r="Q44" s="133">
        <f>1337100/325851/1.9835*1.02</f>
        <v>2.1101474219586227</v>
      </c>
      <c r="R44" s="67">
        <f>IF(((2.9*1.04)-T44)&gt;=4.2,4.2,(2.9*1.04)-T44)</f>
        <v>2.3091331249071363</v>
      </c>
      <c r="S44" s="67">
        <f>IF(((2.9*1.04)-T44)&gt;=4.2,((2.9*1.04)-T44)-4.2,0)</f>
        <v>0</v>
      </c>
      <c r="T44" s="67">
        <v>0.7068668750928635</v>
      </c>
      <c r="U44" s="198">
        <f t="shared" si="27"/>
        <v>-5.1261474219586223</v>
      </c>
      <c r="V44" s="41">
        <v>0</v>
      </c>
      <c r="W44" s="41">
        <v>0</v>
      </c>
      <c r="X44" s="41">
        <f t="shared" si="28"/>
        <v>0</v>
      </c>
      <c r="Y44" s="41">
        <f t="shared" si="29"/>
        <v>0</v>
      </c>
      <c r="Z44" s="49"/>
      <c r="AA44" s="41"/>
      <c r="AB44" s="49"/>
      <c r="AC44" s="49"/>
      <c r="AD44" s="49"/>
      <c r="AE44" s="397"/>
      <c r="AG44" s="39"/>
      <c r="AH44" s="41">
        <v>0</v>
      </c>
      <c r="AI44" s="157">
        <v>1.7</v>
      </c>
      <c r="AJ44" s="175">
        <v>1.3</v>
      </c>
      <c r="AK44" s="41"/>
      <c r="AL44" s="49">
        <f t="shared" si="25"/>
        <v>2779.3792387194489</v>
      </c>
      <c r="AM44" s="49"/>
      <c r="AN44" s="68">
        <f t="shared" si="18"/>
        <v>0</v>
      </c>
      <c r="AO44" s="41">
        <f t="shared" si="19"/>
        <v>0</v>
      </c>
      <c r="AP44" s="41">
        <f t="shared" si="6"/>
        <v>0</v>
      </c>
      <c r="AQ44" s="170">
        <v>0</v>
      </c>
      <c r="AR44" s="559"/>
      <c r="AS44" s="443"/>
      <c r="AT44" s="36"/>
      <c r="AU44" s="37">
        <v>0</v>
      </c>
      <c r="AV44" s="399"/>
      <c r="AW44" s="524">
        <f t="shared" si="26"/>
        <v>0</v>
      </c>
      <c r="AX44" s="401">
        <f>IF(AV44="",0,VLOOKUP(ROUNDDOWN(TEXT(B44,"0000"),-1),VLOOKUP!$M$3:$W$32,RIGHT(TEXT(B44,"0000"),1)+2,FALSE))</f>
        <v>0</v>
      </c>
      <c r="AY44" s="401">
        <f>AW44/12*AX44</f>
        <v>0</v>
      </c>
      <c r="AZ44" s="33">
        <f>AY44*((IF(Z44&gt;JUN!$Z$44,JUN!$Z$44,Z44)+AC44+AD44+AR44)*1.9835)/E44</f>
        <v>0</v>
      </c>
      <c r="BA44" s="33"/>
      <c r="BB44" s="33"/>
      <c r="BC44" s="149"/>
      <c r="BD44" s="24"/>
      <c r="BE44" s="40"/>
      <c r="BF44" s="169"/>
      <c r="BG44" s="39"/>
      <c r="BH44" s="50"/>
      <c r="BI44" s="314"/>
      <c r="BJ44" s="319">
        <f t="shared" si="8"/>
        <v>0</v>
      </c>
      <c r="BK44" s="40"/>
      <c r="BL44" s="71"/>
      <c r="BM44" s="534">
        <f t="shared" si="9"/>
        <v>0</v>
      </c>
      <c r="BN44" s="247">
        <f t="shared" si="10"/>
        <v>0</v>
      </c>
      <c r="BP44" s="471">
        <f t="shared" si="21"/>
        <v>30</v>
      </c>
      <c r="BQ44" s="456"/>
      <c r="BR44" s="472">
        <f t="shared" si="11"/>
        <v>0</v>
      </c>
      <c r="BS44" s="473">
        <f t="shared" si="22"/>
        <v>0</v>
      </c>
      <c r="BT44" s="473">
        <f t="shared" si="12"/>
        <v>0</v>
      </c>
    </row>
    <row r="45" spans="1:72" ht="12.95" customHeight="1">
      <c r="A45" s="42">
        <v>31</v>
      </c>
      <c r="B45" s="98"/>
      <c r="C45" s="390">
        <f>IF(B45="",C44,VLOOKUP(TRUNC(B45,1),VLOOKUP!$A$3:$K$2834,RIGHT(TEXT(B45,"0000.00"),1)+2,FALSE))</f>
        <v>181521</v>
      </c>
      <c r="D45" s="39">
        <f t="shared" si="14"/>
        <v>0</v>
      </c>
      <c r="E45" s="49">
        <f t="shared" si="0"/>
        <v>29521</v>
      </c>
      <c r="F45" s="106">
        <f t="shared" si="1"/>
        <v>0</v>
      </c>
      <c r="G45" s="41"/>
      <c r="H45" s="174"/>
      <c r="I45" s="41">
        <f t="shared" si="2"/>
        <v>0</v>
      </c>
      <c r="J45" s="36">
        <f t="shared" si="15"/>
        <v>0</v>
      </c>
      <c r="K45" s="41">
        <f t="shared" si="3"/>
        <v>0</v>
      </c>
      <c r="L45" s="41">
        <f t="shared" si="16"/>
        <v>0</v>
      </c>
      <c r="M45" s="108"/>
      <c r="N45" s="33">
        <v>0</v>
      </c>
      <c r="O45" s="36"/>
      <c r="P45" s="33">
        <v>0</v>
      </c>
      <c r="Q45" s="133">
        <f>873600/325851/1.9835*1.02</f>
        <v>1.3786738372769822</v>
      </c>
      <c r="R45" s="67">
        <f>IF(((2.3*1.04)-T45)&gt;=4.2,4.2,(2.3*1.04)-T45)</f>
        <v>1.6851331249071364</v>
      </c>
      <c r="S45" s="67">
        <f>IF(((2.3*1.04)-T45)&gt;=4.2,((2.3*1.04)-T45)-4.2,0)</f>
        <v>0</v>
      </c>
      <c r="T45" s="67">
        <v>0.7068668750928635</v>
      </c>
      <c r="U45" s="198">
        <f t="shared" si="27"/>
        <v>-3.7706738372769824</v>
      </c>
      <c r="V45" s="41">
        <v>0</v>
      </c>
      <c r="W45" s="41">
        <v>0</v>
      </c>
      <c r="X45" s="41">
        <f t="shared" si="28"/>
        <v>0</v>
      </c>
      <c r="Y45" s="41">
        <f t="shared" si="29"/>
        <v>0</v>
      </c>
      <c r="Z45" s="49"/>
      <c r="AA45" s="41"/>
      <c r="AB45" s="49"/>
      <c r="AC45" s="49"/>
      <c r="AD45" s="49"/>
      <c r="AE45" s="397"/>
      <c r="AG45" s="39"/>
      <c r="AH45" s="41">
        <v>0</v>
      </c>
      <c r="AI45" s="157">
        <v>1.7</v>
      </c>
      <c r="AJ45" s="175">
        <v>1.3</v>
      </c>
      <c r="AK45" s="41"/>
      <c r="AL45" s="49">
        <f t="shared" si="25"/>
        <v>2779.3792387194489</v>
      </c>
      <c r="AM45" s="49"/>
      <c r="AN45" s="68">
        <f t="shared" si="18"/>
        <v>0</v>
      </c>
      <c r="AO45" s="41">
        <f t="shared" si="19"/>
        <v>0</v>
      </c>
      <c r="AP45" s="106">
        <f t="shared" si="6"/>
        <v>0</v>
      </c>
      <c r="AQ45" s="170">
        <v>0</v>
      </c>
      <c r="AR45" s="559"/>
      <c r="AS45" s="443"/>
      <c r="AT45" s="36"/>
      <c r="AU45" s="37">
        <v>0</v>
      </c>
      <c r="AV45" s="399"/>
      <c r="AW45" s="524">
        <f t="shared" ref="AW45" si="30">AV45*0.7</f>
        <v>0</v>
      </c>
      <c r="AX45" s="401">
        <f>IF(AV45="",0,VLOOKUP(ROUNDDOWN(TEXT(B45,"0000"),-1),VLOOKUP!$M$3:$W$32,RIGHT(TEXT(B45,"0000"),1)+2,FALSE))</f>
        <v>0</v>
      </c>
      <c r="AY45" s="401">
        <f>AW45/12*AX45</f>
        <v>0</v>
      </c>
      <c r="AZ45" s="33">
        <f>AY45*((IF(Z45&gt;JUN!$Z$44,JUN!$Z$44,Z45)+AC45+AD45+AR45)*1.9835)/E45</f>
        <v>0</v>
      </c>
      <c r="BA45" s="33"/>
      <c r="BB45" s="33"/>
      <c r="BC45" s="149"/>
      <c r="BD45" s="24"/>
      <c r="BE45" s="40"/>
      <c r="BF45" s="169"/>
      <c r="BG45" s="39"/>
      <c r="BH45" s="50"/>
      <c r="BI45" s="314"/>
      <c r="BJ45" s="485">
        <f t="shared" si="8"/>
        <v>0</v>
      </c>
      <c r="BK45" s="40"/>
      <c r="BL45" s="71"/>
      <c r="BM45" s="534">
        <f t="shared" si="9"/>
        <v>0</v>
      </c>
      <c r="BN45" s="247">
        <f t="shared" si="10"/>
        <v>0</v>
      </c>
      <c r="BP45" s="471">
        <f t="shared" si="21"/>
        <v>31</v>
      </c>
      <c r="BQ45" s="456"/>
      <c r="BR45" s="472">
        <f t="shared" si="11"/>
        <v>0</v>
      </c>
      <c r="BS45" s="473"/>
      <c r="BT45" s="473">
        <f t="shared" si="12"/>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31">SUM(F15:F45)</f>
        <v>2809.6798588353922</v>
      </c>
      <c r="G47" s="49">
        <f t="shared" si="31"/>
        <v>5094.2</v>
      </c>
      <c r="H47" s="49">
        <f t="shared" si="31"/>
        <v>0</v>
      </c>
      <c r="I47" s="49">
        <f t="shared" si="31"/>
        <v>5094.2</v>
      </c>
      <c r="J47" s="49">
        <f t="shared" si="31"/>
        <v>343.42321653642551</v>
      </c>
      <c r="K47" s="49">
        <f t="shared" si="31"/>
        <v>5437.6232165364254</v>
      </c>
      <c r="L47" s="49">
        <f t="shared" si="31"/>
        <v>112.39985883539195</v>
      </c>
      <c r="M47" s="94">
        <f>SUM(M15:M45)</f>
        <v>728.3399999999998</v>
      </c>
      <c r="N47" s="49">
        <f>SUM(N15:N45)</f>
        <v>0</v>
      </c>
      <c r="O47" s="49">
        <f t="shared" si="31"/>
        <v>249.17550000000006</v>
      </c>
      <c r="P47" s="49">
        <f>SUM(P15:P45)</f>
        <v>0</v>
      </c>
      <c r="Q47" s="49">
        <f>SUM(Q15:Q45)</f>
        <v>65.31088547551002</v>
      </c>
      <c r="R47" s="49">
        <f t="shared" si="31"/>
        <v>78.99825434594112</v>
      </c>
      <c r="S47" s="49">
        <f t="shared" ref="S47:W47" si="32">SUM(S15:S45)</f>
        <v>0</v>
      </c>
      <c r="T47" s="49">
        <f>SUM(T15:T45)</f>
        <v>26.041745654058893</v>
      </c>
      <c r="U47" s="95">
        <f t="shared" si="32"/>
        <v>14.529541436675443</v>
      </c>
      <c r="V47" s="49">
        <f t="shared" si="32"/>
        <v>868.88000000000011</v>
      </c>
      <c r="W47" s="49">
        <f t="shared" si="32"/>
        <v>2.6199999999999997</v>
      </c>
      <c r="X47" s="49">
        <f>SUM(X15:X29)</f>
        <v>1265.7434768228109</v>
      </c>
      <c r="Y47" s="49">
        <f>SUM(Y15:Y29)</f>
        <v>1265.7434768228109</v>
      </c>
      <c r="Z47" s="49"/>
      <c r="AA47" s="49"/>
      <c r="AB47" s="49"/>
      <c r="AC47" s="49"/>
      <c r="AD47" s="49"/>
      <c r="AE47" s="397"/>
      <c r="AF47" s="397">
        <f>SUM(AF15:AF45)</f>
        <v>0</v>
      </c>
      <c r="AG47" s="43">
        <f>AG12-AG29</f>
        <v>756.78538095855265</v>
      </c>
      <c r="AH47" s="49">
        <f>SUM(AH15:AH45)</f>
        <v>270.48</v>
      </c>
      <c r="AI47" s="94">
        <f>SUM(AI15:AI45)</f>
        <v>52.700000000000024</v>
      </c>
      <c r="AJ47" s="95">
        <f>SUM(AJ15:AJ45)</f>
        <v>40.29999999999999</v>
      </c>
      <c r="AK47" s="49">
        <f>SUM(AK15:AK45)</f>
        <v>526.59999999999991</v>
      </c>
      <c r="AL47" s="49"/>
      <c r="AM47" s="49">
        <f t="shared" ref="AM47:AP47" si="33">SUM(AM15:AM45)</f>
        <v>0</v>
      </c>
      <c r="AN47" s="49">
        <f t="shared" si="33"/>
        <v>2396.920000000001</v>
      </c>
      <c r="AO47" s="49">
        <f t="shared" si="33"/>
        <v>231.02335770103355</v>
      </c>
      <c r="AP47" s="93">
        <f t="shared" si="33"/>
        <v>2627.9433577010336</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2.7549999999999999</v>
      </c>
      <c r="BG47" s="39">
        <f>AVERAGE(BG15:BG45)</f>
        <v>71.400000000000006</v>
      </c>
      <c r="BH47" s="39">
        <f>AVERAGE(BH15:BH45)</f>
        <v>42.55</v>
      </c>
      <c r="BI47" s="97" t="s">
        <v>43</v>
      </c>
      <c r="BJ47" s="93">
        <f>SUM(BJ15:BJ45)</f>
        <v>184.88042691218547</v>
      </c>
      <c r="BK47" s="43">
        <f>SUM(BK15:BK45)</f>
        <v>0</v>
      </c>
      <c r="BL47" s="314"/>
      <c r="BM47" s="56">
        <f>SUM(BM15:BM45)</f>
        <v>206.89959853310654</v>
      </c>
      <c r="BN47" s="147">
        <f>SUM(BN15:BN45)</f>
        <v>10.237500000000001</v>
      </c>
      <c r="BP47" s="396"/>
      <c r="BQ47" s="396"/>
      <c r="BR47" s="396"/>
      <c r="BS47" s="412">
        <f>SUM(BS15:BS44)</f>
        <v>526.59999999999991</v>
      </c>
      <c r="BT47" s="412">
        <f>SUM(BT15:BT44)</f>
        <v>0</v>
      </c>
    </row>
    <row r="48" spans="1:72" ht="12.95" customHeight="1">
      <c r="A48" s="84" t="s">
        <v>33</v>
      </c>
      <c r="B48" s="189"/>
      <c r="C48" s="49"/>
      <c r="D48" s="49">
        <f>SUM(D15:D45)</f>
        <v>5573</v>
      </c>
      <c r="E48" s="49"/>
      <c r="F48" s="93">
        <f t="shared" ref="F48:R48" si="34">F47*$D$2</f>
        <v>5573.0000000000009</v>
      </c>
      <c r="G48" s="49">
        <f t="shared" si="34"/>
        <v>10104.3457</v>
      </c>
      <c r="H48" s="49">
        <f t="shared" si="34"/>
        <v>0</v>
      </c>
      <c r="I48" s="49">
        <f t="shared" si="34"/>
        <v>10104.3457</v>
      </c>
      <c r="J48" s="49">
        <f t="shared" si="34"/>
        <v>681.17995000000008</v>
      </c>
      <c r="K48" s="49">
        <f t="shared" si="34"/>
        <v>10785.52565</v>
      </c>
      <c r="L48" s="49">
        <f t="shared" si="34"/>
        <v>222.94511999999995</v>
      </c>
      <c r="M48" s="94">
        <f t="shared" si="34"/>
        <v>1444.6623899999997</v>
      </c>
      <c r="N48" s="49">
        <f t="shared" si="34"/>
        <v>0</v>
      </c>
      <c r="O48" s="49">
        <f t="shared" si="34"/>
        <v>494.23960425000013</v>
      </c>
      <c r="P48" s="49">
        <f t="shared" si="34"/>
        <v>0</v>
      </c>
      <c r="Q48" s="49">
        <f>Q47*$D$2</f>
        <v>129.54414134067412</v>
      </c>
      <c r="R48" s="49">
        <f t="shared" si="34"/>
        <v>156.69303749517422</v>
      </c>
      <c r="S48" s="49">
        <f t="shared" ref="S48:Y48" si="35">S47*$D$2</f>
        <v>0</v>
      </c>
      <c r="T48" s="49">
        <f t="shared" si="35"/>
        <v>51.653802504825812</v>
      </c>
      <c r="U48" s="95">
        <f t="shared" si="35"/>
        <v>28.81934543964574</v>
      </c>
      <c r="V48" s="49">
        <f t="shared" si="35"/>
        <v>1723.4234800000002</v>
      </c>
      <c r="W48" s="49">
        <f t="shared" si="35"/>
        <v>5.196769999999999</v>
      </c>
      <c r="X48" s="49">
        <f t="shared" si="35"/>
        <v>2510.6021862780453</v>
      </c>
      <c r="Y48" s="49">
        <f t="shared" si="35"/>
        <v>2510.6021862780453</v>
      </c>
      <c r="Z48" s="49"/>
      <c r="AA48" s="49"/>
      <c r="AB48" s="49"/>
      <c r="AC48" s="49"/>
      <c r="AD48" s="49"/>
      <c r="AE48" s="397"/>
      <c r="AF48" s="397">
        <f>AF47*$D$2</f>
        <v>0</v>
      </c>
      <c r="AG48" s="43">
        <f>AG47*$D$2</f>
        <v>1501.0838031312892</v>
      </c>
      <c r="AH48" s="49">
        <f t="shared" ref="AH48:AP48" si="36">AH47*$D$2</f>
        <v>536.4970800000001</v>
      </c>
      <c r="AI48" s="94">
        <f>AI47*$D$2</f>
        <v>104.53045000000004</v>
      </c>
      <c r="AJ48" s="95">
        <f>AJ47*$D$2</f>
        <v>79.935049999999976</v>
      </c>
      <c r="AK48" s="49">
        <f t="shared" si="36"/>
        <v>1044.5110999999999</v>
      </c>
      <c r="AL48" s="49"/>
      <c r="AM48" s="49">
        <f t="shared" si="36"/>
        <v>0</v>
      </c>
      <c r="AN48" s="49">
        <f t="shared" si="36"/>
        <v>4754.290820000002</v>
      </c>
      <c r="AO48" s="49">
        <f t="shared" si="36"/>
        <v>458.23483000000004</v>
      </c>
      <c r="AP48" s="93">
        <f t="shared" si="36"/>
        <v>5212.5256500000005</v>
      </c>
      <c r="AQ48" s="49">
        <f>AQ47*$D$2</f>
        <v>0</v>
      </c>
      <c r="AR48" s="49"/>
      <c r="AS48" s="397">
        <f t="shared" ref="AS48" si="37">AS47*$D$2</f>
        <v>0</v>
      </c>
      <c r="AT48" s="49">
        <f>AT47*$D$2</f>
        <v>0</v>
      </c>
      <c r="AU48" s="49"/>
      <c r="AV48" s="397">
        <f>SUM(AV15:AV45)</f>
        <v>2.3000000000000003</v>
      </c>
      <c r="AW48" s="397"/>
      <c r="AX48" s="397"/>
      <c r="AY48" s="397">
        <f>SUM(AY15:AY45)</f>
        <v>335.49949999999995</v>
      </c>
      <c r="AZ48" s="49">
        <f>SUM(AZ15:AZ45)</f>
        <v>22.401815452884239</v>
      </c>
      <c r="BA48" s="49">
        <f>BA47*$D$2</f>
        <v>0</v>
      </c>
      <c r="BB48" s="49">
        <f>BB47*$D$2</f>
        <v>0</v>
      </c>
      <c r="BC48" s="49">
        <f>BC47*$D$2</f>
        <v>0</v>
      </c>
      <c r="BD48" s="43"/>
      <c r="BE48" s="49">
        <f>BE47*$D$2</f>
        <v>0</v>
      </c>
      <c r="BF48" s="169"/>
      <c r="BG48" s="39">
        <f>MAX(BG15:BG45)</f>
        <v>83</v>
      </c>
      <c r="BH48" s="39">
        <f>MAX(BH15:BH45)</f>
        <v>53</v>
      </c>
      <c r="BI48" s="97" t="s">
        <v>34</v>
      </c>
      <c r="BJ48" s="93">
        <f>BJ47*$D$2</f>
        <v>366.71032678031986</v>
      </c>
      <c r="BK48" s="43">
        <f>BK47*$D$2</f>
        <v>0</v>
      </c>
      <c r="BL48" s="314"/>
      <c r="BM48" s="56">
        <f>BM47*$D$2</f>
        <v>410.38535369041682</v>
      </c>
      <c r="BN48" s="147">
        <f>BN47*$D$2</f>
        <v>20.306081250000002</v>
      </c>
      <c r="BP48" s="396"/>
      <c r="BQ48" s="396"/>
      <c r="BR48" s="396"/>
      <c r="BS48" s="412">
        <f>BS47*$D$2</f>
        <v>1044.5110999999999</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8">F12+F47</f>
        <v>-16637.761532644308</v>
      </c>
      <c r="G50" s="49">
        <f t="shared" si="38"/>
        <v>63614.399999999994</v>
      </c>
      <c r="H50" s="49">
        <f t="shared" si="38"/>
        <v>424.20000000000005</v>
      </c>
      <c r="I50" s="49">
        <f t="shared" si="38"/>
        <v>64038.600000000006</v>
      </c>
      <c r="J50" s="49">
        <f t="shared" si="38"/>
        <v>1797.1873254348372</v>
      </c>
      <c r="K50" s="49">
        <f t="shared" si="38"/>
        <v>65835.787325434838</v>
      </c>
      <c r="L50" s="49">
        <f t="shared" si="38"/>
        <v>-2634.4815326443154</v>
      </c>
      <c r="M50" s="94">
        <f t="shared" si="38"/>
        <v>31139.579999999998</v>
      </c>
      <c r="N50" s="49">
        <f t="shared" si="38"/>
        <v>32.912500000000009</v>
      </c>
      <c r="O50" s="49">
        <f t="shared" si="38"/>
        <v>6723.8120000000008</v>
      </c>
      <c r="P50" s="49">
        <f>P12+P47</f>
        <v>7.2</v>
      </c>
      <c r="Q50" s="49"/>
      <c r="R50" s="49"/>
      <c r="S50" s="49"/>
      <c r="T50" s="49"/>
      <c r="U50" s="95"/>
      <c r="V50" s="49">
        <f>V12+V47</f>
        <v>17536.2</v>
      </c>
      <c r="W50" s="49">
        <f>W12+W47</f>
        <v>8914.1900000000023</v>
      </c>
      <c r="X50" s="49">
        <f>X12+X47</f>
        <v>51666.025810871324</v>
      </c>
      <c r="Y50" s="49">
        <f>Y12+Y47</f>
        <v>51426.209955553102</v>
      </c>
      <c r="Z50" s="56"/>
      <c r="AA50" s="49"/>
      <c r="AB50" s="49"/>
      <c r="AC50" s="49"/>
      <c r="AD50" s="49"/>
      <c r="AE50" s="397"/>
      <c r="AF50" s="397">
        <f>AF12+AF47</f>
        <v>0</v>
      </c>
      <c r="AG50" s="43">
        <f>AG47+AG13</f>
        <v>2533.5531689930262</v>
      </c>
      <c r="AH50" s="49">
        <f>AH12+AH47</f>
        <v>14436.23</v>
      </c>
      <c r="AI50" s="94">
        <f>AI12+AI47</f>
        <v>363.80000000000018</v>
      </c>
      <c r="AJ50" s="95">
        <f>AJ12+AJ47</f>
        <v>278.19999999999993</v>
      </c>
      <c r="AK50" s="49">
        <f t="shared" ref="AK50" si="39">AK12+AK47</f>
        <v>6015.6799999999985</v>
      </c>
      <c r="AL50" s="49"/>
      <c r="AM50" s="49">
        <f t="shared" ref="AM50:AS50" si="40">AM12+AM47</f>
        <v>0</v>
      </c>
      <c r="AN50" s="49">
        <f t="shared" si="40"/>
        <v>78041.87999999999</v>
      </c>
      <c r="AO50" s="49">
        <f t="shared" si="40"/>
        <v>4431.6688580791524</v>
      </c>
      <c r="AP50" s="93">
        <f t="shared" si="40"/>
        <v>82473.548858079143</v>
      </c>
      <c r="AQ50" s="529">
        <f t="shared" si="40"/>
        <v>0</v>
      </c>
      <c r="AR50" s="560"/>
      <c r="AS50" s="397">
        <f t="shared" si="40"/>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59</v>
      </c>
      <c r="BH50" s="39">
        <f>MIN(BH15:BH45)</f>
        <v>31</v>
      </c>
      <c r="BI50" s="97" t="s">
        <v>36</v>
      </c>
      <c r="BJ50" s="93">
        <f>BJ12+BJ47</f>
        <v>1653.5811051643948</v>
      </c>
      <c r="BK50" s="43">
        <f>BK12+BK47</f>
        <v>2196.73</v>
      </c>
      <c r="BL50" s="314"/>
      <c r="BM50" s="56">
        <f>BM47+BM12</f>
        <v>3624.9765267470893</v>
      </c>
      <c r="BN50" s="147">
        <f>BN47+BN12</f>
        <v>1309.3461614201767</v>
      </c>
      <c r="BP50" s="396"/>
      <c r="BQ50" s="396"/>
      <c r="BR50" s="396"/>
      <c r="BS50" s="412"/>
      <c r="BT50" s="412"/>
    </row>
    <row r="51" spans="1:72" ht="12.95" customHeight="1">
      <c r="A51" s="84" t="s">
        <v>37</v>
      </c>
      <c r="B51" s="189"/>
      <c r="C51" s="49"/>
      <c r="D51" s="49"/>
      <c r="E51" s="49"/>
      <c r="F51" s="93">
        <f t="shared" ref="F51:P51" si="41">F50*$D$2</f>
        <v>-33000.999999999985</v>
      </c>
      <c r="G51" s="49">
        <f t="shared" si="41"/>
        <v>126179.16239999999</v>
      </c>
      <c r="H51" s="49">
        <f t="shared" si="41"/>
        <v>841.40070000000014</v>
      </c>
      <c r="I51" s="49">
        <f t="shared" si="41"/>
        <v>127020.56310000001</v>
      </c>
      <c r="J51" s="49">
        <f t="shared" si="41"/>
        <v>3564.7210599999999</v>
      </c>
      <c r="K51" s="49">
        <f t="shared" si="41"/>
        <v>130585.28416000001</v>
      </c>
      <c r="L51" s="49">
        <f t="shared" si="41"/>
        <v>-5225.4941199999994</v>
      </c>
      <c r="M51" s="94">
        <f t="shared" si="41"/>
        <v>61765.356929999994</v>
      </c>
      <c r="N51" s="49">
        <f t="shared" si="41"/>
        <v>65.281943750000025</v>
      </c>
      <c r="O51" s="49">
        <f t="shared" si="41"/>
        <v>13336.681102000002</v>
      </c>
      <c r="P51" s="49">
        <f t="shared" si="41"/>
        <v>14.2812</v>
      </c>
      <c r="Q51" s="49"/>
      <c r="R51" s="49"/>
      <c r="S51" s="49"/>
      <c r="T51" s="49"/>
      <c r="U51" s="95"/>
      <c r="V51" s="49">
        <f>V50*$D$2</f>
        <v>34783.0527</v>
      </c>
      <c r="W51" s="49">
        <f>W50*$D$2</f>
        <v>17681.295865000004</v>
      </c>
      <c r="X51" s="49">
        <f>X50*$D$2</f>
        <v>102479.56219586327</v>
      </c>
      <c r="Y51" s="49">
        <f>Y50*$D$2</f>
        <v>102003.88744683958</v>
      </c>
      <c r="Z51" s="56"/>
      <c r="AA51" s="49"/>
      <c r="AB51" s="49"/>
      <c r="AC51" s="49"/>
      <c r="AD51" s="49"/>
      <c r="AE51" s="397"/>
      <c r="AF51" s="397">
        <f>AF50*$D$2</f>
        <v>0</v>
      </c>
      <c r="AG51" s="43">
        <f t="shared" ref="AG51" si="42">AG50*$D$2</f>
        <v>5025.3027106976679</v>
      </c>
      <c r="AH51" s="49">
        <f>AH50*$D$2</f>
        <v>28634.262204999999</v>
      </c>
      <c r="AI51" s="94">
        <f>AI50*$D$2</f>
        <v>721.59730000000036</v>
      </c>
      <c r="AJ51" s="95">
        <f>AJ50*$D$2</f>
        <v>551.80969999999991</v>
      </c>
      <c r="AK51" s="49">
        <f>AK50*$D$2</f>
        <v>11932.101279999997</v>
      </c>
      <c r="AL51" s="49"/>
      <c r="AM51" s="49">
        <f>AM50*$D$2</f>
        <v>0</v>
      </c>
      <c r="AN51" s="49">
        <f>AN50*$D$2</f>
        <v>154796.06897999998</v>
      </c>
      <c r="AO51" s="49">
        <f>AO50*$D$2</f>
        <v>8790.2151799999992</v>
      </c>
      <c r="AP51" s="49">
        <f>AP50*$D$2</f>
        <v>163586.28415999998</v>
      </c>
      <c r="AQ51" s="529">
        <f t="shared" ref="AQ51" si="43">AQ50*$D$2</f>
        <v>0</v>
      </c>
      <c r="AR51" s="560"/>
      <c r="AS51" s="397">
        <f t="shared" ref="AS51" si="44">AS50*$D$2</f>
        <v>0</v>
      </c>
      <c r="AT51" s="49"/>
      <c r="AU51" s="49"/>
      <c r="AV51" s="397">
        <f>AV13+AV48</f>
        <v>48.147499999999994</v>
      </c>
      <c r="AW51" s="397"/>
      <c r="AX51" s="397"/>
      <c r="AY51" s="397">
        <f>SUM(AY13,AY48)</f>
        <v>8853.7128749999993</v>
      </c>
      <c r="AZ51" s="49">
        <f>AZ12+AZ48</f>
        <v>3305.3547878536178</v>
      </c>
      <c r="BA51" s="49">
        <f>BA50*$D$2</f>
        <v>2647.0000000000005</v>
      </c>
      <c r="BB51" s="49">
        <f>BB50*$D$2</f>
        <v>0</v>
      </c>
      <c r="BC51" s="49">
        <f>BC50*$D$2</f>
        <v>1641.0000000000002</v>
      </c>
      <c r="BD51" s="49">
        <f>BD50*$D$2</f>
        <v>41.124566666666659</v>
      </c>
      <c r="BE51" s="49">
        <f>BE50*$D$2</f>
        <v>1913.6000000000001</v>
      </c>
      <c r="BF51" s="169"/>
      <c r="BG51" s="39"/>
      <c r="BH51" s="39"/>
      <c r="BI51" s="314"/>
      <c r="BJ51" s="93">
        <f>BJ50*$D$2</f>
        <v>3279.8781220935771</v>
      </c>
      <c r="BK51" s="43">
        <f>BK50*$D$2</f>
        <v>4357.2139550000002</v>
      </c>
      <c r="BL51" s="314"/>
      <c r="BM51" s="56">
        <f>BM50*$D$2</f>
        <v>7190.1409408028521</v>
      </c>
      <c r="BN51" s="147">
        <f>BN50*$D$2</f>
        <v>2597.0881111769204</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45">F13+F47</f>
        <v>-13970.758759768079</v>
      </c>
      <c r="G53" s="49">
        <f t="shared" si="45"/>
        <v>69858.600000000006</v>
      </c>
      <c r="H53" s="49">
        <f t="shared" si="45"/>
        <v>554.09</v>
      </c>
      <c r="I53" s="49">
        <f t="shared" si="45"/>
        <v>70412.69</v>
      </c>
      <c r="J53" s="49">
        <f t="shared" si="45"/>
        <v>4656.2969750441134</v>
      </c>
      <c r="K53" s="49">
        <f t="shared" si="45"/>
        <v>75068.986975044114</v>
      </c>
      <c r="L53" s="49">
        <f t="shared" si="45"/>
        <v>-1017.7087597680867</v>
      </c>
      <c r="M53" s="94">
        <f t="shared" si="45"/>
        <v>31997.73</v>
      </c>
      <c r="N53" s="49">
        <f>N13+N47</f>
        <v>32.912500000000009</v>
      </c>
      <c r="O53" s="49">
        <f t="shared" si="45"/>
        <v>6723.8225000000002</v>
      </c>
      <c r="P53" s="49">
        <f t="shared" si="45"/>
        <v>7.2</v>
      </c>
      <c r="Q53" s="49">
        <f>Q13+Q47</f>
        <v>857.29432086110523</v>
      </c>
      <c r="R53" s="49">
        <f t="shared" si="45"/>
        <v>702.43670690246972</v>
      </c>
      <c r="S53" s="49">
        <f t="shared" ref="S53:Y53" si="46">S13+S47</f>
        <v>322.40672932454345</v>
      </c>
      <c r="T53" s="49">
        <f>T13+T47</f>
        <v>330.90069024787965</v>
      </c>
      <c r="U53" s="95">
        <f t="shared" si="46"/>
        <v>78.829887276225861</v>
      </c>
      <c r="V53" s="49">
        <f t="shared" si="46"/>
        <v>18262.5</v>
      </c>
      <c r="W53" s="49">
        <f t="shared" si="46"/>
        <v>8929.8100000000013</v>
      </c>
      <c r="X53" s="49">
        <f t="shared" si="46"/>
        <v>51842.616395253288</v>
      </c>
      <c r="Y53" s="49">
        <f t="shared" si="46"/>
        <v>51426.209955553102</v>
      </c>
      <c r="Z53" s="49"/>
      <c r="AA53" s="49"/>
      <c r="AB53" s="49"/>
      <c r="AC53" s="49"/>
      <c r="AD53" s="49"/>
      <c r="AE53" s="397"/>
      <c r="AF53" s="397">
        <f>AF12+AF47</f>
        <v>0</v>
      </c>
      <c r="AG53" s="49">
        <f>AG13+AG47</f>
        <v>2533.5531689930262</v>
      </c>
      <c r="AH53" s="49">
        <f>AH12+AH47</f>
        <v>14436.23</v>
      </c>
      <c r="AI53" s="94">
        <f>AI13+AI47</f>
        <v>363.80000000000018</v>
      </c>
      <c r="AJ53" s="95">
        <f>AJ13+AJ47</f>
        <v>278.19999999999993</v>
      </c>
      <c r="AK53" s="49">
        <f>AK13+AK47</f>
        <v>9739.4699999999975</v>
      </c>
      <c r="AL53" s="49">
        <f>AL45</f>
        <v>2779.3792387194489</v>
      </c>
      <c r="AM53" s="49">
        <f t="shared" ref="AM53:AT53" si="47">AM13+AM47</f>
        <v>0</v>
      </c>
      <c r="AN53" s="49">
        <f t="shared" si="47"/>
        <v>83365.740000000005</v>
      </c>
      <c r="AO53" s="49">
        <f t="shared" si="47"/>
        <v>5674.0057348121991</v>
      </c>
      <c r="AP53" s="353">
        <f t="shared" si="47"/>
        <v>89039.745734812197</v>
      </c>
      <c r="AQ53" s="49">
        <f t="shared" si="47"/>
        <v>685.9</v>
      </c>
      <c r="AR53" s="49"/>
      <c r="AS53" s="397">
        <f>AS13+AS47</f>
        <v>0</v>
      </c>
      <c r="AT53" s="49">
        <f t="shared" si="47"/>
        <v>416.40643970018664</v>
      </c>
      <c r="AU53" s="49"/>
      <c r="AV53" s="397"/>
      <c r="AW53" s="397"/>
      <c r="AX53" s="397"/>
      <c r="AY53" s="397"/>
      <c r="AZ53" s="49"/>
      <c r="BA53" s="49"/>
      <c r="BB53" s="49"/>
      <c r="BC53" s="49"/>
      <c r="BD53" s="49"/>
      <c r="BE53" s="43"/>
      <c r="BF53" s="170">
        <f>BF13+BF47</f>
        <v>10.4115</v>
      </c>
      <c r="BG53" s="39"/>
      <c r="BH53" s="39"/>
      <c r="BI53" s="314"/>
      <c r="BJ53" s="93">
        <f>BJ13+BJ47</f>
        <v>2331.980834612224</v>
      </c>
      <c r="BK53" s="43">
        <f>BK13+BK47</f>
        <v>2196.73</v>
      </c>
      <c r="BL53" s="314"/>
      <c r="BM53" s="56">
        <f>BM13+BM47</f>
        <v>3624.9765267470893</v>
      </c>
      <c r="BN53" s="147">
        <f>BN13+BN47</f>
        <v>685.29180737694765</v>
      </c>
      <c r="BP53" s="396"/>
      <c r="BQ53" s="396"/>
      <c r="BR53" s="396"/>
      <c r="BS53" s="412">
        <f>BS13+BS47</f>
        <v>526.59999999999991</v>
      </c>
      <c r="BT53" s="412">
        <f>BT13+BT47</f>
        <v>0</v>
      </c>
    </row>
    <row r="54" spans="1:72" ht="12.95" customHeight="1">
      <c r="A54" s="84" t="s">
        <v>39</v>
      </c>
      <c r="B54" s="189"/>
      <c r="C54" s="49"/>
      <c r="D54" s="49">
        <f>D13+D48</f>
        <v>-27711</v>
      </c>
      <c r="E54" s="49">
        <f>E45</f>
        <v>29521</v>
      </c>
      <c r="F54" s="93">
        <f t="shared" ref="F54:AL54" si="48">F53*$D$2</f>
        <v>-27710.999999999985</v>
      </c>
      <c r="G54" s="49">
        <f t="shared" si="48"/>
        <v>138564.5331</v>
      </c>
      <c r="H54" s="49">
        <f t="shared" si="48"/>
        <v>1099.037515</v>
      </c>
      <c r="I54" s="49">
        <f t="shared" si="48"/>
        <v>139663.570615</v>
      </c>
      <c r="J54" s="49">
        <f t="shared" si="48"/>
        <v>9235.76505</v>
      </c>
      <c r="K54" s="49">
        <f t="shared" si="48"/>
        <v>148899.33566499999</v>
      </c>
      <c r="L54" s="49">
        <f t="shared" si="48"/>
        <v>-2018.625325</v>
      </c>
      <c r="M54" s="94">
        <f t="shared" si="48"/>
        <v>63467.497454999997</v>
      </c>
      <c r="N54" s="49">
        <f>N53*$D$2</f>
        <v>65.281943750000025</v>
      </c>
      <c r="O54" s="49">
        <f t="shared" si="48"/>
        <v>13336.701928750001</v>
      </c>
      <c r="P54" s="49">
        <f t="shared" si="48"/>
        <v>14.2812</v>
      </c>
      <c r="Q54" s="49">
        <f>Q53*$D$2</f>
        <v>1700.4432854280024</v>
      </c>
      <c r="R54" s="49">
        <f t="shared" si="48"/>
        <v>1393.2832081410488</v>
      </c>
      <c r="S54" s="201">
        <f>S53*$D$2</f>
        <v>639.493747615232</v>
      </c>
      <c r="T54" s="201">
        <f>T53*$D$2</f>
        <v>656.34151910666935</v>
      </c>
      <c r="U54" s="115">
        <f>U53*$D$2</f>
        <v>156.359081412394</v>
      </c>
      <c r="V54" s="49">
        <f t="shared" si="48"/>
        <v>36223.668750000004</v>
      </c>
      <c r="W54" s="49">
        <f t="shared" si="48"/>
        <v>17712.278135000004</v>
      </c>
      <c r="X54" s="49">
        <f t="shared" si="48"/>
        <v>102829.8296199849</v>
      </c>
      <c r="Y54" s="49">
        <f t="shared" si="48"/>
        <v>102003.88744683958</v>
      </c>
      <c r="Z54" s="49"/>
      <c r="AA54" s="49"/>
      <c r="AB54" s="49"/>
      <c r="AC54" s="49"/>
      <c r="AD54" s="49"/>
      <c r="AE54" s="397"/>
      <c r="AF54" s="397">
        <f>AF53*$D$2</f>
        <v>0</v>
      </c>
      <c r="AG54" s="43">
        <f>AG53*$D$2</f>
        <v>5025.3027106976679</v>
      </c>
      <c r="AH54" s="43">
        <f>AH53*$D$2</f>
        <v>28634.262204999999</v>
      </c>
      <c r="AI54" s="176">
        <f>AI53*$D$2</f>
        <v>721.59730000000036</v>
      </c>
      <c r="AJ54" s="115">
        <f>AJ53*$D$2</f>
        <v>551.80969999999991</v>
      </c>
      <c r="AK54" s="49">
        <f t="shared" si="48"/>
        <v>19318.238744999995</v>
      </c>
      <c r="AL54" s="49">
        <f t="shared" si="48"/>
        <v>5512.8987200000274</v>
      </c>
      <c r="AM54" s="49">
        <f t="shared" ref="AM54:AT54" si="49">AM53*$D$2</f>
        <v>0</v>
      </c>
      <c r="AN54" s="49">
        <f t="shared" si="49"/>
        <v>165355.94529</v>
      </c>
      <c r="AO54" s="49">
        <f t="shared" si="49"/>
        <v>11254.390374999997</v>
      </c>
      <c r="AP54" s="93">
        <f t="shared" si="49"/>
        <v>176610.33566499999</v>
      </c>
      <c r="AQ54" s="49">
        <f t="shared" si="49"/>
        <v>1360.4826499999999</v>
      </c>
      <c r="AR54" s="49"/>
      <c r="AS54" s="397">
        <f t="shared" si="49"/>
        <v>0</v>
      </c>
      <c r="AT54" s="49">
        <f t="shared" si="49"/>
        <v>825.94217314532023</v>
      </c>
      <c r="AU54" s="49"/>
      <c r="AV54" s="397"/>
      <c r="AW54" s="397"/>
      <c r="AX54" s="397"/>
      <c r="AY54" s="397"/>
      <c r="AZ54" s="49">
        <f>AZ13+AZ48</f>
        <v>22.645600812795724</v>
      </c>
      <c r="BA54" s="49"/>
      <c r="BB54" s="49"/>
      <c r="BC54" s="49"/>
      <c r="BD54" s="49"/>
      <c r="BE54" s="43"/>
      <c r="BF54" s="169"/>
      <c r="BG54" s="39"/>
      <c r="BH54" s="39"/>
      <c r="BI54" s="314"/>
      <c r="BJ54" s="93">
        <f>BJ53*$D$2</f>
        <v>4625.4839854533466</v>
      </c>
      <c r="BK54" s="43">
        <f>BK53*$D$2</f>
        <v>4357.2139550000002</v>
      </c>
      <c r="BL54" s="314"/>
      <c r="BM54" s="337">
        <f>BM53*$D$2</f>
        <v>7190.1409408028521</v>
      </c>
      <c r="BN54" s="338">
        <f>BN53*$D$2</f>
        <v>1359.2762999321758</v>
      </c>
      <c r="BP54" s="396"/>
      <c r="BQ54" s="396"/>
      <c r="BR54" s="396"/>
      <c r="BS54" s="412">
        <f>BS53*$D$2</f>
        <v>1044.5110999999999</v>
      </c>
      <c r="BT54" s="412">
        <f>BT53*$D$2</f>
        <v>0</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0.9878583990341171</v>
      </c>
      <c r="Q56" s="40"/>
      <c r="W56" s="24"/>
      <c r="X56" s="54"/>
      <c r="Y56" s="54"/>
      <c r="Z56" s="43"/>
      <c r="AA56" s="54"/>
      <c r="AB56" s="43"/>
      <c r="AE56" s="417"/>
      <c r="AF56" s="417"/>
      <c r="AH56" s="229">
        <f>AH54/AH8</f>
        <v>0.92059742171424896</v>
      </c>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163.8980712499997</v>
      </c>
      <c r="P57" s="287"/>
      <c r="Q57" s="19"/>
      <c r="R57" s="32"/>
      <c r="W57" s="24"/>
      <c r="X57" s="43"/>
      <c r="Y57" s="43"/>
      <c r="AA57" s="43"/>
      <c r="AC57" s="24"/>
      <c r="AD57" s="24"/>
      <c r="AE57" s="441"/>
      <c r="AF57" s="441"/>
      <c r="AG57" s="20"/>
      <c r="AH57" s="25">
        <f>AH8-AH54</f>
        <v>2469.7377950000009</v>
      </c>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45505.311540796647</v>
      </c>
      <c r="BK57" s="527">
        <f>BJ57/$BJ$61</f>
        <v>0.44253026294962106</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57324.518079188252</v>
      </c>
      <c r="BK58" s="527">
        <f>BJ58/$BJ$61</f>
        <v>0.55746973705037894</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17712.278135000004</v>
      </c>
      <c r="BK59" s="527">
        <f>BJ59/BJ58</f>
        <v>0.30898259119304261</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102829.8296199849</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C61" sqref="C61"/>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2025-10-21T15:58:06Z</dcterms:modified>
</cp:coreProperties>
</file>