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Jerrod\Documents\Daily Reports\"/>
    </mc:Choice>
  </mc:AlternateContent>
  <xr:revisionPtr revIDLastSave="0" documentId="13_ncr:1_{D4DD9A60-1CF9-48F0-A774-1D6AB6590C06}" xr6:coauthVersionLast="47" xr6:coauthVersionMax="47" xr10:uidLastSave="{00000000-0000-0000-0000-000000000000}"/>
  <bookViews>
    <workbookView xWindow="28680" yWindow="870" windowWidth="29040" windowHeight="17520" tabRatio="620" activeTab="10"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workbook>
</file>

<file path=xl/calcChain.xml><?xml version="1.0" encoding="utf-8"?>
<calcChain xmlns="http://schemas.openxmlformats.org/spreadsheetml/2006/main">
  <c r="O38" i="11" l="1"/>
  <c r="BA31" i="11" l="1"/>
  <c r="O8" i="14"/>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T15" i="10"/>
  <c r="T44" i="10"/>
  <c r="T45" i="10"/>
  <c r="T43" i="10"/>
  <c r="T37" i="10"/>
  <c r="T38" i="10"/>
  <c r="T39" i="10"/>
  <c r="T40" i="10"/>
  <c r="T41" i="10"/>
  <c r="T42" i="10"/>
  <c r="T36" i="10"/>
  <c r="T30" i="10" l="1"/>
  <c r="T31" i="10"/>
  <c r="T32" i="10"/>
  <c r="T33" i="10"/>
  <c r="T34" i="10"/>
  <c r="T35" i="10"/>
  <c r="T29" i="10"/>
  <c r="T23" i="10"/>
  <c r="T24" i="10"/>
  <c r="T25" i="10"/>
  <c r="T26" i="10"/>
  <c r="T27" i="10"/>
  <c r="T28" i="10"/>
  <c r="T22" i="10"/>
  <c r="T21" i="10"/>
  <c r="T16" i="10"/>
  <c r="T17" i="10"/>
  <c r="T18" i="10"/>
  <c r="T19" i="10"/>
  <c r="T20" i="10"/>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T19" i="9"/>
  <c r="S19" i="9" s="1"/>
  <c r="T16" i="9"/>
  <c r="R16" i="9" s="1"/>
  <c r="T17" i="9"/>
  <c r="R17" i="9" s="1"/>
  <c r="T18" i="9"/>
  <c r="S18" i="9" s="1"/>
  <c r="T15" i="9"/>
  <c r="R15" i="9" s="1"/>
  <c r="S16" i="9"/>
  <c r="S17" i="9"/>
  <c r="S24" i="9"/>
  <c r="S35" i="9"/>
  <c r="S36" i="9"/>
  <c r="S37" i="9"/>
  <c r="S41" i="9"/>
  <c r="S42" i="9"/>
  <c r="S43" i="9"/>
  <c r="S45" i="9"/>
  <c r="R24" i="9"/>
  <c r="R36" i="9"/>
  <c r="R41" i="9"/>
  <c r="R44" i="9"/>
  <c r="R45" i="9"/>
  <c r="R18" i="9" l="1"/>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8"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Y45" i="2" s="1"/>
  <c r="X22" i="2"/>
  <c r="Y22" i="2" s="1"/>
  <c r="AS36" i="2"/>
  <c r="AS45" i="2"/>
  <c r="AS31" i="2"/>
  <c r="AS32" i="2"/>
  <c r="AS23" i="2"/>
  <c r="U21" i="2"/>
  <c r="BH21" i="2" s="1"/>
  <c r="AS18" i="2"/>
  <c r="U23" i="2"/>
  <c r="X23" i="2" s="1"/>
  <c r="Y23" i="2" s="1"/>
  <c r="D36" i="2"/>
  <c r="F36" i="2" s="1"/>
  <c r="AS27" i="2"/>
  <c r="U25" i="2"/>
  <c r="BH25" i="2" s="1"/>
  <c r="AS39" i="2"/>
  <c r="BH40"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BH44" i="2"/>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X40" i="2" l="1"/>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5" i="2"/>
  <c r="L45" i="2" s="1"/>
  <c r="AK40" i="2"/>
  <c r="L40" i="2" s="1"/>
  <c r="AL40" i="2" s="1"/>
  <c r="AM40" i="2" s="1"/>
  <c r="AK19" i="2"/>
  <c r="L19" i="2" s="1"/>
  <c r="AL19" i="2" s="1"/>
  <c r="AM19" i="2" s="1"/>
  <c r="AO20" i="2"/>
  <c r="X16" i="2"/>
  <c r="Y16" i="2" s="1"/>
  <c r="X20" i="2"/>
  <c r="Y20" i="2" s="1"/>
  <c r="X34" i="2"/>
  <c r="Y34" i="2" s="1"/>
  <c r="BH34" i="2"/>
  <c r="Y41" i="2"/>
  <c r="AK41" i="2"/>
  <c r="L41" i="2" s="1"/>
  <c r="AL41" i="2" s="1"/>
  <c r="AM41" i="2" s="1"/>
  <c r="AO41" i="2"/>
  <c r="X27" i="2"/>
  <c r="Y27" i="2" s="1"/>
  <c r="AK23" i="2"/>
  <c r="L23" i="2" s="1"/>
  <c r="BH41" i="2"/>
  <c r="AK28" i="2"/>
  <c r="L28" i="2" s="1"/>
  <c r="AK39" i="2"/>
  <c r="L39" i="2" s="1"/>
  <c r="AK30" i="2"/>
  <c r="L30" i="2" s="1"/>
  <c r="BH33" i="2"/>
  <c r="Y44" i="2"/>
  <c r="AK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32" i="2" l="1"/>
  <c r="L32" i="2" s="1"/>
  <c r="AK24" i="2"/>
  <c r="L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J28" i="2"/>
  <c r="K28" i="2" s="1"/>
  <c r="AL28" i="2"/>
  <c r="AM28" i="2" s="1"/>
  <c r="AL23" i="2"/>
  <c r="AM23" i="2" s="1"/>
  <c r="J23" i="2"/>
  <c r="K23" i="2" s="1"/>
  <c r="AK27" i="2"/>
  <c r="L27" i="2" s="1"/>
  <c r="J27" i="2" s="1"/>
  <c r="K27" i="2" s="1"/>
  <c r="J30" i="2"/>
  <c r="K30" i="2" s="1"/>
  <c r="AL30" i="2"/>
  <c r="AM30" i="2" s="1"/>
  <c r="J39" i="2"/>
  <c r="K39" i="2" s="1"/>
  <c r="AL39" i="2"/>
  <c r="AM39" i="2" s="1"/>
  <c r="J24" i="2"/>
  <c r="K24" i="2" s="1"/>
  <c r="AL24" i="2"/>
  <c r="AM24" i="2" s="1"/>
  <c r="L44" i="2"/>
  <c r="J29" i="2"/>
  <c r="K29" i="2" s="1"/>
  <c r="AL29" i="2"/>
  <c r="AM29" i="2" s="1"/>
  <c r="L35" i="2"/>
  <c r="L17" i="2"/>
  <c r="AK15" i="2"/>
  <c r="L33" i="2"/>
  <c r="J38" i="2"/>
  <c r="K38" i="2" s="1"/>
  <c r="AL38" i="2"/>
  <c r="AM38" i="2" s="1"/>
  <c r="O17" i="8"/>
  <c r="O16" i="8"/>
  <c r="O15" i="8"/>
  <c r="BA15" i="7"/>
  <c r="AL37" i="2" l="1"/>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O15" i="12"/>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BC35" i="12" l="1"/>
  <c r="AX16" i="12" l="1"/>
  <c r="BC16" i="12"/>
  <c r="BC17" i="12"/>
  <c r="BC18" i="12"/>
  <c r="BC19" i="12"/>
  <c r="BC20" i="12"/>
  <c r="BC21" i="12"/>
  <c r="BC22" i="12"/>
  <c r="BC23" i="12"/>
  <c r="BC24" i="12"/>
  <c r="BC25" i="12"/>
  <c r="BC26" i="12"/>
  <c r="BC27" i="12"/>
  <c r="BC28" i="12"/>
  <c r="BC29" i="12"/>
  <c r="BC30" i="12"/>
  <c r="BC31" i="12"/>
  <c r="BC32" i="12"/>
  <c r="BC33" i="12"/>
  <c r="BC34" i="12"/>
  <c r="BC36" i="12"/>
  <c r="BC37" i="12"/>
  <c r="BC38" i="12"/>
  <c r="BC39" i="12"/>
  <c r="BC40" i="12"/>
  <c r="BC41" i="12"/>
  <c r="BC42" i="12"/>
  <c r="BC43" i="12"/>
  <c r="BC44" i="12"/>
  <c r="BC45" i="12"/>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R27" i="11" s="1"/>
  <c r="T21" i="11"/>
  <c r="R21" i="11" s="1"/>
  <c r="T22" i="11"/>
  <c r="R22" i="11" s="1"/>
  <c r="T23" i="11"/>
  <c r="R23" i="11" s="1"/>
  <c r="T24" i="11"/>
  <c r="R24" i="11" s="1"/>
  <c r="T25" i="11"/>
  <c r="S25" i="11" s="1"/>
  <c r="T26" i="11"/>
  <c r="S26" i="11" s="1"/>
  <c r="T20" i="11"/>
  <c r="R20" i="11" s="1"/>
  <c r="S35" i="11" l="1"/>
  <c r="S27" i="11"/>
  <c r="R25" i="11"/>
  <c r="S43" i="11"/>
  <c r="R41" i="11"/>
  <c r="R33" i="11"/>
  <c r="R26" i="11"/>
  <c r="R34" i="11"/>
  <c r="R42" i="11"/>
  <c r="S20" i="11"/>
  <c r="S28" i="11"/>
  <c r="S36" i="11"/>
  <c r="S44" i="11"/>
  <c r="S21" i="11"/>
  <c r="S29" i="11"/>
  <c r="S37" i="11"/>
  <c r="S22" i="11"/>
  <c r="S30" i="11"/>
  <c r="S38" i="11"/>
  <c r="S23" i="11"/>
  <c r="S31" i="11"/>
  <c r="S39" i="11"/>
  <c r="S24" i="11"/>
  <c r="S32" i="11"/>
  <c r="S40" i="11"/>
  <c r="T16" i="11" l="1"/>
  <c r="T17" i="11"/>
  <c r="T18" i="11"/>
  <c r="T19" i="11"/>
  <c r="T15" i="11"/>
  <c r="R15" i="11" l="1"/>
  <c r="S15" i="11"/>
  <c r="R19" i="11"/>
  <c r="S19" i="11"/>
  <c r="S18" i="11"/>
  <c r="R18" i="11"/>
  <c r="S17" i="11"/>
  <c r="R17" i="11"/>
  <c r="R16" i="11"/>
  <c r="S16" i="11"/>
  <c r="BC15" i="12"/>
  <c r="BA9" i="12"/>
  <c r="X15" i="11" l="1"/>
  <c r="Y15" i="11" s="1"/>
  <c r="AV15" i="1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AN30" i="10" l="1"/>
  <c r="AN31" i="10"/>
  <c r="AN32" i="10"/>
  <c r="AN33" i="10"/>
  <c r="BA15" i="10"/>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29" i="10"/>
  <c r="AN34" i="10"/>
  <c r="AN35" i="10"/>
  <c r="AN36" i="10"/>
  <c r="AN37" i="10"/>
  <c r="AN38" i="10"/>
  <c r="AN39" i="10"/>
  <c r="AN40" i="10"/>
  <c r="AN41" i="10"/>
  <c r="AN42" i="10"/>
  <c r="AN43" i="10"/>
  <c r="AN44" i="10"/>
  <c r="AN45"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S46"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R46" i="11"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X46" i="11" l="1"/>
  <c r="Y17" i="11"/>
  <c r="Y46" i="11" s="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X47" i="11"/>
  <c r="BH35" i="5"/>
  <c r="BC48" i="10" l="1"/>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R47" i="11"/>
  <c r="BH34" i="11"/>
  <c r="BH27" i="11"/>
  <c r="S4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H46" i="11"/>
  <c r="BH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AZ44" i="10"/>
  <c r="X44" i="10" s="1"/>
  <c r="AZ38" i="10"/>
  <c r="X38" i="10" s="1"/>
  <c r="AZ43" i="10"/>
  <c r="X43" i="10" s="1"/>
  <c r="AZ18" i="10"/>
  <c r="X18" i="10" s="1"/>
  <c r="AZ30" i="10"/>
  <c r="X30" i="10" s="1"/>
  <c r="AZ23" i="10"/>
  <c r="X23" i="10" s="1"/>
  <c r="AZ17" i="10"/>
  <c r="X17" i="10" s="1"/>
  <c r="AZ26" i="10"/>
  <c r="X26" i="10" s="1"/>
  <c r="AZ15" i="10"/>
  <c r="AZ39" i="10"/>
  <c r="X39" i="10" s="1"/>
  <c r="AZ25" i="10"/>
  <c r="AZ19" i="10"/>
  <c r="X19" i="10" s="1"/>
  <c r="AZ21" i="10"/>
  <c r="X21" i="10" s="1"/>
  <c r="X33" i="10"/>
  <c r="X16" i="10"/>
  <c r="X32" i="10"/>
  <c r="X25" i="10"/>
  <c r="X27" i="10"/>
  <c r="X29" i="10"/>
  <c r="X20" i="10"/>
  <c r="X31"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Y37" i="10" l="1"/>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AH50" i="12" s="1"/>
  <c r="AH51" i="12" s="1"/>
  <c r="V50" i="11"/>
  <c r="V12" i="12"/>
  <c r="V50" i="12" s="1"/>
  <c r="V51" i="12" s="1"/>
  <c r="O51" i="10"/>
  <c r="O56" i="10" s="1"/>
  <c r="O12" i="11"/>
  <c r="O49" i="11" s="1"/>
  <c r="O50" i="11" s="1"/>
  <c r="O55" i="11" s="1"/>
  <c r="H51" i="10"/>
  <c r="H12" i="11"/>
  <c r="H49" i="11" s="1"/>
  <c r="Y15" i="10" l="1"/>
  <c r="Y47" i="10" s="1"/>
  <c r="Y48" i="10" s="1"/>
  <c r="AT15" i="10"/>
  <c r="AT47" i="10" s="1"/>
  <c r="AJ8" i="7"/>
  <c r="AJ8" i="14"/>
  <c r="O13" i="11"/>
  <c r="O52" i="11" s="1"/>
  <c r="O13" i="12" s="1"/>
  <c r="O53" i="12" s="1"/>
  <c r="O54" i="12" s="1"/>
  <c r="O57" i="12" s="1"/>
  <c r="P13" i="12"/>
  <c r="P53" i="12" s="1"/>
  <c r="P54" i="12" s="1"/>
  <c r="P53" i="11"/>
  <c r="AH13" i="12"/>
  <c r="AH53" i="12" s="1"/>
  <c r="AH54" i="12" s="1"/>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Y13" i="12" l="1"/>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AD49" i="11" s="1"/>
  <c r="AD5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D42" i="4"/>
  <c r="F42" i="4" s="1"/>
  <c r="L42" i="4" s="1"/>
  <c r="J39" i="4"/>
  <c r="K39" i="4" s="1"/>
  <c r="AL39" i="4"/>
  <c r="AM39" i="4" s="1"/>
  <c r="D40" i="4"/>
  <c r="F40" i="4" s="1"/>
  <c r="L40" i="4" s="1"/>
  <c r="E40" i="4"/>
  <c r="C41" i="4"/>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D15" i="12" s="1"/>
  <c r="AD16" i="12" s="1"/>
  <c r="AD17" i="12" s="1"/>
  <c r="AD18" i="12" s="1"/>
  <c r="AD19" i="12" s="1"/>
  <c r="AD20" i="12" s="1"/>
  <c r="AD21" i="12" s="1"/>
  <c r="AD22" i="12" s="1"/>
  <c r="AD23" i="12" s="1"/>
  <c r="AD24" i="12" s="1"/>
  <c r="AD25" i="12" s="1"/>
  <c r="AD26" i="12" s="1"/>
  <c r="AD27" i="12" s="1"/>
  <c r="AD28" i="12" s="1"/>
  <c r="AD29" i="12" s="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c r="AU30" i="13" s="1"/>
  <c r="AV31" i="13" l="1"/>
  <c r="AT31" i="13" s="1"/>
  <c r="AU31" i="13" s="1"/>
  <c r="AV32" i="13" l="1"/>
  <c r="AT32" i="13"/>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c r="AU34" i="4" s="1"/>
  <c r="AV35" i="4" l="1"/>
  <c r="AT35" i="4" s="1"/>
  <c r="AU35" i="4" s="1"/>
  <c r="AV36" i="4" l="1"/>
  <c r="AT36" i="4"/>
  <c r="AU36" i="4" s="1"/>
  <c r="AV37" i="4" l="1"/>
  <c r="AT37" i="4"/>
  <c r="AU37" i="4" s="1"/>
  <c r="AV38" i="4" l="1"/>
  <c r="AT38" i="4" s="1"/>
  <c r="AU38" i="4" s="1"/>
  <c r="AV39" i="4"/>
  <c r="AT39" i="4" s="1"/>
  <c r="AV40" i="4" s="1"/>
  <c r="AT40" i="4" s="1"/>
  <c r="AU39" i="4" l="1"/>
  <c r="AV41" i="4"/>
  <c r="AT41" i="4" s="1"/>
  <c r="AU40" i="4"/>
  <c r="AV42" i="4" l="1"/>
  <c r="AU41" i="4"/>
  <c r="AV44" i="4" l="1"/>
  <c r="AT42" i="4"/>
  <c r="AU42" i="4" l="1"/>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U16" i="5" s="1"/>
  <c r="AQ13" i="9"/>
  <c r="AQ53" i="9" s="1"/>
  <c r="AO53" i="8"/>
  <c r="AQ12" i="9"/>
  <c r="AQ50" i="9" s="1"/>
  <c r="AO50" i="8"/>
  <c r="AV17" i="5" l="1"/>
  <c r="AT17" i="5" s="1"/>
  <c r="AU17" i="5" s="1"/>
  <c r="AQ13" i="10"/>
  <c r="AQ53" i="10" s="1"/>
  <c r="AQ54" i="9"/>
  <c r="AQ12" i="10"/>
  <c r="AQ50" i="10" s="1"/>
  <c r="AQ51" i="9"/>
  <c r="AV18" i="5" l="1"/>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53" i="10"/>
  <c r="AG48" i="10"/>
  <c r="AG50" i="10"/>
  <c r="AG51" i="10" s="1"/>
  <c r="BK19" i="11" l="1"/>
  <c r="BL19" i="11" s="1"/>
  <c r="AG13" i="11"/>
  <c r="AG54" i="10"/>
  <c r="BK20" i="11" l="1"/>
  <c r="BL20" i="11" s="1"/>
  <c r="BK16" i="11"/>
  <c r="BL16" i="11" s="1"/>
  <c r="BK15" i="11"/>
  <c r="BL15" i="11" l="1"/>
  <c r="BK17" i="11" l="1"/>
  <c r="BK18" i="11" l="1"/>
  <c r="BL18" i="11" s="1"/>
  <c r="BL17" i="11"/>
  <c r="BK29" i="11" l="1"/>
  <c r="BL29" i="11" s="1"/>
  <c r="BK30" i="11" l="1"/>
  <c r="BL30" i="11" s="1"/>
  <c r="BK39" i="11" l="1"/>
  <c r="BL39" i="11" s="1"/>
  <c r="BK40" i="11" l="1"/>
  <c r="BL40" i="11" s="1"/>
  <c r="BK41" i="11" l="1"/>
  <c r="BL41" i="11" s="1"/>
  <c r="BK42" i="11" l="1"/>
  <c r="BL42" i="11" s="1"/>
  <c r="BK43" i="11" l="1"/>
  <c r="BL43" i="11" l="1"/>
  <c r="BK44" i="11" l="1"/>
  <c r="BL44" i="11" s="1"/>
  <c r="T46" i="14"/>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BH49" i="11" s="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2" i="11" s="1"/>
  <c r="R54" i="10"/>
  <c r="BH50" i="11"/>
  <c r="BJ12" i="12"/>
  <c r="BJ50" i="12" s="1"/>
  <c r="BJ51" i="12" s="1"/>
  <c r="BK12" i="10"/>
  <c r="BK50" i="10" s="1"/>
  <c r="BM51" i="9"/>
  <c r="BK13" i="10"/>
  <c r="BK53" i="10" s="1"/>
  <c r="BM54" i="9"/>
  <c r="BK13" i="11" l="1"/>
  <c r="BK54" i="10"/>
  <c r="BL51" i="10"/>
  <c r="BL12" i="11"/>
  <c r="Y51" i="9"/>
  <c r="Y12" i="10"/>
  <c r="Y50" i="10" s="1"/>
  <c r="AU58" i="8"/>
  <c r="BK51" i="10"/>
  <c r="BK12" i="11"/>
  <c r="X12" i="11"/>
  <c r="X49" i="11" s="1"/>
  <c r="X51" i="10"/>
  <c r="R53" i="11"/>
  <c r="R13" i="12"/>
  <c r="R53" i="12" s="1"/>
  <c r="R54" i="12" s="1"/>
  <c r="BM13" i="12" l="1"/>
  <c r="BM53" i="12" s="1"/>
  <c r="BM54" i="12" s="1"/>
  <c r="Y12" i="11"/>
  <c r="Y49" i="11" s="1"/>
  <c r="Y51" i="10"/>
  <c r="X50" i="11"/>
  <c r="X12" i="12"/>
  <c r="X50" i="12" s="1"/>
  <c r="X51" i="12" s="1"/>
  <c r="Y50" i="11" l="1"/>
  <c r="Y12" i="12"/>
  <c r="Y50" i="12" s="1"/>
  <c r="Y51" i="12" s="1"/>
  <c r="T47" i="5"/>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2" i="11" s="1"/>
  <c r="T54" i="10"/>
  <c r="X13" i="9"/>
  <c r="X53" i="9" s="1"/>
  <c r="X53" i="8"/>
  <c r="U53" i="8"/>
  <c r="U13" i="9"/>
  <c r="U53" i="9" s="1"/>
  <c r="S54" i="9"/>
  <c r="S13" i="10"/>
  <c r="S53" i="10" s="1"/>
  <c r="AT23" i="5"/>
  <c r="AV24" i="5" s="1"/>
  <c r="Y13" i="9"/>
  <c r="Y53" i="9" s="1"/>
  <c r="Y53" i="8"/>
  <c r="BJ53" i="8"/>
  <c r="BJ13" i="9"/>
  <c r="BJ53" i="9" s="1"/>
  <c r="T53" i="11" l="1"/>
  <c r="T13" i="12"/>
  <c r="T53" i="12" s="1"/>
  <c r="T54" i="12" s="1"/>
  <c r="AT24" i="5"/>
  <c r="AV25" i="5"/>
  <c r="AU23" i="5"/>
  <c r="U54" i="9"/>
  <c r="U13" i="10"/>
  <c r="U53" i="10" s="1"/>
  <c r="Y61" i="8"/>
  <c r="Y63" i="8"/>
  <c r="Y62" i="8"/>
  <c r="S54" i="10"/>
  <c r="S13" i="11"/>
  <c r="S52" i="11" s="1"/>
  <c r="BJ54" i="9"/>
  <c r="BH13" i="10"/>
  <c r="BH53" i="10" s="1"/>
  <c r="Y54" i="9"/>
  <c r="Y13" i="10"/>
  <c r="Y53" i="10" s="1"/>
  <c r="X54" i="9"/>
  <c r="X13" i="10"/>
  <c r="X53" i="10" s="1"/>
  <c r="Y13" i="11" l="1"/>
  <c r="Y52" i="11" s="1"/>
  <c r="Y54" i="10"/>
  <c r="BH13" i="11"/>
  <c r="BH52" i="11" s="1"/>
  <c r="BH54" i="10"/>
  <c r="U54" i="10"/>
  <c r="U13" i="11"/>
  <c r="U52" i="11" s="1"/>
  <c r="S13" i="12"/>
  <c r="S53" i="12" s="1"/>
  <c r="S54" i="12" s="1"/>
  <c r="S53" i="11"/>
  <c r="AT25" i="5"/>
  <c r="AV26" i="5"/>
  <c r="X54" i="10"/>
  <c r="X13" i="11"/>
  <c r="X52" i="11" s="1"/>
  <c r="AU24" i="5"/>
  <c r="U13" i="12" l="1"/>
  <c r="U53" i="12" s="1"/>
  <c r="U54" i="12" s="1"/>
  <c r="U53" i="11"/>
  <c r="X53" i="11"/>
  <c r="X13" i="12"/>
  <c r="X53" i="12" s="1"/>
  <c r="X54" i="12" s="1"/>
  <c r="BH53" i="11"/>
  <c r="BJ13" i="12"/>
  <c r="BJ53" i="12" s="1"/>
  <c r="BJ54" i="12" s="1"/>
  <c r="BJ57" i="12" s="1"/>
  <c r="AT26" i="5"/>
  <c r="AU25" i="5"/>
  <c r="Y53" i="11"/>
  <c r="Y13" i="12"/>
  <c r="Y53" i="12" s="1"/>
  <c r="Y54" i="12" s="1"/>
  <c r="AU26" i="5" l="1"/>
  <c r="AV27" i="5"/>
  <c r="BJ58" i="12"/>
  <c r="BJ61" i="12" s="1"/>
  <c r="BK57" i="12" s="1"/>
  <c r="BK59" i="12" l="1"/>
  <c r="BK58" i="12"/>
  <c r="AT27" i="5"/>
  <c r="AU27" i="5" s="1"/>
  <c r="AV28" i="5"/>
  <c r="AT28" i="5" l="1"/>
  <c r="AU28" i="5" s="1"/>
  <c r="AV29" i="5" l="1"/>
  <c r="AT29" i="5"/>
  <c r="AU29" i="5" s="1"/>
  <c r="AV30" i="5"/>
  <c r="AT30" i="5" l="1"/>
  <c r="AU30" i="5" s="1"/>
  <c r="AV31" i="5" l="1"/>
  <c r="AT31" i="5" l="1"/>
  <c r="AU31" i="5" s="1"/>
  <c r="AV32" i="5" l="1"/>
  <c r="AT32" i="5" l="1"/>
  <c r="AU32" i="5" s="1"/>
  <c r="AV33" i="5" l="1"/>
  <c r="AT33" i="5" l="1"/>
  <c r="AU33" i="5" s="1"/>
  <c r="AV34" i="5"/>
  <c r="AT34" i="5" l="1"/>
  <c r="AU34" i="5" s="1"/>
  <c r="AV35" i="5" l="1"/>
  <c r="AT35" i="5" s="1"/>
  <c r="AU35" i="5" s="1"/>
  <c r="AV36" i="5" l="1"/>
  <c r="AT36" i="5" l="1"/>
  <c r="AU36" i="5" s="1"/>
  <c r="AV37" i="5"/>
  <c r="AT37" i="5" l="1"/>
  <c r="AU37" i="5" s="1"/>
  <c r="AV38" i="5"/>
  <c r="AT38" i="5" l="1"/>
  <c r="AU38" i="5" s="1"/>
  <c r="AV39" i="5"/>
  <c r="AT39" i="5" l="1"/>
  <c r="AU39" i="5" s="1"/>
  <c r="AV40" i="5"/>
  <c r="AT40" i="5" l="1"/>
  <c r="AU40" i="5" s="1"/>
  <c r="AV41" i="5" l="1"/>
  <c r="AT41" i="5" s="1"/>
  <c r="AU41" i="5" l="1"/>
  <c r="AV42" i="5"/>
  <c r="AT42" i="5"/>
  <c r="AV43" i="5"/>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R37" i="10"/>
  <c r="AR38" i="10" s="1"/>
  <c r="AR39" i="10" s="1"/>
  <c r="AR40" i="10" s="1"/>
  <c r="AR41" i="10" s="1"/>
  <c r="AR42" i="10" s="1"/>
  <c r="AR43" i="10" s="1"/>
  <c r="AR44" i="10" s="1"/>
  <c r="AR45" i="10" s="1"/>
  <c r="AA36" i="10"/>
  <c r="AA37" i="10"/>
  <c r="AC34" i="10"/>
  <c r="AY34" i="10" s="1"/>
  <c r="AR47" i="10" l="1"/>
  <c r="AR48" i="10" s="1"/>
  <c r="AR13" i="11"/>
  <c r="AC35" i="10"/>
  <c r="AY35" i="10" s="1"/>
  <c r="AR15" i="11" l="1"/>
  <c r="AR16" i="11" s="1"/>
  <c r="AR17" i="11" s="1"/>
  <c r="AR18" i="11" s="1"/>
  <c r="AR19" i="11" s="1"/>
  <c r="AR20" i="11" s="1"/>
  <c r="AR21" i="11" s="1"/>
  <c r="AR22" i="11" s="1"/>
  <c r="AR23" i="11" s="1"/>
  <c r="AR24" i="11" s="1"/>
  <c r="AR25" i="11" s="1"/>
  <c r="AR26" i="11" s="1"/>
  <c r="AR27" i="11" s="1"/>
  <c r="AR28" i="11" s="1"/>
  <c r="AR29" i="11" s="1"/>
  <c r="AR30" i="11" s="1"/>
  <c r="AC36" i="10"/>
  <c r="AY36" i="10" s="1"/>
  <c r="AG31" i="11" l="1"/>
  <c r="AR31" i="11"/>
  <c r="AR46" i="11"/>
  <c r="AR47" i="11" s="1"/>
  <c r="AR13" i="12"/>
  <c r="AC37" i="10"/>
  <c r="AY37" i="10" s="1"/>
  <c r="AG32" i="11" l="1"/>
  <c r="BK31" i="11"/>
  <c r="BL31" i="11" s="1"/>
  <c r="AC38" i="10"/>
  <c r="AY38" i="10" s="1"/>
  <c r="AG33" i="11" l="1"/>
  <c r="BK32" i="11"/>
  <c r="BL32" i="11" s="1"/>
  <c r="AC39" i="10"/>
  <c r="AY39" i="10" s="1"/>
  <c r="AG34" i="11" l="1"/>
  <c r="BK33" i="11"/>
  <c r="BL33" i="11" s="1"/>
  <c r="AC40" i="10"/>
  <c r="AY40" i="10" s="1"/>
  <c r="AG35" i="11" l="1"/>
  <c r="BK34" i="11"/>
  <c r="BL34" i="11" s="1"/>
  <c r="AC41" i="10"/>
  <c r="AY41" i="10" s="1"/>
  <c r="AG36" i="11" l="1"/>
  <c r="BK35" i="11"/>
  <c r="BL35" i="11" s="1"/>
  <c r="AA47" i="10"/>
  <c r="AC42" i="10"/>
  <c r="AY42" i="10" s="1"/>
  <c r="AG37" i="11" l="1"/>
  <c r="BK36" i="11"/>
  <c r="BL36" i="11" s="1"/>
  <c r="AC43" i="10"/>
  <c r="AY43" i="10" s="1"/>
  <c r="AA48" i="10"/>
  <c r="AA50" i="10"/>
  <c r="AA51" i="10" s="1"/>
  <c r="Z12" i="11"/>
  <c r="AG38" i="11" l="1"/>
  <c r="BK37" i="11"/>
  <c r="BL37" i="11" s="1"/>
  <c r="AC44" i="10"/>
  <c r="AY44" i="10" s="1"/>
  <c r="AG39" i="11" l="1"/>
  <c r="AG40" i="11" s="1"/>
  <c r="AG41" i="11" s="1"/>
  <c r="AG42" i="11" s="1"/>
  <c r="AG43" i="11" s="1"/>
  <c r="AG44" i="11" s="1"/>
  <c r="BK38" i="11"/>
  <c r="BL38" i="11" s="1"/>
  <c r="AC45" i="10"/>
  <c r="AY45" i="10" s="1"/>
  <c r="AC50" i="10" l="1"/>
  <c r="AC51" i="10" s="1"/>
  <c r="AC12" i="11"/>
  <c r="AY13" i="11" l="1"/>
  <c r="AC15" i="11" s="1"/>
  <c r="AY48" i="10"/>
  <c r="AY15" i="11" l="1"/>
  <c r="AC16" i="11" s="1"/>
  <c r="AY51" i="10"/>
  <c r="AY54" i="10"/>
  <c r="AY12" i="11" l="1"/>
  <c r="AY16" i="11"/>
  <c r="AC17" i="11" s="1"/>
  <c r="AY17" i="11" l="1"/>
  <c r="AC18" i="11" s="1"/>
  <c r="BK21" i="11" l="1"/>
  <c r="AY18" i="11"/>
  <c r="AC19" i="11" s="1"/>
  <c r="BK22" i="11" l="1"/>
  <c r="BL22" i="11" s="1"/>
  <c r="BL21" i="11"/>
  <c r="AY19" i="11"/>
  <c r="AC20" i="11" s="1"/>
  <c r="BK23" i="11" l="1"/>
  <c r="AY20" i="11"/>
  <c r="AC21" i="11" s="1"/>
  <c r="BK24" i="11" l="1"/>
  <c r="BL24" i="11" s="1"/>
  <c r="BL23" i="11"/>
  <c r="AY21" i="11"/>
  <c r="AC22" i="11" s="1"/>
  <c r="BK25" i="11" l="1"/>
  <c r="AY22" i="11"/>
  <c r="AC23" i="11" s="1"/>
  <c r="BK26" i="11" l="1"/>
  <c r="BL26" i="11" s="1"/>
  <c r="BL25" i="11"/>
  <c r="AY23" i="11"/>
  <c r="AC24" i="11" s="1"/>
  <c r="BK27" i="11" l="1"/>
  <c r="AY24" i="11"/>
  <c r="AC25" i="11" s="1"/>
  <c r="BL27" i="11" l="1"/>
  <c r="BK28" i="11"/>
  <c r="BL28" i="11" s="1"/>
  <c r="AY25" i="11"/>
  <c r="AC26" i="11" s="1"/>
  <c r="BK46" i="11" l="1"/>
  <c r="AG46" i="11"/>
  <c r="AG12" i="12"/>
  <c r="BL46" i="11"/>
  <c r="BL49" i="11" s="1"/>
  <c r="AY26" i="11"/>
  <c r="AC27" i="11" s="1"/>
  <c r="BL52" i="11" l="1"/>
  <c r="BL47" i="11"/>
  <c r="AG47" i="11"/>
  <c r="AG49" i="11"/>
  <c r="AG50" i="11" s="1"/>
  <c r="AG52" i="11"/>
  <c r="BK52" i="11"/>
  <c r="BK53" i="11" s="1"/>
  <c r="BK49" i="11"/>
  <c r="BK47" i="11"/>
  <c r="AY27" i="11"/>
  <c r="AC28" i="11" s="1"/>
  <c r="BM12" i="12" l="1"/>
  <c r="BM50" i="12" s="1"/>
  <c r="BM51" i="12" s="1"/>
  <c r="BK50" i="11"/>
  <c r="AG13" i="12"/>
  <c r="AG15" i="12" s="1"/>
  <c r="AG16" i="12" s="1"/>
  <c r="AG17" i="12" s="1"/>
  <c r="AG18" i="12" s="1"/>
  <c r="AG19" i="12" s="1"/>
  <c r="AG20" i="12" s="1"/>
  <c r="AG21" i="12" s="1"/>
  <c r="AG22" i="12" s="1"/>
  <c r="AG23" i="12" s="1"/>
  <c r="AG24" i="12" s="1"/>
  <c r="AG25" i="12" s="1"/>
  <c r="AG26" i="12" s="1"/>
  <c r="AG27" i="12" s="1"/>
  <c r="AG28" i="12" s="1"/>
  <c r="AG29" i="12" s="1"/>
  <c r="AG47" i="12" s="1"/>
  <c r="AG53" i="11"/>
  <c r="BN12" i="12"/>
  <c r="BN50" i="12" s="1"/>
  <c r="BN51" i="12" s="1"/>
  <c r="BL50" i="11"/>
  <c r="BL53" i="11"/>
  <c r="BN13" i="12"/>
  <c r="BN53" i="12" s="1"/>
  <c r="BN54" i="12" s="1"/>
  <c r="AY28" i="11"/>
  <c r="AC29" i="11" s="1"/>
  <c r="AG53" i="12" l="1"/>
  <c r="AG54" i="12" s="1"/>
  <c r="AG48" i="12"/>
  <c r="AG50" i="12"/>
  <c r="AG51" i="12" s="1"/>
  <c r="AY29" i="1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C40" i="11" s="1"/>
  <c r="AC41" i="11" s="1"/>
  <c r="AC42" i="11" s="1"/>
  <c r="AC43" i="11" s="1"/>
  <c r="AC44" i="11" s="1"/>
  <c r="AC49" i="11" s="1"/>
  <c r="AC50" i="11" s="1"/>
  <c r="AY39" i="11" l="1"/>
  <c r="AY40" i="11" l="1"/>
  <c r="AY41" i="11" l="1"/>
  <c r="AY42" i="11" l="1"/>
  <c r="AY43" i="11" l="1"/>
  <c r="AC12" i="12" l="1"/>
  <c r="AY44" i="11"/>
  <c r="AZ13" i="12" l="1"/>
  <c r="AC15" i="12" s="1"/>
  <c r="AY47" i="11"/>
  <c r="AC16" i="12" l="1"/>
  <c r="AZ15" i="12"/>
  <c r="AY53" i="11"/>
  <c r="AY50" i="11"/>
  <c r="AX55" i="11" s="1"/>
  <c r="AZ12" i="12" l="1"/>
  <c r="AC17" i="12"/>
  <c r="AZ16" i="12"/>
  <c r="AC18" i="12" l="1"/>
  <c r="AZ17" i="12"/>
  <c r="AC19" i="12" l="1"/>
  <c r="AZ18" i="12"/>
  <c r="AC20" i="12" l="1"/>
  <c r="AZ19" i="12"/>
  <c r="AC21" i="12" l="1"/>
  <c r="AZ20" i="12"/>
  <c r="AC22" i="12" l="1"/>
  <c r="AZ21" i="12"/>
  <c r="AC23" i="12" l="1"/>
  <c r="AZ22" i="12"/>
  <c r="AC24" i="12" l="1"/>
  <c r="AZ23" i="12"/>
  <c r="AC25" i="12" l="1"/>
  <c r="AZ24" i="12"/>
  <c r="AC26" i="12" l="1"/>
  <c r="AZ25" i="12"/>
  <c r="AC27" i="12" l="1"/>
  <c r="AZ26" i="12"/>
  <c r="AC28" i="12" l="1"/>
  <c r="AZ27" i="12"/>
  <c r="AC29" i="12" l="1"/>
  <c r="AZ29" i="12" s="1"/>
  <c r="AZ28" i="12"/>
  <c r="AZ48" i="12" l="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6"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6"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5"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5"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DF0729FA-385A-4BB3-8B62-D73FE903FA9C}">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2FB6F2E4-C2C7-47F1-8BBA-3CB2C7C5DD19}">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7D158025-0E1E-4C42-9F96-9FB36D7156D6}">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1D328B95-5EA2-4F2B-9308-15896B8A5D70}">
      <text>
        <r>
          <rPr>
            <b/>
            <sz val="9"/>
            <color indexed="81"/>
            <rFont val="Tahoma"/>
            <family val="2"/>
          </rPr>
          <t>Easton H:</t>
        </r>
        <r>
          <rPr>
            <sz val="9"/>
            <color indexed="81"/>
            <rFont val="Tahoma"/>
            <family val="2"/>
          </rPr>
          <t xml:space="preserve">
6-Nov-2024. Values in this column are from last year and serve as estimates for WY2025.
</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Project water instead.</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Jerrod</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AT25" authorId="4" shapeId="0" xr:uid="{309A8822-0B28-46F6-9B3E-114B33F70AF6}">
      <text>
        <r>
          <rPr>
            <b/>
            <sz val="9"/>
            <color indexed="81"/>
            <rFont val="Tahoma"/>
            <family val="2"/>
          </rPr>
          <t xml:space="preserve">DB:  </t>
        </r>
        <r>
          <rPr>
            <sz val="9"/>
            <color indexed="81"/>
            <rFont val="Tahoma"/>
            <family val="2"/>
          </rPr>
          <t xml:space="preserve">Per Brandon Johnson email on 10/29/24, MVIC Stock run 10/11 thru 10/15 used 126 CFS total.
</t>
        </r>
        <r>
          <rPr>
            <b/>
            <sz val="9"/>
            <color indexed="81"/>
            <rFont val="Tahoma"/>
            <family val="2"/>
          </rPr>
          <t xml:space="preserve">Easton H: </t>
        </r>
        <r>
          <rPr>
            <sz val="9"/>
            <color indexed="81"/>
            <rFont val="Tahoma"/>
            <family val="2"/>
          </rPr>
          <t xml:space="preserve">
Last years' comment. </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<sst xmlns="http://schemas.openxmlformats.org/spreadsheetml/2006/main" count="3148" uniqueCount="229">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</sst>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771">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 fontId="7" fillId="5" borderId="0" xfId="8" applyNumberFormat="1" applyFont="1" applyFill="1" applyAlignment="1">
      <alignment horizontal="right"/>
    </xf>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4" t="s">
        <v>213</v>
      </c>
      <c r="L2" s="764"/>
      <c r="M2" s="764"/>
      <c r="N2" s="764"/>
      <c r="O2" s="764"/>
      <c r="P2" s="764"/>
      <c r="Q2" s="764"/>
      <c r="R2" s="764"/>
      <c r="S2" s="764"/>
      <c r="T2" s="764"/>
      <c r="U2" s="764"/>
      <c r="V2" s="764"/>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7">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5" t="s">
        <v>214</v>
      </c>
      <c r="L2" s="765"/>
      <c r="M2" s="765"/>
      <c r="N2" s="765"/>
      <c r="O2" s="765"/>
      <c r="P2" s="765"/>
      <c r="Q2" s="765"/>
      <c r="R2" s="765"/>
      <c r="S2" s="765"/>
      <c r="T2" s="765"/>
      <c r="U2" s="765"/>
      <c r="V2" s="765"/>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45.666019662213259</v>
      </c>
      <c r="K44" s="41">
        <f t="shared" si="2"/>
        <v>73.866019662213262</v>
      </c>
      <c r="L44" s="41">
        <f t="shared" si="15"/>
        <v>45.666019662213259</v>
      </c>
      <c r="M44" s="108">
        <v>3.5</v>
      </c>
      <c r="N44" s="41">
        <v>0</v>
      </c>
      <c r="O44" s="41">
        <v>1</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29.5</v>
      </c>
      <c r="AL44" s="41">
        <f t="shared" si="20"/>
        <v>0</v>
      </c>
      <c r="AM44" s="41">
        <f t="shared" si="5"/>
        <v>29.5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-27.445399546256613</v>
      </c>
      <c r="M45" s="108">
        <v>3.7</v>
      </c>
      <c r="N45" s="41">
        <v>0</v>
      </c>
      <c r="O45" s="41">
        <v>2</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30.700000000000003</v>
      </c>
      <c r="AL45" s="41">
        <f t="shared" si="20"/>
        <v>27.445399546256613</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430.77833879505926</v>
      </c>
      <c r="K47" s="49">
        <f t="shared" si="38"/>
        <v>1353.1783387950595</v>
      </c>
      <c r="L47" s="49">
        <f t="shared" si="38"/>
        <v>224.7077993445929</v>
      </c>
      <c r="M47" s="94">
        <f>SUM(M15:M45)</f>
        <v>109.31999999999996</v>
      </c>
      <c r="N47" s="49">
        <f>SUM(N15:N45)</f>
        <v>0</v>
      </c>
      <c r="O47" s="49">
        <f>SUM(O15:O45)</f>
        <v>3</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881.92000000000019</v>
      </c>
      <c r="AL47" s="49">
        <f t="shared" si="39"/>
        <v>206.07053945046633</v>
      </c>
      <c r="AM47" s="93">
        <f t="shared" si="39"/>
        <v>1087.9905394504665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854.44883500000003</v>
      </c>
      <c r="K48" s="49">
        <f t="shared" si="40"/>
        <v>2684.0292350000004</v>
      </c>
      <c r="L48" s="49">
        <f t="shared" si="40"/>
        <v>445.70792</v>
      </c>
      <c r="M48" s="94">
        <f t="shared" si="40"/>
        <v>216.83621999999994</v>
      </c>
      <c r="N48" s="49">
        <f t="shared" si="40"/>
        <v>0</v>
      </c>
      <c r="O48" s="49">
        <f t="shared" si="40"/>
        <v>5.9504999999999999</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1749.2883200000003</v>
      </c>
      <c r="AL48" s="49">
        <f t="shared" si="41"/>
        <v>408.74091499999997</v>
      </c>
      <c r="AM48" s="93">
        <f t="shared" si="41"/>
        <v>2158.0292350000004</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717.92277791782203</v>
      </c>
      <c r="K53" s="49">
        <f t="shared" si="43"/>
        <v>3158.3327779178226</v>
      </c>
      <c r="L53" s="49">
        <f t="shared" si="43"/>
        <v>93.457960675573474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2622.6000000000004</v>
      </c>
      <c r="AL53" s="49">
        <f t="shared" si="45"/>
        <v>624.46481724224839</v>
      </c>
      <c r="AM53" s="93">
        <f t="shared" si="45"/>
        <v>3247.064817242248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1423.99983</v>
      </c>
      <c r="K54" s="49">
        <f t="shared" si="46"/>
        <v>6264.553065000001</v>
      </c>
      <c r="L54" s="49">
        <f t="shared" si="46"/>
        <v>185.373865</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5201.9271000000008</v>
      </c>
      <c r="AL54" s="49">
        <f t="shared" si="47"/>
        <v>1238.6259649999997</v>
      </c>
      <c r="AM54" s="352">
        <f t="shared" si="47"/>
        <v>6440.5530649999992</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5" t="s">
        <v>215</v>
      </c>
      <c r="L2" s="765"/>
      <c r="M2" s="765"/>
      <c r="N2" s="765"/>
      <c r="O2" s="765"/>
      <c r="P2" s="765"/>
      <c r="Q2" s="765"/>
      <c r="R2" s="765"/>
      <c r="S2" s="765"/>
      <c r="T2" s="765"/>
      <c r="U2" s="765"/>
      <c r="V2" s="765"/>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717.92277791782203</v>
      </c>
      <c r="K13" s="49">
        <f>DEC!K53</f>
        <v>3158.3327779178226</v>
      </c>
      <c r="L13" s="115">
        <f>DEC!L53</f>
        <v>93.457960675573474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2622.6000000000004</v>
      </c>
      <c r="AL13" s="201">
        <f>DEC!AL53</f>
        <v>624.46481724224839</v>
      </c>
      <c r="AM13" s="201">
        <f>DEC!AM53</f>
        <v>3247.064817242248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868.39605747416181</v>
      </c>
      <c r="K53" s="49">
        <f t="shared" si="38"/>
        <v>4113.0060574741619</v>
      </c>
      <c r="L53" s="49">
        <f t="shared" si="38"/>
        <v>-36.5244391227628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3532.26</v>
      </c>
      <c r="AL53" s="49">
        <f>AL13+AL47</f>
        <v>904.92049659692452</v>
      </c>
      <c r="AM53" s="93">
        <f>AM13+AM47</f>
        <v>4437.1804965969241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1722.4635800000001</v>
      </c>
      <c r="K54" s="49">
        <f t="shared" si="40"/>
        <v>8158.1475150000006</v>
      </c>
      <c r="L54" s="49">
        <f t="shared" si="40"/>
        <v>-72.446225000000013</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7006.2377100000003</v>
      </c>
      <c r="AL54" s="49">
        <f t="shared" si="42"/>
        <v>1794.9098049999998</v>
      </c>
      <c r="AM54" s="352">
        <f t="shared" si="42"/>
        <v>8801.1475149999987</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5" t="s">
        <v>216</v>
      </c>
      <c r="L2" s="765"/>
      <c r="M2" s="765"/>
      <c r="N2" s="765"/>
      <c r="O2" s="765"/>
      <c r="P2" s="765"/>
      <c r="Q2" s="765"/>
      <c r="R2" s="765"/>
      <c r="S2" s="765"/>
      <c r="T2" s="765"/>
      <c r="U2" s="765"/>
      <c r="V2" s="765"/>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868.39605747416181</v>
      </c>
      <c r="K13" s="49">
        <f>JAN!K53</f>
        <v>4113.0060574741619</v>
      </c>
      <c r="L13" s="115">
        <f>JAN!L53</f>
        <v>-36.5244391227628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3532.26</v>
      </c>
      <c r="AL13" s="201">
        <f>JAN!AL53</f>
        <v>904.92049659692452</v>
      </c>
      <c r="AM13" s="201">
        <f>JAN!AM53</f>
        <v>4437.1804965969241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C42-C40</f>
        <v>175</v>
      </c>
      <c r="E42" s="49">
        <f>C42-152000</f>
        <v>57699</v>
      </c>
      <c r="F42" s="106">
        <f>D42/$D$2</f>
        <v>88.227880010083183</v>
      </c>
      <c r="G42" s="41">
        <v>32.799999999999997</v>
      </c>
      <c r="H42" s="118">
        <v>0</v>
      </c>
      <c r="I42" s="41">
        <f>G42+H42</f>
        <v>32.799999999999997</v>
      </c>
      <c r="J42" s="36">
        <f>IF(L42&gt;0,L42,0)</f>
        <v>94.457880010083187</v>
      </c>
      <c r="K42" s="41">
        <f>I42+J42</f>
        <v>127.25788001008318</v>
      </c>
      <c r="L42" s="41">
        <f t="shared" ref="L42" si="28">IF(G42="",0,F42-(I42-AK42))</f>
        <v>94.457880010083187</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588.85807915301223</v>
      </c>
      <c r="G44" s="49">
        <f t="shared" si="31"/>
        <v>849.99999999999989</v>
      </c>
      <c r="H44" s="49">
        <f t="shared" si="31"/>
        <v>0</v>
      </c>
      <c r="I44" s="49">
        <f t="shared" si="31"/>
        <v>849.99999999999989</v>
      </c>
      <c r="J44" s="49">
        <f t="shared" si="31"/>
        <v>694.65595916309542</v>
      </c>
      <c r="K44" s="49">
        <f t="shared" si="31"/>
        <v>1544.6559591630955</v>
      </c>
      <c r="L44" s="49">
        <f t="shared" si="31"/>
        <v>593.60807915301245</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1168</v>
      </c>
      <c r="E45" s="49"/>
      <c r="F45" s="93">
        <f t="shared" ref="F45:Y45" si="33">F44*$D$2</f>
        <v>1167.9999999999998</v>
      </c>
      <c r="G45" s="49">
        <f t="shared" si="33"/>
        <v>1685.9749999999999</v>
      </c>
      <c r="H45" s="49">
        <f t="shared" si="33"/>
        <v>0</v>
      </c>
      <c r="I45" s="49">
        <f t="shared" si="33"/>
        <v>1685.9749999999999</v>
      </c>
      <c r="J45" s="49">
        <f t="shared" si="33"/>
        <v>1377.8500949999998</v>
      </c>
      <c r="K45" s="49">
        <f t="shared" si="33"/>
        <v>3063.8250950000001</v>
      </c>
      <c r="L45" s="49">
        <f t="shared" si="33"/>
        <v>1177.4216250000002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264.68364003024931</v>
      </c>
      <c r="G50" s="49">
        <f t="shared" si="36"/>
        <v>4089.9</v>
      </c>
      <c r="H50" s="49">
        <f t="shared" si="36"/>
        <v>4.7100000000000009</v>
      </c>
      <c r="I50" s="49">
        <f t="shared" si="36"/>
        <v>4094.6099999999997</v>
      </c>
      <c r="J50" s="49">
        <f t="shared" si="36"/>
        <v>1563.0520166372571</v>
      </c>
      <c r="K50" s="49">
        <f t="shared" si="36"/>
        <v>5657.6620166372577</v>
      </c>
      <c r="L50" s="49">
        <f t="shared" si="36"/>
        <v>557.08364003024963</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4387.01</v>
      </c>
      <c r="AL50" s="49">
        <f t="shared" si="37"/>
        <v>1005.9683766070077</v>
      </c>
      <c r="AM50" s="93">
        <f t="shared" si="37"/>
        <v>5392.9783766070068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525</v>
      </c>
      <c r="E51" s="49">
        <f>E42</f>
        <v>57699</v>
      </c>
      <c r="F51" s="93">
        <f t="shared" ref="F51:AH51" si="38">F50*$D$2</f>
        <v>524.99999999999955</v>
      </c>
      <c r="G51" s="49">
        <f t="shared" si="38"/>
        <v>8112.3166500000007</v>
      </c>
      <c r="H51" s="49">
        <f t="shared" si="38"/>
        <v>9.3422850000000022</v>
      </c>
      <c r="I51" s="49">
        <f t="shared" si="38"/>
        <v>8121.6589349999995</v>
      </c>
      <c r="J51" s="49">
        <f t="shared" si="38"/>
        <v>3100.3136749999994</v>
      </c>
      <c r="K51" s="49">
        <f t="shared" si="38"/>
        <v>11221.972610000001</v>
      </c>
      <c r="L51" s="49">
        <f t="shared" si="38"/>
        <v>1104.9754000000003</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8701.6343350000006</v>
      </c>
      <c r="AL51" s="49">
        <f t="shared" si="39"/>
        <v>1995.3382749999998</v>
      </c>
      <c r="AM51" s="352">
        <f t="shared" si="39"/>
        <v>10696.972609999999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5" t="s">
        <v>217</v>
      </c>
      <c r="L2" s="765"/>
      <c r="M2" s="765"/>
      <c r="N2" s="765"/>
      <c r="O2" s="765"/>
      <c r="P2" s="765"/>
      <c r="Q2" s="765"/>
      <c r="R2" s="765"/>
      <c r="S2" s="765"/>
      <c r="T2" s="765"/>
      <c r="U2" s="765"/>
      <c r="V2" s="765"/>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525</v>
      </c>
      <c r="E13" s="49">
        <f>FEB!E51</f>
        <v>57699</v>
      </c>
      <c r="F13" s="93">
        <f>FEB!F50</f>
        <v>264.68364003024931</v>
      </c>
      <c r="G13" s="49">
        <f>FEB!G50</f>
        <v>4089.9</v>
      </c>
      <c r="H13" s="125">
        <f>FEB!H50</f>
        <v>4.7100000000000009</v>
      </c>
      <c r="I13" s="49">
        <f>FEB!I50</f>
        <v>4094.6099999999997</v>
      </c>
      <c r="J13" s="49">
        <f>FEB!J50</f>
        <v>1563.0520166372571</v>
      </c>
      <c r="K13" s="49">
        <f>FEB!K50</f>
        <v>5657.6620166372577</v>
      </c>
      <c r="L13" s="49">
        <f>FEB!L50</f>
        <v>557.08364003024963</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4387.01</v>
      </c>
      <c r="AL13" s="49">
        <f>FEB!AL50</f>
        <v>1005.9683766070077</v>
      </c>
      <c r="AM13" s="49">
        <f>FEB!AM50</f>
        <v>5392.9783766070068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2696.2440131081421</v>
      </c>
      <c r="G53" s="49">
        <f t="shared" si="38"/>
        <v>6244.2000000000007</v>
      </c>
      <c r="H53" s="49">
        <f t="shared" si="38"/>
        <v>129.89000000000001</v>
      </c>
      <c r="I53" s="49">
        <f t="shared" si="38"/>
        <v>6374.09</v>
      </c>
      <c r="J53" s="49">
        <f t="shared" si="38"/>
        <v>2889.3508898411892</v>
      </c>
      <c r="K53" s="49">
        <f t="shared" si="38"/>
        <v>9263.4408898411893</v>
      </c>
      <c r="L53" s="49">
        <f t="shared" si="38"/>
        <v>1649.0140131081423</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5326.8600000000006</v>
      </c>
      <c r="AL53" s="49">
        <f t="shared" si="40"/>
        <v>1240.3368767330476</v>
      </c>
      <c r="AM53" s="93">
        <f t="shared" si="40"/>
        <v>6567.1968767330463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5348</v>
      </c>
      <c r="E54" s="49">
        <f>E45</f>
        <v>62522</v>
      </c>
      <c r="F54" s="93">
        <f t="shared" ref="F54:AH54" si="41">F53*$D$2</f>
        <v>5348</v>
      </c>
      <c r="G54" s="49">
        <f t="shared" si="41"/>
        <v>12385.370700000001</v>
      </c>
      <c r="H54" s="49">
        <f t="shared" si="41"/>
        <v>257.63681500000001</v>
      </c>
      <c r="I54" s="49">
        <f t="shared" si="41"/>
        <v>12643.007515000001</v>
      </c>
      <c r="J54" s="49">
        <f t="shared" si="41"/>
        <v>5731.0274899999986</v>
      </c>
      <c r="K54" s="49">
        <f t="shared" si="41"/>
        <v>18374.035004999998</v>
      </c>
      <c r="L54" s="49">
        <f t="shared" si="41"/>
        <v>3270.8192950000002</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10565.82681</v>
      </c>
      <c r="AL54" s="49">
        <f t="shared" si="43"/>
        <v>2460.2081949999997</v>
      </c>
      <c r="AM54" s="352">
        <f t="shared" si="43"/>
        <v>13026.035004999998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8" t="s">
        <v>218</v>
      </c>
      <c r="L2" s="768"/>
      <c r="M2" s="768"/>
      <c r="N2" s="768"/>
      <c r="O2" s="768"/>
      <c r="P2" s="768"/>
      <c r="Q2" s="768"/>
      <c r="R2" s="768"/>
      <c r="S2" s="768"/>
      <c r="T2" s="768"/>
      <c r="U2" s="768"/>
      <c r="V2" s="768"/>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6" t="s">
        <v>124</v>
      </c>
      <c r="AH5" s="767"/>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9"/>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5348</v>
      </c>
      <c r="E13" s="56">
        <f>MAR!E54</f>
        <v>62522</v>
      </c>
      <c r="F13" s="147">
        <f>MAR!F53</f>
        <v>2696.2440131081421</v>
      </c>
      <c r="G13" s="56">
        <f>MAR!G53</f>
        <v>6244.2000000000007</v>
      </c>
      <c r="H13" s="56">
        <f>MAR!H53</f>
        <v>129.89000000000001</v>
      </c>
      <c r="I13" s="56">
        <f>MAR!I53</f>
        <v>6374.09</v>
      </c>
      <c r="J13" s="56">
        <f>MAR!J53</f>
        <v>2889.3508898411892</v>
      </c>
      <c r="K13" s="56">
        <f>MAR!K53</f>
        <v>9263.4408898411893</v>
      </c>
      <c r="L13" s="56">
        <f>MAR!L53</f>
        <v>1649.0140131081423</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5326.8600000000006</v>
      </c>
      <c r="AM13" s="56">
        <f>MAR!AL53</f>
        <v>1240.3368767330476</v>
      </c>
      <c r="AN13" s="56">
        <f>MAR!AM53</f>
        <v>6567.1968767330463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8"/>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50">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1">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13452.987143937486</v>
      </c>
      <c r="G52" s="56">
        <f t="shared" si="48"/>
        <v>19198.900000000001</v>
      </c>
      <c r="H52" s="56">
        <f t="shared" si="48"/>
        <v>523.18000000000006</v>
      </c>
      <c r="I52" s="56">
        <f t="shared" si="48"/>
        <v>19722.079999999998</v>
      </c>
      <c r="J52" s="56">
        <f t="shared" si="48"/>
        <v>3539.1150995714638</v>
      </c>
      <c r="K52" s="56">
        <f t="shared" si="48"/>
        <v>23261.195099571465</v>
      </c>
      <c r="L52" s="56">
        <f t="shared" si="48"/>
        <v>2174.6771439374843</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8443.77</v>
      </c>
      <c r="AM52" s="56">
        <f>AM13+AM46</f>
        <v>1364.4379556339802</v>
      </c>
      <c r="AN52" s="147">
        <f>AN13+AN46</f>
        <v>9808.2079556339795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26684</v>
      </c>
      <c r="E53" s="337">
        <f>E44</f>
        <v>83858</v>
      </c>
      <c r="F53" s="338">
        <f t="shared" ref="F53:AN53" si="50">F52*$D$2</f>
        <v>26684.000000000004</v>
      </c>
      <c r="G53" s="56">
        <f t="shared" si="50"/>
        <v>38081.018150000004</v>
      </c>
      <c r="H53" s="56">
        <f t="shared" si="50"/>
        <v>1037.7275300000001</v>
      </c>
      <c r="I53" s="56">
        <f t="shared" si="50"/>
        <v>39118.74568</v>
      </c>
      <c r="J53" s="56">
        <f t="shared" si="50"/>
        <v>7019.8347999999987</v>
      </c>
      <c r="K53" s="56">
        <f t="shared" si="50"/>
        <v>46138.580480000004</v>
      </c>
      <c r="L53" s="56">
        <f t="shared" si="50"/>
        <v>4313.4721150000005</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16748.217795</v>
      </c>
      <c r="AM53" s="56">
        <f t="shared" si="50"/>
        <v>2706.3626849999996</v>
      </c>
      <c r="AN53" s="338">
        <f t="shared" si="50"/>
        <v>19454.580480000001</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2"/>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3"/>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5" t="s">
        <v>219</v>
      </c>
      <c r="L2" s="765"/>
      <c r="M2" s="765"/>
      <c r="N2" s="765"/>
      <c r="O2" s="765"/>
      <c r="P2" s="765"/>
      <c r="Q2" s="765"/>
      <c r="R2" s="765"/>
      <c r="S2" s="765"/>
      <c r="T2" s="765"/>
      <c r="U2" s="765"/>
      <c r="V2" s="765"/>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4"/>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26684</v>
      </c>
      <c r="E13" s="49">
        <f>APR!E53</f>
        <v>83858</v>
      </c>
      <c r="F13" s="49">
        <f>APR!F52</f>
        <v>13452.987143937486</v>
      </c>
      <c r="G13" s="189">
        <f>APR!G52</f>
        <v>19198.900000000001</v>
      </c>
      <c r="H13" s="36">
        <f>APR!H52</f>
        <v>523.18000000000006</v>
      </c>
      <c r="I13" s="49">
        <f>APR!I52</f>
        <v>19722.079999999998</v>
      </c>
      <c r="J13" s="49">
        <f>APR!J52</f>
        <v>3539.1150995714638</v>
      </c>
      <c r="K13" s="49">
        <f>APR!K52</f>
        <v>23261.195099571465</v>
      </c>
      <c r="L13" s="49">
        <f>APR!L52</f>
        <v>2174.6771439374843</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8443.77</v>
      </c>
      <c r="AM13" s="49">
        <f>APR!AM52</f>
        <v>1364.4379556339802</v>
      </c>
      <c r="AN13" s="49">
        <f>APR!AN52</f>
        <v>9808.2079556339795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22066.044870178979</v>
      </c>
      <c r="G53" s="189">
        <f t="shared" si="60"/>
        <v>40133.9</v>
      </c>
      <c r="H53" s="49">
        <f t="shared" si="60"/>
        <v>548.71</v>
      </c>
      <c r="I53" s="49">
        <f t="shared" si="60"/>
        <v>40682.61</v>
      </c>
      <c r="J53" s="49">
        <f t="shared" si="60"/>
        <v>4088.1625157549779</v>
      </c>
      <c r="K53" s="49">
        <f t="shared" si="60"/>
        <v>44770.772515754979</v>
      </c>
      <c r="L53" s="49">
        <f t="shared" si="60"/>
        <v>2335.5048701789765</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20952.07</v>
      </c>
      <c r="AM53" s="49">
        <f t="shared" si="61"/>
        <v>1752.6576455760019</v>
      </c>
      <c r="AN53" s="93">
        <f t="shared" si="61"/>
        <v>22704.727645576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43768</v>
      </c>
      <c r="E54" s="49">
        <f>E45</f>
        <v>100942</v>
      </c>
      <c r="F54" s="49">
        <f t="shared" ref="F54:Y54" si="62">F53*$D$2</f>
        <v>43768.000000000007</v>
      </c>
      <c r="G54" s="189">
        <f t="shared" si="62"/>
        <v>79605.590649999998</v>
      </c>
      <c r="H54" s="49">
        <f t="shared" si="62"/>
        <v>1088.3662850000001</v>
      </c>
      <c r="I54" s="49">
        <f t="shared" si="62"/>
        <v>80693.956935000009</v>
      </c>
      <c r="J54" s="49">
        <f t="shared" si="62"/>
        <v>8108.8703499999992</v>
      </c>
      <c r="K54" s="49">
        <f t="shared" si="62"/>
        <v>88802.827285000007</v>
      </c>
      <c r="L54" s="49">
        <f t="shared" si="62"/>
        <v>4632.4739099999997</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41558.430845000003</v>
      </c>
      <c r="AM54" s="49">
        <f t="shared" si="63"/>
        <v>3476.39644</v>
      </c>
      <c r="AN54" s="352">
        <f t="shared" si="63"/>
        <v>45034.827284999999</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O8" sqref="O8"/>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5"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4" t="s">
        <v>220</v>
      </c>
      <c r="L2" s="764"/>
      <c r="M2" s="764"/>
      <c r="N2" s="764"/>
      <c r="O2" s="764"/>
      <c r="P2" s="764"/>
      <c r="Q2" s="764"/>
      <c r="R2" s="764"/>
      <c r="S2" s="764"/>
      <c r="T2" s="764"/>
      <c r="U2" s="764"/>
      <c r="V2" s="764"/>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4"/>
      <c r="AU4" s="682" t="s">
        <v>54</v>
      </c>
      <c r="AV4" s="658"/>
      <c r="AW4" s="658"/>
      <c r="AX4" s="658"/>
      <c r="AY4" s="658"/>
      <c r="AZ4" s="634"/>
      <c r="BA4" s="632"/>
      <c r="BB4" s="756"/>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9" t="s">
        <v>137</v>
      </c>
      <c r="AH5" s="770"/>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7"/>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7"/>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43768</v>
      </c>
      <c r="E13" s="56">
        <f>MAY!E54</f>
        <v>100942</v>
      </c>
      <c r="F13" s="338">
        <f>MAY!F53</f>
        <v>22066.044870178979</v>
      </c>
      <c r="G13" s="56">
        <f>MAY!G53</f>
        <v>40133.9</v>
      </c>
      <c r="H13" s="56">
        <f>MAY!H53</f>
        <v>548.71</v>
      </c>
      <c r="I13" s="56">
        <f>MAY!I53</f>
        <v>40682.61</v>
      </c>
      <c r="J13" s="56">
        <f>MAY!J53</f>
        <v>4088.1625157549779</v>
      </c>
      <c r="K13" s="56">
        <f>MAY!K53</f>
        <v>44770.772515754979</v>
      </c>
      <c r="L13" s="294">
        <f>MAY!L53</f>
        <v>2335.5048701789765</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20952.07</v>
      </c>
      <c r="AM13" s="56">
        <f>MAY!AM53</f>
        <v>1752.6576455760019</v>
      </c>
      <c r="AN13" s="56">
        <f>MAY!AN53</f>
        <v>22704.727645576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8"/>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518.96734837678684</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16954.707999999999</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8"/>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23436.854045878503</v>
      </c>
      <c r="G52" s="56">
        <f t="shared" si="56"/>
        <v>57218.9</v>
      </c>
      <c r="H52" s="56">
        <f t="shared" si="56"/>
        <v>552.06000000000006</v>
      </c>
      <c r="I52" s="56">
        <f t="shared" si="56"/>
        <v>57770.96</v>
      </c>
      <c r="J52" s="56">
        <f t="shared" si="56"/>
        <v>4245.5994706327192</v>
      </c>
      <c r="K52" s="56">
        <f t="shared" si="56"/>
        <v>62016.559470632725</v>
      </c>
      <c r="L52" s="56">
        <f t="shared" si="56"/>
        <v>1556.6640458784968</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35890.770000000004</v>
      </c>
      <c r="AM52" s="56">
        <f t="shared" si="58"/>
        <v>2688.9354247542224</v>
      </c>
      <c r="AN52" s="147">
        <f t="shared" si="58"/>
        <v>38579.705424754226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46487</v>
      </c>
      <c r="E53" s="56">
        <f>E44</f>
        <v>103661</v>
      </c>
      <c r="F53" s="147">
        <f t="shared" ref="F53:P53" si="59">F52*$D$2</f>
        <v>46487.000000000015</v>
      </c>
      <c r="G53" s="56">
        <f t="shared" si="59"/>
        <v>113493.68815</v>
      </c>
      <c r="H53" s="56">
        <f t="shared" si="59"/>
        <v>1095.0110100000002</v>
      </c>
      <c r="I53" s="56">
        <f t="shared" si="59"/>
        <v>114588.69916</v>
      </c>
      <c r="J53" s="56">
        <f t="shared" si="59"/>
        <v>8421.1465499999995</v>
      </c>
      <c r="K53" s="56">
        <f t="shared" si="59"/>
        <v>123009.84571000001</v>
      </c>
      <c r="L53" s="56">
        <f t="shared" si="59"/>
        <v>3087.6431349999984</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71189.342295000009</v>
      </c>
      <c r="AM53" s="56">
        <f t="shared" si="61"/>
        <v>5333.5034150000001</v>
      </c>
      <c r="AN53" s="338">
        <f t="shared" si="61"/>
        <v>76522.845710000009</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8"/>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9"/>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60"/>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60"/>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4" t="s">
        <v>221</v>
      </c>
      <c r="L2" s="764"/>
      <c r="M2" s="764"/>
      <c r="N2" s="764"/>
      <c r="O2" s="764"/>
      <c r="P2" s="764"/>
      <c r="Q2" s="764"/>
      <c r="R2" s="764"/>
      <c r="S2" s="764"/>
      <c r="T2" s="764"/>
      <c r="U2" s="764"/>
      <c r="V2" s="764"/>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46487</v>
      </c>
      <c r="E13" s="49">
        <f>JUN!E53</f>
        <v>103661</v>
      </c>
      <c r="F13" s="93">
        <f>JUN!F52</f>
        <v>23436.854045878503</v>
      </c>
      <c r="G13" s="49">
        <f>JUN!G52</f>
        <v>57218.9</v>
      </c>
      <c r="H13" s="49">
        <f>JUN!H52</f>
        <v>552.06000000000006</v>
      </c>
      <c r="I13" s="49">
        <f>JUN!I52</f>
        <v>57770.96</v>
      </c>
      <c r="J13" s="49">
        <f>JUN!J52</f>
        <v>4245.5994706327192</v>
      </c>
      <c r="K13" s="49">
        <f>JUN!K52</f>
        <v>62016.559470632725</v>
      </c>
      <c r="L13" s="93">
        <f>JUN!L52</f>
        <v>1556.6640458784968</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35890.770000000004</v>
      </c>
      <c r="AO13" s="49">
        <f>JUN!AM52</f>
        <v>2688.9354247542224</v>
      </c>
      <c r="AP13" s="93">
        <f>JUN!AN52</f>
        <v>38579.705424754226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1">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-178.0714393748425</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v>
      </c>
      <c r="AI40" s="108">
        <v>1.7</v>
      </c>
      <c r="AJ40" s="177">
        <v>1.3</v>
      </c>
      <c r="AK40" s="41">
        <v>27.5</v>
      </c>
      <c r="AL40" s="49">
        <f t="shared" si="30"/>
        <v>5897.8792387194499</v>
      </c>
      <c r="AM40" s="49"/>
      <c r="AN40" s="149">
        <f t="shared" si="20"/>
        <v>418.7</v>
      </c>
      <c r="AO40" s="41">
        <f t="shared" si="5"/>
        <v>178.0714393748425</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-1440.7699016889337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3942.5</v>
      </c>
      <c r="AI47" s="184">
        <f>SUM(AI15:AI45)</f>
        <v>52.700000000000024</v>
      </c>
      <c r="AJ47" s="185">
        <f>SUM(AJ15:AJ45)</f>
        <v>40.29999999999999</v>
      </c>
      <c r="AK47" s="49">
        <f>SUM(AK15:AK45)</f>
        <v>1316.5999999999997</v>
      </c>
      <c r="AL47" s="49"/>
      <c r="AM47" s="49">
        <f t="shared" ref="AM47:AV47" si="52">SUM(AM15:AM45)</f>
        <v>0</v>
      </c>
      <c r="AN47" s="49">
        <f t="shared" si="52"/>
        <v>17399.100000000002</v>
      </c>
      <c r="AO47" s="49">
        <f t="shared" si="52"/>
        <v>1440.7699016889337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-2857.7671</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7819.9487500000005</v>
      </c>
      <c r="AI48" s="94">
        <f t="shared" si="55"/>
        <v>104.53045000000004</v>
      </c>
      <c r="AJ48" s="95">
        <f t="shared" si="55"/>
        <v>79.935049999999976</v>
      </c>
      <c r="AK48" s="49">
        <f t="shared" si="55"/>
        <v>2611.4760999999994</v>
      </c>
      <c r="AL48" s="49"/>
      <c r="AM48" s="49">
        <f t="shared" ref="AM48:AU48" si="56">AM47*$D$2</f>
        <v>0</v>
      </c>
      <c r="AN48" s="49">
        <f t="shared" si="56"/>
        <v>34511.114850000005</v>
      </c>
      <c r="AO48" s="49">
        <f t="shared" si="56"/>
        <v>2857.7671</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-1533.119868918579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9306</v>
      </c>
      <c r="AI50" s="94">
        <f>AI12+AI47</f>
        <v>207.40000000000009</v>
      </c>
      <c r="AJ50" s="95">
        <f>AJ12+AJ47</f>
        <v>158.59999999999997</v>
      </c>
      <c r="AK50" s="49">
        <f t="shared" ref="AK50" si="58">AK12+AK47</f>
        <v>3130.8799999999992</v>
      </c>
      <c r="AL50" s="49"/>
      <c r="AM50" s="49">
        <f t="shared" ref="AM50:AT50" si="59">AM12+AM47</f>
        <v>0</v>
      </c>
      <c r="AN50" s="49">
        <f t="shared" si="59"/>
        <v>47963.010000000009</v>
      </c>
      <c r="AO50" s="49">
        <f t="shared" si="59"/>
        <v>2889.368449710109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-3040.9432600000014</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18458.451000000001</v>
      </c>
      <c r="AI51" s="94">
        <f>AI50*$D$2</f>
        <v>411.37790000000018</v>
      </c>
      <c r="AJ51" s="95">
        <f>AJ50*$D$2</f>
        <v>314.58309999999994</v>
      </c>
      <c r="AK51" s="49">
        <f t="shared" ref="AK51" si="61">AK50*$D$2</f>
        <v>6210.1004799999982</v>
      </c>
      <c r="AL51" s="49"/>
      <c r="AM51" s="49">
        <f t="shared" si="60"/>
        <v>0</v>
      </c>
      <c r="AN51" s="49">
        <f t="shared" si="60"/>
        <v>95134.630335000023</v>
      </c>
      <c r="AO51" s="49">
        <f t="shared" si="60"/>
        <v>5731.0623200000009</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7658.6841441895704</v>
      </c>
      <c r="G53" s="49">
        <f t="shared" si="63"/>
        <v>60280.600000000006</v>
      </c>
      <c r="H53" s="49">
        <f t="shared" si="63"/>
        <v>552.06000000000006</v>
      </c>
      <c r="I53" s="49">
        <f t="shared" si="63"/>
        <v>60832.66</v>
      </c>
      <c r="J53" s="49">
        <f t="shared" si="63"/>
        <v>4245.5994706327192</v>
      </c>
      <c r="K53" s="49">
        <f t="shared" si="63"/>
        <v>65078.259470632729</v>
      </c>
      <c r="L53" s="93">
        <f t="shared" si="63"/>
        <v>115.89414418956312</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53289.87000000001</v>
      </c>
      <c r="AO53" s="49">
        <f t="shared" si="64"/>
        <v>4129.7053264431561</v>
      </c>
      <c r="AP53" s="353">
        <f t="shared" si="64"/>
        <v>57419.575326443155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15191</v>
      </c>
      <c r="E54" s="49">
        <f>E45</f>
        <v>72365</v>
      </c>
      <c r="F54" s="93">
        <f t="shared" ref="F54:AL54" si="65">F53*$D$2</f>
        <v>15191.000000000013</v>
      </c>
      <c r="G54" s="49">
        <f t="shared" si="65"/>
        <v>119566.57010000001</v>
      </c>
      <c r="H54" s="49">
        <f t="shared" si="65"/>
        <v>1095.0110100000002</v>
      </c>
      <c r="I54" s="49">
        <f t="shared" si="65"/>
        <v>120661.58111000001</v>
      </c>
      <c r="J54" s="49">
        <f t="shared" si="65"/>
        <v>8421.1465499999995</v>
      </c>
      <c r="K54" s="49">
        <f t="shared" si="65"/>
        <v>129082.72766000002</v>
      </c>
      <c r="L54" s="93">
        <f t="shared" si="65"/>
        <v>229.87603499999847</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105700.45714500002</v>
      </c>
      <c r="AO54" s="49">
        <f t="shared" si="66"/>
        <v>8191.2705150000002</v>
      </c>
      <c r="AP54" s="352">
        <f t="shared" si="66"/>
        <v>113891.72766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0.59344299768518527</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O8" sqref="O8"/>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4" t="s">
        <v>222</v>
      </c>
      <c r="L2" s="764"/>
      <c r="M2" s="764"/>
      <c r="N2" s="764"/>
      <c r="O2" s="764"/>
      <c r="P2" s="764"/>
      <c r="Q2" s="764"/>
      <c r="R2" s="764"/>
      <c r="S2" s="764"/>
      <c r="T2" s="764"/>
      <c r="U2" s="764"/>
      <c r="V2" s="764"/>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-1533.119868918579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9306</v>
      </c>
      <c r="AI12" s="73">
        <f>JUL!AI50</f>
        <v>207.40000000000009</v>
      </c>
      <c r="AJ12" s="186">
        <f>JUL!AJ50</f>
        <v>158.59999999999997</v>
      </c>
      <c r="AK12" s="43">
        <f>JUL!AK50</f>
        <v>3130.8799999999992</v>
      </c>
      <c r="AL12" s="43"/>
      <c r="AM12" s="43"/>
      <c r="AN12" s="43">
        <f>JUL!AN50</f>
        <v>47963.010000000009</v>
      </c>
      <c r="AO12" s="43">
        <f>JUL!AO50</f>
        <v>2889.368449710109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15191</v>
      </c>
      <c r="E13" s="43">
        <f>JUL!E54</f>
        <v>72365</v>
      </c>
      <c r="F13" s="71">
        <f>JUL!F53</f>
        <v>7658.6841441895704</v>
      </c>
      <c r="G13" s="43">
        <f>JUL!G53</f>
        <v>60280.600000000006</v>
      </c>
      <c r="H13" s="43">
        <f>JUL!H53</f>
        <v>552.06000000000006</v>
      </c>
      <c r="I13" s="43">
        <f>JUL!I53</f>
        <v>60832.66</v>
      </c>
      <c r="J13" s="43">
        <f>JUL!J53</f>
        <v>4245.5994706327192</v>
      </c>
      <c r="K13" s="43">
        <f>JUL!K53</f>
        <v>65078.259470632729</v>
      </c>
      <c r="L13" s="530">
        <f>JUL!L53</f>
        <v>115.89414418956312</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18458.451000000001</v>
      </c>
      <c r="AI13" s="94">
        <f>AI12</f>
        <v>207.40000000000009</v>
      </c>
      <c r="AJ13" s="95">
        <f>AJ12</f>
        <v>158.59999999999997</v>
      </c>
      <c r="AK13" s="43">
        <f>JUL!AK53</f>
        <v>6854.6699999999983</v>
      </c>
      <c r="AL13" s="43">
        <f>JUL!AL53</f>
        <v>5664.1792387194491</v>
      </c>
      <c r="AM13" s="43">
        <f>JUL!AM53</f>
        <v>0</v>
      </c>
      <c r="AN13" s="43">
        <f>JUL!AN53</f>
        <v>53289.87000000001</v>
      </c>
      <c r="AO13" s="43">
        <f>JUL!AO53</f>
        <v>4129.7053264431561</v>
      </c>
      <c r="AP13" s="43">
        <f>JUL!AP53</f>
        <v>57419.575326443155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-52.775598689185756</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M31+V29+W29+AH29+AK29</f>
        <v>508.09999999999997</v>
      </c>
      <c r="AO29" s="84">
        <f t="shared" si="19"/>
        <v>52.775598689185756</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-9.0218805142425254</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ref="AN30:AN33" si="38">M32+V30+W30+AH30+AK30</f>
        <v>522.9</v>
      </c>
      <c r="AO30" s="84">
        <f t="shared" si="19"/>
        <v>9.0218805142425254</v>
      </c>
      <c r="AP30" s="84">
        <f>AN30+AO30</f>
        <v>531.9218805142425</v>
      </c>
      <c r="AQ30" s="126">
        <v>0</v>
      </c>
      <c r="AR30" s="41">
        <f t="shared" ref="AR30:AR36" si="39">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-19.884446685152454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38"/>
        <v>507.6</v>
      </c>
      <c r="AO31" s="84">
        <f t="shared" si="19"/>
        <v>19.884446685152454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-15.721527602722404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38"/>
        <v>535</v>
      </c>
      <c r="AO32" s="84">
        <f t="shared" si="19"/>
        <v>15.721527602722404</v>
      </c>
      <c r="AP32" s="84">
        <f t="shared" si="4"/>
        <v>550.7215276027224</v>
      </c>
      <c r="AQ32" s="126">
        <v>0</v>
      </c>
      <c r="AR32" s="41">
        <f t="shared" si="39"/>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13.811570456264178</v>
      </c>
      <c r="K33" s="84">
        <f t="shared" si="3"/>
        <v>38.211570456264177</v>
      </c>
      <c r="L33" s="84">
        <f t="shared" si="13"/>
        <v>13.811570456264178</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38"/>
        <v>545.9</v>
      </c>
      <c r="AO33" s="84">
        <f t="shared" si="19"/>
        <v>0</v>
      </c>
      <c r="AP33" s="84">
        <f t="shared" si="4"/>
        <v>545.9</v>
      </c>
      <c r="AQ33" s="126">
        <v>0</v>
      </c>
      <c r="AR33" s="41">
        <f t="shared" si="39"/>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9"/>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9"/>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9"/>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40">(1.0888*1.06)*1.04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40"/>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40"/>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1">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40"/>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1"/>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40"/>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40"/>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1"/>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1"/>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2">(1.049*1.06)*1.04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1"/>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2"/>
        <v>1.1564175999999999</v>
      </c>
      <c r="U45" s="124">
        <v>0</v>
      </c>
      <c r="V45" s="84">
        <v>109</v>
      </c>
      <c r="W45" s="84">
        <v>71.8</v>
      </c>
      <c r="X45" s="41">
        <f t="shared" si="15"/>
        <v>308.06035115899988</v>
      </c>
      <c r="Y45" s="41">
        <f t="shared" ref="Y45" si="43">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1"/>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4">SUM(F15:F45)</f>
        <v>-15392.488026216281</v>
      </c>
      <c r="G47" s="43">
        <f t="shared" si="44"/>
        <v>1729.6999999999998</v>
      </c>
      <c r="H47" s="43">
        <f t="shared" si="44"/>
        <v>2.0299999999999998</v>
      </c>
      <c r="I47" s="43">
        <f t="shared" si="44"/>
        <v>1731.73</v>
      </c>
      <c r="J47" s="43">
        <f t="shared" si="44"/>
        <v>38.512528358961447</v>
      </c>
      <c r="K47" s="43">
        <f t="shared" si="44"/>
        <v>1770.2425283589614</v>
      </c>
      <c r="L47" s="43">
        <f t="shared" si="44"/>
        <v>-859.91802621628403</v>
      </c>
      <c r="M47" s="73">
        <f>SUM(M15:M45)</f>
        <v>5909</v>
      </c>
      <c r="N47" s="43">
        <f>SUM(N15:N45)</f>
        <v>5.3</v>
      </c>
      <c r="O47" s="43">
        <f t="shared" si="44"/>
        <v>1385.37</v>
      </c>
      <c r="P47" s="43">
        <f>SUM(P15:P45)</f>
        <v>0</v>
      </c>
      <c r="Q47" s="43">
        <f>SUM(Q15:Q45)</f>
        <v>105.48778653750026</v>
      </c>
      <c r="R47" s="43">
        <f t="shared" si="44"/>
        <v>127.02140608000006</v>
      </c>
      <c r="S47" s="43">
        <f t="shared" ref="S47:X47" si="45">SUM(S15:S45)</f>
        <v>21.755487519999992</v>
      </c>
      <c r="T47" s="43">
        <f>SUM(T15:T45)</f>
        <v>38.939523999999992</v>
      </c>
      <c r="U47" s="186">
        <f t="shared" si="45"/>
        <v>0</v>
      </c>
      <c r="V47" s="43">
        <f t="shared" si="45"/>
        <v>3519</v>
      </c>
      <c r="W47" s="43">
        <f t="shared" si="45"/>
        <v>2206.2000000000003</v>
      </c>
      <c r="X47" s="43">
        <f t="shared" si="45"/>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6">SUM(AM15:AM45)</f>
        <v>0</v>
      </c>
      <c r="AN47" s="43">
        <f t="shared" si="46"/>
        <v>16264.3</v>
      </c>
      <c r="AO47" s="43">
        <f t="shared" si="46"/>
        <v>898.43055457524542</v>
      </c>
      <c r="AP47" s="43">
        <f t="shared" si="46"/>
        <v>17162.730554575246</v>
      </c>
      <c r="AQ47" s="529">
        <f t="shared" si="46"/>
        <v>0</v>
      </c>
      <c r="AR47" s="56">
        <f>AR45</f>
        <v>2587.196410783898</v>
      </c>
      <c r="AS47" s="43">
        <f t="shared" si="46"/>
        <v>0</v>
      </c>
      <c r="AT47" s="43">
        <f t="shared" si="46"/>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7">F47*$D$2</f>
        <v>-30530.999999999993</v>
      </c>
      <c r="G48" s="43">
        <f t="shared" si="47"/>
        <v>3430.8599499999996</v>
      </c>
      <c r="H48" s="43">
        <f t="shared" si="47"/>
        <v>4.0265049999999993</v>
      </c>
      <c r="I48" s="43">
        <f t="shared" si="47"/>
        <v>3434.8864550000003</v>
      </c>
      <c r="J48" s="43">
        <f t="shared" si="47"/>
        <v>76.38960000000003</v>
      </c>
      <c r="K48" s="43">
        <f t="shared" si="47"/>
        <v>3511.2760549999998</v>
      </c>
      <c r="L48" s="43">
        <f t="shared" si="47"/>
        <v>-1705.6474049999995</v>
      </c>
      <c r="M48" s="73">
        <f t="shared" si="47"/>
        <v>11720.5015</v>
      </c>
      <c r="N48" s="43">
        <f t="shared" si="47"/>
        <v>10.512549999999999</v>
      </c>
      <c r="O48" s="43">
        <f t="shared" si="47"/>
        <v>2747.8813949999999</v>
      </c>
      <c r="P48" s="43">
        <f t="shared" si="47"/>
        <v>0</v>
      </c>
      <c r="Q48" s="43">
        <f>Q47*$D$2</f>
        <v>209.23502459713177</v>
      </c>
      <c r="R48" s="43">
        <f t="shared" si="47"/>
        <v>251.94695895968013</v>
      </c>
      <c r="S48" s="43">
        <f t="shared" ref="S48:Y48" si="48">S47*$D$2</f>
        <v>43.152009495919984</v>
      </c>
      <c r="T48" s="43">
        <f t="shared" si="48"/>
        <v>77.236545853999985</v>
      </c>
      <c r="U48" s="186">
        <f t="shared" si="48"/>
        <v>0</v>
      </c>
      <c r="V48" s="43">
        <f t="shared" si="48"/>
        <v>6979.9364999999998</v>
      </c>
      <c r="W48" s="43">
        <f t="shared" si="48"/>
        <v>4375.9977000000008</v>
      </c>
      <c r="X48" s="43">
        <f t="shared" si="48"/>
        <v>22248.822811741829</v>
      </c>
      <c r="Y48" s="49">
        <f t="shared" si="48"/>
        <v>22248.822811741829</v>
      </c>
      <c r="Z48" s="43"/>
      <c r="AA48" s="49">
        <f t="shared" ref="AA48" si="49">AA47*$D$2</f>
        <v>15590.822485153194</v>
      </c>
      <c r="AB48" s="43"/>
      <c r="AE48" s="397"/>
      <c r="AF48" s="397">
        <f>AF47*$D$2</f>
        <v>0</v>
      </c>
      <c r="AG48" s="43">
        <f>AG47*$D$2</f>
        <v>0</v>
      </c>
      <c r="AH48" s="43">
        <f t="shared" ref="AH48:AP48" si="50">AH47*$D$2</f>
        <v>6598.5094499999996</v>
      </c>
      <c r="AI48" s="73">
        <f>AI47*$D$2</f>
        <v>104.53045000000004</v>
      </c>
      <c r="AJ48" s="186">
        <f>AJ47*$D$2</f>
        <v>79.935049999999976</v>
      </c>
      <c r="AK48" s="43">
        <f t="shared" si="50"/>
        <v>2515.8713999999995</v>
      </c>
      <c r="AL48" s="43"/>
      <c r="AM48" s="43">
        <f t="shared" si="50"/>
        <v>0</v>
      </c>
      <c r="AN48" s="43">
        <f t="shared" si="50"/>
        <v>32260.23905</v>
      </c>
      <c r="AO48" s="43">
        <f t="shared" si="50"/>
        <v>1782.0370049999992</v>
      </c>
      <c r="AP48" s="43">
        <f t="shared" si="50"/>
        <v>34042.276055000002</v>
      </c>
      <c r="AQ48" s="529">
        <f t="shared" ref="AQ48" si="51">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2">F12+F47</f>
        <v>-10430.047895134856</v>
      </c>
      <c r="G50" s="43">
        <f t="shared" si="52"/>
        <v>55766.1</v>
      </c>
      <c r="H50" s="43">
        <f t="shared" si="52"/>
        <v>424.20000000000005</v>
      </c>
      <c r="I50" s="43">
        <f t="shared" si="52"/>
        <v>56190.30000000001</v>
      </c>
      <c r="J50" s="43">
        <f t="shared" si="52"/>
        <v>1394.7611091504912</v>
      </c>
      <c r="K50" s="43">
        <f t="shared" si="52"/>
        <v>57585.061109150498</v>
      </c>
      <c r="L50" s="43">
        <f t="shared" si="52"/>
        <v>-2393.037895134863</v>
      </c>
      <c r="M50" s="73">
        <f t="shared" si="52"/>
        <v>26494.639999999999</v>
      </c>
      <c r="N50" s="43">
        <f>N12+N47</f>
        <v>32.912500000000009</v>
      </c>
      <c r="O50" s="43">
        <f t="shared" si="52"/>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12632.7</v>
      </c>
      <c r="AI50" s="73">
        <f>AI12+AI47</f>
        <v>260.10000000000014</v>
      </c>
      <c r="AJ50" s="186">
        <f>AJ12+AJ47</f>
        <v>198.89999999999995</v>
      </c>
      <c r="AK50" s="43">
        <f t="shared" ref="AK50" si="53">AK12+AK47</f>
        <v>4399.2799999999988</v>
      </c>
      <c r="AL50" s="43"/>
      <c r="AM50" s="43">
        <f t="shared" ref="AM50:AQ50" si="54">AM12+AM47</f>
        <v>0</v>
      </c>
      <c r="AN50" s="43">
        <f t="shared" si="54"/>
        <v>64227.310000000012</v>
      </c>
      <c r="AO50" s="43">
        <f t="shared" si="54"/>
        <v>3787.7990042853544</v>
      </c>
      <c r="AP50" s="43">
        <f t="shared" si="54"/>
        <v>68015.109004285347</v>
      </c>
      <c r="AQ50" s="529">
        <f t="shared" si="54"/>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5">F50*$D$2</f>
        <v>-20687.999999999985</v>
      </c>
      <c r="G51" s="43">
        <f t="shared" si="55"/>
        <v>110612.05935</v>
      </c>
      <c r="H51" s="43">
        <f t="shared" si="55"/>
        <v>841.40070000000014</v>
      </c>
      <c r="I51" s="43">
        <f t="shared" si="55"/>
        <v>111453.46005000002</v>
      </c>
      <c r="J51" s="43">
        <f t="shared" si="55"/>
        <v>2766.5086599999995</v>
      </c>
      <c r="K51" s="43">
        <f t="shared" si="55"/>
        <v>114219.96871000002</v>
      </c>
      <c r="L51" s="43">
        <f t="shared" si="55"/>
        <v>-4746.5906650000006</v>
      </c>
      <c r="M51" s="73">
        <f t="shared" si="55"/>
        <v>52552.118439999998</v>
      </c>
      <c r="N51" s="43">
        <f t="shared" si="55"/>
        <v>65.281943750000025</v>
      </c>
      <c r="O51" s="43">
        <f t="shared" si="55"/>
        <v>11058.963588250001</v>
      </c>
      <c r="P51" s="43">
        <f t="shared" si="55"/>
        <v>14.2812</v>
      </c>
      <c r="Q51" s="43"/>
      <c r="R51" s="43"/>
      <c r="S51" s="43"/>
      <c r="T51" s="43"/>
      <c r="U51" s="186"/>
      <c r="V51" s="43">
        <f>V50*$D$2</f>
        <v>26560.096420000002</v>
      </c>
      <c r="W51" s="43">
        <f>W50*$D$2</f>
        <v>14430.299695000003</v>
      </c>
      <c r="X51" s="43">
        <f>X50*$D$2</f>
        <v>84624.041272032729</v>
      </c>
      <c r="Y51" s="49">
        <f>Y50*$D$2</f>
        <v>84148.366523009041</v>
      </c>
      <c r="Z51" s="56"/>
      <c r="AA51" s="49">
        <f t="shared" ref="AA51" si="56">AA50*$D$2</f>
        <v>32584.257260719845</v>
      </c>
      <c r="AB51" s="43"/>
      <c r="AC51" s="43">
        <f>AC50*D$2</f>
        <v>2133.5427406068648</v>
      </c>
      <c r="AD51" s="43">
        <f>AD50*D$2</f>
        <v>1095.8044100000002</v>
      </c>
      <c r="AE51" s="397"/>
      <c r="AF51" s="397">
        <f t="shared" ref="AF51:AK51" si="57">AF50*$D$2</f>
        <v>0</v>
      </c>
      <c r="AG51" s="43">
        <f t="shared" si="57"/>
        <v>0</v>
      </c>
      <c r="AH51" s="186">
        <f t="shared" si="57"/>
        <v>25056.960450000002</v>
      </c>
      <c r="AI51" s="43">
        <f t="shared" si="57"/>
        <v>515.90835000000027</v>
      </c>
      <c r="AJ51" s="351">
        <f t="shared" si="57"/>
        <v>394.51814999999993</v>
      </c>
      <c r="AK51" s="43">
        <f t="shared" si="57"/>
        <v>8725.9718799999973</v>
      </c>
      <c r="AL51" s="43"/>
      <c r="AM51" s="43">
        <f>AM50*$D$2</f>
        <v>0</v>
      </c>
      <c r="AN51" s="43">
        <f>AN50*$D$2</f>
        <v>127394.86938500003</v>
      </c>
      <c r="AO51" s="43">
        <f>AO50*$D$2</f>
        <v>7513.0993250000001</v>
      </c>
      <c r="AP51" s="43">
        <f>AP50*$D$2</f>
        <v>134907.96870999999</v>
      </c>
      <c r="AQ51" s="529">
        <f t="shared" ref="AQ51" si="58">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9">F13+F47</f>
        <v>-7733.8038820267102</v>
      </c>
      <c r="G53" s="43">
        <f t="shared" si="59"/>
        <v>62010.3</v>
      </c>
      <c r="H53" s="43">
        <f t="shared" si="59"/>
        <v>554.09</v>
      </c>
      <c r="I53" s="43">
        <f t="shared" si="59"/>
        <v>62564.390000000007</v>
      </c>
      <c r="J53" s="43">
        <f t="shared" si="59"/>
        <v>4284.1119989916806</v>
      </c>
      <c r="K53" s="43">
        <f t="shared" si="59"/>
        <v>66848.501998991691</v>
      </c>
      <c r="L53" s="43">
        <f t="shared" si="59"/>
        <v>-744.02388202672091</v>
      </c>
      <c r="M53" s="73">
        <f t="shared" si="59"/>
        <v>27352.79</v>
      </c>
      <c r="N53" s="43">
        <f>N13+N47</f>
        <v>32.912500000000009</v>
      </c>
      <c r="O53" s="43">
        <f t="shared" si="59"/>
        <v>5575.49</v>
      </c>
      <c r="P53" s="43">
        <f t="shared" si="59"/>
        <v>7.2</v>
      </c>
      <c r="Q53" s="43">
        <f>Q13+Q47</f>
        <v>709.57027139911122</v>
      </c>
      <c r="R53" s="43">
        <f t="shared" si="59"/>
        <v>547.74569226585527</v>
      </c>
      <c r="S53" s="43">
        <f t="shared" ref="S53:Y53" si="60">S13+S47</f>
        <v>319.36221730862695</v>
      </c>
      <c r="T53" s="43">
        <f>T13+T47</f>
        <v>271.65009026551797</v>
      </c>
      <c r="U53" s="186">
        <f t="shared" si="60"/>
        <v>64.300345839550417</v>
      </c>
      <c r="V53" s="43">
        <f t="shared" si="60"/>
        <v>14116.82</v>
      </c>
      <c r="W53" s="43">
        <f t="shared" si="60"/>
        <v>7290.7900000000009</v>
      </c>
      <c r="X53" s="43">
        <f t="shared" si="60"/>
        <v>42840.589209051854</v>
      </c>
      <c r="Y53" s="49">
        <f t="shared" si="60"/>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1">AM13+AM47</f>
        <v>0</v>
      </c>
      <c r="AN53" s="43">
        <f t="shared" si="61"/>
        <v>69554.170000000013</v>
      </c>
      <c r="AO53" s="43">
        <f t="shared" si="61"/>
        <v>5028.1358810184011</v>
      </c>
      <c r="AP53" s="359">
        <f t="shared" si="61"/>
        <v>74582.305881018401</v>
      </c>
      <c r="AQ53" s="43">
        <f t="shared" si="61"/>
        <v>685.9</v>
      </c>
      <c r="AR53" s="56"/>
      <c r="AS53" s="43">
        <f t="shared" si="61"/>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-15340</v>
      </c>
      <c r="E54" s="43">
        <f>E45</f>
        <v>41834</v>
      </c>
      <c r="F54" s="71">
        <f t="shared" ref="F54:AL54" si="62">F53*$D$2</f>
        <v>-15339.99999999998</v>
      </c>
      <c r="G54" s="43">
        <f t="shared" si="62"/>
        <v>122997.43005000001</v>
      </c>
      <c r="H54" s="43">
        <f t="shared" si="62"/>
        <v>1099.037515</v>
      </c>
      <c r="I54" s="43">
        <f t="shared" si="62"/>
        <v>124096.46756500001</v>
      </c>
      <c r="J54" s="43">
        <f t="shared" si="62"/>
        <v>8497.5361499999981</v>
      </c>
      <c r="K54" s="43">
        <f t="shared" si="62"/>
        <v>132594.00371500003</v>
      </c>
      <c r="L54" s="43">
        <f t="shared" si="62"/>
        <v>-1475.7713700000011</v>
      </c>
      <c r="M54" s="73">
        <f t="shared" si="62"/>
        <v>54254.258965000001</v>
      </c>
      <c r="N54" s="43">
        <f t="shared" si="62"/>
        <v>65.281943750000025</v>
      </c>
      <c r="O54" s="43">
        <f t="shared" si="62"/>
        <v>11058.984414999999</v>
      </c>
      <c r="P54" s="43">
        <f t="shared" si="62"/>
        <v>14.2812</v>
      </c>
      <c r="Q54" s="43">
        <f>Q53*$D$2</f>
        <v>1407.432633320137</v>
      </c>
      <c r="R54" s="43">
        <f t="shared" si="62"/>
        <v>1086.453580609324</v>
      </c>
      <c r="S54" s="530">
        <f>S53*$D$2</f>
        <v>633.45495803166159</v>
      </c>
      <c r="T54" s="530">
        <f>T53*$D$2</f>
        <v>538.81795404165496</v>
      </c>
      <c r="U54" s="351">
        <f>U53*$D$2</f>
        <v>127.53973597274826</v>
      </c>
      <c r="V54" s="43">
        <f t="shared" si="62"/>
        <v>28000.712469999999</v>
      </c>
      <c r="W54" s="43">
        <f t="shared" si="62"/>
        <v>14461.281965000002</v>
      </c>
      <c r="X54" s="43">
        <f t="shared" si="62"/>
        <v>84974.308696154359</v>
      </c>
      <c r="Y54" s="49">
        <f t="shared" si="62"/>
        <v>84148.366523009041</v>
      </c>
      <c r="Z54" s="43"/>
      <c r="AA54" s="49"/>
      <c r="AB54" s="43"/>
      <c r="AE54" s="397"/>
      <c r="AF54" s="397">
        <f>AF53*$D$2</f>
        <v>0</v>
      </c>
      <c r="AG54" s="43">
        <f>AG53*$D$2</f>
        <v>0</v>
      </c>
      <c r="AH54" s="186"/>
      <c r="AI54" s="49">
        <f>AI53*$D$2</f>
        <v>515.90835000000027</v>
      </c>
      <c r="AJ54" s="49">
        <f>AJ53*$D$2</f>
        <v>394.51814999999993</v>
      </c>
      <c r="AK54" s="73">
        <f t="shared" si="62"/>
        <v>16112.109344999995</v>
      </c>
      <c r="AL54" s="43">
        <f t="shared" si="62"/>
        <v>8719.02812000003</v>
      </c>
      <c r="AM54" s="43">
        <f t="shared" ref="AM54:AS54" si="63">AM53*$D$2</f>
        <v>0</v>
      </c>
      <c r="AN54" s="43">
        <f t="shared" si="63"/>
        <v>137960.69619500003</v>
      </c>
      <c r="AO54" s="43">
        <f t="shared" si="63"/>
        <v>9973.3075199999985</v>
      </c>
      <c r="AP54" s="360">
        <f t="shared" si="63"/>
        <v>147934.003715</v>
      </c>
      <c r="AQ54" s="43">
        <f t="shared" si="63"/>
        <v>1360.4826499999999</v>
      </c>
      <c r="AR54" s="56"/>
      <c r="AS54" s="43">
        <f t="shared" si="63"/>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0.8055864342206791</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38" sqref="A38:XFD38"/>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7" width="5" style="46" customWidth="1"/>
    <col min="18" max="18" width="6.164062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5" t="s">
        <v>223</v>
      </c>
      <c r="L2" s="765"/>
      <c r="M2" s="765"/>
      <c r="N2" s="765"/>
      <c r="O2" s="765"/>
      <c r="P2" s="765"/>
      <c r="Q2" s="765"/>
      <c r="R2" s="765"/>
      <c r="S2" s="765"/>
      <c r="T2" s="765"/>
      <c r="U2" s="765"/>
      <c r="V2" s="765"/>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1394.7611091504912</v>
      </c>
      <c r="K12" s="49">
        <f>AUG!K50</f>
        <v>57585.061109150498</v>
      </c>
      <c r="L12" s="95">
        <f>AUG!L50</f>
        <v>-2393.037895134863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12632.7</v>
      </c>
      <c r="AI12" s="94">
        <f>AUG!AI50</f>
        <v>260.10000000000014</v>
      </c>
      <c r="AJ12" s="95">
        <f>AUG!AJ50</f>
        <v>198.89999999999995</v>
      </c>
      <c r="AK12" s="49">
        <f>AUG!AK50</f>
        <v>4399.2799999999988</v>
      </c>
      <c r="AL12" s="49"/>
      <c r="AM12" s="49"/>
      <c r="AN12" s="49">
        <f>AUG!AN50</f>
        <v>64227.310000000012</v>
      </c>
      <c r="AO12" s="49">
        <f>AUG!AO50</f>
        <v>3787.7990042853544</v>
      </c>
      <c r="AP12" s="49">
        <f>AUG!AP50</f>
        <v>68015.109004285347</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-15340</v>
      </c>
      <c r="E13" s="49">
        <f>AUG!E54</f>
        <v>41834</v>
      </c>
      <c r="F13" s="93">
        <f>AUG!F53</f>
        <v>-7733.8038820267102</v>
      </c>
      <c r="G13" s="49">
        <f>AUG!G53</f>
        <v>62010.3</v>
      </c>
      <c r="H13" s="49">
        <f>AUG!H53</f>
        <v>554.09</v>
      </c>
      <c r="I13" s="49">
        <f>AUG!I53</f>
        <v>62564.390000000007</v>
      </c>
      <c r="J13" s="49">
        <f>AUG!J53</f>
        <v>4284.1119989916806</v>
      </c>
      <c r="K13" s="49">
        <f>AUG!K53</f>
        <v>66848.501998991691</v>
      </c>
      <c r="L13" s="115">
        <f>AUG!L53</f>
        <v>-744.02388202672091</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25056.960450000002</v>
      </c>
      <c r="AI13" s="148">
        <f>AI12</f>
        <v>260.10000000000014</v>
      </c>
      <c r="AJ13" s="57">
        <f>AJ12</f>
        <v>198.89999999999995</v>
      </c>
      <c r="AK13" s="49">
        <f>AUG!AK53</f>
        <v>8123.0699999999979</v>
      </c>
      <c r="AL13" s="49">
        <f>AUG!AL53</f>
        <v>4395.7792387194504</v>
      </c>
      <c r="AM13" s="49">
        <f>AUG!AM53</f>
        <v>0</v>
      </c>
      <c r="AN13" s="49">
        <f>AUG!AN53</f>
        <v>69554.170000000013</v>
      </c>
      <c r="AO13" s="49">
        <f>AUG!AO53</f>
        <v>5028.1358810184011</v>
      </c>
      <c r="AP13" s="49">
        <f>AUG!AP53</f>
        <v>74582.305881018401</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IF(((4.4*1.04)-T15)&gt;=4.2,4.2,(4.4*1.04)-T15)</f>
        <v>3.2684433600000005</v>
      </c>
      <c r="S15" s="67">
        <f>IF(((4.4*1.04)-T15)&gt;=4.2,((4.4*1.04)-T15)-4.2,0)</f>
        <v>0</v>
      </c>
      <c r="T15" s="67">
        <f>(1.1861*1.06)*1.04</f>
        <v>1.30755664</v>
      </c>
      <c r="U15" s="124">
        <v>0</v>
      </c>
      <c r="V15" s="41">
        <v>109</v>
      </c>
      <c r="W15" s="41">
        <v>71.8</v>
      </c>
      <c r="X15" s="41">
        <f>IF(B15="",0,M15-N15-O15-P15-Q15-R15-S15-T15-U15+V15+W15-AQ15-BB15+AZ15)</f>
        <v>306.15799793336083</v>
      </c>
      <c r="Y15" s="41">
        <f>X15-AS15</f>
        <v>306.15799793336083</v>
      </c>
      <c r="Z15" s="49"/>
      <c r="AA15" s="41"/>
      <c r="AB15" s="49"/>
      <c r="AC15" s="56">
        <f>MAX(0,IF(AT15&gt;0,AC12-IF(AU13="",0,AY13/1.9835),AC12-IF(AU13="",0,AY13/1.9835)+(AT15*0)))</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2364.0489674238979</v>
      </c>
      <c r="AS15" s="39"/>
      <c r="AT15" s="37">
        <f>IF(G15="",0,IF(I15&gt;=(795+Q15+R15+AI15),795-X15,I15-Q15-R15-X15-AI15)-AM15)</f>
        <v>-223.14744335999998</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8.3178935672975918</v>
      </c>
      <c r="AZ15" s="36">
        <v>0</v>
      </c>
      <c r="BA15" s="149">
        <f>($BA$9-$BA$12)/17</f>
        <v>16.168554990435798</v>
      </c>
      <c r="BC15" s="40">
        <v>0</v>
      </c>
      <c r="BD15" s="96">
        <v>0</v>
      </c>
      <c r="BE15" s="39">
        <v>89</v>
      </c>
      <c r="BF15" s="39">
        <v>53</v>
      </c>
      <c r="BG15" s="662"/>
      <c r="BH15" s="319">
        <f t="shared" ref="BH15:BH44" si="6">SUM(N15,P15:U15)</f>
        <v>7.4970020666391566</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IF(((4.3*1.04)-T16)&gt;=4.2,4.2,(4.3*1.04)-T16)</f>
        <v>3.1644433599999995</v>
      </c>
      <c r="S16" s="67">
        <f>IF(((4.3*1.04)-T16)&gt;=4.2,((4.3*1.04)-T16)-4.2,0)</f>
        <v>0</v>
      </c>
      <c r="T16" s="67">
        <f t="shared" ref="T16:T19" si="14">(1.1861*1.06)*1.04</f>
        <v>1.30755664</v>
      </c>
      <c r="U16" s="124">
        <v>0</v>
      </c>
      <c r="V16" s="41">
        <v>109</v>
      </c>
      <c r="W16" s="41">
        <v>71.099999999999994</v>
      </c>
      <c r="X16" s="41">
        <f t="shared" ref="X16:X44" si="15">IF(B16="",0,M16-N16-O16-P16-Q16-R16-S16-T16-U16+V16+W16-AQ16-BB16+AZ16)</f>
        <v>302.77569368115883</v>
      </c>
      <c r="Y16" s="41">
        <f t="shared" ref="Y16:Y44" si="16">X16-AS16</f>
        <v>302.77569368115883</v>
      </c>
      <c r="Z16" s="49"/>
      <c r="AA16" s="41"/>
      <c r="AB16" s="49"/>
      <c r="AC16" s="56">
        <f>MAX(0,IF(AT16&gt;0,AC15-IF(AU15="",0,AY15/1.9835),AC15-IF(AU15="",0,AY15/1.9835)+(AT16*0)))</f>
        <v>1067.5951131196805</v>
      </c>
      <c r="AD16" s="49">
        <f t="shared" ref="AD16:AD44" si="17">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8">M16+V16+W16+AH16+AK16</f>
        <v>501.7</v>
      </c>
      <c r="AO16" s="41">
        <f t="shared" si="3"/>
        <v>22.014444164355893</v>
      </c>
      <c r="AP16" s="41">
        <f t="shared" si="4"/>
        <v>523.71444416435588</v>
      </c>
      <c r="AQ16" s="126">
        <v>0</v>
      </c>
      <c r="AR16" s="41">
        <f>AR15+MIN(0,AT16)</f>
        <v>2138.7515240638977</v>
      </c>
      <c r="AS16" s="39"/>
      <c r="AT16" s="37">
        <f t="shared" ref="AT16:AT44" si="19">IF(G16="",0,IF(I16&gt;=(795+Q16+R16+AI16),795-X16,I16-Q16-R16-X16-AI16)-AM16)</f>
        <v>-225.29744336000005</v>
      </c>
      <c r="AU16" s="399">
        <v>0.3</v>
      </c>
      <c r="AV16" s="400">
        <f t="shared" si="5"/>
        <v>0.21</v>
      </c>
      <c r="AW16" s="401">
        <f>IF(AU16="",0,VLOOKUP(ROUNDDOWN(TEXT(B16,"0000"),-1),VLOOKUP!$M$3:$W$32,RIGHT(TEXT(B16,"0000"),1)+2,FALSE))</f>
        <v>2734</v>
      </c>
      <c r="AX16" s="401">
        <f t="shared" ref="AX16:AX43" si="20">AV16/12*AW16</f>
        <v>47.844999999999992</v>
      </c>
      <c r="AY16" s="33">
        <f>AX16*((IF(Z16&gt;JUN!$Z$44,JUN!$Z$44,Z16)+AC16+AD16+AR16)*1.9835)/E16</f>
        <v>8.9386746625725539</v>
      </c>
      <c r="AZ16" s="36">
        <v>0</v>
      </c>
      <c r="BA16" s="149">
        <f t="shared" ref="BA16:BA31" si="21">($BA$9-$BA$12)/17</f>
        <v>16.168554990435798</v>
      </c>
      <c r="BC16" s="40">
        <v>0</v>
      </c>
      <c r="BD16" s="96">
        <v>0</v>
      </c>
      <c r="BE16" s="39">
        <v>90</v>
      </c>
      <c r="BF16" s="39">
        <v>53</v>
      </c>
      <c r="BG16" s="314"/>
      <c r="BH16" s="319">
        <f t="shared" si="6"/>
        <v>7.7293063188412212</v>
      </c>
      <c r="BI16" s="40">
        <v>59.1</v>
      </c>
      <c r="BJ16" s="247">
        <v>13471.041999999999</v>
      </c>
      <c r="BK16" s="246">
        <f t="shared" si="7"/>
        <v>0</v>
      </c>
      <c r="BL16" s="485">
        <f t="shared" si="8"/>
        <v>0</v>
      </c>
      <c r="BN16" s="471">
        <f t="shared" ref="BN16:BN44" si="22">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3">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IF(((5.8*1.04)-T17)&gt;=4.2,4.2,(5.8*1.04)-T17)</f>
        <v>4.2</v>
      </c>
      <c r="S17" s="67">
        <f>IF(((5.8*1.04)-T17)&gt;=4.2,((5.8*1.04)-T17)-4.2,0)</f>
        <v>0.52444336000000025</v>
      </c>
      <c r="T17" s="67">
        <f t="shared" si="14"/>
        <v>1.30755664</v>
      </c>
      <c r="U17" s="124">
        <v>0</v>
      </c>
      <c r="V17" s="41">
        <v>107</v>
      </c>
      <c r="W17" s="41">
        <v>60</v>
      </c>
      <c r="X17" s="41">
        <f t="shared" si="15"/>
        <v>301.29834075562803</v>
      </c>
      <c r="Y17" s="41">
        <f t="shared" si="16"/>
        <v>301.29834075562803</v>
      </c>
      <c r="Z17" s="49"/>
      <c r="AA17" s="41"/>
      <c r="AB17" s="49"/>
      <c r="AC17" s="56">
        <f t="shared" ref="AC17:AC44" si="24">MAX(0,IF(AT17&gt;0,AC16-IF(AU16="",0,AY16/1.9835),AC16-IF(AU16="",0,AY16/1.9835)+(AT17*0)))</f>
        <v>1063.0885970306597</v>
      </c>
      <c r="AD17" s="49">
        <f t="shared" si="17"/>
        <v>600.96566497130755</v>
      </c>
      <c r="AE17" s="397"/>
      <c r="AG17" s="49">
        <f t="shared" ref="AG17:AG19" si="25">AG16</f>
        <v>5559.3647592639272</v>
      </c>
      <c r="AH17" s="41">
        <v>88.9</v>
      </c>
      <c r="AI17" s="157">
        <v>1.7</v>
      </c>
      <c r="AJ17" s="175">
        <v>1.3</v>
      </c>
      <c r="AK17" s="41">
        <v>74.8</v>
      </c>
      <c r="AL17" s="49">
        <f t="shared" ref="AL17:AL44" si="26">AL16-AK17</f>
        <v>4244.4792387194502</v>
      </c>
      <c r="AM17" s="49"/>
      <c r="AN17" s="68">
        <f t="shared" si="18"/>
        <v>511.7</v>
      </c>
      <c r="AO17" s="41">
        <f t="shared" si="3"/>
        <v>27.530904965969228</v>
      </c>
      <c r="AP17" s="41">
        <f t="shared" si="4"/>
        <v>539.23090496596922</v>
      </c>
      <c r="AQ17" s="126">
        <v>0</v>
      </c>
      <c r="AR17" s="41">
        <f t="shared" ref="AR17:AR30" si="27">AR16+MIN(0,AT17)</f>
        <v>1915.5785240638977</v>
      </c>
      <c r="AS17" s="39"/>
      <c r="AT17" s="37">
        <f t="shared" si="19"/>
        <v>-223.17300000000003</v>
      </c>
      <c r="AU17" s="399">
        <v>0.28999999999999998</v>
      </c>
      <c r="AV17" s="400">
        <f t="shared" si="5"/>
        <v>0.20299999999999999</v>
      </c>
      <c r="AW17" s="401">
        <f>IF(AU17="",0,VLOOKUP(ROUNDDOWN(TEXT(B17,"0000"),-1),VLOOKUP!$M$3:$W$32,RIGHT(TEXT(B17,"0000"),1)+2,FALSE))</f>
        <v>2699</v>
      </c>
      <c r="AX17" s="401">
        <f t="shared" si="20"/>
        <v>45.65808333333333</v>
      </c>
      <c r="AY17" s="33">
        <f>AX17*((IF(Z17&gt;JUN!$Z$44,JUN!$Z$44,Z17)+AC17+AD17+AR17)*1.9835)/E17</f>
        <v>8.2377861347050416</v>
      </c>
      <c r="AZ17" s="36">
        <v>0</v>
      </c>
      <c r="BA17" s="149">
        <f t="shared" si="21"/>
        <v>16.168554990435798</v>
      </c>
      <c r="BC17" s="40">
        <v>0</v>
      </c>
      <c r="BD17" s="96">
        <v>0</v>
      </c>
      <c r="BE17" s="39">
        <v>88</v>
      </c>
      <c r="BF17" s="39">
        <v>56</v>
      </c>
      <c r="BG17" s="314"/>
      <c r="BH17" s="319">
        <f t="shared" si="6"/>
        <v>9.0066592443720062</v>
      </c>
      <c r="BI17" s="40">
        <v>58.9</v>
      </c>
      <c r="BJ17" s="247">
        <v>13341.927</v>
      </c>
      <c r="BK17" s="246">
        <f t="shared" si="7"/>
        <v>0</v>
      </c>
      <c r="BL17" s="485">
        <f t="shared" si="8"/>
        <v>0</v>
      </c>
      <c r="BN17" s="471">
        <f t="shared" si="22"/>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3"/>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IF(((6.3*1.04)-T18)&gt;=4.2,4.2,(6.3*1.04)-T18)</f>
        <v>4.2</v>
      </c>
      <c r="S18" s="67">
        <f>IF(((6.3*1.04)-T18)&gt;=4.2,((6.3*1.04)-T18)-4.2,0)</f>
        <v>1.0444433599999998</v>
      </c>
      <c r="T18" s="67">
        <f t="shared" si="14"/>
        <v>1.30755664</v>
      </c>
      <c r="U18" s="124">
        <v>0</v>
      </c>
      <c r="V18" s="41">
        <v>104</v>
      </c>
      <c r="W18" s="41">
        <v>68.400000000000006</v>
      </c>
      <c r="X18" s="41">
        <f t="shared" si="15"/>
        <v>287.15035539085989</v>
      </c>
      <c r="Y18" s="41">
        <f t="shared" si="16"/>
        <v>287.15035539085989</v>
      </c>
      <c r="Z18" s="49"/>
      <c r="AA18" s="41"/>
      <c r="AB18" s="49"/>
      <c r="AC18" s="56">
        <f t="shared" si="24"/>
        <v>1058.9354404212797</v>
      </c>
      <c r="AD18" s="49">
        <f t="shared" si="17"/>
        <v>617.13421996174338</v>
      </c>
      <c r="AE18" s="397"/>
      <c r="AG18" s="49">
        <f t="shared" si="25"/>
        <v>5559.3647592639272</v>
      </c>
      <c r="AH18" s="41">
        <v>52.8</v>
      </c>
      <c r="AI18" s="157">
        <v>1.7</v>
      </c>
      <c r="AJ18" s="175">
        <v>1.3</v>
      </c>
      <c r="AK18" s="41">
        <v>62.8</v>
      </c>
      <c r="AL18" s="49">
        <f t="shared" si="26"/>
        <v>4181.67923871945</v>
      </c>
      <c r="AM18" s="49"/>
      <c r="AN18" s="68">
        <f t="shared" si="18"/>
        <v>450</v>
      </c>
      <c r="AO18" s="41">
        <f t="shared" si="3"/>
        <v>33.073380388202679</v>
      </c>
      <c r="AP18" s="41">
        <f>AN18+AO18</f>
        <v>483.07338038820268</v>
      </c>
      <c r="AQ18" s="126">
        <v>0</v>
      </c>
      <c r="AR18" s="41">
        <f t="shared" si="27"/>
        <v>1705.6155240638977</v>
      </c>
      <c r="AS18" s="39"/>
      <c r="AT18" s="37">
        <f t="shared" si="19"/>
        <v>-209.96299999999994</v>
      </c>
      <c r="AU18" s="399">
        <v>0.2</v>
      </c>
      <c r="AV18" s="400">
        <f t="shared" si="5"/>
        <v>0.13999999999999999</v>
      </c>
      <c r="AW18" s="401">
        <f>IF(AU18="",0,VLOOKUP(ROUNDDOWN(TEXT(B18,"0000"),-1),VLOOKUP!$M$3:$W$32,RIGHT(TEXT(B18,"0000"),1)+2,FALSE))</f>
        <v>2699</v>
      </c>
      <c r="AX18" s="401">
        <f t="shared" si="20"/>
        <v>31.48833333333333</v>
      </c>
      <c r="AY18" s="33">
        <f>AX18*((IF(Z18&gt;JUN!$Z$44,JUN!$Z$44,Z18)+AC18+AD18+AR18)*1.9835)/E18</f>
        <v>5.4765928727972986</v>
      </c>
      <c r="AZ18" s="36">
        <v>0</v>
      </c>
      <c r="BA18" s="149">
        <f t="shared" si="21"/>
        <v>16.168554990435798</v>
      </c>
      <c r="BC18" s="40">
        <v>0</v>
      </c>
      <c r="BD18" s="96">
        <v>0</v>
      </c>
      <c r="BE18" s="39">
        <v>79</v>
      </c>
      <c r="BF18" s="39">
        <v>50</v>
      </c>
      <c r="BG18" s="314"/>
      <c r="BH18" s="319">
        <f t="shared" si="6"/>
        <v>9.7646446091400545</v>
      </c>
      <c r="BI18" s="40">
        <v>58.8</v>
      </c>
      <c r="BJ18" s="247">
        <v>13213.177</v>
      </c>
      <c r="BK18" s="246">
        <f t="shared" si="7"/>
        <v>0</v>
      </c>
      <c r="BL18" s="485">
        <f t="shared" si="8"/>
        <v>0</v>
      </c>
      <c r="BN18" s="471">
        <f t="shared" si="22"/>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3"/>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IF(((4.2*1.04)-T19)&gt;=4.2,4.2,(4.2*1.04)-T19)</f>
        <v>3.0604433600000003</v>
      </c>
      <c r="S19" s="67">
        <f>IF(((4.2*1.04)-T19)&gt;=4.2,((4.2*1.04)-T19)-4.2,0)</f>
        <v>0</v>
      </c>
      <c r="T19" s="67">
        <f t="shared" si="14"/>
        <v>1.30755664</v>
      </c>
      <c r="U19" s="124">
        <v>0</v>
      </c>
      <c r="V19" s="41">
        <v>104</v>
      </c>
      <c r="W19" s="41">
        <v>70.900000000000006</v>
      </c>
      <c r="X19" s="41">
        <f t="shared" si="15"/>
        <v>300.68092995383608</v>
      </c>
      <c r="Y19" s="41">
        <f t="shared" si="16"/>
        <v>300.68092995383608</v>
      </c>
      <c r="Z19" s="49"/>
      <c r="AA19" s="41"/>
      <c r="AB19" s="49"/>
      <c r="AC19" s="56">
        <f t="shared" si="24"/>
        <v>1056.1743651135926</v>
      </c>
      <c r="AD19" s="49">
        <f t="shared" si="17"/>
        <v>633.30277495217922</v>
      </c>
      <c r="AE19" s="397"/>
      <c r="AG19" s="49">
        <f t="shared" si="25"/>
        <v>5559.3647592639272</v>
      </c>
      <c r="AH19" s="41">
        <v>79.400000000000006</v>
      </c>
      <c r="AI19" s="157">
        <v>1.7</v>
      </c>
      <c r="AJ19" s="175">
        <v>1.3</v>
      </c>
      <c r="AK19" s="41">
        <v>26</v>
      </c>
      <c r="AL19" s="49">
        <f t="shared" si="26"/>
        <v>4155.67923871945</v>
      </c>
      <c r="AM19" s="49"/>
      <c r="AN19" s="68">
        <f t="shared" si="18"/>
        <v>450.29999999999995</v>
      </c>
      <c r="AO19" s="41">
        <f t="shared" si="3"/>
        <v>29.827804386186074</v>
      </c>
      <c r="AP19" s="41">
        <f t="shared" si="4"/>
        <v>480.12780438618603</v>
      </c>
      <c r="AQ19" s="126">
        <v>0</v>
      </c>
      <c r="AR19" s="41">
        <f t="shared" si="27"/>
        <v>1498.3880807038977</v>
      </c>
      <c r="AS19" s="39"/>
      <c r="AT19" s="37">
        <f t="shared" si="19"/>
        <v>-207.22744335999997</v>
      </c>
      <c r="AU19" s="399">
        <v>0.13</v>
      </c>
      <c r="AV19" s="400">
        <f t="shared" si="5"/>
        <v>9.0999999999999998E-2</v>
      </c>
      <c r="AW19" s="401">
        <f>IF(AU19="",0,VLOOKUP(ROUNDDOWN(TEXT(B19,"0000"),-1),VLOOKUP!$M$3:$W$32,RIGHT(TEXT(B19,"0000"),1)+2,FALSE))</f>
        <v>2699</v>
      </c>
      <c r="AX19" s="401">
        <f t="shared" si="20"/>
        <v>20.467416666666669</v>
      </c>
      <c r="AY19" s="33">
        <f>AX19*((IF(Z19&gt;JUN!$Z$44,JUN!$Z$44,Z19)+AC19+AD19+AR19)*1.9835)/E19</f>
        <v>3.4224929911263096</v>
      </c>
      <c r="AZ19" s="36">
        <v>0</v>
      </c>
      <c r="BA19" s="149">
        <f t="shared" si="21"/>
        <v>16.168554990435798</v>
      </c>
      <c r="BC19" s="40">
        <v>0</v>
      </c>
      <c r="BD19" s="96">
        <v>0</v>
      </c>
      <c r="BE19" s="39">
        <v>80</v>
      </c>
      <c r="BF19" s="39">
        <v>52</v>
      </c>
      <c r="BG19" s="314"/>
      <c r="BH19" s="319">
        <f t="shared" si="6"/>
        <v>7.154070046163902</v>
      </c>
      <c r="BI19" s="40">
        <v>58.8</v>
      </c>
      <c r="BJ19" s="247">
        <v>13090.521000000001</v>
      </c>
      <c r="BK19" s="246">
        <f t="shared" si="7"/>
        <v>0</v>
      </c>
      <c r="BL19" s="485">
        <f t="shared" si="8"/>
        <v>0</v>
      </c>
      <c r="BN19" s="471">
        <f t="shared" si="22"/>
        <v>5</v>
      </c>
      <c r="BO19" s="474">
        <v>6871.19</v>
      </c>
      <c r="BP19" s="472">
        <f t="shared" si="9"/>
        <v>-0.43999999999959982</v>
      </c>
      <c r="BQ19" s="473">
        <v>26</v>
      </c>
      <c r="BR19" s="473">
        <f t="shared" si="10"/>
        <v>0</v>
      </c>
      <c r="BS19" s="762"/>
    </row>
    <row r="20" spans="1:71" ht="12.95" customHeight="1">
      <c r="A20" s="42">
        <v>6</v>
      </c>
      <c r="B20" s="98">
        <v>6870.51</v>
      </c>
      <c r="C20" s="390">
        <f>IF(B20="",C19,VLOOKUP(TRUNC(B20,1),VLOOKUP!$A$3:$K$2834,RIGHT(TEXT(B20,"0000.00"),1)+2,FALSE))</f>
        <v>189170</v>
      </c>
      <c r="D20" s="39">
        <f t="shared" si="23"/>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IF(((5.8*1.04)-T20)&gt;=4.2,4.2,(5.8*1.04)-T20)</f>
        <v>4.2</v>
      </c>
      <c r="S20" s="67">
        <f>IF(((5.8*1.04)-T20)&gt;=4.2,((5.8*1.04)-T20)-4.2,0)</f>
        <v>0.86684879999999964</v>
      </c>
      <c r="T20" s="67">
        <f>(0.8755*1.06)*1.04</f>
        <v>0.9651512000000001</v>
      </c>
      <c r="U20" s="124">
        <v>0</v>
      </c>
      <c r="V20" s="41">
        <v>103</v>
      </c>
      <c r="W20" s="41">
        <v>70.599999999999994</v>
      </c>
      <c r="X20" s="41">
        <f t="shared" si="15"/>
        <v>271.118469161397</v>
      </c>
      <c r="Y20" s="41">
        <f t="shared" si="16"/>
        <v>271.118469161397</v>
      </c>
      <c r="Z20" s="49"/>
      <c r="AA20" s="41"/>
      <c r="AB20" s="49"/>
      <c r="AC20" s="56">
        <f t="shared" si="24"/>
        <v>1054.4488833938415</v>
      </c>
      <c r="AD20" s="49">
        <f t="shared" si="17"/>
        <v>649.47132994261506</v>
      </c>
      <c r="AE20" s="397"/>
      <c r="AG20" s="49">
        <f>AG19</f>
        <v>5559.3647592639272</v>
      </c>
      <c r="AH20" s="41">
        <v>79.400000000000006</v>
      </c>
      <c r="AI20" s="157">
        <v>1.7</v>
      </c>
      <c r="AJ20" s="175">
        <v>1.3</v>
      </c>
      <c r="AK20" s="41">
        <v>26.1</v>
      </c>
      <c r="AL20" s="49">
        <f t="shared" si="26"/>
        <v>4129.5792387194497</v>
      </c>
      <c r="AM20" s="49"/>
      <c r="AN20" s="68">
        <f t="shared" si="18"/>
        <v>424.1</v>
      </c>
      <c r="AO20" s="41">
        <f t="shared" si="3"/>
        <v>17.578598437106109</v>
      </c>
      <c r="AP20" s="41">
        <f t="shared" si="4"/>
        <v>441.67859843710613</v>
      </c>
      <c r="AQ20" s="126">
        <v>0</v>
      </c>
      <c r="AR20" s="41">
        <f t="shared" si="27"/>
        <v>1335.1400807038976</v>
      </c>
      <c r="AS20" s="39"/>
      <c r="AT20" s="37">
        <f t="shared" si="19"/>
        <v>-163.24800000000005</v>
      </c>
      <c r="AU20" s="399">
        <v>0.19</v>
      </c>
      <c r="AV20" s="400">
        <f t="shared" si="5"/>
        <v>0.13299999999999998</v>
      </c>
      <c r="AW20" s="401">
        <f>IF(AU20="",0,VLOOKUP(ROUNDDOWN(TEXT(B20,"0000"),-1),VLOOKUP!$M$3:$W$32,RIGHT(TEXT(B20,"0000"),1)+2,FALSE))</f>
        <v>2699</v>
      </c>
      <c r="AX20" s="401">
        <f t="shared" si="20"/>
        <v>29.913916666666662</v>
      </c>
      <c r="AY20" s="33">
        <f>AX20*((IF(Z20&gt;JUN!$Z$44,JUN!$Z$44,Z20)+AC20+AD20+AR20)*1.9835)/E20</f>
        <v>4.8512341813697191</v>
      </c>
      <c r="AZ20" s="36">
        <v>0</v>
      </c>
      <c r="BA20" s="149">
        <f t="shared" si="21"/>
        <v>16.168554990435798</v>
      </c>
      <c r="BC20" s="40">
        <v>0</v>
      </c>
      <c r="BD20" s="96">
        <v>0</v>
      </c>
      <c r="BE20" s="39">
        <v>79</v>
      </c>
      <c r="BF20" s="39">
        <v>51</v>
      </c>
      <c r="BG20" s="314"/>
      <c r="BH20" s="319">
        <f t="shared" si="6"/>
        <v>9.2615308386030399</v>
      </c>
      <c r="BI20" s="40">
        <v>58.5</v>
      </c>
      <c r="BJ20" s="247">
        <v>12976.302</v>
      </c>
      <c r="BK20" s="246">
        <f t="shared" si="7"/>
        <v>0</v>
      </c>
      <c r="BL20" s="485">
        <f t="shared" si="8"/>
        <v>0</v>
      </c>
      <c r="BN20" s="471">
        <f t="shared" si="22"/>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IF(((4.4*1.04)-T21)&gt;=4.2,4.2,(4.4*1.04)-T21)</f>
        <v>3.6108488000000003</v>
      </c>
      <c r="S21" s="67">
        <f>IF(((4.4*1.04)-T21)&gt;=4.2,((4.4*1.04)-T21)-4.2,0)</f>
        <v>0</v>
      </c>
      <c r="T21" s="67">
        <f t="shared" ref="T21:T26" si="28">(0.8755*1.06)*1.04</f>
        <v>0.9651512000000001</v>
      </c>
      <c r="U21" s="124">
        <v>0</v>
      </c>
      <c r="V21" s="41">
        <v>99.7</v>
      </c>
      <c r="W21" s="41">
        <v>70.8</v>
      </c>
      <c r="X21" s="41">
        <f t="shared" si="15"/>
        <v>276.6417910701432</v>
      </c>
      <c r="Y21" s="41">
        <f t="shared" si="16"/>
        <v>276.6417910701432</v>
      </c>
      <c r="Z21" s="49"/>
      <c r="AA21" s="41"/>
      <c r="AB21" s="49"/>
      <c r="AC21" s="56">
        <f t="shared" si="24"/>
        <v>1052.0030884952432</v>
      </c>
      <c r="AD21" s="49">
        <f t="shared" si="17"/>
        <v>665.63988493305089</v>
      </c>
      <c r="AE21" s="397"/>
      <c r="AG21" s="49">
        <f t="shared" ref="AG21:AG30" si="29">AG20</f>
        <v>5559.3647592639272</v>
      </c>
      <c r="AH21" s="41">
        <v>32.1</v>
      </c>
      <c r="AI21" s="157">
        <v>1.7</v>
      </c>
      <c r="AJ21" s="175">
        <v>1.3</v>
      </c>
      <c r="AK21" s="41">
        <v>26.1</v>
      </c>
      <c r="AL21" s="49">
        <f t="shared" si="26"/>
        <v>4103.4792387194493</v>
      </c>
      <c r="AM21" s="49"/>
      <c r="AN21" s="68">
        <f t="shared" si="18"/>
        <v>368.70000000000005</v>
      </c>
      <c r="AO21" s="41">
        <f t="shared" si="3"/>
        <v>20.304789513486213</v>
      </c>
      <c r="AP21" s="41">
        <f t="shared" si="4"/>
        <v>389.00478951348623</v>
      </c>
      <c r="AQ21" s="126">
        <v>0</v>
      </c>
      <c r="AR21" s="41">
        <f t="shared" si="27"/>
        <v>1196.0502319038976</v>
      </c>
      <c r="AS21" s="39"/>
      <c r="AT21" s="37">
        <f t="shared" si="19"/>
        <v>-139.08984880000003</v>
      </c>
      <c r="AU21" s="399">
        <v>0.23</v>
      </c>
      <c r="AV21" s="400">
        <f t="shared" si="5"/>
        <v>0.161</v>
      </c>
      <c r="AW21" s="401">
        <f>IF(AU21="",0,VLOOKUP(ROUNDDOWN(TEXT(B21,"0000"),-1),VLOOKUP!$M$3:$W$32,RIGHT(TEXT(B21,"0000"),1)+2,FALSE))</f>
        <v>2663</v>
      </c>
      <c r="AX21" s="401">
        <f t="shared" si="20"/>
        <v>35.728583333333333</v>
      </c>
      <c r="AY21" s="33">
        <f>AX21*((IF(Z21&gt;JUN!$Z$44,JUN!$Z$44,Z21)+AC21+AD21+AR21)*1.9835)/E21</f>
        <v>5.6281774922535357</v>
      </c>
      <c r="AZ21" s="36">
        <v>0</v>
      </c>
      <c r="BA21" s="149">
        <f t="shared" si="21"/>
        <v>16.168554990435798</v>
      </c>
      <c r="BC21" s="40">
        <v>0</v>
      </c>
      <c r="BD21" s="96">
        <v>0</v>
      </c>
      <c r="BE21" s="39">
        <v>84</v>
      </c>
      <c r="BF21" s="39">
        <v>47</v>
      </c>
      <c r="BG21" s="314"/>
      <c r="BH21" s="319">
        <f t="shared" si="6"/>
        <v>7.7132089298568145</v>
      </c>
      <c r="BI21" s="40">
        <v>58.4</v>
      </c>
      <c r="BJ21" s="247">
        <v>12865.26</v>
      </c>
      <c r="BK21" s="246">
        <f t="shared" si="7"/>
        <v>0</v>
      </c>
      <c r="BL21" s="485">
        <f t="shared" si="8"/>
        <v>0</v>
      </c>
      <c r="BN21" s="471">
        <f t="shared" si="22"/>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3"/>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IF(((4.5*1.04)-T22)&gt;=4.2,4.2,(4.5*1.04)-T22)</f>
        <v>3.7148487999999995</v>
      </c>
      <c r="S22" s="67">
        <f>IF(((4.5*1.04)-T22)&gt;=4.2,((4.5*1.04)-T22)-4.2,0)</f>
        <v>0</v>
      </c>
      <c r="T22" s="67">
        <f t="shared" si="28"/>
        <v>0.9651512000000001</v>
      </c>
      <c r="U22" s="124">
        <v>0</v>
      </c>
      <c r="V22" s="41">
        <v>95.4</v>
      </c>
      <c r="W22" s="41">
        <v>59.6</v>
      </c>
      <c r="X22" s="41">
        <f t="shared" si="15"/>
        <v>260.64300931161608</v>
      </c>
      <c r="Y22" s="41">
        <f t="shared" si="16"/>
        <v>260.64300931161608</v>
      </c>
      <c r="Z22" s="49"/>
      <c r="AA22" s="41"/>
      <c r="AB22" s="49"/>
      <c r="AC22" s="56">
        <f t="shared" si="24"/>
        <v>1049.1655903897461</v>
      </c>
      <c r="AD22" s="49">
        <f t="shared" si="17"/>
        <v>681.80843992348673</v>
      </c>
      <c r="AE22" s="397"/>
      <c r="AG22" s="49">
        <f t="shared" si="29"/>
        <v>5559.3647592639272</v>
      </c>
      <c r="AH22" s="41">
        <v>37.1</v>
      </c>
      <c r="AI22" s="157">
        <v>1.7</v>
      </c>
      <c r="AJ22" s="175">
        <v>1.3</v>
      </c>
      <c r="AK22" s="41">
        <v>26.1</v>
      </c>
      <c r="AL22" s="49">
        <f t="shared" si="26"/>
        <v>4077.3792387194494</v>
      </c>
      <c r="AM22" s="49"/>
      <c r="AN22" s="68">
        <f t="shared" si="18"/>
        <v>353.20000000000005</v>
      </c>
      <c r="AO22" s="41">
        <f t="shared" si="3"/>
        <v>18.308948827829539</v>
      </c>
      <c r="AP22" s="41">
        <f t="shared" si="4"/>
        <v>371.50894882782961</v>
      </c>
      <c r="AQ22" s="126">
        <v>0</v>
      </c>
      <c r="AR22" s="41">
        <f>AR21+MIN(0,AT22)</f>
        <v>1054.7353831038977</v>
      </c>
      <c r="AS22" s="39"/>
      <c r="AT22" s="37">
        <f>IF(G22="",0,IF(I22&gt;=(795+Q22+R22+AI22),795-X22,I22-Q22-R22-X22-AI22)-AM22)</f>
        <v>-141.31484880000005</v>
      </c>
      <c r="AU22" s="399">
        <v>0.28000000000000003</v>
      </c>
      <c r="AV22" s="400">
        <f t="shared" si="5"/>
        <v>0.19600000000000001</v>
      </c>
      <c r="AW22" s="401">
        <f>IF(AU22="",0,VLOOKUP(ROUNDDOWN(TEXT(B22,"0000"),-1),VLOOKUP!$M$3:$W$32,RIGHT(TEXT(B22,"0000"),1)+2,FALSE))</f>
        <v>2663</v>
      </c>
      <c r="AX22" s="401">
        <f t="shared" si="20"/>
        <v>43.495666666666672</v>
      </c>
      <c r="AY22" s="33">
        <f>AX22*((IF(Z22&gt;JUN!$Z$44,JUN!$Z$44,Z22)+AC22+AD22+AR22)*1.9835)/E22</f>
        <v>6.6381254633094038</v>
      </c>
      <c r="AZ22" s="36">
        <v>0</v>
      </c>
      <c r="BA22" s="149">
        <f t="shared" si="21"/>
        <v>16.168554990435798</v>
      </c>
      <c r="BC22" s="40">
        <v>0</v>
      </c>
      <c r="BD22" s="96">
        <v>0</v>
      </c>
      <c r="BE22" s="39">
        <v>84</v>
      </c>
      <c r="BF22" s="39">
        <v>50</v>
      </c>
      <c r="BG22" s="314"/>
      <c r="BH22" s="319">
        <f t="shared" si="6"/>
        <v>7.93699068838397</v>
      </c>
      <c r="BI22" s="40">
        <v>58.1</v>
      </c>
      <c r="BJ22" s="247">
        <v>12736.718999999999</v>
      </c>
      <c r="BK22" s="246">
        <f t="shared" si="7"/>
        <v>0</v>
      </c>
      <c r="BL22" s="485">
        <f t="shared" si="8"/>
        <v>0</v>
      </c>
      <c r="BN22" s="471">
        <f t="shared" si="22"/>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3"/>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IF(((5.1*1.04)-T23)&gt;=4.2,4.2,(5.1*1.04)-T23)</f>
        <v>4.2</v>
      </c>
      <c r="S23" s="67">
        <f>IF(((5.1*1.04)-T23)&gt;=4.2,((5.1*1.04)-T23)-4.2,0)</f>
        <v>0.138848799999999</v>
      </c>
      <c r="T23" s="67">
        <f t="shared" si="28"/>
        <v>0.9651512000000001</v>
      </c>
      <c r="U23" s="124">
        <v>0</v>
      </c>
      <c r="V23" s="41">
        <v>101</v>
      </c>
      <c r="W23" s="41">
        <v>54.7</v>
      </c>
      <c r="X23" s="41">
        <f t="shared" si="15"/>
        <v>291.98761838401805</v>
      </c>
      <c r="Y23" s="41">
        <f t="shared" si="16"/>
        <v>291.98761838401805</v>
      </c>
      <c r="Z23" s="49"/>
      <c r="AA23" s="41"/>
      <c r="AB23" s="49"/>
      <c r="AC23" s="56">
        <f t="shared" si="24"/>
        <v>1045.8189176076389</v>
      </c>
      <c r="AD23" s="49">
        <f t="shared" si="17"/>
        <v>697.97699491392257</v>
      </c>
      <c r="AE23" s="397"/>
      <c r="AG23" s="49">
        <f t="shared" si="29"/>
        <v>5559.3647592639272</v>
      </c>
      <c r="AH23" s="41">
        <v>65.599999999999994</v>
      </c>
      <c r="AI23" s="157">
        <v>1.7</v>
      </c>
      <c r="AJ23" s="175">
        <v>1.3</v>
      </c>
      <c r="AK23" s="41">
        <v>43.6</v>
      </c>
      <c r="AL23" s="49">
        <f t="shared" si="26"/>
        <v>4033.7792387194495</v>
      </c>
      <c r="AM23" s="49"/>
      <c r="AN23" s="68">
        <f t="shared" si="18"/>
        <v>436.9</v>
      </c>
      <c r="AO23" s="41">
        <f t="shared" si="3"/>
        <v>10.870103352659441</v>
      </c>
      <c r="AP23" s="41">
        <f t="shared" si="4"/>
        <v>447.77010335265942</v>
      </c>
      <c r="AQ23" s="126">
        <v>0</v>
      </c>
      <c r="AR23" s="41">
        <f t="shared" si="27"/>
        <v>865.84438310389771</v>
      </c>
      <c r="AS23" s="39"/>
      <c r="AT23" s="37">
        <f>IF(G23="",0,IF(I23&gt;=(795+Q23+R23+AI23),795-X23,I23-Q23-R23-X23-AI23)-AM23)</f>
        <v>-188.89099999999996</v>
      </c>
      <c r="AU23" s="399">
        <v>0.28999999999999998</v>
      </c>
      <c r="AV23" s="400">
        <f t="shared" si="5"/>
        <v>0.20299999999999999</v>
      </c>
      <c r="AW23" s="401">
        <f>IF(AU23="",0,VLOOKUP(ROUNDDOWN(TEXT(B23,"0000"),-1),VLOOKUP!$M$3:$W$32,RIGHT(TEXT(B23,"0000"),1)+2,FALSE))</f>
        <v>2663</v>
      </c>
      <c r="AX23" s="401">
        <f t="shared" si="20"/>
        <v>45.049083333333336</v>
      </c>
      <c r="AY23" s="33">
        <f>AX23*((IF(Z23&gt;JUN!$Z$44,JUN!$Z$44,Z23)+AC23+AD23+AR23)*1.9835)/E23</f>
        <v>6.5613561128162186</v>
      </c>
      <c r="AZ23" s="36">
        <v>0</v>
      </c>
      <c r="BA23" s="149">
        <f t="shared" si="21"/>
        <v>16.168554990435798</v>
      </c>
      <c r="BC23" s="40">
        <v>0</v>
      </c>
      <c r="BD23" s="96">
        <v>0</v>
      </c>
      <c r="BE23" s="39">
        <v>86</v>
      </c>
      <c r="BF23" s="39">
        <v>54</v>
      </c>
      <c r="BG23" s="314"/>
      <c r="BH23" s="319">
        <f t="shared" si="6"/>
        <v>8.3073816159819422</v>
      </c>
      <c r="BI23" s="40">
        <v>57.9</v>
      </c>
      <c r="BJ23" s="247">
        <v>12608.885</v>
      </c>
      <c r="BK23" s="246">
        <f t="shared" si="7"/>
        <v>0</v>
      </c>
      <c r="BL23" s="485">
        <f t="shared" si="8"/>
        <v>0</v>
      </c>
      <c r="BN23" s="471">
        <f t="shared" si="22"/>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3"/>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IF(((5*1.04)-T24)&gt;=4.2,4.2,(5*1.04)-T24)</f>
        <v>4.2</v>
      </c>
      <c r="S24" s="67">
        <f>IF(((5*1.04)-T24)&gt;=4.2,((5*1.04)-T24)-4.2,0)</f>
        <v>3.4848799999999791E-2</v>
      </c>
      <c r="T24" s="67">
        <f t="shared" si="28"/>
        <v>0.9651512000000001</v>
      </c>
      <c r="U24" s="124">
        <v>0</v>
      </c>
      <c r="V24" s="41">
        <v>102</v>
      </c>
      <c r="W24" s="41">
        <v>52.4</v>
      </c>
      <c r="X24" s="41">
        <f t="shared" si="15"/>
        <v>265.37124988059708</v>
      </c>
      <c r="Y24" s="41">
        <f t="shared" si="16"/>
        <v>265.37124988059708</v>
      </c>
      <c r="Z24" s="49"/>
      <c r="AA24" s="41"/>
      <c r="AB24" s="49"/>
      <c r="AC24" s="56">
        <f t="shared" si="24"/>
        <v>1042.5109488086391</v>
      </c>
      <c r="AD24" s="49">
        <f t="shared" si="17"/>
        <v>714.1455499043584</v>
      </c>
      <c r="AE24" s="397"/>
      <c r="AG24" s="49">
        <f t="shared" si="29"/>
        <v>5559.3647592639272</v>
      </c>
      <c r="AH24" s="41">
        <v>52.6</v>
      </c>
      <c r="AI24" s="157">
        <v>1.7</v>
      </c>
      <c r="AJ24" s="175">
        <v>1.3</v>
      </c>
      <c r="AK24" s="41">
        <v>74.7</v>
      </c>
      <c r="AL24" s="49">
        <f t="shared" si="26"/>
        <v>3959.0792387194497</v>
      </c>
      <c r="AM24" s="49"/>
      <c r="AN24" s="68">
        <f t="shared" si="18"/>
        <v>428.7</v>
      </c>
      <c r="AO24" s="41">
        <f t="shared" si="3"/>
        <v>10.053466095286126</v>
      </c>
      <c r="AP24" s="41">
        <f t="shared" si="4"/>
        <v>438.75346609528611</v>
      </c>
      <c r="AQ24" s="126">
        <v>0</v>
      </c>
      <c r="AR24" s="41">
        <f t="shared" si="27"/>
        <v>696.67438310389775</v>
      </c>
      <c r="AS24" s="39"/>
      <c r="AT24" s="37">
        <f t="shared" si="19"/>
        <v>-169.16999999999996</v>
      </c>
      <c r="AU24" s="399">
        <v>0.27</v>
      </c>
      <c r="AV24" s="400">
        <f t="shared" si="5"/>
        <v>0.189</v>
      </c>
      <c r="AW24" s="401">
        <f>IF(AU24="",0,VLOOKUP(ROUNDDOWN(TEXT(B24,"0000"),-1),VLOOKUP!$M$3:$W$32,RIGHT(TEXT(B24,"0000"),1)+2,FALSE))</f>
        <v>2663</v>
      </c>
      <c r="AX24" s="401">
        <f t="shared" si="20"/>
        <v>41.942250000000001</v>
      </c>
      <c r="AY24" s="33">
        <f>AX24*((IF(Z24&gt;JUN!$Z$44,JUN!$Z$44,Z24)+AC24+AD24+AR24)*1.9835)/E24</f>
        <v>5.8519544046888852</v>
      </c>
      <c r="AZ24" s="36">
        <v>0</v>
      </c>
      <c r="BA24" s="149">
        <f t="shared" si="21"/>
        <v>16.168554990435798</v>
      </c>
      <c r="BC24" s="40">
        <v>0</v>
      </c>
      <c r="BD24" s="96">
        <v>0</v>
      </c>
      <c r="BE24" s="39">
        <v>87</v>
      </c>
      <c r="BF24" s="39">
        <v>52</v>
      </c>
      <c r="BG24" s="314"/>
      <c r="BH24" s="319">
        <f t="shared" si="6"/>
        <v>8.0987501194028866</v>
      </c>
      <c r="BI24" s="40">
        <v>57.5</v>
      </c>
      <c r="BJ24" s="247">
        <v>12498.583000000001</v>
      </c>
      <c r="BK24" s="246">
        <f t="shared" si="7"/>
        <v>0</v>
      </c>
      <c r="BL24" s="485">
        <f t="shared" si="8"/>
        <v>0</v>
      </c>
      <c r="BN24" s="471">
        <f t="shared" si="22"/>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3"/>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IF(((4.9*1.04)-T25)&gt;=4.2,4.2,(4.9*1.04)-T25)</f>
        <v>4.1308488000000008</v>
      </c>
      <c r="S25" s="67">
        <f>IF(((4.9*1.04)-T25)&gt;=4.2,((4.9*1.04)-T25)-4.2,0)</f>
        <v>0</v>
      </c>
      <c r="T25" s="67">
        <f t="shared" si="28"/>
        <v>0.9651512000000001</v>
      </c>
      <c r="U25" s="124">
        <v>0</v>
      </c>
      <c r="V25" s="41">
        <v>95</v>
      </c>
      <c r="W25" s="41">
        <v>53.8</v>
      </c>
      <c r="X25" s="41">
        <f t="shared" si="15"/>
        <v>274.69721362485058</v>
      </c>
      <c r="Y25" s="41">
        <f t="shared" si="16"/>
        <v>274.69721362485058</v>
      </c>
      <c r="Z25" s="49"/>
      <c r="AA25" s="41"/>
      <c r="AB25" s="49"/>
      <c r="AC25" s="56">
        <f t="shared" si="24"/>
        <v>1039.5606314884028</v>
      </c>
      <c r="AD25" s="49">
        <f t="shared" si="17"/>
        <v>730.31410489479424</v>
      </c>
      <c r="AE25" s="397"/>
      <c r="AG25" s="49">
        <f t="shared" si="29"/>
        <v>5559.3647592639272</v>
      </c>
      <c r="AH25" s="41">
        <v>32.799999999999997</v>
      </c>
      <c r="AI25" s="157">
        <v>1.7</v>
      </c>
      <c r="AJ25" s="175">
        <v>1.3</v>
      </c>
      <c r="AK25" s="41">
        <v>50.8</v>
      </c>
      <c r="AL25" s="49">
        <f t="shared" si="26"/>
        <v>3908.2792387194495</v>
      </c>
      <c r="AM25" s="49"/>
      <c r="AN25" s="68">
        <f t="shared" si="18"/>
        <v>399.40000000000003</v>
      </c>
      <c r="AO25" s="41">
        <f t="shared" si="3"/>
        <v>50.444971010839367</v>
      </c>
      <c r="AP25" s="41">
        <f t="shared" si="4"/>
        <v>449.8449710108394</v>
      </c>
      <c r="AQ25" s="126">
        <v>0</v>
      </c>
      <c r="AR25" s="41">
        <f t="shared" si="27"/>
        <v>518.31953430389785</v>
      </c>
      <c r="AS25" s="39"/>
      <c r="AT25" s="37">
        <f t="shared" si="19"/>
        <v>-178.35484879999996</v>
      </c>
      <c r="AU25" s="399">
        <v>0.26</v>
      </c>
      <c r="AV25" s="400">
        <f t="shared" si="5"/>
        <v>0.182</v>
      </c>
      <c r="AW25" s="401">
        <f>IF(AU25="",0,VLOOKUP(ROUNDDOWN(TEXT(B25,"0000"),-1),VLOOKUP!$M$3:$W$32,RIGHT(TEXT(B25,"0000"),1)+2,FALSE))</f>
        <v>2627</v>
      </c>
      <c r="AX25" s="401">
        <f t="shared" si="20"/>
        <v>39.842833333333331</v>
      </c>
      <c r="AY25" s="33">
        <f>AX25*((IF(Z25&gt;JUN!$Z$44,JUN!$Z$44,Z25)+AC25+AD25+AR25)*1.9835)/E25</f>
        <v>5.2885681737106216</v>
      </c>
      <c r="AZ25" s="36">
        <v>0</v>
      </c>
      <c r="BA25" s="149">
        <f t="shared" si="21"/>
        <v>16.168554990435798</v>
      </c>
      <c r="BC25" s="40">
        <v>0</v>
      </c>
      <c r="BD25" s="96">
        <v>0</v>
      </c>
      <c r="BE25" s="39">
        <v>85</v>
      </c>
      <c r="BF25" s="39">
        <v>56</v>
      </c>
      <c r="BG25" s="314"/>
      <c r="BH25" s="319">
        <f t="shared" si="6"/>
        <v>7.9227863751494185</v>
      </c>
      <c r="BI25" s="40">
        <v>57.7</v>
      </c>
      <c r="BJ25" s="247">
        <v>12396.291999999999</v>
      </c>
      <c r="BK25" s="246">
        <f t="shared" si="7"/>
        <v>0</v>
      </c>
      <c r="BL25" s="485">
        <f t="shared" si="8"/>
        <v>0</v>
      </c>
      <c r="BN25" s="471">
        <f t="shared" si="22"/>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3"/>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IF(((4*1.04)-T26)&gt;=4.2,4.2,(4*1.04)-T26)</f>
        <v>3.1948487999999999</v>
      </c>
      <c r="S26" s="67">
        <f>IF(((4*1.04)-T26)&gt;=4.2,((4*1.04)-T26)-4.2,0)</f>
        <v>0</v>
      </c>
      <c r="T26" s="67">
        <f t="shared" si="28"/>
        <v>0.9651512000000001</v>
      </c>
      <c r="U26" s="124">
        <v>0</v>
      </c>
      <c r="V26" s="41">
        <v>93</v>
      </c>
      <c r="W26" s="41">
        <v>51</v>
      </c>
      <c r="X26" s="41">
        <f t="shared" si="15"/>
        <v>234.13733669498879</v>
      </c>
      <c r="Y26" s="41">
        <f t="shared" si="16"/>
        <v>234.13733669498879</v>
      </c>
      <c r="Z26" s="49"/>
      <c r="AA26" s="41"/>
      <c r="AB26" s="49"/>
      <c r="AC26" s="56">
        <f t="shared" si="24"/>
        <v>1036.8943505840869</v>
      </c>
      <c r="AD26" s="49">
        <f t="shared" si="17"/>
        <v>746.48265988523008</v>
      </c>
      <c r="AE26" s="397"/>
      <c r="AG26" s="49">
        <f t="shared" si="29"/>
        <v>5559.3647592639272</v>
      </c>
      <c r="AH26" s="41">
        <v>44.4</v>
      </c>
      <c r="AI26" s="157">
        <v>1.7</v>
      </c>
      <c r="AJ26" s="175">
        <v>1.3</v>
      </c>
      <c r="AK26" s="41">
        <v>25.9</v>
      </c>
      <c r="AL26" s="49">
        <f t="shared" si="26"/>
        <v>3882.3792387194494</v>
      </c>
      <c r="AM26" s="49"/>
      <c r="AN26" s="68">
        <f t="shared" si="18"/>
        <v>354.29999999999995</v>
      </c>
      <c r="AO26" s="41">
        <f t="shared" si="3"/>
        <v>0</v>
      </c>
      <c r="AP26" s="41">
        <f t="shared" si="4"/>
        <v>354.29999999999995</v>
      </c>
      <c r="AQ26" s="126">
        <v>0</v>
      </c>
      <c r="AR26" s="41">
        <f t="shared" si="27"/>
        <v>403.52968550389784</v>
      </c>
      <c r="AS26" s="39"/>
      <c r="AT26" s="37">
        <f t="shared" si="19"/>
        <v>-114.78984880000002</v>
      </c>
      <c r="AU26" s="399">
        <v>0.05</v>
      </c>
      <c r="AV26" s="400">
        <f t="shared" si="5"/>
        <v>3.4999999999999996E-2</v>
      </c>
      <c r="AW26" s="401">
        <f>IF(AU26="",0,VLOOKUP(ROUNDDOWN(TEXT(B26,"0000"),-1),VLOOKUP!$M$3:$W$32,RIGHT(TEXT(B26,"0000"),1)+2,FALSE))</f>
        <v>2627</v>
      </c>
      <c r="AX26" s="401">
        <f t="shared" si="20"/>
        <v>7.6620833333333325</v>
      </c>
      <c r="AY26" s="33">
        <f>AX26*((IF(Z26&gt;JUN!$Z$44,JUN!$Z$44,Z26)+AC26+AD26+AR26)*1.9835)/E26</f>
        <v>0.98122473964693957</v>
      </c>
      <c r="AZ26" s="36">
        <v>0</v>
      </c>
      <c r="BA26" s="149">
        <f t="shared" si="21"/>
        <v>16.168554990435798</v>
      </c>
      <c r="BC26" s="40">
        <v>0</v>
      </c>
      <c r="BD26" s="96">
        <v>0.43</v>
      </c>
      <c r="BE26" s="39">
        <v>72</v>
      </c>
      <c r="BF26" s="39">
        <v>54</v>
      </c>
      <c r="BG26" s="314"/>
      <c r="BH26" s="319">
        <f t="shared" si="6"/>
        <v>6.9176633050112164</v>
      </c>
      <c r="BI26" s="40">
        <v>57.4</v>
      </c>
      <c r="BJ26" s="247">
        <v>12327.406999999999</v>
      </c>
      <c r="BK26" s="246">
        <f t="shared" si="7"/>
        <v>0</v>
      </c>
      <c r="BL26" s="485">
        <f t="shared" si="8"/>
        <v>0</v>
      </c>
      <c r="BN26" s="471">
        <f t="shared" si="22"/>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3"/>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IF(((4.8*1.04)-T27)&gt;=4.2,4.2,(4.8*1.04)-T27)</f>
        <v>3.9036004799999997</v>
      </c>
      <c r="S27" s="67">
        <f>IF(((4.8*1.04)-T27)&gt;=4.2,((4.8*1.04)-T27)-4.2,0)</f>
        <v>0</v>
      </c>
      <c r="T27" s="67">
        <f>(0.9873*1.06)*1.04</f>
        <v>1.0883995200000001</v>
      </c>
      <c r="U27" s="124">
        <v>0</v>
      </c>
      <c r="V27" s="41">
        <v>92.3</v>
      </c>
      <c r="W27" s="41">
        <v>54.7</v>
      </c>
      <c r="X27" s="41">
        <f t="shared" si="15"/>
        <v>205.50464104385964</v>
      </c>
      <c r="Y27" s="41">
        <f t="shared" si="16"/>
        <v>205.50464104385964</v>
      </c>
      <c r="Z27" s="49"/>
      <c r="AA27" s="41"/>
      <c r="AB27" s="49"/>
      <c r="AC27" s="56">
        <f t="shared" si="24"/>
        <v>1036.3996569921296</v>
      </c>
      <c r="AD27" s="49">
        <f t="shared" si="17"/>
        <v>762.65121487566591</v>
      </c>
      <c r="AE27" s="397"/>
      <c r="AG27" s="49">
        <f t="shared" si="29"/>
        <v>5559.3647592639272</v>
      </c>
      <c r="AH27" s="41">
        <v>56.3</v>
      </c>
      <c r="AI27" s="157">
        <v>1.7</v>
      </c>
      <c r="AJ27" s="175">
        <v>1.3</v>
      </c>
      <c r="AK27" s="41">
        <v>26.3</v>
      </c>
      <c r="AL27" s="49">
        <f t="shared" si="26"/>
        <v>3856.0792387194492</v>
      </c>
      <c r="AM27" s="49"/>
      <c r="AN27" s="68">
        <f t="shared" si="18"/>
        <v>345.6</v>
      </c>
      <c r="AO27" s="41">
        <f t="shared" si="3"/>
        <v>31.047088479959626</v>
      </c>
      <c r="AP27" s="41">
        <f t="shared" si="4"/>
        <v>376.64708847995962</v>
      </c>
      <c r="AQ27" s="126">
        <v>0</v>
      </c>
      <c r="AR27" s="41">
        <f t="shared" si="27"/>
        <v>366.37308502389783</v>
      </c>
      <c r="AS27" s="39"/>
      <c r="AT27" s="37">
        <f t="shared" si="19"/>
        <v>-37.156600479999994</v>
      </c>
      <c r="AU27" s="399">
        <v>0.02</v>
      </c>
      <c r="AV27" s="400">
        <f t="shared" si="5"/>
        <v>1.3999999999999999E-2</v>
      </c>
      <c r="AW27" s="401">
        <f>IF(AU27="",0,VLOOKUP(ROUNDDOWN(TEXT(B27,"0000"),-1),VLOOKUP!$M$3:$W$32,RIGHT(TEXT(B27,"0000"),1)+2,FALSE))</f>
        <v>2627</v>
      </c>
      <c r="AX27" s="401">
        <f t="shared" si="20"/>
        <v>3.0648333333333331</v>
      </c>
      <c r="AY27" s="33">
        <f>AX27*((IF(Z27&gt;JUN!$Z$44,JUN!$Z$44,Z27)+AC27+AD27+AR27)*1.9835)/E27</f>
        <v>0.3932316316052224</v>
      </c>
      <c r="AZ27" s="36">
        <v>0</v>
      </c>
      <c r="BA27" s="149">
        <f t="shared" si="21"/>
        <v>16.168554990435798</v>
      </c>
      <c r="BC27" s="40">
        <v>0</v>
      </c>
      <c r="BD27" s="96">
        <v>0.08</v>
      </c>
      <c r="BE27" s="39">
        <v>72</v>
      </c>
      <c r="BF27" s="39">
        <v>45</v>
      </c>
      <c r="BG27" s="314"/>
      <c r="BH27" s="319">
        <f t="shared" si="6"/>
        <v>8.0403589561403592</v>
      </c>
      <c r="BI27" s="40">
        <v>57.2</v>
      </c>
      <c r="BJ27" s="247">
        <v>12224.983</v>
      </c>
      <c r="BK27" s="246">
        <f t="shared" si="7"/>
        <v>0</v>
      </c>
      <c r="BL27" s="485">
        <f t="shared" si="8"/>
        <v>0</v>
      </c>
      <c r="BN27" s="471">
        <f t="shared" si="22"/>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3"/>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IF(((4.3*1.04)-T28)&gt;=4.2,4.2,(4.3*1.04)-T28)</f>
        <v>3.3836004799999992</v>
      </c>
      <c r="S28" s="67">
        <f>IF(((4.3*1.04)-T28)&gt;=4.2,((4.3*1.04)-T28)-4.2,0)</f>
        <v>0</v>
      </c>
      <c r="T28" s="67">
        <f t="shared" ref="T28:T33" si="30">(0.9873*1.06)*1.04</f>
        <v>1.0883995200000001</v>
      </c>
      <c r="U28" s="124">
        <v>0</v>
      </c>
      <c r="V28" s="41">
        <v>92.4</v>
      </c>
      <c r="W28" s="41">
        <v>55.1</v>
      </c>
      <c r="X28" s="41">
        <f t="shared" si="15"/>
        <v>205.15965336477302</v>
      </c>
      <c r="Y28" s="41">
        <f t="shared" si="16"/>
        <v>205.15965336477302</v>
      </c>
      <c r="Z28" s="49"/>
      <c r="AA28" s="41"/>
      <c r="AB28" s="49"/>
      <c r="AC28" s="56">
        <f t="shared" si="24"/>
        <v>1036.2014056023613</v>
      </c>
      <c r="AD28" s="49">
        <f t="shared" si="17"/>
        <v>778.81976986610175</v>
      </c>
      <c r="AE28" s="397"/>
      <c r="AG28" s="49">
        <f t="shared" si="29"/>
        <v>5559.3647592639272</v>
      </c>
      <c r="AH28" s="41">
        <v>8.48</v>
      </c>
      <c r="AI28" s="157">
        <v>1.7</v>
      </c>
      <c r="AJ28" s="175">
        <v>1.3</v>
      </c>
      <c r="AK28" s="41">
        <v>26.3</v>
      </c>
      <c r="AL28" s="49">
        <f t="shared" si="26"/>
        <v>3829.779238719449</v>
      </c>
      <c r="AM28" s="49"/>
      <c r="AN28" s="68">
        <f t="shared" si="18"/>
        <v>287.28000000000003</v>
      </c>
      <c r="AO28" s="41">
        <f t="shared" si="3"/>
        <v>2.7099168137131073</v>
      </c>
      <c r="AP28" s="41">
        <f t="shared" si="4"/>
        <v>289.98991681371314</v>
      </c>
      <c r="AQ28" s="126">
        <v>0</v>
      </c>
      <c r="AR28" s="41">
        <f>AR27+MIN(0,AT28)</f>
        <v>323.16148454389781</v>
      </c>
      <c r="AS28" s="39"/>
      <c r="AT28" s="37">
        <f t="shared" si="19"/>
        <v>-43.211600480000001</v>
      </c>
      <c r="AU28" s="399">
        <v>0.13</v>
      </c>
      <c r="AV28" s="400">
        <f t="shared" si="5"/>
        <v>9.0999999999999998E-2</v>
      </c>
      <c r="AW28" s="401">
        <f>IF(AU28="",0,VLOOKUP(ROUNDDOWN(TEXT(B28,"0000"),-1),VLOOKUP!$M$3:$W$32,RIGHT(TEXT(B28,"0000"),1)+2,FALSE))</f>
        <v>2627</v>
      </c>
      <c r="AX28" s="401">
        <f t="shared" si="20"/>
        <v>19.921416666666666</v>
      </c>
      <c r="AY28" s="33">
        <f>AX28*((IF(Z28&gt;JUN!$Z$44,JUN!$Z$44,Z28)+AC28+AD28+AR28)*1.9835)/E28</f>
        <v>2.5419227240623168</v>
      </c>
      <c r="AZ28" s="36">
        <v>0</v>
      </c>
      <c r="BA28" s="149">
        <f t="shared" si="21"/>
        <v>16.168554990435798</v>
      </c>
      <c r="BC28" s="40">
        <v>0</v>
      </c>
      <c r="BD28" s="96">
        <v>0</v>
      </c>
      <c r="BE28" s="39">
        <v>78</v>
      </c>
      <c r="BF28" s="39">
        <v>39</v>
      </c>
      <c r="BG28" s="314"/>
      <c r="BH28" s="319">
        <f t="shared" si="6"/>
        <v>7.4403466352269634</v>
      </c>
      <c r="BI28" s="40">
        <v>57.2</v>
      </c>
      <c r="BJ28" s="247">
        <v>12130.313</v>
      </c>
      <c r="BK28" s="246">
        <f t="shared" si="7"/>
        <v>0</v>
      </c>
      <c r="BL28" s="485">
        <f t="shared" si="8"/>
        <v>0</v>
      </c>
      <c r="BN28" s="471">
        <f t="shared" si="22"/>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3"/>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IF(((5.1*1.04)-T29)&gt;=4.2,4.2,(5.1*1.04)-T29)</f>
        <v>4.2</v>
      </c>
      <c r="S29" s="67">
        <f>IF(((5.1*1.04)-T29)&gt;=4.2,((5.1*1.04)-T29)-4.2,0)</f>
        <v>1.5600479999998917E-2</v>
      </c>
      <c r="T29" s="67">
        <f t="shared" si="30"/>
        <v>1.0883995200000001</v>
      </c>
      <c r="U29" s="124">
        <v>0</v>
      </c>
      <c r="V29" s="41">
        <v>93</v>
      </c>
      <c r="W29" s="41">
        <v>55.8</v>
      </c>
      <c r="X29" s="41">
        <f t="shared" si="15"/>
        <v>215.93845754747724</v>
      </c>
      <c r="Y29" s="41">
        <f t="shared" si="16"/>
        <v>215.93845754747724</v>
      </c>
      <c r="Z29" s="49"/>
      <c r="AA29" s="41"/>
      <c r="AB29" s="49"/>
      <c r="AC29" s="56">
        <f t="shared" si="24"/>
        <v>1034.9198715846844</v>
      </c>
      <c r="AD29" s="49">
        <f t="shared" si="17"/>
        <v>794.98832485653759</v>
      </c>
      <c r="AE29" s="397"/>
      <c r="AG29" s="49">
        <f t="shared" si="29"/>
        <v>5559.3647592639272</v>
      </c>
      <c r="AH29" s="41">
        <v>42</v>
      </c>
      <c r="AI29" s="157">
        <v>1.7</v>
      </c>
      <c r="AJ29" s="175">
        <v>1.3</v>
      </c>
      <c r="AK29" s="41">
        <v>26.3</v>
      </c>
      <c r="AL29" s="49">
        <f t="shared" si="26"/>
        <v>3803.4792387194489</v>
      </c>
      <c r="AM29" s="49"/>
      <c r="AN29" s="68">
        <f t="shared" si="18"/>
        <v>321.10000000000002</v>
      </c>
      <c r="AO29" s="41">
        <f t="shared" si="3"/>
        <v>10.926468364003</v>
      </c>
      <c r="AP29" s="41">
        <f t="shared" si="4"/>
        <v>332.02646836400299</v>
      </c>
      <c r="AQ29" s="126">
        <v>0</v>
      </c>
      <c r="AR29" s="41">
        <f t="shared" si="27"/>
        <v>245.3254845438978</v>
      </c>
      <c r="AS29" s="39"/>
      <c r="AT29" s="37">
        <f t="shared" si="19"/>
        <v>-77.836000000000027</v>
      </c>
      <c r="AU29" s="399">
        <v>0.16</v>
      </c>
      <c r="AV29" s="400">
        <f t="shared" si="5"/>
        <v>0.11199999999999999</v>
      </c>
      <c r="AW29" s="401">
        <f>IF(AU29="",0,VLOOKUP(ROUNDDOWN(TEXT(B29,"0000"),-1),VLOOKUP!$M$3:$W$32,RIGHT(TEXT(B29,"0000"),1)+2,FALSE))</f>
        <v>2627</v>
      </c>
      <c r="AX29" s="401">
        <f t="shared" si="20"/>
        <v>24.518666666666665</v>
      </c>
      <c r="AY29" s="33">
        <f>AX29*((IF(Z29&gt;JUN!$Z$44,JUN!$Z$44,Z29)+AC29+AD29+AR29)*1.9835)/E29</f>
        <v>3.0703164908738909</v>
      </c>
      <c r="AZ29" s="36">
        <v>0</v>
      </c>
      <c r="BA29" s="149">
        <f t="shared" si="21"/>
        <v>16.168554990435798</v>
      </c>
      <c r="BC29" s="40">
        <v>0</v>
      </c>
      <c r="BD29" s="96">
        <v>0</v>
      </c>
      <c r="BE29" s="39">
        <v>81</v>
      </c>
      <c r="BF29" s="39">
        <v>45</v>
      </c>
      <c r="BG29" s="314"/>
      <c r="BH29" s="319">
        <f t="shared" si="6"/>
        <v>8.3015424525227779</v>
      </c>
      <c r="BI29" s="40">
        <v>57.2</v>
      </c>
      <c r="BJ29" s="247">
        <v>11998.906000000001</v>
      </c>
      <c r="BK29" s="246">
        <f t="shared" si="7"/>
        <v>0</v>
      </c>
      <c r="BL29" s="485">
        <f t="shared" si="8"/>
        <v>0</v>
      </c>
      <c r="BN29" s="471">
        <f t="shared" si="22"/>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3"/>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IF(((5.1*1.04)-T30)&gt;=4.2,4.2,(5.1*1.04)-T30)</f>
        <v>4.2</v>
      </c>
      <c r="S30" s="67">
        <f>IF(((5.1*1.04)-T30)&gt;=4.2,((5.1*1.04)-T30)-4.2,0)</f>
        <v>1.5600479999998917E-2</v>
      </c>
      <c r="T30" s="67">
        <f t="shared" si="30"/>
        <v>1.0883995200000001</v>
      </c>
      <c r="U30" s="124">
        <v>0</v>
      </c>
      <c r="V30" s="41">
        <v>129</v>
      </c>
      <c r="W30" s="41">
        <v>54.7</v>
      </c>
      <c r="X30" s="41">
        <f t="shared" si="15"/>
        <v>291.16882444357327</v>
      </c>
      <c r="Y30" s="41">
        <f t="shared" si="16"/>
        <v>291.16882444357327</v>
      </c>
      <c r="Z30" s="49"/>
      <c r="AA30" s="41"/>
      <c r="AB30" s="49"/>
      <c r="AC30" s="56">
        <f t="shared" si="24"/>
        <v>1033.3719429278285</v>
      </c>
      <c r="AD30" s="49">
        <f t="shared" si="17"/>
        <v>811.15687984697342</v>
      </c>
      <c r="AE30" s="397"/>
      <c r="AG30" s="49">
        <f t="shared" si="29"/>
        <v>5559.3647592639272</v>
      </c>
      <c r="AH30" s="41">
        <v>66.2</v>
      </c>
      <c r="AI30" s="157">
        <v>1.7</v>
      </c>
      <c r="AJ30" s="175">
        <v>1.3</v>
      </c>
      <c r="AK30" s="41">
        <v>49.6</v>
      </c>
      <c r="AL30" s="49">
        <f t="shared" si="26"/>
        <v>3753.8792387194489</v>
      </c>
      <c r="AM30" s="49"/>
      <c r="AN30" s="68">
        <f t="shared" si="18"/>
        <v>449.5</v>
      </c>
      <c r="AO30" s="41">
        <f t="shared" si="3"/>
        <v>9.2118729518527971</v>
      </c>
      <c r="AP30" s="41">
        <f t="shared" si="4"/>
        <v>458.7118729518528</v>
      </c>
      <c r="AQ30" s="126">
        <v>0</v>
      </c>
      <c r="AR30" s="41">
        <f t="shared" si="27"/>
        <v>75.784484543897804</v>
      </c>
      <c r="AS30" s="39"/>
      <c r="AT30" s="37">
        <f t="shared" si="19"/>
        <v>-169.541</v>
      </c>
      <c r="AU30" s="399">
        <v>0.27</v>
      </c>
      <c r="AV30" s="400">
        <f t="shared" si="5"/>
        <v>0.189</v>
      </c>
      <c r="AW30" s="401">
        <f>IF(AU30="",0,VLOOKUP(ROUNDDOWN(TEXT(B30,"0000"),-1),VLOOKUP!$M$3:$W$32,RIGHT(TEXT(B30,"0000"),1)+2,FALSE))</f>
        <v>2627</v>
      </c>
      <c r="AX30" s="401">
        <f t="shared" si="20"/>
        <v>41.375250000000001</v>
      </c>
      <c r="AY30" s="33">
        <f>AX30*((IF(Z30&gt;JUN!$Z$44,JUN!$Z$44,Z30)+AC30+AD30+AR30)*1.9835)/E30</f>
        <v>4.8913965214622914</v>
      </c>
      <c r="AZ30" s="36">
        <v>0</v>
      </c>
      <c r="BA30" s="149">
        <f t="shared" si="21"/>
        <v>16.168554990435798</v>
      </c>
      <c r="BC30" s="40">
        <v>0</v>
      </c>
      <c r="BD30" s="96">
        <v>0</v>
      </c>
      <c r="BE30" s="39">
        <v>82</v>
      </c>
      <c r="BF30" s="39">
        <v>51</v>
      </c>
      <c r="BG30" s="314"/>
      <c r="BH30" s="319">
        <f t="shared" si="6"/>
        <v>7.7761755564267308</v>
      </c>
      <c r="BI30" s="40">
        <v>57.2</v>
      </c>
      <c r="BJ30" s="247">
        <v>11862.968999999999</v>
      </c>
      <c r="BK30" s="246">
        <f t="shared" si="7"/>
        <v>0</v>
      </c>
      <c r="BL30" s="485">
        <f t="shared" si="8"/>
        <v>0</v>
      </c>
      <c r="BN30" s="471">
        <f t="shared" si="22"/>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3"/>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IF(((3.7*1.04)-T31)&gt;=4.2,4.2,(3.7*1.04)-T31)</f>
        <v>2.7596004800000005</v>
      </c>
      <c r="S31" s="67">
        <f>IF(((3.7*1.04)-T31)&gt;=4.2,((3.7*1.04)-T31)-4.2,0)</f>
        <v>0</v>
      </c>
      <c r="T31" s="67">
        <f t="shared" si="30"/>
        <v>1.0883995200000001</v>
      </c>
      <c r="U31" s="124">
        <v>0</v>
      </c>
      <c r="V31" s="41">
        <v>144</v>
      </c>
      <c r="W31" s="41">
        <v>55.5</v>
      </c>
      <c r="X31" s="41">
        <f t="shared" si="15"/>
        <v>302.34949767052535</v>
      </c>
      <c r="Y31" s="41">
        <f t="shared" si="16"/>
        <v>302.34949767052535</v>
      </c>
      <c r="Z31" s="49"/>
      <c r="AA31" s="41"/>
      <c r="AB31" s="49"/>
      <c r="AC31" s="56">
        <f t="shared" si="24"/>
        <v>1030.9058998113867</v>
      </c>
      <c r="AD31" s="49">
        <f t="shared" si="17"/>
        <v>827.32543483740926</v>
      </c>
      <c r="AE31" s="397"/>
      <c r="AG31" s="49">
        <f>AG30-(-AT31-AR30)</f>
        <v>5445.3076433278247</v>
      </c>
      <c r="AH31" s="41">
        <v>36.700000000000003</v>
      </c>
      <c r="AI31" s="157">
        <v>1.7</v>
      </c>
      <c r="AJ31" s="175">
        <v>1.3</v>
      </c>
      <c r="AK31" s="41">
        <v>74.8</v>
      </c>
      <c r="AL31" s="49">
        <f t="shared" si="26"/>
        <v>3679.0792387194488</v>
      </c>
      <c r="AM31" s="49"/>
      <c r="AN31" s="68">
        <f t="shared" si="18"/>
        <v>459</v>
      </c>
      <c r="AO31" s="41">
        <f t="shared" si="3"/>
        <v>28.036299470632684</v>
      </c>
      <c r="AP31" s="41">
        <f t="shared" si="4"/>
        <v>487.03629947063268</v>
      </c>
      <c r="AQ31" s="126">
        <v>0</v>
      </c>
      <c r="AR31" s="41">
        <f>AR30+MIN(0,AT31)+(-AT31-AR30)</f>
        <v>0</v>
      </c>
      <c r="AS31" s="39"/>
      <c r="AT31" s="37">
        <f>IF(G31="",0,IF(I31&gt;=(795+Q31+R31+AI31),795-X31,I31-Q31-R31-X31-AI31)-AM31)</f>
        <v>-189.84160047999995</v>
      </c>
      <c r="AU31" s="399">
        <v>0.37</v>
      </c>
      <c r="AV31" s="400">
        <f t="shared" si="5"/>
        <v>0.25900000000000001</v>
      </c>
      <c r="AW31" s="401">
        <f>IF(AU31="",0,VLOOKUP(ROUNDDOWN(TEXT(B31,"0000"),-1),VLOOKUP!$M$3:$W$32,RIGHT(TEXT(B31,"0000"),1)+2,FALSE))</f>
        <v>2590</v>
      </c>
      <c r="AX31" s="401">
        <f t="shared" si="20"/>
        <v>55.900833333333331</v>
      </c>
      <c r="AY31" s="33">
        <f>AX31*((IF(Z31&gt;JUN!$Z$44,JUN!$Z$44,Z31)+AC31+AD31+AR31)*1.9835)/E31</f>
        <v>6.543218109300569</v>
      </c>
      <c r="AZ31" s="36">
        <v>0</v>
      </c>
      <c r="BA31" s="149">
        <f>($BA$9-$BA$12)/17</f>
        <v>16.168554990435798</v>
      </c>
      <c r="BC31" s="40">
        <v>0</v>
      </c>
      <c r="BD31" s="96">
        <v>0</v>
      </c>
      <c r="BE31" s="39">
        <v>82</v>
      </c>
      <c r="BF31" s="39">
        <v>44</v>
      </c>
      <c r="BG31" s="314"/>
      <c r="BH31" s="319">
        <f t="shared" si="6"/>
        <v>5.8805023294746173</v>
      </c>
      <c r="BI31" s="40">
        <v>31.9</v>
      </c>
      <c r="BJ31" s="247">
        <v>11741.146000000001</v>
      </c>
      <c r="BK31" s="246">
        <f t="shared" si="7"/>
        <v>0</v>
      </c>
      <c r="BL31" s="485">
        <f t="shared" si="8"/>
        <v>0</v>
      </c>
      <c r="BN31" s="471">
        <f t="shared" si="22"/>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3"/>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IF(((3.3*1.04)-T32)&gt;=4.2,4.2,(3.3*1.04)-T32)</f>
        <v>2.3436004800000001</v>
      </c>
      <c r="S32" s="67">
        <f>IF(((3.3*1.04)-T32)&gt;=4.2,((3.3*1.04)-T32)-4.2,0)</f>
        <v>0</v>
      </c>
      <c r="T32" s="67">
        <f t="shared" si="30"/>
        <v>1.0883995200000001</v>
      </c>
      <c r="U32" s="124">
        <v>0</v>
      </c>
      <c r="V32" s="41">
        <v>135</v>
      </c>
      <c r="W32" s="41">
        <v>55.3</v>
      </c>
      <c r="X32" s="41">
        <f t="shared" si="15"/>
        <v>271.47701341458219</v>
      </c>
      <c r="Y32" s="41">
        <f t="shared" si="16"/>
        <v>271.47701341458219</v>
      </c>
      <c r="Z32" s="49"/>
      <c r="AA32" s="41"/>
      <c r="AB32" s="49"/>
      <c r="AC32" s="56">
        <f t="shared" si="24"/>
        <v>1027.6070754558029</v>
      </c>
      <c r="AD32" s="49">
        <f t="shared" si="17"/>
        <v>827.32543483740926</v>
      </c>
      <c r="AE32" s="397"/>
      <c r="AG32" s="49">
        <f>AG31+MIN(0,AT32)</f>
        <v>5244.3710428478244</v>
      </c>
      <c r="AH32" s="41">
        <v>45</v>
      </c>
      <c r="AI32" s="157">
        <v>1.7</v>
      </c>
      <c r="AJ32" s="175">
        <v>1.3</v>
      </c>
      <c r="AK32" s="41">
        <v>50.8</v>
      </c>
      <c r="AL32" s="49">
        <f t="shared" si="26"/>
        <v>3628.2792387194486</v>
      </c>
      <c r="AM32" s="49"/>
      <c r="AN32" s="68">
        <f t="shared" si="18"/>
        <v>410.1</v>
      </c>
      <c r="AO32" s="41">
        <f t="shared" si="3"/>
        <v>21.528157297706059</v>
      </c>
      <c r="AP32" s="41">
        <f t="shared" si="4"/>
        <v>431.62815729770608</v>
      </c>
      <c r="AQ32" s="126">
        <v>0</v>
      </c>
      <c r="AR32" s="41">
        <v>0</v>
      </c>
      <c r="AS32" s="39"/>
      <c r="AT32" s="37">
        <f t="shared" si="19"/>
        <v>-200.93660047999998</v>
      </c>
      <c r="AU32" s="399">
        <v>0.19</v>
      </c>
      <c r="AV32" s="400">
        <f t="shared" si="5"/>
        <v>0.13299999999999998</v>
      </c>
      <c r="AW32" s="401">
        <f>IF(AU32="",0,VLOOKUP(ROUNDDOWN(TEXT(B32,"0000"),-1),VLOOKUP!$M$3:$W$32,RIGHT(TEXT(B32,"0000"),1)+2,FALSE))</f>
        <v>2590</v>
      </c>
      <c r="AX32" s="401">
        <f t="shared" si="20"/>
        <v>28.705833333333331</v>
      </c>
      <c r="AY32" s="33">
        <f>AX32*((IF(Z32&gt;JUN!$Z$44,JUN!$Z$44,Z32)+AC32+AD32+AR32)*1.9835)/E32</f>
        <v>3.4307677486637531</v>
      </c>
      <c r="AZ32" s="36">
        <v>0</v>
      </c>
      <c r="BA32" s="149"/>
      <c r="BC32" s="40">
        <v>0</v>
      </c>
      <c r="BD32" s="96">
        <v>0</v>
      </c>
      <c r="BE32" s="39">
        <v>81</v>
      </c>
      <c r="BF32" s="39">
        <v>44</v>
      </c>
      <c r="BG32" s="314"/>
      <c r="BH32" s="319">
        <f t="shared" si="6"/>
        <v>5.5479865854177861</v>
      </c>
      <c r="BI32" s="40">
        <v>0</v>
      </c>
      <c r="BJ32" s="247">
        <v>11716.041999999999</v>
      </c>
      <c r="BK32" s="246">
        <f t="shared" si="7"/>
        <v>0</v>
      </c>
      <c r="BL32" s="485">
        <f t="shared" si="8"/>
        <v>0</v>
      </c>
      <c r="BN32" s="471">
        <f t="shared" si="22"/>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3"/>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IF(((3.8*1.04)-T33)&gt;=4.2,4.2,(3.8*1.04)-T33)</f>
        <v>2.8636004799999997</v>
      </c>
      <c r="S33" s="67">
        <f>IF(((3.8*1.04)-T33)&gt;=4.2,((3.8*1.04)-T33)-4.2,0)</f>
        <v>0</v>
      </c>
      <c r="T33" s="67">
        <f t="shared" si="30"/>
        <v>1.0883995200000001</v>
      </c>
      <c r="U33" s="124">
        <v>0</v>
      </c>
      <c r="V33" s="41">
        <v>126</v>
      </c>
      <c r="W33" s="41">
        <v>54.6</v>
      </c>
      <c r="X33" s="41">
        <f t="shared" si="15"/>
        <v>298.92631219215775</v>
      </c>
      <c r="Y33" s="41">
        <f t="shared" si="16"/>
        <v>298.92631219215775</v>
      </c>
      <c r="Z33" s="49"/>
      <c r="AA33" s="41"/>
      <c r="AB33" s="49"/>
      <c r="AC33" s="56">
        <f t="shared" si="24"/>
        <v>1025.8774219399654</v>
      </c>
      <c r="AD33" s="49">
        <f t="shared" si="17"/>
        <v>827.32543483740926</v>
      </c>
      <c r="AE33" s="397"/>
      <c r="AF33" s="397"/>
      <c r="AG33" s="49">
        <f t="shared" ref="AG33:AG44" si="31">AG32+MIN(0,AT33)</f>
        <v>4995.1944423678242</v>
      </c>
      <c r="AH33" s="41">
        <v>85.4</v>
      </c>
      <c r="AI33" s="157">
        <v>1.7</v>
      </c>
      <c r="AJ33" s="175">
        <v>1.3</v>
      </c>
      <c r="AK33" s="41">
        <v>26.3</v>
      </c>
      <c r="AL33" s="49">
        <f t="shared" si="26"/>
        <v>3601.9792387194484</v>
      </c>
      <c r="AM33" s="49"/>
      <c r="AN33" s="68">
        <f t="shared" si="18"/>
        <v>455.3</v>
      </c>
      <c r="AO33" s="41">
        <f t="shared" si="3"/>
        <v>17.6355936475926</v>
      </c>
      <c r="AP33" s="41">
        <f t="shared" si="4"/>
        <v>472.93559364759261</v>
      </c>
      <c r="AQ33" s="126">
        <v>0</v>
      </c>
      <c r="AR33" s="41">
        <v>0</v>
      </c>
      <c r="AS33" s="39"/>
      <c r="AT33" s="37">
        <f t="shared" si="19"/>
        <v>-249.17660047999999</v>
      </c>
      <c r="AU33" s="399">
        <v>0.12</v>
      </c>
      <c r="AV33" s="400">
        <f t="shared" si="5"/>
        <v>8.3999999999999991E-2</v>
      </c>
      <c r="AW33" s="401">
        <f>IF(AU33="",0,VLOOKUP(ROUNDDOWN(TEXT(B33,"0000"),-1),VLOOKUP!$M$3:$W$32,RIGHT(TEXT(B33,"0000"),1)+2,FALSE))</f>
        <v>2590</v>
      </c>
      <c r="AX33" s="401">
        <f t="shared" si="20"/>
        <v>18.13</v>
      </c>
      <c r="AY33" s="33">
        <f>AX33*((IF(Z33&gt;JUN!$Z$44,JUN!$Z$44,Z33)+AC33+AD33+AR33)*1.9835)/E33</f>
        <v>2.2244654099988965</v>
      </c>
      <c r="AZ33" s="36">
        <v>0</v>
      </c>
      <c r="BA33" s="149"/>
      <c r="BC33" s="40">
        <v>0</v>
      </c>
      <c r="BD33" s="96">
        <v>0</v>
      </c>
      <c r="BE33" s="39">
        <v>79</v>
      </c>
      <c r="BF33" s="39">
        <v>47</v>
      </c>
      <c r="BG33" s="314"/>
      <c r="BH33" s="319">
        <f t="shared" si="6"/>
        <v>6.1386878078422464</v>
      </c>
      <c r="BI33" s="40">
        <v>0</v>
      </c>
      <c r="BJ33" s="247">
        <v>11711.041999999999</v>
      </c>
      <c r="BK33" s="246">
        <f t="shared" si="7"/>
        <v>0</v>
      </c>
      <c r="BL33" s="485">
        <f t="shared" si="8"/>
        <v>0</v>
      </c>
      <c r="BN33" s="471">
        <f t="shared" si="22"/>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3"/>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IF(((4.9*1.04)-T34)&gt;=4.2,4.2,(4.9*1.04)-T34)</f>
        <v>4.2</v>
      </c>
      <c r="S34" s="67">
        <f>IF(((4.9*1.04)-T34)&gt;=4.2,((4.9*1.04)-T34)-4.2,0)</f>
        <v>1.6836000000000517E-2</v>
      </c>
      <c r="T34" s="67">
        <f>(0.7975*1.06)*1.04</f>
        <v>0.87916400000000006</v>
      </c>
      <c r="U34" s="124">
        <v>0</v>
      </c>
      <c r="V34" s="41">
        <v>122</v>
      </c>
      <c r="W34" s="41">
        <v>55.7</v>
      </c>
      <c r="X34" s="41">
        <f t="shared" si="15"/>
        <v>259.57863315824574</v>
      </c>
      <c r="Y34" s="41">
        <f t="shared" si="16"/>
        <v>259.57863315824574</v>
      </c>
      <c r="Z34" s="49"/>
      <c r="AA34" s="41"/>
      <c r="AB34" s="49"/>
      <c r="AC34" s="56">
        <f t="shared" si="24"/>
        <v>1024.7559369840799</v>
      </c>
      <c r="AD34" s="49">
        <f t="shared" si="17"/>
        <v>827.32543483740926</v>
      </c>
      <c r="AE34" s="397"/>
      <c r="AF34" s="397"/>
      <c r="AG34" s="49">
        <f t="shared" si="31"/>
        <v>4782.3054423678241</v>
      </c>
      <c r="AH34" s="41">
        <v>61.7</v>
      </c>
      <c r="AI34" s="157">
        <v>1.7</v>
      </c>
      <c r="AJ34" s="175">
        <v>1.3</v>
      </c>
      <c r="AK34" s="41">
        <v>26.4</v>
      </c>
      <c r="AL34" s="49">
        <f t="shared" si="26"/>
        <v>3575.5792387194483</v>
      </c>
      <c r="AM34" s="49"/>
      <c r="AN34" s="68">
        <f t="shared" si="18"/>
        <v>401.79999999999995</v>
      </c>
      <c r="AO34" s="41">
        <f t="shared" si="3"/>
        <v>3.6907234686161701</v>
      </c>
      <c r="AP34" s="41">
        <f t="shared" si="4"/>
        <v>405.49072346861612</v>
      </c>
      <c r="AQ34" s="126">
        <v>0</v>
      </c>
      <c r="AR34" s="41">
        <v>0</v>
      </c>
      <c r="AS34" s="39"/>
      <c r="AT34" s="37">
        <f t="shared" si="19"/>
        <v>-212.88899999999995</v>
      </c>
      <c r="AU34" s="399">
        <v>0.05</v>
      </c>
      <c r="AV34" s="400">
        <f t="shared" si="5"/>
        <v>3.4999999999999996E-2</v>
      </c>
      <c r="AW34" s="401">
        <f>IF(AU34="",0,VLOOKUP(ROUNDDOWN(TEXT(B34,"0000"),-1),VLOOKUP!$M$3:$W$32,RIGHT(TEXT(B34,"0000"),1)+2,FALSE))</f>
        <v>2590</v>
      </c>
      <c r="AX34" s="401">
        <f t="shared" si="20"/>
        <v>7.5541666666666663</v>
      </c>
      <c r="AY34" s="33">
        <f>AX34*((IF(Z34&gt;JUN!$Z$44,JUN!$Z$44,Z34)+AC34+AD34+AR34)*1.9835)/E34</f>
        <v>0.94829867271894996</v>
      </c>
      <c r="AZ34" s="36">
        <v>0</v>
      </c>
      <c r="BA34" s="149"/>
      <c r="BC34" s="40">
        <v>0</v>
      </c>
      <c r="BD34" s="96">
        <v>0.11</v>
      </c>
      <c r="BE34" s="39">
        <v>78</v>
      </c>
      <c r="BF34" s="39">
        <v>51</v>
      </c>
      <c r="BG34" s="314"/>
      <c r="BH34" s="319">
        <f t="shared" si="6"/>
        <v>7.6063668417542312</v>
      </c>
      <c r="BI34" s="40">
        <v>0</v>
      </c>
      <c r="BJ34" s="247">
        <v>11713.802</v>
      </c>
      <c r="BK34" s="246">
        <f t="shared" si="7"/>
        <v>0</v>
      </c>
      <c r="BL34" s="485">
        <f t="shared" si="8"/>
        <v>0</v>
      </c>
      <c r="BN34" s="471">
        <f t="shared" si="22"/>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3"/>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IF(((4.2*1.04)-T35)&gt;=4.2,4.2,(4.2*1.04)-T35)</f>
        <v>3.488836</v>
      </c>
      <c r="S35" s="67">
        <f>IF(((4.2*1.04)-T35)&gt;=4.2,((4.2*1.04)-T35)-4.2,0)</f>
        <v>0</v>
      </c>
      <c r="T35" s="67">
        <f t="shared" ref="T35:T40" si="32">(0.7975*1.06)*1.04</f>
        <v>0.87916400000000006</v>
      </c>
      <c r="U35" s="124">
        <v>0</v>
      </c>
      <c r="V35" s="41">
        <v>119</v>
      </c>
      <c r="W35" s="41">
        <v>55.8</v>
      </c>
      <c r="X35" s="41">
        <f t="shared" si="15"/>
        <v>252.81082817187911</v>
      </c>
      <c r="Y35" s="41">
        <f t="shared" si="16"/>
        <v>252.81082817187911</v>
      </c>
      <c r="Z35" s="49"/>
      <c r="AA35" s="41"/>
      <c r="AB35" s="49"/>
      <c r="AC35" s="56">
        <f t="shared" si="24"/>
        <v>1024.2778433754493</v>
      </c>
      <c r="AD35" s="49">
        <f t="shared" si="17"/>
        <v>827.32543483740926</v>
      </c>
      <c r="AE35" s="397"/>
      <c r="AF35" s="397"/>
      <c r="AG35" s="49">
        <f t="shared" si="31"/>
        <v>4577.1396063678239</v>
      </c>
      <c r="AH35" s="41">
        <v>31</v>
      </c>
      <c r="AI35" s="157">
        <v>1.7</v>
      </c>
      <c r="AJ35" s="175">
        <v>1.3</v>
      </c>
      <c r="AK35" s="41">
        <v>26.4</v>
      </c>
      <c r="AL35" s="49">
        <f t="shared" si="26"/>
        <v>3549.1792387194482</v>
      </c>
      <c r="AM35" s="49"/>
      <c r="AN35" s="68">
        <f t="shared" si="18"/>
        <v>345.2</v>
      </c>
      <c r="AO35" s="41">
        <f t="shared" si="3"/>
        <v>20.866296949836169</v>
      </c>
      <c r="AP35" s="41">
        <f t="shared" si="4"/>
        <v>366.06629694983616</v>
      </c>
      <c r="AQ35" s="126">
        <v>0</v>
      </c>
      <c r="AR35" s="41">
        <v>0</v>
      </c>
      <c r="AS35" s="39"/>
      <c r="AT35" s="37">
        <f t="shared" si="19"/>
        <v>-205.16583599999996</v>
      </c>
      <c r="AU35" s="399">
        <v>0.2</v>
      </c>
      <c r="AV35" s="400">
        <f t="shared" si="5"/>
        <v>0.13999999999999999</v>
      </c>
      <c r="AW35" s="401">
        <f>IF(AU35="",0,VLOOKUP(ROUNDDOWN(TEXT(B35,"0000"),-1),VLOOKUP!$M$3:$W$32,RIGHT(TEXT(B35,"0000"),1)+2,FALSE))</f>
        <v>2552</v>
      </c>
      <c r="AX35" s="401">
        <f t="shared" si="20"/>
        <v>29.77333333333333</v>
      </c>
      <c r="AY35" s="33">
        <f>AX35*((IF(Z35&gt;JUN!$Z$44,JUN!$Z$44,Z35)+AC35+AD35+AR35)*1.9835)/E35</f>
        <v>3.8170553489089083</v>
      </c>
      <c r="AZ35" s="36">
        <v>0</v>
      </c>
      <c r="BA35" s="149"/>
      <c r="BC35" s="40">
        <v>0</v>
      </c>
      <c r="BD35" s="96">
        <v>0.14000000000000001</v>
      </c>
      <c r="BE35" s="39">
        <v>81</v>
      </c>
      <c r="BF35" s="39">
        <v>47</v>
      </c>
      <c r="BG35" s="314"/>
      <c r="BH35" s="319">
        <f t="shared" si="6"/>
        <v>6.5341718281208632</v>
      </c>
      <c r="BI35" s="40">
        <v>0</v>
      </c>
      <c r="BJ35" s="247">
        <v>11717.343999999999</v>
      </c>
      <c r="BK35" s="246">
        <f t="shared" si="7"/>
        <v>0</v>
      </c>
      <c r="BL35" s="485">
        <f t="shared" si="8"/>
        <v>0</v>
      </c>
      <c r="BN35" s="471">
        <f t="shared" si="22"/>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3"/>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IF(((3.8*1.04)-T36)&gt;=4.2,4.2,(3.8*1.04)-T36)</f>
        <v>3.0728359999999997</v>
      </c>
      <c r="S36" s="67">
        <f>IF(((3.8*1.04)-T36)&gt;=4.2,((3.8*1.04)-T36)-4.2,0)</f>
        <v>0</v>
      </c>
      <c r="T36" s="67">
        <f t="shared" si="32"/>
        <v>0.87916400000000006</v>
      </c>
      <c r="U36" s="124">
        <v>0</v>
      </c>
      <c r="V36" s="41">
        <v>116</v>
      </c>
      <c r="W36" s="41">
        <v>55.7</v>
      </c>
      <c r="X36" s="41">
        <f t="shared" si="15"/>
        <v>261.7913781896973</v>
      </c>
      <c r="Y36" s="41">
        <f t="shared" si="16"/>
        <v>261.7913781896973</v>
      </c>
      <c r="Z36" s="49"/>
      <c r="AA36" s="41"/>
      <c r="AB36" s="49"/>
      <c r="AC36" s="56">
        <f t="shared" si="24"/>
        <v>1022.3534393679328</v>
      </c>
      <c r="AD36" s="49">
        <f t="shared" si="17"/>
        <v>827.32543483740926</v>
      </c>
      <c r="AE36" s="397"/>
      <c r="AF36" s="397"/>
      <c r="AG36" s="49">
        <f t="shared" si="31"/>
        <v>4361.5487703678236</v>
      </c>
      <c r="AH36" s="41">
        <v>31</v>
      </c>
      <c r="AI36" s="157">
        <v>1.7</v>
      </c>
      <c r="AJ36" s="175">
        <v>1.3</v>
      </c>
      <c r="AK36" s="41">
        <v>26.7</v>
      </c>
      <c r="AL36" s="49">
        <f t="shared" si="26"/>
        <v>3522.4792387194484</v>
      </c>
      <c r="AM36" s="49"/>
      <c r="AN36" s="68">
        <f t="shared" si="18"/>
        <v>343.4</v>
      </c>
      <c r="AO36" s="41">
        <f t="shared" si="3"/>
        <v>0</v>
      </c>
      <c r="AP36" s="41">
        <f t="shared" si="4"/>
        <v>343.4</v>
      </c>
      <c r="AQ36" s="126">
        <v>0</v>
      </c>
      <c r="AR36" s="41">
        <v>0</v>
      </c>
      <c r="AS36" s="39"/>
      <c r="AT36" s="37">
        <f t="shared" si="19"/>
        <v>-215.590836</v>
      </c>
      <c r="AU36" s="399">
        <v>0.05</v>
      </c>
      <c r="AV36" s="400">
        <f t="shared" si="5"/>
        <v>3.4999999999999996E-2</v>
      </c>
      <c r="AW36" s="401">
        <f>IF(AU36="",0,VLOOKUP(ROUNDDOWN(TEXT(B36,"0000"),-1),VLOOKUP!$M$3:$W$32,RIGHT(TEXT(B36,"0000"),1)+2,FALSE))</f>
        <v>2552</v>
      </c>
      <c r="AX36" s="401">
        <f t="shared" si="20"/>
        <v>7.4433333333333325</v>
      </c>
      <c r="AY36" s="33">
        <f>AX36*((IF(Z36&gt;JUN!$Z$44,JUN!$Z$44,Z36)+AC36+AD36+AR36)*1.9835)/E36</f>
        <v>0.97245155365482017</v>
      </c>
      <c r="AZ36" s="36">
        <v>0</v>
      </c>
      <c r="BA36" s="149"/>
      <c r="BC36" s="40">
        <v>0</v>
      </c>
      <c r="BD36" s="96">
        <v>0.33</v>
      </c>
      <c r="BE36" s="39">
        <v>73</v>
      </c>
      <c r="BF36" s="39">
        <v>49</v>
      </c>
      <c r="BG36" s="314"/>
      <c r="BH36" s="319">
        <f t="shared" si="6"/>
        <v>6.4786218103027116</v>
      </c>
      <c r="BI36" s="40">
        <v>0</v>
      </c>
      <c r="BJ36" s="247">
        <v>11712.968999999999</v>
      </c>
      <c r="BK36" s="246">
        <f t="shared" si="7"/>
        <v>0</v>
      </c>
      <c r="BL36" s="485">
        <f t="shared" si="8"/>
        <v>0</v>
      </c>
      <c r="BN36" s="471">
        <f t="shared" si="22"/>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3"/>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IF(((5.2*1.04)-T37)&gt;=4.2,4.2,(5.2*1.04)-T37)</f>
        <v>4.2</v>
      </c>
      <c r="S37" s="67">
        <f>IF(((5.2*1.04)-T37)&gt;=4.2,((5.2*1.04)-T37)-4.2,0)</f>
        <v>0.32883599999999991</v>
      </c>
      <c r="T37" s="67">
        <f t="shared" si="32"/>
        <v>0.87916400000000006</v>
      </c>
      <c r="U37" s="124">
        <v>0</v>
      </c>
      <c r="V37" s="41">
        <v>114</v>
      </c>
      <c r="W37" s="41">
        <v>54.5</v>
      </c>
      <c r="X37" s="41">
        <f t="shared" si="15"/>
        <v>256.1788878911297</v>
      </c>
      <c r="Y37" s="41">
        <f t="shared" si="16"/>
        <v>256.1788878911297</v>
      </c>
      <c r="Z37" s="49"/>
      <c r="AA37" s="41"/>
      <c r="AB37" s="49"/>
      <c r="AC37" s="56">
        <f t="shared" si="24"/>
        <v>1021.8631688594101</v>
      </c>
      <c r="AD37" s="49">
        <f t="shared" si="17"/>
        <v>827.32543483740926</v>
      </c>
      <c r="AE37" s="397"/>
      <c r="AF37" s="397"/>
      <c r="AG37" s="49">
        <f t="shared" si="31"/>
        <v>4156.2717703678236</v>
      </c>
      <c r="AH37" s="41">
        <v>31.1</v>
      </c>
      <c r="AI37" s="157">
        <v>1.7</v>
      </c>
      <c r="AJ37" s="175">
        <v>1.3</v>
      </c>
      <c r="AK37" s="41">
        <v>26.8</v>
      </c>
      <c r="AL37" s="49">
        <f t="shared" si="26"/>
        <v>3495.6792387194482</v>
      </c>
      <c r="AM37" s="49"/>
      <c r="AN37" s="68">
        <f t="shared" si="18"/>
        <v>343.40000000000003</v>
      </c>
      <c r="AO37" s="41">
        <f t="shared" si="3"/>
        <v>23.537181749432762</v>
      </c>
      <c r="AP37" s="41">
        <f t="shared" si="4"/>
        <v>366.9371817494328</v>
      </c>
      <c r="AQ37" s="126">
        <v>0</v>
      </c>
      <c r="AR37" s="41">
        <v>0</v>
      </c>
      <c r="AS37" s="39"/>
      <c r="AT37" s="37">
        <f t="shared" si="19"/>
        <v>-205.27699999999999</v>
      </c>
      <c r="AU37" s="399">
        <v>0.26</v>
      </c>
      <c r="AV37" s="400">
        <f t="shared" si="5"/>
        <v>0.182</v>
      </c>
      <c r="AW37" s="401">
        <f>IF(AU37="",0,VLOOKUP(ROUNDDOWN(TEXT(B37,"0000"),-1),VLOOKUP!$M$3:$W$32,RIGHT(TEXT(B37,"0000"),1)+2,FALSE))</f>
        <v>2552</v>
      </c>
      <c r="AX37" s="401">
        <f t="shared" si="20"/>
        <v>38.705333333333336</v>
      </c>
      <c r="AY37" s="33">
        <f>AX37*((IF(Z37&gt;JUN!$Z$44,JUN!$Z$44,Z37)+AC37+AD37+AR37)*1.9835)/E37</f>
        <v>5.1676601810237885</v>
      </c>
      <c r="AZ37" s="36">
        <v>0</v>
      </c>
      <c r="BA37" s="149"/>
      <c r="BC37" s="40">
        <v>0</v>
      </c>
      <c r="BD37" s="96">
        <v>0.01</v>
      </c>
      <c r="BE37" s="39">
        <v>70</v>
      </c>
      <c r="BF37" s="39">
        <v>41</v>
      </c>
      <c r="BG37" s="314"/>
      <c r="BH37" s="319">
        <f t="shared" si="6"/>
        <v>8.0061121088703029</v>
      </c>
      <c r="BI37" s="40">
        <v>0</v>
      </c>
      <c r="BJ37" s="247">
        <v>11718.073</v>
      </c>
      <c r="BK37" s="246">
        <f t="shared" si="7"/>
        <v>0</v>
      </c>
      <c r="BL37" s="485">
        <f t="shared" si="8"/>
        <v>0</v>
      </c>
      <c r="BN37" s="471">
        <f t="shared" si="22"/>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3"/>
        <v>-507</v>
      </c>
      <c r="E38" s="49">
        <f>C38-152000</f>
        <v>26965</v>
      </c>
      <c r="F38" s="106">
        <f>D38/$D$2</f>
        <v>-255.60877237206958</v>
      </c>
      <c r="G38" s="41">
        <v>58</v>
      </c>
      <c r="H38" s="107">
        <v>0.88</v>
      </c>
      <c r="I38" s="41">
        <f t="shared" si="1"/>
        <v>58.88</v>
      </c>
      <c r="J38" s="36">
        <f t="shared" si="12"/>
        <v>0</v>
      </c>
      <c r="K38" s="41">
        <f t="shared" si="13"/>
        <v>58.88</v>
      </c>
      <c r="L38" s="41">
        <f t="shared" si="2"/>
        <v>-3.988772372069576</v>
      </c>
      <c r="M38" s="108">
        <v>106</v>
      </c>
      <c r="N38" s="36">
        <v>0</v>
      </c>
      <c r="O38" s="41">
        <f>23*1.05</f>
        <v>24.150000000000002</v>
      </c>
      <c r="P38" s="33">
        <v>0</v>
      </c>
      <c r="Q38" s="133">
        <f>1552500/325851/1.9835*1.02</f>
        <v>2.4500814244190874</v>
      </c>
      <c r="R38" s="67">
        <f>IF(((3.8*1.04)-T38)&gt;=4.2,4.2,(3.8*1.04)-T38)</f>
        <v>3.0728359999999997</v>
      </c>
      <c r="S38" s="67">
        <f>IF(((3.8*1.04)-T38)&gt;=4.2,((3.8*1.04)-T38)-4.2,0)</f>
        <v>0</v>
      </c>
      <c r="T38" s="67">
        <f t="shared" si="32"/>
        <v>0.87916400000000006</v>
      </c>
      <c r="U38" s="124">
        <v>0</v>
      </c>
      <c r="V38" s="41">
        <v>115</v>
      </c>
      <c r="W38" s="41">
        <v>51.3</v>
      </c>
      <c r="X38" s="41">
        <f t="shared" si="15"/>
        <v>241.74791857558091</v>
      </c>
      <c r="Y38" s="41">
        <f t="shared" si="16"/>
        <v>241.74791857558091</v>
      </c>
      <c r="Z38" s="49"/>
      <c r="AA38" s="41"/>
      <c r="AB38" s="49"/>
      <c r="AC38" s="56">
        <f t="shared" si="24"/>
        <v>1019.2578448457857</v>
      </c>
      <c r="AD38" s="49">
        <f t="shared" si="17"/>
        <v>827.32543483740926</v>
      </c>
      <c r="AE38" s="397"/>
      <c r="AF38" s="397"/>
      <c r="AG38" s="49">
        <f t="shared" si="31"/>
        <v>3966.1809343678237</v>
      </c>
      <c r="AH38" s="41">
        <v>11.2</v>
      </c>
      <c r="AI38" s="157">
        <v>1.7</v>
      </c>
      <c r="AJ38" s="175">
        <v>1.3</v>
      </c>
      <c r="AK38" s="41">
        <v>27</v>
      </c>
      <c r="AL38" s="49">
        <f t="shared" si="26"/>
        <v>3468.6792387194482</v>
      </c>
      <c r="AM38" s="49"/>
      <c r="AN38" s="68">
        <f t="shared" si="18"/>
        <v>310.5</v>
      </c>
      <c r="AO38" s="41">
        <f t="shared" si="3"/>
        <v>3.988772372069576</v>
      </c>
      <c r="AP38" s="41">
        <f t="shared" si="4"/>
        <v>314.48877237206955</v>
      </c>
      <c r="AQ38" s="126">
        <v>0</v>
      </c>
      <c r="AR38" s="41">
        <v>0</v>
      </c>
      <c r="AS38" s="39"/>
      <c r="AT38" s="37">
        <f t="shared" si="19"/>
        <v>-190.090836</v>
      </c>
      <c r="AU38" s="399">
        <v>0.1</v>
      </c>
      <c r="AV38" s="400">
        <f t="shared" si="5"/>
        <v>6.9999999999999993E-2</v>
      </c>
      <c r="AW38" s="401">
        <f>IF(AU38="",0,VLOOKUP(ROUNDDOWN(TEXT(B38,"0000"),-1),VLOOKUP!$M$3:$W$32,RIGHT(TEXT(B38,"0000"),1)+2,FALSE))</f>
        <v>2552</v>
      </c>
      <c r="AX38" s="401">
        <f t="shared" si="20"/>
        <v>14.886666666666665</v>
      </c>
      <c r="AY38" s="33">
        <f>AX38*((IF(Z38&gt;JUN!$Z$44,JUN!$Z$44,Z38)+AC38+AD38+AR38)*1.9835)/E38</f>
        <v>2.0220791122855211</v>
      </c>
      <c r="AZ38" s="36">
        <v>0</v>
      </c>
      <c r="BA38" s="149"/>
      <c r="BC38" s="40">
        <v>0</v>
      </c>
      <c r="BD38" s="96">
        <v>0</v>
      </c>
      <c r="BE38" s="39">
        <v>76</v>
      </c>
      <c r="BF38" s="39">
        <v>42</v>
      </c>
      <c r="BG38" s="314"/>
      <c r="BH38" s="319">
        <f t="shared" si="6"/>
        <v>6.4020814244190873</v>
      </c>
      <c r="BI38" s="40">
        <v>0</v>
      </c>
      <c r="BJ38" s="71">
        <v>11714.375</v>
      </c>
      <c r="BK38" s="246">
        <f t="shared" si="7"/>
        <v>0</v>
      </c>
      <c r="BL38" s="485">
        <f t="shared" si="8"/>
        <v>0</v>
      </c>
      <c r="BN38" s="471">
        <f t="shared" si="22"/>
        <v>24</v>
      </c>
      <c r="BO38" s="456">
        <v>6867.09</v>
      </c>
      <c r="BP38" s="472">
        <f t="shared" si="9"/>
        <v>-0.48999999999978172</v>
      </c>
      <c r="BQ38" s="473">
        <v>27</v>
      </c>
      <c r="BR38" s="473">
        <f t="shared" si="10"/>
        <v>0</v>
      </c>
    </row>
    <row r="39" spans="1:70" ht="12.95" customHeight="1">
      <c r="A39" s="42">
        <v>25</v>
      </c>
      <c r="B39" s="98"/>
      <c r="C39" s="390">
        <f>IF(B39="",C38,VLOOKUP(TRUNC(B39,1),VLOOKUP!$A$3:$K$2834,RIGHT(TEXT(B39,"0000.00"),1)+2,FALSE))</f>
        <v>178965</v>
      </c>
      <c r="D39" s="39">
        <f t="shared" si="23"/>
        <v>0</v>
      </c>
      <c r="E39" s="49">
        <f t="shared" si="11"/>
        <v>26965</v>
      </c>
      <c r="F39" s="106">
        <f t="shared" si="0"/>
        <v>0</v>
      </c>
      <c r="G39" s="41"/>
      <c r="H39" s="107"/>
      <c r="I39" s="41">
        <f t="shared" si="1"/>
        <v>0</v>
      </c>
      <c r="J39" s="36">
        <f t="shared" si="12"/>
        <v>0</v>
      </c>
      <c r="K39" s="41">
        <f t="shared" si="13"/>
        <v>0</v>
      </c>
      <c r="L39" s="41">
        <f t="shared" si="2"/>
        <v>0</v>
      </c>
      <c r="M39" s="108"/>
      <c r="N39" s="36">
        <v>0</v>
      </c>
      <c r="O39" s="41"/>
      <c r="P39" s="33">
        <v>0</v>
      </c>
      <c r="Q39" s="133">
        <f>1671500/325851/1.9835*1.02</f>
        <v>2.6378815464840613</v>
      </c>
      <c r="R39" s="67">
        <f>IF(((4.6*1.04)-T39)&gt;=4.2,4.2,(4.6*1.04)-T39)</f>
        <v>3.9048359999999995</v>
      </c>
      <c r="S39" s="67">
        <f>IF(((4.6*1.04)-T39)&gt;=4.2,((4.6*1.04)-T39)-4.2,0)</f>
        <v>0</v>
      </c>
      <c r="T39" s="67">
        <f t="shared" si="32"/>
        <v>0.87916400000000006</v>
      </c>
      <c r="U39" s="124">
        <v>0</v>
      </c>
      <c r="V39" s="41"/>
      <c r="W39" s="41"/>
      <c r="X39" s="41">
        <f t="shared" si="15"/>
        <v>0</v>
      </c>
      <c r="Y39" s="41">
        <f t="shared" si="16"/>
        <v>0</v>
      </c>
      <c r="Z39" s="49"/>
      <c r="AA39" s="41"/>
      <c r="AB39" s="49"/>
      <c r="AC39" s="56">
        <f t="shared" si="24"/>
        <v>1018.2383948269878</v>
      </c>
      <c r="AD39" s="49">
        <f t="shared" si="17"/>
        <v>827.32543483740926</v>
      </c>
      <c r="AE39" s="397"/>
      <c r="AF39" s="397"/>
      <c r="AG39" s="49">
        <f t="shared" si="31"/>
        <v>3966.1809343678237</v>
      </c>
      <c r="AH39" s="41"/>
      <c r="AI39" s="157">
        <v>1.7</v>
      </c>
      <c r="AJ39" s="175">
        <v>1.3</v>
      </c>
      <c r="AK39" s="41"/>
      <c r="AL39" s="49">
        <f t="shared" si="26"/>
        <v>3468.6792387194482</v>
      </c>
      <c r="AM39" s="49"/>
      <c r="AN39" s="68">
        <f t="shared" si="18"/>
        <v>0</v>
      </c>
      <c r="AO39" s="41">
        <f t="shared" si="3"/>
        <v>0</v>
      </c>
      <c r="AP39" s="41">
        <f t="shared" si="4"/>
        <v>0</v>
      </c>
      <c r="AQ39" s="126"/>
      <c r="AR39" s="41"/>
      <c r="AS39" s="39"/>
      <c r="AT39" s="37">
        <f t="shared" si="19"/>
        <v>0</v>
      </c>
      <c r="AU39" s="399"/>
      <c r="AV39" s="400">
        <f t="shared" si="5"/>
        <v>0</v>
      </c>
      <c r="AW39" s="401">
        <f>IF(AU39="",0,VLOOKUP(ROUNDDOWN(TEXT(B39,"0000"),-1),VLOOKUP!$M$3:$W$32,RIGHT(TEXT(B39,"0000"),1)+2,FALSE))</f>
        <v>0</v>
      </c>
      <c r="AX39" s="401">
        <f t="shared" si="20"/>
        <v>0</v>
      </c>
      <c r="AY39" s="33">
        <f>AX39*((IF(Z39&gt;JUN!$Z$44,JUN!$Z$44,Z39)+AC39+AD39+AR39)*1.9835)/E39</f>
        <v>0</v>
      </c>
      <c r="AZ39" s="36">
        <v>0</v>
      </c>
      <c r="BA39" s="149"/>
      <c r="BC39" s="40">
        <v>0</v>
      </c>
      <c r="BD39" s="96"/>
      <c r="BE39" s="39"/>
      <c r="BF39" s="39"/>
      <c r="BG39" s="314"/>
      <c r="BH39" s="319">
        <f t="shared" si="6"/>
        <v>7.4218815464840615</v>
      </c>
      <c r="BI39" s="40"/>
      <c r="BJ39" s="71"/>
      <c r="BK39" s="246">
        <f t="shared" si="7"/>
        <v>0</v>
      </c>
      <c r="BL39" s="485">
        <f t="shared" si="8"/>
        <v>0</v>
      </c>
      <c r="BN39" s="471">
        <f t="shared" si="22"/>
        <v>25</v>
      </c>
      <c r="BO39" s="456"/>
      <c r="BP39" s="472">
        <f t="shared" si="9"/>
        <v>0</v>
      </c>
      <c r="BQ39" s="473"/>
      <c r="BR39" s="473">
        <f t="shared" si="10"/>
        <v>0</v>
      </c>
    </row>
    <row r="40" spans="1:70" ht="12.95" customHeight="1">
      <c r="A40" s="42">
        <v>26</v>
      </c>
      <c r="B40" s="98"/>
      <c r="C40" s="390">
        <f>IF(B40="",C39,VLOOKUP(TRUNC(B40,1),VLOOKUP!$A$3:$K$2834,RIGHT(TEXT(B40,"0000.00"),1)+2,FALSE))</f>
        <v>178965</v>
      </c>
      <c r="D40" s="39">
        <f t="shared" si="23"/>
        <v>0</v>
      </c>
      <c r="E40" s="49">
        <f t="shared" si="11"/>
        <v>26965</v>
      </c>
      <c r="F40" s="106">
        <f t="shared" si="0"/>
        <v>0</v>
      </c>
      <c r="G40" s="41"/>
      <c r="H40" s="107"/>
      <c r="I40" s="41">
        <f t="shared" si="1"/>
        <v>0</v>
      </c>
      <c r="J40" s="36">
        <f t="shared" si="12"/>
        <v>0</v>
      </c>
      <c r="K40" s="41">
        <f t="shared" si="13"/>
        <v>0</v>
      </c>
      <c r="L40" s="41">
        <f t="shared" si="2"/>
        <v>0</v>
      </c>
      <c r="M40" s="108"/>
      <c r="N40" s="36">
        <v>0</v>
      </c>
      <c r="O40" s="41"/>
      <c r="P40" s="33">
        <v>0</v>
      </c>
      <c r="Q40" s="133">
        <f>1557200/325851/1.9835*1.02</f>
        <v>2.4574987401645112</v>
      </c>
      <c r="R40" s="67">
        <f>IF(((5*1.04)-T40)&gt;=4.2,4.2,(5*1.04)-T40)</f>
        <v>4.2</v>
      </c>
      <c r="S40" s="67">
        <f>IF(((5*1.04)-T40)&gt;=4.2,((5*1.04)-T40)-4.2,0)</f>
        <v>0.12083599999999972</v>
      </c>
      <c r="T40" s="67">
        <f t="shared" si="32"/>
        <v>0.87916400000000006</v>
      </c>
      <c r="U40" s="124">
        <v>0</v>
      </c>
      <c r="V40" s="41"/>
      <c r="W40" s="41"/>
      <c r="X40" s="41">
        <f t="shared" si="15"/>
        <v>0</v>
      </c>
      <c r="Y40" s="41">
        <f t="shared" si="16"/>
        <v>0</v>
      </c>
      <c r="Z40" s="49"/>
      <c r="AA40" s="41"/>
      <c r="AB40" s="49"/>
      <c r="AC40" s="56">
        <f t="shared" si="24"/>
        <v>1018.2383948269878</v>
      </c>
      <c r="AD40" s="49">
        <f t="shared" si="17"/>
        <v>827.32543483740926</v>
      </c>
      <c r="AE40" s="397"/>
      <c r="AF40" s="397"/>
      <c r="AG40" s="49">
        <f t="shared" si="31"/>
        <v>3966.1809343678237</v>
      </c>
      <c r="AH40" s="41"/>
      <c r="AI40" s="157">
        <v>1.7</v>
      </c>
      <c r="AJ40" s="175">
        <v>1.3</v>
      </c>
      <c r="AK40" s="41"/>
      <c r="AL40" s="49">
        <f t="shared" si="26"/>
        <v>3468.6792387194482</v>
      </c>
      <c r="AM40" s="49"/>
      <c r="AN40" s="68">
        <f t="shared" si="18"/>
        <v>0</v>
      </c>
      <c r="AO40" s="41">
        <f t="shared" si="3"/>
        <v>0</v>
      </c>
      <c r="AP40" s="41">
        <f t="shared" si="4"/>
        <v>0</v>
      </c>
      <c r="AQ40" s="126"/>
      <c r="AR40" s="41"/>
      <c r="AS40" s="39"/>
      <c r="AT40" s="37">
        <f t="shared" si="19"/>
        <v>0</v>
      </c>
      <c r="AU40" s="399"/>
      <c r="AV40" s="400">
        <f t="shared" si="5"/>
        <v>0</v>
      </c>
      <c r="AW40" s="401">
        <f>IF(AU40="",0,VLOOKUP(ROUNDDOWN(TEXT(B40,"0000"),-1),VLOOKUP!$M$3:$W$32,RIGHT(TEXT(B40,"0000"),1)+2,FALSE))</f>
        <v>0</v>
      </c>
      <c r="AX40" s="401">
        <f t="shared" si="20"/>
        <v>0</v>
      </c>
      <c r="AY40" s="33">
        <f>AX40*((IF(Z40&gt;JUN!$Z$44,JUN!$Z$44,Z40)+AC40+AD40+AR40)*1.9835)/E40</f>
        <v>0</v>
      </c>
      <c r="AZ40" s="36">
        <v>0</v>
      </c>
      <c r="BA40" s="149"/>
      <c r="BC40" s="40">
        <v>0</v>
      </c>
      <c r="BD40" s="96"/>
      <c r="BE40" s="39"/>
      <c r="BF40" s="39"/>
      <c r="BG40" s="314"/>
      <c r="BH40" s="319">
        <f t="shared" si="6"/>
        <v>7.6574987401645114</v>
      </c>
      <c r="BI40" s="40"/>
      <c r="BJ40" s="71"/>
      <c r="BK40" s="246">
        <f t="shared" si="7"/>
        <v>0</v>
      </c>
      <c r="BL40" s="485">
        <f t="shared" si="8"/>
        <v>0</v>
      </c>
      <c r="BN40" s="471">
        <f t="shared" si="22"/>
        <v>26</v>
      </c>
      <c r="BO40" s="456"/>
      <c r="BP40" s="472">
        <f t="shared" si="9"/>
        <v>0</v>
      </c>
      <c r="BQ40" s="473"/>
      <c r="BR40" s="473">
        <f t="shared" si="10"/>
        <v>0</v>
      </c>
    </row>
    <row r="41" spans="1:70" ht="12.95" customHeight="1">
      <c r="A41" s="42">
        <v>27</v>
      </c>
      <c r="B41" s="98"/>
      <c r="C41" s="390">
        <f>IF(B41="",C40,VLOOKUP(TRUNC(B41,1),VLOOKUP!$A$3:$K$2834,RIGHT(TEXT(B41,"0000.00"),1)+2,FALSE))</f>
        <v>178965</v>
      </c>
      <c r="D41" s="39">
        <f t="shared" si="23"/>
        <v>0</v>
      </c>
      <c r="E41" s="49">
        <f t="shared" si="11"/>
        <v>26965</v>
      </c>
      <c r="F41" s="106">
        <f t="shared" si="0"/>
        <v>0</v>
      </c>
      <c r="G41" s="41"/>
      <c r="H41" s="107"/>
      <c r="I41" s="41">
        <f t="shared" si="1"/>
        <v>0</v>
      </c>
      <c r="J41" s="36">
        <f t="shared" si="12"/>
        <v>0</v>
      </c>
      <c r="K41" s="41">
        <f t="shared" si="13"/>
        <v>0</v>
      </c>
      <c r="L41" s="41">
        <f t="shared" si="2"/>
        <v>0</v>
      </c>
      <c r="M41" s="108"/>
      <c r="N41" s="36">
        <v>0</v>
      </c>
      <c r="O41" s="41"/>
      <c r="P41" s="33">
        <v>0</v>
      </c>
      <c r="Q41" s="133">
        <f>1780530/325851/1.9835*1.02</f>
        <v>2.8099474902550194</v>
      </c>
      <c r="R41" s="67">
        <f>IF(((3.1*1.04)-T41)&gt;=4.2,4.2,(3.1*1.04)-T41)</f>
        <v>2.1353800000000001</v>
      </c>
      <c r="S41" s="67">
        <f>IF(((3.1*1.04)-T41)&gt;=4.2,((3.1*1.04)-T41)-4.2,0)</f>
        <v>0</v>
      </c>
      <c r="T41" s="67">
        <f>(0.9875*1.06)*1.04</f>
        <v>1.0886200000000001</v>
      </c>
      <c r="U41" s="124">
        <v>0</v>
      </c>
      <c r="V41" s="41"/>
      <c r="W41" s="41"/>
      <c r="X41" s="41">
        <f t="shared" si="15"/>
        <v>0</v>
      </c>
      <c r="Y41" s="41">
        <f t="shared" si="16"/>
        <v>0</v>
      </c>
      <c r="Z41" s="49"/>
      <c r="AA41" s="41"/>
      <c r="AB41" s="49"/>
      <c r="AC41" s="56">
        <f t="shared" si="24"/>
        <v>1018.2383948269878</v>
      </c>
      <c r="AD41" s="49">
        <f t="shared" si="17"/>
        <v>827.32543483740926</v>
      </c>
      <c r="AE41" s="397"/>
      <c r="AF41" s="397"/>
      <c r="AG41" s="49">
        <f t="shared" si="31"/>
        <v>3966.1809343678237</v>
      </c>
      <c r="AH41" s="41"/>
      <c r="AI41" s="157">
        <v>1.7</v>
      </c>
      <c r="AJ41" s="175">
        <v>1.3</v>
      </c>
      <c r="AK41" s="41"/>
      <c r="AL41" s="49">
        <f t="shared" si="26"/>
        <v>3468.6792387194482</v>
      </c>
      <c r="AM41" s="49"/>
      <c r="AN41" s="68">
        <f t="shared" si="18"/>
        <v>0</v>
      </c>
      <c r="AO41" s="41">
        <f t="shared" si="3"/>
        <v>0</v>
      </c>
      <c r="AP41" s="41">
        <f t="shared" si="4"/>
        <v>0</v>
      </c>
      <c r="AQ41" s="126"/>
      <c r="AR41" s="41"/>
      <c r="AS41" s="39"/>
      <c r="AT41" s="37">
        <f t="shared" si="19"/>
        <v>0</v>
      </c>
      <c r="AU41" s="399"/>
      <c r="AV41" s="400">
        <f t="shared" si="5"/>
        <v>0</v>
      </c>
      <c r="AW41" s="401">
        <f>IF(AU41="",0,VLOOKUP(ROUNDDOWN(TEXT(B41,"0000"),-1),VLOOKUP!$M$3:$W$32,RIGHT(TEXT(B41,"0000"),1)+2,FALSE))</f>
        <v>0</v>
      </c>
      <c r="AX41" s="401">
        <f t="shared" si="20"/>
        <v>0</v>
      </c>
      <c r="AY41" s="33">
        <f>AX41*((IF(Z41&gt;JUN!$Z$44,JUN!$Z$44,Z41)+AC41+AD41+AR41)*1.9835)/E41</f>
        <v>0</v>
      </c>
      <c r="AZ41" s="36">
        <v>0</v>
      </c>
      <c r="BA41" s="149"/>
      <c r="BC41" s="40">
        <v>0</v>
      </c>
      <c r="BD41" s="96"/>
      <c r="BE41" s="39"/>
      <c r="BF41" s="39"/>
      <c r="BG41" s="314"/>
      <c r="BH41" s="319">
        <f t="shared" si="6"/>
        <v>6.0339474902550201</v>
      </c>
      <c r="BI41" s="40"/>
      <c r="BJ41" s="71"/>
      <c r="BK41" s="246">
        <f t="shared" si="7"/>
        <v>0</v>
      </c>
      <c r="BL41" s="485">
        <f t="shared" si="8"/>
        <v>0</v>
      </c>
      <c r="BN41" s="471">
        <f t="shared" si="22"/>
        <v>27</v>
      </c>
      <c r="BO41" s="456"/>
      <c r="BP41" s="472">
        <f t="shared" si="9"/>
        <v>0</v>
      </c>
      <c r="BQ41" s="473"/>
      <c r="BR41" s="473">
        <f t="shared" si="10"/>
        <v>0</v>
      </c>
    </row>
    <row r="42" spans="1:70" ht="12.95" customHeight="1">
      <c r="A42" s="42">
        <v>28</v>
      </c>
      <c r="B42" s="98"/>
      <c r="C42" s="390">
        <f>IF(B42="",C41,VLOOKUP(TRUNC(B42,1),VLOOKUP!$A$3:$K$2834,RIGHT(TEXT(B42,"0000.00"),1)+2,FALSE))</f>
        <v>178965</v>
      </c>
      <c r="D42" s="39">
        <f t="shared" si="23"/>
        <v>0</v>
      </c>
      <c r="E42" s="49">
        <f t="shared" si="11"/>
        <v>26965</v>
      </c>
      <c r="F42" s="106">
        <f t="shared" si="0"/>
        <v>0</v>
      </c>
      <c r="G42" s="41"/>
      <c r="H42" s="107"/>
      <c r="I42" s="41">
        <f t="shared" si="1"/>
        <v>0</v>
      </c>
      <c r="J42" s="36">
        <f t="shared" si="12"/>
        <v>0</v>
      </c>
      <c r="K42" s="41">
        <f t="shared" si="13"/>
        <v>0</v>
      </c>
      <c r="L42" s="41">
        <f t="shared" si="2"/>
        <v>0</v>
      </c>
      <c r="M42" s="108"/>
      <c r="N42" s="36">
        <v>0</v>
      </c>
      <c r="O42" s="41"/>
      <c r="P42" s="33">
        <v>0</v>
      </c>
      <c r="Q42" s="133">
        <f>1725070/325851/1.9835*1.02</f>
        <v>2.7224231644590247</v>
      </c>
      <c r="R42" s="67">
        <f>IF(((4.5*1.04)-T42)&gt;=4.2,4.2,(4.5*1.04)-T42)</f>
        <v>3.5913799999999996</v>
      </c>
      <c r="S42" s="67">
        <f>IF(((4.5*1.04)-T42)&gt;=4.2,((4.5*1.04)-T42)-4.2,0)</f>
        <v>0</v>
      </c>
      <c r="T42" s="67">
        <f t="shared" ref="T42:T44" si="33">(0.9875*1.06)*1.04</f>
        <v>1.0886200000000001</v>
      </c>
      <c r="U42" s="124">
        <v>0</v>
      </c>
      <c r="V42" s="41"/>
      <c r="W42" s="41"/>
      <c r="X42" s="41">
        <f t="shared" si="15"/>
        <v>0</v>
      </c>
      <c r="Y42" s="41">
        <f t="shared" si="16"/>
        <v>0</v>
      </c>
      <c r="Z42" s="49"/>
      <c r="AA42" s="41"/>
      <c r="AB42" s="49"/>
      <c r="AC42" s="56">
        <f t="shared" si="24"/>
        <v>1018.2383948269878</v>
      </c>
      <c r="AD42" s="49">
        <f t="shared" si="17"/>
        <v>827.32543483740926</v>
      </c>
      <c r="AE42" s="397"/>
      <c r="AF42" s="397"/>
      <c r="AG42" s="49">
        <f t="shared" si="31"/>
        <v>3966.1809343678237</v>
      </c>
      <c r="AH42" s="41"/>
      <c r="AI42" s="157">
        <v>1.7</v>
      </c>
      <c r="AJ42" s="175">
        <v>1.3</v>
      </c>
      <c r="AK42" s="41"/>
      <c r="AL42" s="49">
        <f t="shared" si="26"/>
        <v>3468.6792387194482</v>
      </c>
      <c r="AM42" s="49"/>
      <c r="AN42" s="68">
        <f t="shared" si="18"/>
        <v>0</v>
      </c>
      <c r="AO42" s="41">
        <f t="shared" si="3"/>
        <v>0</v>
      </c>
      <c r="AP42" s="41">
        <f t="shared" si="4"/>
        <v>0</v>
      </c>
      <c r="AQ42" s="126"/>
      <c r="AR42" s="41"/>
      <c r="AS42" s="39"/>
      <c r="AT42" s="37">
        <f t="shared" si="19"/>
        <v>0</v>
      </c>
      <c r="AU42" s="399"/>
      <c r="AV42" s="400">
        <f t="shared" si="5"/>
        <v>0</v>
      </c>
      <c r="AW42" s="401">
        <f>IF(AU42="",0,VLOOKUP(ROUNDDOWN(TEXT(B42,"0000"),-1),VLOOKUP!$M$3:$W$32,RIGHT(TEXT(B42,"0000"),1)+2,FALSE))</f>
        <v>0</v>
      </c>
      <c r="AX42" s="401">
        <f t="shared" si="20"/>
        <v>0</v>
      </c>
      <c r="AY42" s="33">
        <f>AX42*((IF(Z42&gt;JUN!$Z$44,JUN!$Z$44,Z42)+AC42+AD42+AR42)*1.9835)/E42</f>
        <v>0</v>
      </c>
      <c r="AZ42" s="36">
        <v>0</v>
      </c>
      <c r="BA42" s="149"/>
      <c r="BC42" s="40">
        <v>0</v>
      </c>
      <c r="BD42" s="96"/>
      <c r="BE42" s="39"/>
      <c r="BF42" s="39"/>
      <c r="BG42" s="314"/>
      <c r="BH42" s="319">
        <f t="shared" si="6"/>
        <v>7.4024231644590248</v>
      </c>
      <c r="BI42" s="40"/>
      <c r="BJ42" s="71"/>
      <c r="BK42" s="246">
        <f t="shared" si="7"/>
        <v>0</v>
      </c>
      <c r="BL42" s="485">
        <f t="shared" si="8"/>
        <v>0</v>
      </c>
      <c r="BN42" s="471">
        <f t="shared" si="22"/>
        <v>28</v>
      </c>
      <c r="BO42" s="456"/>
      <c r="BP42" s="472">
        <f t="shared" si="9"/>
        <v>0</v>
      </c>
      <c r="BQ42" s="473"/>
      <c r="BR42" s="473">
        <f t="shared" si="10"/>
        <v>0</v>
      </c>
    </row>
    <row r="43" spans="1:70" ht="12.95" customHeight="1">
      <c r="A43" s="42">
        <v>29</v>
      </c>
      <c r="B43" s="98"/>
      <c r="C43" s="390">
        <f>IF(B43="",C42,VLOOKUP(TRUNC(B43,1),VLOOKUP!$A$3:$K$2834,RIGHT(TEXT(B43,"0000.00"),1)+2,FALSE))</f>
        <v>178965</v>
      </c>
      <c r="D43" s="39">
        <f t="shared" si="23"/>
        <v>0</v>
      </c>
      <c r="E43" s="49">
        <f t="shared" si="11"/>
        <v>26965</v>
      </c>
      <c r="F43" s="106">
        <f t="shared" si="0"/>
        <v>0</v>
      </c>
      <c r="G43" s="41"/>
      <c r="H43" s="107"/>
      <c r="I43" s="41">
        <f t="shared" si="1"/>
        <v>0</v>
      </c>
      <c r="J43" s="36">
        <f t="shared" si="12"/>
        <v>0</v>
      </c>
      <c r="K43" s="41">
        <f t="shared" si="13"/>
        <v>0</v>
      </c>
      <c r="L43" s="41">
        <f t="shared" si="2"/>
        <v>0</v>
      </c>
      <c r="M43" s="108"/>
      <c r="N43" s="36">
        <v>0</v>
      </c>
      <c r="O43" s="41"/>
      <c r="P43" s="33">
        <v>0</v>
      </c>
      <c r="Q43" s="133">
        <f>1772100/325851/1.9835*1.02</f>
        <v>2.7966436664818457</v>
      </c>
      <c r="R43" s="67">
        <f>IF(((5.2*1.04)-T43)&gt;=4.2,4.2,(5.2*1.04)-T43)</f>
        <v>4.2</v>
      </c>
      <c r="S43" s="67">
        <f>IF(((5.2*1.04)-T43)&gt;=4.2,((5.2*1.04)-T43)-4.2,0)</f>
        <v>0.11938000000000049</v>
      </c>
      <c r="T43" s="67">
        <f t="shared" si="33"/>
        <v>1.0886200000000001</v>
      </c>
      <c r="U43" s="124">
        <v>0</v>
      </c>
      <c r="V43" s="41"/>
      <c r="W43" s="41"/>
      <c r="X43" s="41">
        <f t="shared" si="15"/>
        <v>0</v>
      </c>
      <c r="Y43" s="41">
        <f t="shared" si="16"/>
        <v>0</v>
      </c>
      <c r="Z43" s="49"/>
      <c r="AA43" s="41"/>
      <c r="AB43" s="49"/>
      <c r="AC43" s="56">
        <f t="shared" si="24"/>
        <v>1018.2383948269878</v>
      </c>
      <c r="AD43" s="49">
        <f t="shared" si="17"/>
        <v>827.32543483740926</v>
      </c>
      <c r="AE43" s="397"/>
      <c r="AF43" s="397"/>
      <c r="AG43" s="49">
        <f t="shared" si="31"/>
        <v>3966.1809343678237</v>
      </c>
      <c r="AH43" s="41"/>
      <c r="AI43" s="157">
        <v>1.7</v>
      </c>
      <c r="AJ43" s="175">
        <v>1.3</v>
      </c>
      <c r="AK43" s="41"/>
      <c r="AL43" s="49">
        <f t="shared" si="26"/>
        <v>3468.6792387194482</v>
      </c>
      <c r="AM43" s="49"/>
      <c r="AN43" s="68">
        <f t="shared" si="18"/>
        <v>0</v>
      </c>
      <c r="AO43" s="41">
        <f t="shared" si="3"/>
        <v>0</v>
      </c>
      <c r="AP43" s="41">
        <f t="shared" si="4"/>
        <v>0</v>
      </c>
      <c r="AQ43" s="126"/>
      <c r="AR43" s="41"/>
      <c r="AS43" s="39"/>
      <c r="AT43" s="37">
        <f t="shared" si="19"/>
        <v>0</v>
      </c>
      <c r="AU43" s="399"/>
      <c r="AV43" s="400">
        <f t="shared" si="5"/>
        <v>0</v>
      </c>
      <c r="AW43" s="401">
        <f>IF(AU43="",0,VLOOKUP(ROUNDDOWN(TEXT(B43,"0000"),-1),VLOOKUP!$M$3:$W$32,RIGHT(TEXT(B43,"0000"),1)+2,FALSE))</f>
        <v>0</v>
      </c>
      <c r="AX43" s="401">
        <f t="shared" si="20"/>
        <v>0</v>
      </c>
      <c r="AY43" s="33">
        <f>AX43*((IF(Z43&gt;JUN!$Z$44,JUN!$Z$44,Z43)+AC43+AD43+AR43)*1.9835)/E43</f>
        <v>0</v>
      </c>
      <c r="AZ43" s="36">
        <v>0</v>
      </c>
      <c r="BA43" s="149"/>
      <c r="BC43" s="40">
        <v>0</v>
      </c>
      <c r="BD43" s="96"/>
      <c r="BE43" s="39"/>
      <c r="BF43" s="39"/>
      <c r="BG43" s="314"/>
      <c r="BH43" s="319">
        <f t="shared" si="6"/>
        <v>8.2046436664818465</v>
      </c>
      <c r="BI43" s="40"/>
      <c r="BJ43" s="71"/>
      <c r="BK43" s="246">
        <f t="shared" si="7"/>
        <v>0</v>
      </c>
      <c r="BL43" s="485">
        <f t="shared" si="8"/>
        <v>0</v>
      </c>
      <c r="BN43" s="471">
        <f t="shared" si="22"/>
        <v>29</v>
      </c>
      <c r="BO43" s="456"/>
      <c r="BP43" s="472">
        <f t="shared" si="9"/>
        <v>0</v>
      </c>
      <c r="BQ43" s="473"/>
      <c r="BR43" s="473">
        <f t="shared" si="10"/>
        <v>0</v>
      </c>
    </row>
    <row r="44" spans="1:70" ht="12.95" customHeight="1">
      <c r="A44" s="42">
        <v>30</v>
      </c>
      <c r="B44" s="98"/>
      <c r="C44" s="390">
        <f>IF(B44="",C43,VLOOKUP(TRUNC(B44,1),VLOOKUP!$A$3:$K$2834,RIGHT(TEXT(B44,"0000.00"),1)+2,FALSE))</f>
        <v>178965</v>
      </c>
      <c r="D44" s="39">
        <f t="shared" si="23"/>
        <v>0</v>
      </c>
      <c r="E44" s="49">
        <f t="shared" si="11"/>
        <v>26965</v>
      </c>
      <c r="F44" s="106">
        <f t="shared" si="0"/>
        <v>0</v>
      </c>
      <c r="G44" s="41"/>
      <c r="H44" s="107"/>
      <c r="I44" s="41">
        <f t="shared" si="1"/>
        <v>0</v>
      </c>
      <c r="J44" s="36">
        <f t="shared" si="12"/>
        <v>0</v>
      </c>
      <c r="K44" s="41">
        <f t="shared" si="13"/>
        <v>0</v>
      </c>
      <c r="L44" s="41">
        <f t="shared" si="2"/>
        <v>0</v>
      </c>
      <c r="M44" s="108"/>
      <c r="N44" s="36">
        <v>0</v>
      </c>
      <c r="O44" s="41"/>
      <c r="P44" s="33">
        <v>0</v>
      </c>
      <c r="Q44" s="133">
        <f>1681600/325851/1.9835*1.02</f>
        <v>2.65382088457529</v>
      </c>
      <c r="R44" s="67">
        <f>IF(((4.8*1.04)-T44)&gt;=4.2,4.2,(4.8*1.04)-T44)</f>
        <v>3.9033799999999998</v>
      </c>
      <c r="S44" s="67">
        <f>IF(((4.8*1.04)-T44)&gt;=4.2,((4.8*1.04)-T44)-4.2,0)</f>
        <v>0</v>
      </c>
      <c r="T44" s="67">
        <f t="shared" si="33"/>
        <v>1.0886200000000001</v>
      </c>
      <c r="U44" s="124">
        <v>0</v>
      </c>
      <c r="V44" s="41"/>
      <c r="W44" s="41"/>
      <c r="X44" s="41">
        <f t="shared" si="15"/>
        <v>0</v>
      </c>
      <c r="Y44" s="41">
        <f t="shared" si="16"/>
        <v>0</v>
      </c>
      <c r="Z44" s="49"/>
      <c r="AA44" s="41"/>
      <c r="AB44" s="49"/>
      <c r="AC44" s="56">
        <f t="shared" si="24"/>
        <v>1018.2383948269878</v>
      </c>
      <c r="AD44" s="49">
        <f t="shared" si="17"/>
        <v>827.32543483740926</v>
      </c>
      <c r="AE44" s="397"/>
      <c r="AF44" s="397"/>
      <c r="AG44" s="49">
        <f t="shared" si="31"/>
        <v>3966.1809343678237</v>
      </c>
      <c r="AH44" s="41"/>
      <c r="AI44" s="157">
        <v>1.7</v>
      </c>
      <c r="AJ44" s="175">
        <v>1.3</v>
      </c>
      <c r="AK44" s="41"/>
      <c r="AL44" s="49">
        <f t="shared" si="26"/>
        <v>3468.6792387194482</v>
      </c>
      <c r="AM44" s="49"/>
      <c r="AN44" s="68">
        <f t="shared" si="18"/>
        <v>0</v>
      </c>
      <c r="AO44" s="41">
        <f t="shared" si="3"/>
        <v>0</v>
      </c>
      <c r="AP44" s="41">
        <f t="shared" si="4"/>
        <v>0</v>
      </c>
      <c r="AQ44" s="126"/>
      <c r="AR44" s="41"/>
      <c r="AS44" s="39"/>
      <c r="AT44" s="37">
        <f t="shared" si="19"/>
        <v>0</v>
      </c>
      <c r="AU44" s="399"/>
      <c r="AV44" s="400">
        <f t="shared" si="5"/>
        <v>0</v>
      </c>
      <c r="AW44" s="401">
        <f>IF(AU44="",0,VLOOKUP(ROUNDDOWN(TEXT(B44,"0000"),-1),VLOOKUP!$M$3:$W$32,RIGHT(TEXT(B44,"0000"),1)+2,FALSE))</f>
        <v>0</v>
      </c>
      <c r="AX44" s="401">
        <f>AV44/12*AW44</f>
        <v>0</v>
      </c>
      <c r="AY44" s="33">
        <f>AX44*((IF(Z44&gt;JUN!$Z$44,JUN!$Z$44,Z44)+AC44+AD44+AR44)*1.9835)/E44</f>
        <v>0</v>
      </c>
      <c r="AZ44" s="36">
        <v>0</v>
      </c>
      <c r="BA44" s="149"/>
      <c r="BC44" s="40">
        <v>0</v>
      </c>
      <c r="BD44" s="96"/>
      <c r="BE44" s="39"/>
      <c r="BF44" s="39"/>
      <c r="BG44" s="314"/>
      <c r="BH44" s="319">
        <f t="shared" si="6"/>
        <v>7.64582088457529</v>
      </c>
      <c r="BI44" s="40"/>
      <c r="BJ44" s="71"/>
      <c r="BK44" s="246">
        <f t="shared" si="7"/>
        <v>0</v>
      </c>
      <c r="BL44" s="485">
        <f t="shared" si="8"/>
        <v>0</v>
      </c>
      <c r="BN44" s="471">
        <f t="shared" si="22"/>
        <v>30</v>
      </c>
      <c r="BO44" s="456"/>
      <c r="BP44" s="472">
        <f t="shared" si="9"/>
        <v>0</v>
      </c>
      <c r="BQ44" s="473"/>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-7496.3448449710104</v>
      </c>
      <c r="G46" s="49">
        <f t="shared" ref="G46:AH46" si="34">SUM(G15:G44)</f>
        <v>2448</v>
      </c>
      <c r="H46" s="49">
        <f t="shared" si="34"/>
        <v>0.88</v>
      </c>
      <c r="I46" s="49">
        <f t="shared" si="34"/>
        <v>2448.88</v>
      </c>
      <c r="J46" s="49">
        <f t="shared" si="34"/>
        <v>70.51484749180733</v>
      </c>
      <c r="K46" s="49">
        <f t="shared" si="34"/>
        <v>2519.394847491807</v>
      </c>
      <c r="L46" s="49">
        <f t="shared" si="34"/>
        <v>-365.8448449710105</v>
      </c>
      <c r="M46" s="94">
        <f t="shared" si="34"/>
        <v>3422</v>
      </c>
      <c r="N46" s="49">
        <f t="shared" ref="N46:U46" si="35">SUM(N15:N44)</f>
        <v>0</v>
      </c>
      <c r="O46" s="49">
        <f t="shared" si="35"/>
        <v>838.84499999999991</v>
      </c>
      <c r="P46" s="49">
        <f t="shared" si="35"/>
        <v>0</v>
      </c>
      <c r="Q46" s="49">
        <f t="shared" si="35"/>
        <v>82.413163986484079</v>
      </c>
      <c r="R46" s="49">
        <f t="shared" si="35"/>
        <v>108.76821168000004</v>
      </c>
      <c r="S46" s="49">
        <f t="shared" si="35"/>
        <v>3.226522079999997</v>
      </c>
      <c r="T46" s="49">
        <f t="shared" si="35"/>
        <v>31.421266239999984</v>
      </c>
      <c r="U46" s="95">
        <f t="shared" si="35"/>
        <v>0</v>
      </c>
      <c r="V46" s="49">
        <f t="shared" si="34"/>
        <v>2619.8000000000002</v>
      </c>
      <c r="W46" s="49">
        <f t="shared" si="34"/>
        <v>1413.8</v>
      </c>
      <c r="X46" s="49">
        <f>SUM(X15:X44)</f>
        <v>6435.2920515059341</v>
      </c>
      <c r="Y46" s="49">
        <f>SUM(Y15:Y44)</f>
        <v>6435.2920515059341</v>
      </c>
      <c r="Z46" s="49"/>
      <c r="AA46" s="49"/>
      <c r="AB46" s="49"/>
      <c r="AC46" s="49"/>
      <c r="AD46" s="49"/>
      <c r="AE46" s="397"/>
      <c r="AF46" s="397">
        <f>SUM(AF15:AF44)</f>
        <v>0</v>
      </c>
      <c r="AG46" s="43">
        <f>AG12-AG44</f>
        <v>1593.1838248961035</v>
      </c>
      <c r="AH46" s="49">
        <f t="shared" si="34"/>
        <v>1196.68</v>
      </c>
      <c r="AI46" s="94">
        <f>SUM(AI15:AI44)</f>
        <v>51.000000000000021</v>
      </c>
      <c r="AJ46" s="95">
        <f>SUM(AJ15:AJ44)</f>
        <v>38.999999999999993</v>
      </c>
      <c r="AK46" s="49">
        <f>SUM(AK15:AK44)</f>
        <v>927.0999999999998</v>
      </c>
      <c r="AL46" s="49"/>
      <c r="AM46" s="49">
        <f t="shared" ref="AM46:AS46" si="36">SUM(AM15:AM44)</f>
        <v>0</v>
      </c>
      <c r="AN46" s="49">
        <f t="shared" si="36"/>
        <v>9579.380000000001</v>
      </c>
      <c r="AO46" s="49">
        <f t="shared" si="36"/>
        <v>436.35969246281786</v>
      </c>
      <c r="AP46" s="353">
        <f t="shared" si="36"/>
        <v>10015.739692462817</v>
      </c>
      <c r="AQ46" s="49">
        <f t="shared" si="36"/>
        <v>0</v>
      </c>
      <c r="AR46" s="56">
        <f>AR44</f>
        <v>0</v>
      </c>
      <c r="AS46" s="49">
        <f t="shared" si="36"/>
        <v>0</v>
      </c>
      <c r="AT46" s="49"/>
      <c r="AU46" s="397"/>
      <c r="AV46" s="397"/>
      <c r="AW46" s="397"/>
      <c r="AX46" s="397"/>
      <c r="AY46" s="49"/>
      <c r="AZ46" s="49">
        <f>SUM(AZ15:AZ44)</f>
        <v>0</v>
      </c>
      <c r="BA46" s="49">
        <f>SUM(BA15:BA44)</f>
        <v>274.8654348374086</v>
      </c>
      <c r="BB46" s="49">
        <f>SUM(BB15:BB44)</f>
        <v>0</v>
      </c>
      <c r="BC46" s="49">
        <f>SUM(BC15:BC44)</f>
        <v>0</v>
      </c>
      <c r="BD46" s="96">
        <f>SUM(BD15:BD44)</f>
        <v>1.1000000000000001</v>
      </c>
      <c r="BE46" s="39">
        <f>AVERAGE(BE15:BE44)</f>
        <v>80.666666666666671</v>
      </c>
      <c r="BF46" s="39">
        <f>AVERAGE(BF15:BF44)</f>
        <v>48.875</v>
      </c>
      <c r="BG46" s="97" t="s">
        <v>43</v>
      </c>
      <c r="BH46" s="325">
        <f>SUM(BH15:BH44)</f>
        <v>225.82916398648405</v>
      </c>
      <c r="BI46" s="43">
        <f>SUM(BI14:BI44)</f>
        <v>961.00000000000023</v>
      </c>
      <c r="BJ46" s="71"/>
      <c r="BK46" s="56">
        <f>SUM(BK15:BK44)</f>
        <v>0</v>
      </c>
      <c r="BL46" s="147">
        <f>SUM(BL15:BL44)</f>
        <v>0</v>
      </c>
      <c r="BO46" s="396"/>
      <c r="BP46" s="396"/>
      <c r="BQ46" s="412">
        <f>SUM(BQ15:BQ44)</f>
        <v>927.0999999999998</v>
      </c>
      <c r="BR46" s="412">
        <f>SUM(BR15:BR44)</f>
        <v>0</v>
      </c>
    </row>
    <row r="47" spans="1:70" ht="12.95" customHeight="1">
      <c r="A47" s="43" t="s">
        <v>33</v>
      </c>
      <c r="B47" s="189"/>
      <c r="C47" s="49"/>
      <c r="D47" s="49">
        <f>SUM(D15:D44)</f>
        <v>-14869</v>
      </c>
      <c r="E47" s="49"/>
      <c r="F47" s="93">
        <f t="shared" ref="F47:R47" si="37">F46*$D$2</f>
        <v>-14869</v>
      </c>
      <c r="G47" s="49">
        <f t="shared" si="37"/>
        <v>4855.6080000000002</v>
      </c>
      <c r="H47" s="49">
        <f t="shared" si="37"/>
        <v>1.7454800000000001</v>
      </c>
      <c r="I47" s="49">
        <f t="shared" si="37"/>
        <v>4857.3534800000007</v>
      </c>
      <c r="J47" s="49">
        <f t="shared" si="37"/>
        <v>139.86619999999985</v>
      </c>
      <c r="K47" s="49">
        <f t="shared" si="37"/>
        <v>4997.2196799999992</v>
      </c>
      <c r="L47" s="49">
        <f t="shared" si="37"/>
        <v>-725.65324999999939</v>
      </c>
      <c r="M47" s="94">
        <f t="shared" si="37"/>
        <v>6787.5370000000003</v>
      </c>
      <c r="N47" s="49">
        <f t="shared" si="37"/>
        <v>0</v>
      </c>
      <c r="O47" s="49">
        <f t="shared" si="37"/>
        <v>1663.8490574999998</v>
      </c>
      <c r="P47" s="49">
        <f t="shared" si="37"/>
        <v>0</v>
      </c>
      <c r="Q47" s="49">
        <f>Q46*$D$2</f>
        <v>163.46651076719118</v>
      </c>
      <c r="R47" s="49">
        <f t="shared" si="37"/>
        <v>215.74174786728008</v>
      </c>
      <c r="S47" s="49">
        <f t="shared" ref="S47:Y47" si="38">S46*$D$2</f>
        <v>6.3998065456799944</v>
      </c>
      <c r="T47" s="49">
        <f t="shared" si="38"/>
        <v>62.32408158703997</v>
      </c>
      <c r="U47" s="95">
        <f t="shared" si="38"/>
        <v>0</v>
      </c>
      <c r="V47" s="49">
        <f t="shared" si="38"/>
        <v>5196.3733000000002</v>
      </c>
      <c r="W47" s="49">
        <f t="shared" si="38"/>
        <v>2804.2723000000001</v>
      </c>
      <c r="X47" s="49">
        <f t="shared" si="38"/>
        <v>12764.401784162021</v>
      </c>
      <c r="Y47" s="49">
        <f t="shared" si="38"/>
        <v>12764.401784162021</v>
      </c>
      <c r="Z47" s="49"/>
      <c r="AA47" s="49"/>
      <c r="AB47" s="49"/>
      <c r="AC47" s="49"/>
      <c r="AD47" s="49"/>
      <c r="AE47" s="397"/>
      <c r="AF47" s="397">
        <f>AF46*$D$2</f>
        <v>0</v>
      </c>
      <c r="AG47" s="43">
        <f>AG46*$D$2</f>
        <v>3160.0801166814213</v>
      </c>
      <c r="AH47" s="49">
        <f t="shared" ref="AH47:AP47" si="39">AH46*$D$2</f>
        <v>2373.6147800000003</v>
      </c>
      <c r="AI47" s="94">
        <f>AI46*$D$2</f>
        <v>101.15850000000005</v>
      </c>
      <c r="AJ47" s="95">
        <f>AJ46*$D$2</f>
        <v>77.356499999999983</v>
      </c>
      <c r="AK47" s="49">
        <f t="shared" si="39"/>
        <v>1838.9028499999997</v>
      </c>
      <c r="AL47" s="49"/>
      <c r="AM47" s="49">
        <f t="shared" si="39"/>
        <v>0</v>
      </c>
      <c r="AN47" s="49">
        <f t="shared" si="39"/>
        <v>19000.700230000002</v>
      </c>
      <c r="AO47" s="49">
        <f t="shared" si="39"/>
        <v>865.51944999999921</v>
      </c>
      <c r="AP47" s="352">
        <f t="shared" si="39"/>
        <v>19866.219679999998</v>
      </c>
      <c r="AQ47" s="49">
        <f>AQ46*$D$2</f>
        <v>0</v>
      </c>
      <c r="AR47" s="49">
        <f>AR46*$D$2</f>
        <v>0</v>
      </c>
      <c r="AS47" s="49">
        <f>AS46*$D$2</f>
        <v>0</v>
      </c>
      <c r="AT47" s="49"/>
      <c r="AU47" s="397">
        <f>SUM(AU15:AU44)</f>
        <v>4.6799999999999988</v>
      </c>
      <c r="AV47" s="397"/>
      <c r="AW47" s="397"/>
      <c r="AX47" s="397">
        <f>SUM(AX15:AX44)</f>
        <v>722.13341666666679</v>
      </c>
      <c r="AY47" s="49">
        <f>SUM(AY15:AY44)</f>
        <v>106.21694430085306</v>
      </c>
      <c r="AZ47" s="49">
        <f>AZ46*$D$2</f>
        <v>0</v>
      </c>
      <c r="BA47" s="49">
        <f>BA46*$D$2</f>
        <v>545.19558999999992</v>
      </c>
      <c r="BB47" s="49">
        <f>BB46*$D$2</f>
        <v>0</v>
      </c>
      <c r="BC47" s="49">
        <f>BC46*$D$2</f>
        <v>0</v>
      </c>
      <c r="BD47" s="96"/>
      <c r="BE47" s="39">
        <f>MAX(BE15:BE44)</f>
        <v>90</v>
      </c>
      <c r="BF47" s="39">
        <f>MAX(BF15:BF44)</f>
        <v>56</v>
      </c>
      <c r="BG47" s="97" t="s">
        <v>34</v>
      </c>
      <c r="BH47" s="325">
        <f>BH46*$D$2</f>
        <v>447.93214676719111</v>
      </c>
      <c r="BI47" s="43">
        <f>BI46*$D$2</f>
        <v>1906.1435000000006</v>
      </c>
      <c r="BJ47" s="71"/>
      <c r="BK47" s="56">
        <f>BK46*$D$2</f>
        <v>0</v>
      </c>
      <c r="BL47" s="147">
        <f>BL46*$D$2</f>
        <v>0</v>
      </c>
      <c r="BO47" s="396"/>
      <c r="BP47" s="396"/>
      <c r="BQ47" s="412">
        <f>BQ46*$D$2</f>
        <v>1838.9028499999997</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40">F12+F46</f>
        <v>-17926.392740105868</v>
      </c>
      <c r="G49" s="49">
        <f t="shared" si="40"/>
        <v>58214.1</v>
      </c>
      <c r="H49" s="49">
        <f t="shared" si="40"/>
        <v>425.08000000000004</v>
      </c>
      <c r="I49" s="49">
        <f t="shared" si="40"/>
        <v>58639.180000000008</v>
      </c>
      <c r="J49" s="49">
        <f t="shared" si="40"/>
        <v>1465.2759566422985</v>
      </c>
      <c r="K49" s="49">
        <f t="shared" si="40"/>
        <v>60104.455956642305</v>
      </c>
      <c r="L49" s="49">
        <f t="shared" si="40"/>
        <v>-2758.8827401058734</v>
      </c>
      <c r="M49" s="94">
        <f t="shared" si="40"/>
        <v>29916.639999999999</v>
      </c>
      <c r="N49" s="49">
        <f t="shared" si="40"/>
        <v>32.912500000000009</v>
      </c>
      <c r="O49" s="49">
        <f>O12+O46</f>
        <v>6414.3245000000006</v>
      </c>
      <c r="P49" s="49">
        <f t="shared" si="40"/>
        <v>7.2</v>
      </c>
      <c r="Q49" s="49"/>
      <c r="R49" s="49"/>
      <c r="S49" s="49"/>
      <c r="T49" s="49"/>
      <c r="U49" s="95"/>
      <c r="V49" s="49">
        <f>V12+V46</f>
        <v>16010.32</v>
      </c>
      <c r="W49" s="49">
        <f>W12+W46</f>
        <v>8688.9700000000012</v>
      </c>
      <c r="X49" s="49">
        <f>X12+X46</f>
        <v>49099.29067617582</v>
      </c>
      <c r="Y49" s="49">
        <f>Y12+Y46</f>
        <v>48859.474820857606</v>
      </c>
      <c r="Z49" s="56"/>
      <c r="AA49" s="49"/>
      <c r="AB49" s="49"/>
      <c r="AC49" s="43">
        <f>AC44</f>
        <v>1018.2383948269878</v>
      </c>
      <c r="AD49" s="43">
        <f>AD44</f>
        <v>827.32543483740926</v>
      </c>
      <c r="AE49" s="397"/>
      <c r="AF49" s="397">
        <f>AF12+AF46</f>
        <v>0</v>
      </c>
      <c r="AG49" s="43">
        <f>AG46+AG13</f>
        <v>1593.1838248961035</v>
      </c>
      <c r="AH49" s="49">
        <f>AH12+AH46</f>
        <v>13829.380000000001</v>
      </c>
      <c r="AI49" s="94">
        <f>AI12+AI46</f>
        <v>311.10000000000014</v>
      </c>
      <c r="AJ49" s="95">
        <f>AJ12+AJ46</f>
        <v>237.89999999999995</v>
      </c>
      <c r="AK49" s="49">
        <f t="shared" ref="AK49" si="41">AK12+AK46</f>
        <v>5326.3799999999983</v>
      </c>
      <c r="AL49" s="49"/>
      <c r="AM49" s="49">
        <f t="shared" ref="AM49:AQ49" si="42">AM12+AM46</f>
        <v>0</v>
      </c>
      <c r="AN49" s="49">
        <f t="shared" si="42"/>
        <v>73806.690000000017</v>
      </c>
      <c r="AO49" s="49">
        <f t="shared" si="42"/>
        <v>4224.1586967481726</v>
      </c>
      <c r="AP49" s="49">
        <f t="shared" si="42"/>
        <v>78030.848696748159</v>
      </c>
      <c r="AQ49" s="189">
        <f t="shared" si="42"/>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1500.1705516173167</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3">F49*$D$2</f>
        <v>-35556.999999999993</v>
      </c>
      <c r="G50" s="49">
        <f t="shared" si="43"/>
        <v>115467.66735</v>
      </c>
      <c r="H50" s="49">
        <f t="shared" si="43"/>
        <v>843.14618000000007</v>
      </c>
      <c r="I50" s="49">
        <f t="shared" si="43"/>
        <v>116310.81353000001</v>
      </c>
      <c r="J50" s="49">
        <f t="shared" si="43"/>
        <v>2906.374859999999</v>
      </c>
      <c r="K50" s="49">
        <f t="shared" si="43"/>
        <v>119217.18839000001</v>
      </c>
      <c r="L50" s="49">
        <f t="shared" si="43"/>
        <v>-5472.243915</v>
      </c>
      <c r="M50" s="94">
        <f t="shared" si="43"/>
        <v>59339.655440000002</v>
      </c>
      <c r="N50" s="49">
        <f t="shared" si="43"/>
        <v>65.281943750000025</v>
      </c>
      <c r="O50" s="49">
        <f>O49*$D$2</f>
        <v>12722.812645750002</v>
      </c>
      <c r="P50" s="49">
        <f t="shared" si="43"/>
        <v>14.2812</v>
      </c>
      <c r="Q50" s="49"/>
      <c r="R50" s="49"/>
      <c r="S50" s="49"/>
      <c r="T50" s="49"/>
      <c r="U50" s="95"/>
      <c r="V50" s="49">
        <f t="shared" si="43"/>
        <v>31756.469720000001</v>
      </c>
      <c r="W50" s="49">
        <f t="shared" si="43"/>
        <v>17234.571995000002</v>
      </c>
      <c r="X50" s="49">
        <f t="shared" si="43"/>
        <v>97388.443056194737</v>
      </c>
      <c r="Y50" s="49">
        <f>Y49*$D$2</f>
        <v>96912.768307171063</v>
      </c>
      <c r="Z50" s="56"/>
      <c r="AA50" s="49"/>
      <c r="AB50" s="49"/>
      <c r="AC50" s="43">
        <f>AC49*D$2</f>
        <v>2019.6758561393303</v>
      </c>
      <c r="AD50" s="43">
        <f>AD49*D$2</f>
        <v>1641.0000000000014</v>
      </c>
      <c r="AE50" s="397"/>
      <c r="AF50" s="397">
        <f>AF49*$D$2</f>
        <v>0</v>
      </c>
      <c r="AG50" s="43">
        <f t="shared" ref="AG50" si="44">AG49*$D$2</f>
        <v>3160.0801166814213</v>
      </c>
      <c r="AH50" s="95">
        <f t="shared" si="43"/>
        <v>27430.575230000002</v>
      </c>
      <c r="AI50" s="49">
        <f>AI49*$D$2</f>
        <v>617.06685000000027</v>
      </c>
      <c r="AJ50" s="95">
        <f>AJ49*$D$2</f>
        <v>471.87464999999992</v>
      </c>
      <c r="AK50" s="49">
        <f>AK49*$D$2</f>
        <v>10564.874729999998</v>
      </c>
      <c r="AL50" s="49"/>
      <c r="AM50" s="49">
        <f>AM49*$D$2</f>
        <v>0</v>
      </c>
      <c r="AN50" s="49">
        <f>AN49*$D$2</f>
        <v>146395.56961500004</v>
      </c>
      <c r="AO50" s="49">
        <f t="shared" si="43"/>
        <v>8378.6187750000008</v>
      </c>
      <c r="AP50" s="49">
        <f t="shared" si="43"/>
        <v>154774.18838999997</v>
      </c>
      <c r="AQ50" s="189">
        <f t="shared" si="43"/>
        <v>0</v>
      </c>
      <c r="AR50" s="56"/>
      <c r="AS50" s="49"/>
      <c r="AT50" s="49"/>
      <c r="AU50" s="397">
        <f>AU13+AU47</f>
        <v>45.307499999999997</v>
      </c>
      <c r="AV50" s="397"/>
      <c r="AW50" s="397"/>
      <c r="AX50" s="397">
        <f>SUM(AX13,AX47)</f>
        <v>8439.0667083333319</v>
      </c>
      <c r="AY50" s="49">
        <f>AY12+AY47</f>
        <v>3284.0944199253504</v>
      </c>
      <c r="AZ50" s="49">
        <f>AZ49*$D$2</f>
        <v>2647.0000000000005</v>
      </c>
      <c r="BA50" s="49">
        <f>BA49*$D$2</f>
        <v>1641.0000000000002</v>
      </c>
      <c r="BB50" s="49">
        <f>BB49*$D$2</f>
        <v>41.124566666666659</v>
      </c>
      <c r="BC50" s="49">
        <f>BC49*$D$2</f>
        <v>1913.6000000000001</v>
      </c>
      <c r="BD50" s="96">
        <f>AUG!BD51+BD46</f>
        <v>4.1910000000000007</v>
      </c>
      <c r="BE50" s="39"/>
      <c r="BF50" s="39"/>
      <c r="BG50" s="314"/>
      <c r="BH50" s="325">
        <f>BH49*$D$2</f>
        <v>2975.5882891329479</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5">F13+F46</f>
        <v>-15230.148726997721</v>
      </c>
      <c r="G52" s="49">
        <f t="shared" si="45"/>
        <v>64458.3</v>
      </c>
      <c r="H52" s="49">
        <f t="shared" si="45"/>
        <v>554.97</v>
      </c>
      <c r="I52" s="49">
        <f t="shared" si="45"/>
        <v>65013.270000000004</v>
      </c>
      <c r="J52" s="49">
        <f t="shared" si="45"/>
        <v>4354.6268464834875</v>
      </c>
      <c r="K52" s="49">
        <f t="shared" si="45"/>
        <v>69367.896846483491</v>
      </c>
      <c r="L52" s="49">
        <f t="shared" si="45"/>
        <v>-1109.8687269977313</v>
      </c>
      <c r="M52" s="94">
        <f t="shared" si="45"/>
        <v>30774.79</v>
      </c>
      <c r="N52" s="49">
        <f t="shared" si="45"/>
        <v>32.912500000000009</v>
      </c>
      <c r="O52" s="49">
        <f>O13+O46</f>
        <v>6414.335</v>
      </c>
      <c r="P52" s="49">
        <f>P13+P46</f>
        <v>7.2</v>
      </c>
      <c r="Q52" s="49">
        <f>Q13+Q46</f>
        <v>791.98343538559527</v>
      </c>
      <c r="R52" s="49">
        <f t="shared" si="45"/>
        <v>656.5139039458553</v>
      </c>
      <c r="S52" s="49">
        <f t="shared" ref="S52:X52" si="46">S13+S46</f>
        <v>322.58873938862695</v>
      </c>
      <c r="T52" s="49">
        <f>T13+T46</f>
        <v>303.07135650551794</v>
      </c>
      <c r="U52" s="95">
        <f t="shared" si="46"/>
        <v>64.300345839550417</v>
      </c>
      <c r="V52" s="49">
        <f t="shared" si="46"/>
        <v>16736.62</v>
      </c>
      <c r="W52" s="49">
        <f t="shared" si="46"/>
        <v>8704.59</v>
      </c>
      <c r="X52" s="49">
        <f t="shared" si="46"/>
        <v>49275.881260557784</v>
      </c>
      <c r="Y52" s="49">
        <f>Y13+Y46</f>
        <v>48859.474820857606</v>
      </c>
      <c r="Z52" s="49"/>
      <c r="AA52" s="49"/>
      <c r="AB52" s="49"/>
      <c r="AC52" s="49"/>
      <c r="AD52" s="49"/>
      <c r="AE52" s="397"/>
      <c r="AF52" s="397">
        <f>AF12+AF46</f>
        <v>0</v>
      </c>
      <c r="AG52" s="49">
        <f>AG13+AG46</f>
        <v>1593.1838248961035</v>
      </c>
      <c r="AH52" s="95"/>
      <c r="AI52" s="49">
        <f>AI13+AI46</f>
        <v>311.10000000000014</v>
      </c>
      <c r="AJ52" s="95">
        <f>AJ13+AJ46</f>
        <v>237.89999999999995</v>
      </c>
      <c r="AK52" s="49">
        <f>AK13+AK46</f>
        <v>9050.1699999999983</v>
      </c>
      <c r="AL52" s="49">
        <f>AL44</f>
        <v>3468.6792387194482</v>
      </c>
      <c r="AM52" s="49">
        <f t="shared" ref="AM52:AS52" si="47">AM13+AM46</f>
        <v>0</v>
      </c>
      <c r="AN52" s="49">
        <f t="shared" si="47"/>
        <v>79133.550000000017</v>
      </c>
      <c r="AO52" s="49">
        <f t="shared" si="47"/>
        <v>5464.4955734812193</v>
      </c>
      <c r="AP52" s="353">
        <f t="shared" si="47"/>
        <v>84598.045573481213</v>
      </c>
      <c r="AQ52" s="49">
        <f t="shared" si="47"/>
        <v>685.9</v>
      </c>
      <c r="AR52" s="56"/>
      <c r="AS52" s="49">
        <f t="shared" si="47"/>
        <v>416.40643970018664</v>
      </c>
      <c r="AT52" s="49"/>
      <c r="AU52" s="397"/>
      <c r="AV52" s="397"/>
      <c r="AW52" s="397"/>
      <c r="AX52" s="397"/>
      <c r="AY52" s="49"/>
      <c r="AZ52" s="49"/>
      <c r="BA52" s="49">
        <f>BA49</f>
        <v>827.32543483740869</v>
      </c>
      <c r="BB52" s="49"/>
      <c r="BC52" s="43"/>
      <c r="BD52" s="96">
        <f>BD13+BD46</f>
        <v>7.5265000000000004</v>
      </c>
      <c r="BE52" s="39"/>
      <c r="BF52" s="39"/>
      <c r="BG52" s="314"/>
      <c r="BH52" s="325">
        <f>BH13+BH46</f>
        <v>2178.570281065146</v>
      </c>
      <c r="BI52" s="43">
        <f>BI13+BI46</f>
        <v>2196.73</v>
      </c>
      <c r="BJ52" s="71"/>
      <c r="BK52" s="56">
        <f>BK13+BK46</f>
        <v>3418.0769282139827</v>
      </c>
      <c r="BL52" s="147">
        <f>BL13+BL46</f>
        <v>675.05430737694769</v>
      </c>
      <c r="BO52" s="396"/>
      <c r="BP52" s="396"/>
      <c r="BQ52" s="412">
        <f>BQ13+BQ46</f>
        <v>927.0999999999998</v>
      </c>
      <c r="BR52" s="412">
        <f>BR13+BR46</f>
        <v>0</v>
      </c>
    </row>
    <row r="53" spans="1:70" ht="12.95" customHeight="1">
      <c r="A53" s="43" t="s">
        <v>39</v>
      </c>
      <c r="B53" s="189"/>
      <c r="C53" s="49"/>
      <c r="D53" s="49">
        <f>D13+D47</f>
        <v>-30209</v>
      </c>
      <c r="E53" s="49">
        <f>E44</f>
        <v>26965</v>
      </c>
      <c r="F53" s="93">
        <f t="shared" ref="F53:AL53" si="48">F52*$D$2</f>
        <v>-30208.999999999978</v>
      </c>
      <c r="G53" s="49">
        <f t="shared" si="48"/>
        <v>127853.03805</v>
      </c>
      <c r="H53" s="49">
        <f t="shared" si="48"/>
        <v>1100.782995</v>
      </c>
      <c r="I53" s="49">
        <f t="shared" si="48"/>
        <v>128953.821045</v>
      </c>
      <c r="J53" s="49">
        <f t="shared" si="48"/>
        <v>8637.4023499999985</v>
      </c>
      <c r="K53" s="49">
        <f t="shared" si="48"/>
        <v>137591.22339500001</v>
      </c>
      <c r="L53" s="49">
        <f t="shared" si="48"/>
        <v>-2201.4246200000002</v>
      </c>
      <c r="M53" s="94">
        <f t="shared" si="48"/>
        <v>61041.795965000005</v>
      </c>
      <c r="N53" s="49">
        <f t="shared" si="48"/>
        <v>65.281943750000025</v>
      </c>
      <c r="O53" s="49">
        <f t="shared" si="48"/>
        <v>12722.8334725</v>
      </c>
      <c r="P53" s="49">
        <f t="shared" si="48"/>
        <v>14.2812</v>
      </c>
      <c r="Q53" s="49">
        <f>Q52*$D$2</f>
        <v>1570.8991440873283</v>
      </c>
      <c r="R53" s="49">
        <f t="shared" si="48"/>
        <v>1302.1953284766041</v>
      </c>
      <c r="S53" s="49">
        <f>S52*$D$2</f>
        <v>639.8547645773416</v>
      </c>
      <c r="T53" s="49">
        <f>T52*$D$2</f>
        <v>601.14203562869488</v>
      </c>
      <c r="U53" s="95">
        <f>U52*$D$2</f>
        <v>127.53973597274826</v>
      </c>
      <c r="V53" s="49">
        <f t="shared" si="48"/>
        <v>33197.085769999998</v>
      </c>
      <c r="W53" s="49">
        <f t="shared" si="48"/>
        <v>17265.554264999999</v>
      </c>
      <c r="X53" s="49">
        <f t="shared" si="48"/>
        <v>97738.710480316367</v>
      </c>
      <c r="Y53" s="49">
        <f t="shared" si="48"/>
        <v>96912.768307171063</v>
      </c>
      <c r="Z53" s="49"/>
      <c r="AA53" s="49"/>
      <c r="AB53" s="49"/>
      <c r="AC53" s="49"/>
      <c r="AD53" s="49"/>
      <c r="AE53" s="397"/>
      <c r="AF53" s="397">
        <f>AF52*$D$2</f>
        <v>0</v>
      </c>
      <c r="AG53" s="43">
        <f>AG52*$D$2</f>
        <v>3160.0801166814213</v>
      </c>
      <c r="AH53" s="115"/>
      <c r="AI53" s="49">
        <f>AI52*$D$2</f>
        <v>617.06685000000027</v>
      </c>
      <c r="AJ53" s="115">
        <f>AJ52*$D$2</f>
        <v>471.87464999999992</v>
      </c>
      <c r="AK53" s="49">
        <f>AK52*$D$2</f>
        <v>17951.012194999996</v>
      </c>
      <c r="AL53" s="49">
        <f t="shared" si="48"/>
        <v>6880.1252700000259</v>
      </c>
      <c r="AM53" s="49">
        <f t="shared" ref="AM53:AS53" si="49">AM52*$D$2</f>
        <v>0</v>
      </c>
      <c r="AN53" s="49">
        <f t="shared" si="49"/>
        <v>156961.39642500004</v>
      </c>
      <c r="AO53" s="49">
        <f t="shared" si="49"/>
        <v>10838.826969999998</v>
      </c>
      <c r="AP53" s="93">
        <f t="shared" si="49"/>
        <v>167800.22339499998</v>
      </c>
      <c r="AQ53" s="49">
        <f t="shared" si="49"/>
        <v>1360.4826499999999</v>
      </c>
      <c r="AR53" s="56"/>
      <c r="AS53" s="49">
        <f t="shared" si="49"/>
        <v>825.94217314532023</v>
      </c>
      <c r="AT53" s="49"/>
      <c r="AU53" s="397"/>
      <c r="AV53" s="397"/>
      <c r="AW53" s="397"/>
      <c r="AX53" s="397"/>
      <c r="AY53" s="49">
        <f>AY13+AY47</f>
        <v>113.86688446753425</v>
      </c>
      <c r="AZ53" s="49"/>
      <c r="BA53" s="49">
        <f>BA50</f>
        <v>1641.0000000000002</v>
      </c>
      <c r="BB53" s="49"/>
      <c r="BC53" s="43"/>
      <c r="BD53" s="96"/>
      <c r="BE53" s="39"/>
      <c r="BF53" s="39"/>
      <c r="BG53" s="314"/>
      <c r="BH53" s="325">
        <f>BH52*$D$2</f>
        <v>4321.194152492717</v>
      </c>
      <c r="BI53" s="43">
        <f>BI52*$D$2</f>
        <v>4357.2139550000002</v>
      </c>
      <c r="BJ53" s="71"/>
      <c r="BK53" s="337">
        <f>BK52*$D$2</f>
        <v>6779.755587112435</v>
      </c>
      <c r="BL53" s="338">
        <f>BL52*$D$2</f>
        <v>1338.9702186821758</v>
      </c>
      <c r="BO53" s="396"/>
      <c r="BP53" s="396"/>
      <c r="BQ53" s="412">
        <f>BQ52*$D$2</f>
        <v>1838.9028499999997</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0.94238868241041152</v>
      </c>
      <c r="W55" s="24"/>
      <c r="X55" s="25"/>
      <c r="Y55" s="54"/>
      <c r="Z55" s="43"/>
      <c r="AA55" s="54"/>
      <c r="AB55" s="43"/>
      <c r="AE55" s="417"/>
      <c r="AF55" s="417"/>
      <c r="AH55" s="229">
        <f>AH50/AH8</f>
        <v>0.88189863779578193</v>
      </c>
      <c r="AI55" s="40"/>
      <c r="AJ55" s="40"/>
      <c r="AK55" s="43"/>
      <c r="AN55" s="24"/>
      <c r="AO55" s="24"/>
      <c r="AP55" s="46"/>
      <c r="AQ55" s="167"/>
      <c r="AR55" s="25"/>
      <c r="AS55" s="167"/>
      <c r="AT55" s="210"/>
      <c r="AU55" s="391"/>
      <c r="AV55" s="391"/>
      <c r="AW55" s="391"/>
      <c r="AX55" s="391">
        <f>AX50-AY50</f>
        <v>5154.972288407982</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O8" sqref="O8"/>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bestFit="1"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59" hidden="1" customWidth="1"/>
    <col min="69" max="70" width="7"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5" t="s">
        <v>224</v>
      </c>
      <c r="L2" s="765"/>
      <c r="M2" s="765"/>
      <c r="N2" s="765"/>
      <c r="O2" s="765"/>
      <c r="P2" s="765"/>
      <c r="Q2" s="765"/>
      <c r="R2" s="765"/>
      <c r="S2" s="765"/>
      <c r="T2" s="765"/>
      <c r="U2" s="765"/>
      <c r="V2" s="765"/>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9" t="s">
        <v>137</v>
      </c>
      <c r="AJ5" s="770"/>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-17926.392740105868</v>
      </c>
      <c r="G12" s="49">
        <f>SEP!G49</f>
        <v>58214.1</v>
      </c>
      <c r="H12" s="172">
        <f>SEP!H49</f>
        <v>425.08000000000004</v>
      </c>
      <c r="I12" s="49">
        <f>SEP!I49</f>
        <v>58639.180000000008</v>
      </c>
      <c r="J12" s="49">
        <f>SEP!J49</f>
        <v>1465.2759566422985</v>
      </c>
      <c r="K12" s="49">
        <f>SEP!K49</f>
        <v>60104.455956642305</v>
      </c>
      <c r="L12" s="95">
        <f>SEP!L49</f>
        <v>-2758.8827401058734</v>
      </c>
      <c r="M12" s="596">
        <f>SEP!M49</f>
        <v>29916.639999999999</v>
      </c>
      <c r="N12" s="49">
        <f>SEP!N49</f>
        <v>32.912500000000009</v>
      </c>
      <c r="O12" s="49">
        <f>SEP!O49</f>
        <v>6414.3245000000006</v>
      </c>
      <c r="P12" s="33">
        <f>SEP!P49</f>
        <v>7.2</v>
      </c>
      <c r="Q12" s="49"/>
      <c r="R12" s="49"/>
      <c r="S12" s="49"/>
      <c r="T12" s="49"/>
      <c r="U12" s="119"/>
      <c r="V12" s="49">
        <f>SEP!V49</f>
        <v>16010.32</v>
      </c>
      <c r="W12" s="49">
        <f>SEP!W49</f>
        <v>8688.9700000000012</v>
      </c>
      <c r="X12" s="49">
        <f>SEP!X49</f>
        <v>49099.29067617582</v>
      </c>
      <c r="Y12" s="49">
        <f>SEP!Y49</f>
        <v>48859.474820857606</v>
      </c>
      <c r="Z12" s="49">
        <f>SEP!Z44</f>
        <v>0</v>
      </c>
      <c r="AA12" s="49"/>
      <c r="AB12" s="49">
        <f>SEP!AB12</f>
        <v>0</v>
      </c>
      <c r="AC12" s="49">
        <f>SEP!AC44</f>
        <v>1018.2383948269878</v>
      </c>
      <c r="AD12" s="49">
        <f>SEP!AD44</f>
        <v>827.32543483740926</v>
      </c>
      <c r="AE12" s="397">
        <f>SEP!AE44</f>
        <v>0</v>
      </c>
      <c r="AF12" s="397"/>
      <c r="AG12" s="49">
        <f>SEP!AG44</f>
        <v>3966.1809343678237</v>
      </c>
      <c r="AH12" s="49">
        <f>SEP!AH49</f>
        <v>13829.380000000001</v>
      </c>
      <c r="AI12" s="94">
        <f>SEP!AI49</f>
        <v>311.10000000000014</v>
      </c>
      <c r="AJ12" s="95">
        <f>SEP!AJ49</f>
        <v>237.89999999999995</v>
      </c>
      <c r="AK12" s="49">
        <f>SEP!AK49</f>
        <v>5326.3799999999983</v>
      </c>
      <c r="AL12" s="49"/>
      <c r="AM12" s="49"/>
      <c r="AN12" s="49">
        <f>SEP!AN49</f>
        <v>73806.690000000017</v>
      </c>
      <c r="AO12" s="49">
        <f>SEP!AO49</f>
        <v>4224.1586967481726</v>
      </c>
      <c r="AP12" s="49">
        <f>SEP!AP49</f>
        <v>78030.848696748159</v>
      </c>
      <c r="AQ12" s="126">
        <f>SEP!AQ49</f>
        <v>0</v>
      </c>
      <c r="AR12" s="56"/>
      <c r="AS12" s="443">
        <f>SEP!AR49</f>
        <v>0</v>
      </c>
      <c r="AT12" s="36"/>
      <c r="AU12" s="36"/>
      <c r="AV12" s="396"/>
      <c r="AW12" s="396"/>
      <c r="AX12" s="396"/>
      <c r="AY12" s="396"/>
      <c r="AZ12" s="36">
        <f>SEP!AY50</f>
        <v>3284.0944199253504</v>
      </c>
      <c r="BA12" s="36">
        <f>SEP!AZ49</f>
        <v>1334.5097050668014</v>
      </c>
      <c r="BB12" s="36"/>
      <c r="BC12" s="39">
        <f>SEP!BA49</f>
        <v>827.32543483740869</v>
      </c>
      <c r="BD12" s="39">
        <f>SEP!BB49</f>
        <v>20.733333333333331</v>
      </c>
      <c r="BE12" s="39"/>
      <c r="BF12" s="169"/>
      <c r="BG12" s="39"/>
      <c r="BH12" s="39"/>
      <c r="BI12" s="314"/>
      <c r="BJ12" s="329">
        <f>SEP!BH49</f>
        <v>1500.1705516173167</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0</v>
      </c>
      <c r="C13" s="49">
        <f>SEP!C44</f>
        <v>178965</v>
      </c>
      <c r="D13" s="49">
        <f>SEP!D53</f>
        <v>-30209</v>
      </c>
      <c r="E13" s="49">
        <f>SEP!E53</f>
        <v>26965</v>
      </c>
      <c r="F13" s="93">
        <f>SEP!F52</f>
        <v>-15230.148726997721</v>
      </c>
      <c r="G13" s="49">
        <f>SEP!G52</f>
        <v>64458.3</v>
      </c>
      <c r="H13" s="172">
        <f>SEP!H52</f>
        <v>554.97</v>
      </c>
      <c r="I13" s="49">
        <f>SEP!I52</f>
        <v>65013.270000000004</v>
      </c>
      <c r="J13" s="49">
        <f>SEP!J52</f>
        <v>4354.6268464834875</v>
      </c>
      <c r="K13" s="49">
        <f>SEP!K52</f>
        <v>69367.896846483491</v>
      </c>
      <c r="L13" s="115">
        <f>SEP!L52</f>
        <v>-1109.8687269977313</v>
      </c>
      <c r="M13" s="596">
        <f>SEP!M52</f>
        <v>30774.79</v>
      </c>
      <c r="N13" s="49">
        <f>SEP!N52</f>
        <v>32.912500000000009</v>
      </c>
      <c r="O13" s="49">
        <f>SEP!O52</f>
        <v>6414.335</v>
      </c>
      <c r="P13" s="133">
        <f>SEP!P52</f>
        <v>7.2</v>
      </c>
      <c r="Q13" s="49">
        <f>SEP!Q52</f>
        <v>791.98343538559527</v>
      </c>
      <c r="R13" s="39">
        <f>SEP!R52</f>
        <v>656.5139039458553</v>
      </c>
      <c r="S13" s="49">
        <f>SEP!S52</f>
        <v>322.58873938862695</v>
      </c>
      <c r="T13" s="49">
        <f>SEP!T52</f>
        <v>303.07135650551794</v>
      </c>
      <c r="U13" s="291">
        <f>SEP!U52</f>
        <v>64.300345839550417</v>
      </c>
      <c r="V13" s="49">
        <f>SEP!V52</f>
        <v>16736.62</v>
      </c>
      <c r="W13" s="49">
        <f>SEP!W52</f>
        <v>8704.59</v>
      </c>
      <c r="X13" s="49">
        <f>SEP!X52</f>
        <v>49275.881260557784</v>
      </c>
      <c r="Y13" s="49">
        <f>SEP!Y52</f>
        <v>48859.474820857606</v>
      </c>
      <c r="Z13" s="49"/>
      <c r="AA13" s="49"/>
      <c r="AB13" s="49"/>
      <c r="AC13" s="49"/>
      <c r="AD13" s="49"/>
      <c r="AE13" s="397"/>
      <c r="AF13" s="397"/>
      <c r="AG13" s="49">
        <f>SEP!AG52</f>
        <v>1593.1838248961035</v>
      </c>
      <c r="AH13" s="49">
        <f>SEP!AH50</f>
        <v>27430.575230000002</v>
      </c>
      <c r="AI13" s="176">
        <f>AI12</f>
        <v>311.10000000000014</v>
      </c>
      <c r="AJ13" s="115">
        <f>AJ12</f>
        <v>237.89999999999995</v>
      </c>
      <c r="AK13" s="49">
        <f>SEP!AK52</f>
        <v>9050.1699999999983</v>
      </c>
      <c r="AL13" s="49">
        <f>SEP!AL52</f>
        <v>3468.6792387194482</v>
      </c>
      <c r="AM13" s="49">
        <f>SEP!AM52</f>
        <v>0</v>
      </c>
      <c r="AN13" s="49">
        <f>SEP!AN52</f>
        <v>79133.550000000017</v>
      </c>
      <c r="AO13" s="49">
        <f>SEP!AO52</f>
        <v>5464.4955734812193</v>
      </c>
      <c r="AP13" s="49">
        <f>SEP!AP52</f>
        <v>84598.045573481213</v>
      </c>
      <c r="AQ13" s="126">
        <f>SEP!AQ52</f>
        <v>685.9</v>
      </c>
      <c r="AR13" s="68">
        <f>SEP!AR44</f>
        <v>0</v>
      </c>
      <c r="AS13" s="397">
        <f>SEP!AR52</f>
        <v>0</v>
      </c>
      <c r="AT13" s="36">
        <f>SEP!AS52</f>
        <v>416.40643970018664</v>
      </c>
      <c r="AU13" s="36"/>
      <c r="AV13" s="396">
        <f>SEP!AU50</f>
        <v>45.307499999999997</v>
      </c>
      <c r="AW13" s="397"/>
      <c r="AX13" s="397"/>
      <c r="AY13" s="397">
        <f>SEP!AX50</f>
        <v>8439.0667083333319</v>
      </c>
      <c r="AZ13" s="33">
        <f>SEP!AY44</f>
        <v>0</v>
      </c>
      <c r="BA13" s="33"/>
      <c r="BB13" s="33"/>
      <c r="BC13" s="39">
        <f>SEP!BA52</f>
        <v>827.32543483740869</v>
      </c>
      <c r="BD13" s="39">
        <f>SEP!BB52</f>
        <v>0</v>
      </c>
      <c r="BE13" s="39">
        <f>SEP!BC49</f>
        <v>964.75926392740109</v>
      </c>
      <c r="BF13" s="169">
        <f>SEP!BD52</f>
        <v>7.5265000000000004</v>
      </c>
      <c r="BG13" s="39"/>
      <c r="BH13" s="39"/>
      <c r="BI13" s="315"/>
      <c r="BJ13" s="325">
        <f>SEP!BH52</f>
        <v>2178.570281065146</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c r="C15" s="390">
        <f>IF(B15="",C13,VLOOKUP(TRUNC(B15,1),VLOOKUP!$A$3:$K$2834,RIGHT(TEXT(B15,"0000.00"),1)+2,FALSE))</f>
        <v>178965</v>
      </c>
      <c r="D15" s="39">
        <f>C15-C13</f>
        <v>0</v>
      </c>
      <c r="E15" s="49">
        <f t="shared" ref="E15:E45" si="0">C15-152000</f>
        <v>26965</v>
      </c>
      <c r="F15" s="106">
        <f t="shared" ref="F15:F45" si="1">D15/$D$2</f>
        <v>0</v>
      </c>
      <c r="G15" s="41"/>
      <c r="H15" s="174"/>
      <c r="I15" s="41">
        <f t="shared" ref="I15:I45" si="2">G15+H15</f>
        <v>0</v>
      </c>
      <c r="J15" s="36">
        <f>IF(L15&gt;0,L15,0)</f>
        <v>0</v>
      </c>
      <c r="K15" s="41">
        <f t="shared" ref="K15:K45" si="3">I15+J15</f>
        <v>0</v>
      </c>
      <c r="L15" s="41">
        <f>IF(G15="",0,F15-(I15-AN15))</f>
        <v>0</v>
      </c>
      <c r="M15" s="108"/>
      <c r="N15" s="33"/>
      <c r="O15" s="41">
        <f>0*1.05</f>
        <v>0</v>
      </c>
      <c r="P15" s="33">
        <v>0</v>
      </c>
      <c r="Q15" s="133">
        <f>1856400/325851/1.9835*1.02</f>
        <v>2.9296819042135875</v>
      </c>
      <c r="R15" s="67">
        <f>IF(((4.2*1.04)-T15)&gt;=4.2,4.2,(4.2*1.04)-T15)</f>
        <v>3.4185258221491934</v>
      </c>
      <c r="S15" s="67">
        <f>IF(((4.2*1.04)-T15)&gt;=4.2,((4.2*1.04)-T15)-4.2,0)</f>
        <v>0</v>
      </c>
      <c r="T15" s="67">
        <v>0.9494741778508069</v>
      </c>
      <c r="U15" s="124">
        <v>0</v>
      </c>
      <c r="V15" s="41"/>
      <c r="W15" s="41"/>
      <c r="X15" s="41">
        <f>MAX(0,M15-N15-O15-P15-Q15-R15-S15-T15-U15+V15+W15-BD15+BA15)</f>
        <v>0</v>
      </c>
      <c r="Y15" s="41">
        <f t="shared" ref="Y15:Y29" si="4">X15-AT15</f>
        <v>0</v>
      </c>
      <c r="Z15" s="49">
        <v>0</v>
      </c>
      <c r="AA15" s="41">
        <v>0</v>
      </c>
      <c r="AB15" s="49">
        <v>0</v>
      </c>
      <c r="AC15" s="56">
        <f>AC12-IF(AV13="",0,AZ13/1.9835)</f>
        <v>1018.2383948269878</v>
      </c>
      <c r="AD15" s="49">
        <f>IF(BC15="",AD12,AD12+BC15)</f>
        <v>827.32543483740926</v>
      </c>
      <c r="AE15" s="397"/>
      <c r="AG15" s="746">
        <f>AG13+MIN(0,AU15)-AM15</f>
        <v>1593.1838248961035</v>
      </c>
      <c r="AH15" s="41"/>
      <c r="AI15" s="157">
        <v>1.7</v>
      </c>
      <c r="AJ15" s="175">
        <v>1.3</v>
      </c>
      <c r="AK15" s="41"/>
      <c r="AL15" s="49">
        <f>AL13-AK15</f>
        <v>3468.6792387194482</v>
      </c>
      <c r="AM15" s="49"/>
      <c r="AN15" s="68">
        <f>M15+V15+W15+AH15+AK15</f>
        <v>0</v>
      </c>
      <c r="AO15" s="41">
        <f>IF(L15&lt;0,L15*-1,0)</f>
        <v>0</v>
      </c>
      <c r="AP15" s="41">
        <f t="shared" ref="AP15:AP45" si="5">AN15+AO15</f>
        <v>0</v>
      </c>
      <c r="AQ15" s="170"/>
      <c r="AR15" s="559"/>
      <c r="AS15" s="443"/>
      <c r="AT15" s="36"/>
      <c r="AU15" s="37">
        <f t="shared" ref="AU15:AU29" si="6">IF(G15="",0,IF(I15&gt;=(795+Q15+R15+AI15),795-X15,I15-Q15-R15-X15-AI15)-AM15)</f>
        <v>0</v>
      </c>
      <c r="AV15" s="399"/>
      <c r="AW15" s="401">
        <f>AV15*0.7</f>
        <v>0</v>
      </c>
      <c r="AX15" s="401">
        <f>IF(AV15="",0,VLOOKUP(ROUNDDOWN(TEXT(B15,"0000"),-1),VLOOKUP!$M$3:$W$32,RIGHT(TEXT(B15,"0000"),1)+2,FALSE))</f>
        <v>0</v>
      </c>
      <c r="AY15" s="401">
        <f>AW15/12*AX15</f>
        <v>0</v>
      </c>
      <c r="AZ15" s="33">
        <f>AY15*((IF(Z15&gt;JUN!$Z$44,JUN!$Z$44,Z15)+AC15+AD15+AR15)*1.9835)/E15</f>
        <v>0</v>
      </c>
      <c r="BA15" s="33"/>
      <c r="BB15" s="33"/>
      <c r="BC15" s="149" t="str">
        <f>IF(BK15="","",MIN(BK15,8))</f>
        <v/>
      </c>
      <c r="BD15" s="24"/>
      <c r="BE15" s="40"/>
      <c r="BF15" s="169"/>
      <c r="BG15" s="39"/>
      <c r="BH15" s="39"/>
      <c r="BI15" s="314"/>
      <c r="BJ15" s="319">
        <f t="shared" ref="BJ15:BJ45" si="7">SUM(N15,P15:U15)</f>
        <v>7.2976819042135883</v>
      </c>
      <c r="BK15" s="40"/>
      <c r="BL15" s="71"/>
      <c r="BM15" s="534">
        <f t="shared" ref="BM15:BM45" si="8">IF(G15="",0,IF(I15&lt;(795+Q15+R15+AI15+AJ15),0,I15-(795+Q15+R15+AI15+AJ15)))</f>
        <v>0</v>
      </c>
      <c r="BN15" s="247">
        <f t="shared" ref="BN15:BN45" si="9">MIN(505,BM15,SUM(O15,AH15))</f>
        <v>0</v>
      </c>
      <c r="BP15" s="471">
        <v>1</v>
      </c>
      <c r="BQ15" s="456"/>
      <c r="BR15" s="472">
        <f t="shared" ref="BR15:BR45" si="10">B15-BQ15</f>
        <v>0</v>
      </c>
      <c r="BS15" s="473"/>
      <c r="BT15" s="473">
        <f t="shared" ref="BT15:BT45" si="11">AK15-BS15</f>
        <v>0</v>
      </c>
    </row>
    <row r="16" spans="1:72" ht="12.95" customHeight="1">
      <c r="A16" s="42">
        <f t="shared" ref="A16:A38" si="12">A15+1</f>
        <v>2</v>
      </c>
      <c r="B16" s="98"/>
      <c r="C16" s="390">
        <f>IF(B16="",C15,VLOOKUP(TRUNC(B16,1),VLOOKUP!$A$3:$K$2834,RIGHT(TEXT(B16,"0000.00"),1)+2,FALSE))</f>
        <v>178965</v>
      </c>
      <c r="D16" s="39">
        <f t="shared" ref="D16:D45" si="13">C16-C15</f>
        <v>0</v>
      </c>
      <c r="E16" s="49">
        <f t="shared" si="0"/>
        <v>26965</v>
      </c>
      <c r="F16" s="106">
        <f t="shared" si="1"/>
        <v>0</v>
      </c>
      <c r="G16" s="41"/>
      <c r="H16" s="174"/>
      <c r="I16" s="41">
        <f t="shared" si="2"/>
        <v>0</v>
      </c>
      <c r="J16" s="36">
        <f t="shared" ref="J16:J45" si="14">IF(L16&gt;0,L16,0)</f>
        <v>0</v>
      </c>
      <c r="K16" s="41">
        <f t="shared" si="3"/>
        <v>0</v>
      </c>
      <c r="L16" s="41">
        <f t="shared" ref="L16:L45" si="15">IF(G16="",0,F16-(I16-AN16))</f>
        <v>0</v>
      </c>
      <c r="M16" s="108"/>
      <c r="N16" s="33"/>
      <c r="O16" s="41"/>
      <c r="P16" s="33"/>
      <c r="Q16" s="133">
        <f>1571100/325851/1.9835*1.02</f>
        <v>2.4794350569435286</v>
      </c>
      <c r="R16" s="67">
        <f>IF(((3.9*1.04)-T16)&gt;=4.2,4.2,(3.9*1.04)-T16)</f>
        <v>3.1065258221491932</v>
      </c>
      <c r="S16" s="67">
        <f>IF(((3.9*1.04)-T16)&gt;=4.2,((3.9*1.04)-T16)-4.2,0)</f>
        <v>0</v>
      </c>
      <c r="T16" s="67">
        <v>0.9494741778508069</v>
      </c>
      <c r="U16" s="124">
        <v>0</v>
      </c>
      <c r="V16" s="41"/>
      <c r="W16" s="41"/>
      <c r="X16" s="41">
        <f t="shared" ref="X16:X29" si="16">MAX(0,M16-N16-O16-P16-Q16-R16-S16-T16-U16+V16+W16-BD16+BA16)</f>
        <v>0</v>
      </c>
      <c r="Y16" s="41">
        <f t="shared" si="4"/>
        <v>0</v>
      </c>
      <c r="Z16" s="49">
        <v>0</v>
      </c>
      <c r="AA16" s="41">
        <v>0</v>
      </c>
      <c r="AB16" s="49">
        <v>0</v>
      </c>
      <c r="AC16" s="56">
        <f>AC15-IF(AV14="",0,AZ15/1.9835)</f>
        <v>1018.2383948269878</v>
      </c>
      <c r="AD16" s="49">
        <f>IF(BC16="",AD15,AD15+BC16)</f>
        <v>827.32543483740926</v>
      </c>
      <c r="AE16" s="397"/>
      <c r="AF16" s="445"/>
      <c r="AG16" s="39">
        <f>AG15+MIN(0,AU16)-AM16</f>
        <v>1593.1838248961035</v>
      </c>
      <c r="AH16" s="41"/>
      <c r="AI16" s="157">
        <v>1.7</v>
      </c>
      <c r="AJ16" s="175">
        <v>1.3</v>
      </c>
      <c r="AK16" s="41"/>
      <c r="AL16" s="49">
        <f>AL15-AK16</f>
        <v>3468.6792387194482</v>
      </c>
      <c r="AM16" s="49"/>
      <c r="AN16" s="68">
        <f t="shared" ref="AN16:AN45" si="17">M16+V16+W16+AH16+AK16</f>
        <v>0</v>
      </c>
      <c r="AO16" s="41">
        <f t="shared" ref="AO16:AO45" si="18">IF(L16&lt;0,L16*-1,0)</f>
        <v>0</v>
      </c>
      <c r="AP16" s="41">
        <f t="shared" si="5"/>
        <v>0</v>
      </c>
      <c r="AQ16" s="170"/>
      <c r="AR16" s="559"/>
      <c r="AS16" s="443"/>
      <c r="AT16" s="36"/>
      <c r="AU16" s="37">
        <f t="shared" si="6"/>
        <v>0</v>
      </c>
      <c r="AV16" s="399"/>
      <c r="AW16" s="401">
        <f t="shared" ref="AW16:AW26" si="19">AV16*0.7</f>
        <v>0</v>
      </c>
      <c r="AX16" s="401">
        <f>IF(AV16="",0,VLOOKUP(ROUNDDOWN(TEXT(B16,"0000"),-1),VLOOKUP!$M$3:$W$32,RIGHT(TEXT(B16,"0000"),1)+2,FALSE))</f>
        <v>0</v>
      </c>
      <c r="AY16" s="401">
        <f>AW16/12*AX16</f>
        <v>0</v>
      </c>
      <c r="AZ16" s="33">
        <f>AY16*((IF(Z16&gt;JUN!$Z$44,JUN!$Z$44,Z16)+AC16+AD16+AR16)*1.9835)/E16</f>
        <v>0</v>
      </c>
      <c r="BA16" s="33"/>
      <c r="BB16" s="33"/>
      <c r="BC16" s="149" t="str">
        <f t="shared" ref="BC16:BC45" si="20">IF(BK16="","",MIN(BK16,8))</f>
        <v/>
      </c>
      <c r="BD16" s="24"/>
      <c r="BE16" s="40"/>
      <c r="BF16" s="169"/>
      <c r="BG16" s="39"/>
      <c r="BH16" s="39"/>
      <c r="BI16" s="314"/>
      <c r="BJ16" s="485">
        <f t="shared" si="7"/>
        <v>6.5354350569435287</v>
      </c>
      <c r="BK16" s="40"/>
      <c r="BL16" s="71"/>
      <c r="BM16" s="534">
        <f t="shared" si="8"/>
        <v>0</v>
      </c>
      <c r="BN16" s="247">
        <f t="shared" si="9"/>
        <v>0</v>
      </c>
      <c r="BP16" s="471">
        <f t="shared" ref="BP16:BP45" si="21">BP15+1</f>
        <v>2</v>
      </c>
      <c r="BQ16" s="456"/>
      <c r="BR16" s="472">
        <f t="shared" si="10"/>
        <v>0</v>
      </c>
      <c r="BS16" s="473"/>
      <c r="BT16" s="473">
        <f t="shared" si="11"/>
        <v>0</v>
      </c>
    </row>
    <row r="17" spans="1:72" ht="12.95" customHeight="1">
      <c r="A17" s="42">
        <f t="shared" si="12"/>
        <v>3</v>
      </c>
      <c r="B17" s="98"/>
      <c r="C17" s="390">
        <f>IF(B17="",C16,VLOOKUP(TRUNC(B17,1),VLOOKUP!$A$3:$K$2834,RIGHT(TEXT(B17,"0000.00"),1)+2,FALSE))</f>
        <v>178965</v>
      </c>
      <c r="D17" s="39">
        <f t="shared" si="13"/>
        <v>0</v>
      </c>
      <c r="E17" s="49">
        <f t="shared" si="0"/>
        <v>26965</v>
      </c>
      <c r="F17" s="106">
        <f t="shared" si="1"/>
        <v>0</v>
      </c>
      <c r="G17" s="41"/>
      <c r="H17" s="174"/>
      <c r="I17" s="41">
        <f t="shared" si="2"/>
        <v>0</v>
      </c>
      <c r="J17" s="36">
        <f t="shared" si="14"/>
        <v>0</v>
      </c>
      <c r="K17" s="41">
        <f t="shared" si="3"/>
        <v>0</v>
      </c>
      <c r="L17" s="41">
        <f t="shared" si="15"/>
        <v>0</v>
      </c>
      <c r="M17" s="108"/>
      <c r="N17" s="33"/>
      <c r="O17" s="41"/>
      <c r="P17" s="33"/>
      <c r="Q17" s="133">
        <f>1558600/325851/1.9835*1.02</f>
        <v>2.4597081533652756</v>
      </c>
      <c r="R17" s="67">
        <f>IF(((4.3*1.04)-T17)&gt;=4.2,4.2,(4.3*1.04)-T17)</f>
        <v>3.5225258221491926</v>
      </c>
      <c r="S17" s="67">
        <f>IF(((4.3*1.04)-T17)&gt;=4.2,((4.3*1.04)-T17)-4.2,0)</f>
        <v>0</v>
      </c>
      <c r="T17" s="67">
        <v>0.9494741778508069</v>
      </c>
      <c r="U17" s="124">
        <v>0</v>
      </c>
      <c r="V17" s="41"/>
      <c r="W17" s="41"/>
      <c r="X17" s="41">
        <f t="shared" si="16"/>
        <v>0</v>
      </c>
      <c r="Y17" s="41">
        <f t="shared" si="4"/>
        <v>0</v>
      </c>
      <c r="Z17" s="49">
        <v>0</v>
      </c>
      <c r="AA17" s="41">
        <v>0</v>
      </c>
      <c r="AB17" s="49">
        <v>0</v>
      </c>
      <c r="AC17" s="56">
        <f t="shared" ref="AC17:AC29" si="22">AC16-IF(AV15="",0,AZ16/1.9835)</f>
        <v>1018.2383948269878</v>
      </c>
      <c r="AD17" s="49">
        <f>IF(BC17="",AD16,AD16+BC17)</f>
        <v>827.32543483740926</v>
      </c>
      <c r="AE17" s="397"/>
      <c r="AG17" s="39">
        <f t="shared" ref="AG17:AG29" si="23">AG16+MIN(0,AU17)-AM17</f>
        <v>1593.1838248961035</v>
      </c>
      <c r="AH17" s="41"/>
      <c r="AI17" s="157">
        <v>1.7</v>
      </c>
      <c r="AJ17" s="175">
        <v>1.3</v>
      </c>
      <c r="AK17" s="41"/>
      <c r="AL17" s="49">
        <f>AL16-AK17</f>
        <v>3468.6792387194482</v>
      </c>
      <c r="AM17" s="49"/>
      <c r="AN17" s="68">
        <f t="shared" si="17"/>
        <v>0</v>
      </c>
      <c r="AO17" s="41">
        <f t="shared" si="18"/>
        <v>0</v>
      </c>
      <c r="AP17" s="41">
        <f t="shared" si="5"/>
        <v>0</v>
      </c>
      <c r="AQ17" s="126"/>
      <c r="AR17" s="559"/>
      <c r="AS17" s="443"/>
      <c r="AT17" s="36"/>
      <c r="AU17" s="37">
        <f t="shared" si="6"/>
        <v>0</v>
      </c>
      <c r="AV17" s="399"/>
      <c r="AW17" s="401">
        <f t="shared" si="19"/>
        <v>0</v>
      </c>
      <c r="AX17" s="401">
        <f>IF(AV17="",0,VLOOKUP(ROUNDDOWN(TEXT(B17,"0000"),-1),VLOOKUP!$M$3:$W$32,RIGHT(TEXT(B17,"0000"),1)+2,FALSE))</f>
        <v>0</v>
      </c>
      <c r="AY17" s="401">
        <f t="shared" ref="AY17:AY43" si="24">AW17/12*AX17</f>
        <v>0</v>
      </c>
      <c r="AZ17" s="33">
        <f>AY17*((IF(Z17&gt;JUN!$Z$44,JUN!$Z$44,Z17)+AC17+AD17+AR17)*1.9835)/E17</f>
        <v>0</v>
      </c>
      <c r="BA17" s="33"/>
      <c r="BB17" s="33"/>
      <c r="BC17" s="149" t="str">
        <f t="shared" si="20"/>
        <v/>
      </c>
      <c r="BD17" s="24"/>
      <c r="BE17" s="40"/>
      <c r="BF17" s="169"/>
      <c r="BG17" s="39"/>
      <c r="BH17" s="39"/>
      <c r="BI17" s="314"/>
      <c r="BJ17" s="319">
        <f t="shared" si="7"/>
        <v>6.9317081533652747</v>
      </c>
      <c r="BK17" s="40"/>
      <c r="BL17" s="71"/>
      <c r="BM17" s="534">
        <f t="shared" si="8"/>
        <v>0</v>
      </c>
      <c r="BN17" s="247">
        <f t="shared" si="9"/>
        <v>0</v>
      </c>
      <c r="BP17" s="471">
        <f t="shared" si="21"/>
        <v>3</v>
      </c>
      <c r="BQ17" s="456"/>
      <c r="BR17" s="472">
        <f t="shared" si="10"/>
        <v>0</v>
      </c>
      <c r="BS17" s="473"/>
      <c r="BT17" s="473">
        <f t="shared" si="11"/>
        <v>0</v>
      </c>
    </row>
    <row r="18" spans="1:72" ht="12.95" customHeight="1">
      <c r="A18" s="42">
        <f t="shared" si="12"/>
        <v>4</v>
      </c>
      <c r="B18" s="98"/>
      <c r="C18" s="390">
        <f>IF(B18="",C17,VLOOKUP(TRUNC(B18,1),VLOOKUP!$A$3:$K$2834,RIGHT(TEXT(B18,"0000.00"),1)+2,FALSE))</f>
        <v>178965</v>
      </c>
      <c r="D18" s="39">
        <f t="shared" si="13"/>
        <v>0</v>
      </c>
      <c r="E18" s="49">
        <f t="shared" si="0"/>
        <v>26965</v>
      </c>
      <c r="F18" s="106">
        <f t="shared" si="1"/>
        <v>0</v>
      </c>
      <c r="G18" s="41"/>
      <c r="H18" s="174"/>
      <c r="I18" s="41">
        <f t="shared" si="2"/>
        <v>0</v>
      </c>
      <c r="J18" s="36">
        <f t="shared" si="14"/>
        <v>0</v>
      </c>
      <c r="K18" s="41">
        <f t="shared" si="3"/>
        <v>0</v>
      </c>
      <c r="L18" s="41">
        <f t="shared" si="15"/>
        <v>0</v>
      </c>
      <c r="M18" s="108"/>
      <c r="N18" s="33"/>
      <c r="O18" s="41"/>
      <c r="P18" s="33"/>
      <c r="Q18" s="133">
        <f>1698200/325851/1.9835*1.02</f>
        <v>2.680018212527211</v>
      </c>
      <c r="R18" s="67">
        <f>IF(((4.7*1.04)-T18)&gt;=4.2,4.2,(4.7*1.04)-T18)</f>
        <v>4.0561339153509017</v>
      </c>
      <c r="S18" s="67">
        <f>IF(((4.7*1.04)-T18)&gt;=4.2,((4.7*1.04)-T18)-4.2,0)</f>
        <v>0</v>
      </c>
      <c r="T18" s="67">
        <v>0.83186608464909884</v>
      </c>
      <c r="U18" s="124">
        <v>0</v>
      </c>
      <c r="V18" s="41"/>
      <c r="W18" s="41"/>
      <c r="X18" s="41">
        <f t="shared" si="16"/>
        <v>0</v>
      </c>
      <c r="Y18" s="41">
        <f t="shared" si="4"/>
        <v>0</v>
      </c>
      <c r="Z18" s="49">
        <v>0</v>
      </c>
      <c r="AA18" s="41">
        <v>0</v>
      </c>
      <c r="AB18" s="49">
        <v>0</v>
      </c>
      <c r="AC18" s="56">
        <f t="shared" si="22"/>
        <v>1018.2383948269878</v>
      </c>
      <c r="AD18" s="49">
        <f t="shared" ref="AD18:AD29" si="25">IF(BC18="",AD17,AD17+BC18)</f>
        <v>827.32543483740926</v>
      </c>
      <c r="AE18" s="397"/>
      <c r="AG18" s="39">
        <f t="shared" si="23"/>
        <v>1593.1838248961035</v>
      </c>
      <c r="AH18" s="41"/>
      <c r="AI18" s="157">
        <v>1.7</v>
      </c>
      <c r="AJ18" s="175">
        <v>1.3</v>
      </c>
      <c r="AK18" s="41"/>
      <c r="AL18" s="49">
        <f t="shared" ref="AL18:AL45" si="26">AL17-AK18</f>
        <v>3468.6792387194482</v>
      </c>
      <c r="AM18" s="49"/>
      <c r="AN18" s="68">
        <f t="shared" si="17"/>
        <v>0</v>
      </c>
      <c r="AO18" s="41">
        <f t="shared" si="18"/>
        <v>0</v>
      </c>
      <c r="AP18" s="41">
        <f t="shared" si="5"/>
        <v>0</v>
      </c>
      <c r="AQ18" s="170"/>
      <c r="AR18" s="559"/>
      <c r="AS18" s="443"/>
      <c r="AT18" s="36"/>
      <c r="AU18" s="37">
        <f t="shared" si="6"/>
        <v>0</v>
      </c>
      <c r="AV18" s="399"/>
      <c r="AW18" s="401">
        <f t="shared" si="19"/>
        <v>0</v>
      </c>
      <c r="AX18" s="401">
        <f>IF(AV18="",0,VLOOKUP(ROUNDDOWN(TEXT(B18,"0000"),-1),VLOOKUP!$M$3:$W$32,RIGHT(TEXT(B18,"0000"),1)+2,FALSE))</f>
        <v>0</v>
      </c>
      <c r="AY18" s="401">
        <f t="shared" si="24"/>
        <v>0</v>
      </c>
      <c r="AZ18" s="33">
        <f>AY18*((IF(Z18&gt;JUN!$Z$44,JUN!$Z$44,Z18)+AC18+AD18+AR18)*1.9835)/E18</f>
        <v>0</v>
      </c>
      <c r="BA18" s="33"/>
      <c r="BB18" s="33"/>
      <c r="BC18" s="149" t="str">
        <f t="shared" si="20"/>
        <v/>
      </c>
      <c r="BD18" s="24"/>
      <c r="BE18" s="40"/>
      <c r="BF18" s="169"/>
      <c r="BG18" s="39"/>
      <c r="BH18" s="39"/>
      <c r="BI18" s="314"/>
      <c r="BJ18" s="319">
        <f t="shared" si="7"/>
        <v>7.5680182125272113</v>
      </c>
      <c r="BK18" s="40"/>
      <c r="BL18" s="71"/>
      <c r="BM18" s="534">
        <f t="shared" si="8"/>
        <v>0</v>
      </c>
      <c r="BN18" s="247">
        <f t="shared" si="9"/>
        <v>0</v>
      </c>
      <c r="BP18" s="471">
        <f t="shared" si="21"/>
        <v>4</v>
      </c>
      <c r="BQ18" s="456"/>
      <c r="BR18" s="472">
        <f t="shared" si="10"/>
        <v>0</v>
      </c>
      <c r="BS18" s="473"/>
      <c r="BT18" s="473">
        <f t="shared" si="11"/>
        <v>0</v>
      </c>
    </row>
    <row r="19" spans="1:72" ht="12.95" customHeight="1">
      <c r="A19" s="42">
        <f t="shared" si="12"/>
        <v>5</v>
      </c>
      <c r="B19" s="98"/>
      <c r="C19" s="390">
        <f>IF(B19="",C18,VLOOKUP(TRUNC(B19,1),VLOOKUP!$A$3:$K$2834,RIGHT(TEXT(B19,"0000.00"),1)+2,FALSE))</f>
        <v>178965</v>
      </c>
      <c r="D19" s="39">
        <f t="shared" si="13"/>
        <v>0</v>
      </c>
      <c r="E19" s="49">
        <f t="shared" si="0"/>
        <v>26965</v>
      </c>
      <c r="F19" s="106">
        <f t="shared" si="1"/>
        <v>0</v>
      </c>
      <c r="G19" s="41"/>
      <c r="H19" s="174"/>
      <c r="I19" s="41">
        <f t="shared" si="2"/>
        <v>0</v>
      </c>
      <c r="J19" s="36">
        <f t="shared" si="14"/>
        <v>0</v>
      </c>
      <c r="K19" s="41">
        <f t="shared" si="3"/>
        <v>0</v>
      </c>
      <c r="L19" s="41">
        <f t="shared" si="15"/>
        <v>0</v>
      </c>
      <c r="M19" s="108"/>
      <c r="N19" s="33"/>
      <c r="O19" s="41"/>
      <c r="P19" s="33"/>
      <c r="Q19" s="133">
        <f>1646700/325851/1.9835*1.02</f>
        <v>2.5987433697848061</v>
      </c>
      <c r="R19" s="67">
        <f>IF(((4.1*1.04)-T19)&gt;=4.2,4.2,(4.1*1.04)-T19)</f>
        <v>3.4321339153509003</v>
      </c>
      <c r="S19" s="67">
        <f>IF(((4.1*1.04)-T19)&gt;=4.2,((4.1*1.04)-T19)-4.2,0)</f>
        <v>0</v>
      </c>
      <c r="T19" s="67">
        <v>0.83186608464909884</v>
      </c>
      <c r="U19" s="124">
        <v>0</v>
      </c>
      <c r="V19" s="41"/>
      <c r="W19" s="41"/>
      <c r="X19" s="41">
        <f t="shared" si="16"/>
        <v>0</v>
      </c>
      <c r="Y19" s="41">
        <f t="shared" si="4"/>
        <v>0</v>
      </c>
      <c r="Z19" s="49">
        <v>0</v>
      </c>
      <c r="AA19" s="41">
        <v>0</v>
      </c>
      <c r="AB19" s="49">
        <v>0</v>
      </c>
      <c r="AC19" s="56">
        <f t="shared" si="22"/>
        <v>1018.2383948269878</v>
      </c>
      <c r="AD19" s="49">
        <f t="shared" si="25"/>
        <v>827.32543483740926</v>
      </c>
      <c r="AE19" s="397"/>
      <c r="AG19" s="39">
        <f t="shared" si="23"/>
        <v>1593.1838248961035</v>
      </c>
      <c r="AH19" s="41"/>
      <c r="AI19" s="157">
        <v>1.7</v>
      </c>
      <c r="AJ19" s="175">
        <v>1.3</v>
      </c>
      <c r="AK19" s="41"/>
      <c r="AL19" s="49">
        <f t="shared" si="26"/>
        <v>3468.6792387194482</v>
      </c>
      <c r="AM19" s="49"/>
      <c r="AN19" s="68">
        <f t="shared" si="17"/>
        <v>0</v>
      </c>
      <c r="AO19" s="41">
        <f t="shared" si="18"/>
        <v>0</v>
      </c>
      <c r="AP19" s="41">
        <f t="shared" si="5"/>
        <v>0</v>
      </c>
      <c r="AQ19" s="170"/>
      <c r="AR19" s="559"/>
      <c r="AS19" s="443"/>
      <c r="AT19" s="36"/>
      <c r="AU19" s="37">
        <f t="shared" si="6"/>
        <v>0</v>
      </c>
      <c r="AV19" s="399"/>
      <c r="AW19" s="401">
        <f t="shared" si="19"/>
        <v>0</v>
      </c>
      <c r="AX19" s="401">
        <f>IF(AV19="",0,VLOOKUP(ROUNDDOWN(TEXT(B19,"0000"),-1),VLOOKUP!$M$3:$W$32,RIGHT(TEXT(B19,"0000"),1)+2,FALSE))</f>
        <v>0</v>
      </c>
      <c r="AY19" s="401">
        <f t="shared" si="24"/>
        <v>0</v>
      </c>
      <c r="AZ19" s="33">
        <f>AY19*((IF(Z19&gt;JUN!$Z$44,JUN!$Z$44,Z19)+AC19+AD19+AR19)*1.9835)/E19</f>
        <v>0</v>
      </c>
      <c r="BA19" s="33"/>
      <c r="BB19" s="33"/>
      <c r="BC19" s="149" t="str">
        <f t="shared" si="20"/>
        <v/>
      </c>
      <c r="BD19" s="24"/>
      <c r="BE19" s="40"/>
      <c r="BF19" s="169"/>
      <c r="BG19" s="39"/>
      <c r="BH19" s="39"/>
      <c r="BI19" s="314"/>
      <c r="BJ19" s="319">
        <f t="shared" si="7"/>
        <v>6.8627433697848055</v>
      </c>
      <c r="BK19" s="40"/>
      <c r="BL19" s="71"/>
      <c r="BM19" s="534">
        <f t="shared" si="8"/>
        <v>0</v>
      </c>
      <c r="BN19" s="247">
        <f t="shared" si="9"/>
        <v>0</v>
      </c>
      <c r="BP19" s="471">
        <f t="shared" si="21"/>
        <v>5</v>
      </c>
      <c r="BQ19" s="474"/>
      <c r="BR19" s="472">
        <f t="shared" si="10"/>
        <v>0</v>
      </c>
      <c r="BS19" s="473"/>
      <c r="BT19" s="473">
        <f t="shared" si="11"/>
        <v>0</v>
      </c>
    </row>
    <row r="20" spans="1:72" ht="12.95" customHeight="1">
      <c r="A20" s="42">
        <f t="shared" si="12"/>
        <v>6</v>
      </c>
      <c r="B20" s="98"/>
      <c r="C20" s="390">
        <f>IF(B20="",C19,VLOOKUP(TRUNC(B20,1),VLOOKUP!$A$3:$K$2834,RIGHT(TEXT(B20,"0000.00"),1)+2,FALSE))</f>
        <v>178965</v>
      </c>
      <c r="D20" s="39">
        <f t="shared" si="13"/>
        <v>0</v>
      </c>
      <c r="E20" s="49">
        <f t="shared" si="0"/>
        <v>26965</v>
      </c>
      <c r="F20" s="106">
        <f t="shared" si="1"/>
        <v>0</v>
      </c>
      <c r="G20" s="41"/>
      <c r="H20" s="174"/>
      <c r="I20" s="41">
        <f t="shared" si="2"/>
        <v>0</v>
      </c>
      <c r="J20" s="36">
        <f t="shared" si="14"/>
        <v>0</v>
      </c>
      <c r="K20" s="41">
        <f t="shared" si="3"/>
        <v>0</v>
      </c>
      <c r="L20" s="41">
        <f t="shared" si="15"/>
        <v>0</v>
      </c>
      <c r="M20" s="108"/>
      <c r="N20" s="33"/>
      <c r="O20" s="41"/>
      <c r="P20" s="33"/>
      <c r="Q20" s="133">
        <f>1963000/325851/1.9835*1.02</f>
        <v>3.0979129379289336</v>
      </c>
      <c r="R20" s="67">
        <f>IF(((3.6*1.04)-T20)&gt;=4.2,4.2,(3.6*1.04)-T20)</f>
        <v>2.9121339153509016</v>
      </c>
      <c r="S20" s="67">
        <f>IF(((3.6*1.04)-T20)&gt;=4.2,((3.6*1.04)-T20)-4.2,0)</f>
        <v>0</v>
      </c>
      <c r="T20" s="67">
        <v>0.83186608464909884</v>
      </c>
      <c r="U20" s="124">
        <v>0</v>
      </c>
      <c r="V20" s="41"/>
      <c r="W20" s="41"/>
      <c r="X20" s="41">
        <f t="shared" si="16"/>
        <v>0</v>
      </c>
      <c r="Y20" s="41">
        <f t="shared" si="4"/>
        <v>0</v>
      </c>
      <c r="Z20" s="49">
        <v>0</v>
      </c>
      <c r="AA20" s="41">
        <v>0</v>
      </c>
      <c r="AB20" s="49">
        <v>0</v>
      </c>
      <c r="AC20" s="56">
        <f t="shared" si="22"/>
        <v>1018.2383948269878</v>
      </c>
      <c r="AD20" s="49">
        <f t="shared" si="25"/>
        <v>827.32543483740926</v>
      </c>
      <c r="AE20" s="397"/>
      <c r="AG20" s="39">
        <f t="shared" si="23"/>
        <v>1593.1838248961035</v>
      </c>
      <c r="AH20" s="41"/>
      <c r="AI20" s="157">
        <v>1.7</v>
      </c>
      <c r="AJ20" s="175">
        <v>1.3</v>
      </c>
      <c r="AK20" s="41"/>
      <c r="AL20" s="49">
        <f t="shared" si="26"/>
        <v>3468.6792387194482</v>
      </c>
      <c r="AM20" s="49"/>
      <c r="AN20" s="68">
        <f t="shared" si="17"/>
        <v>0</v>
      </c>
      <c r="AO20" s="41">
        <f t="shared" si="18"/>
        <v>0</v>
      </c>
      <c r="AP20" s="41">
        <f t="shared" si="5"/>
        <v>0</v>
      </c>
      <c r="AQ20" s="170"/>
      <c r="AR20" s="559"/>
      <c r="AS20" s="443"/>
      <c r="AT20" s="36"/>
      <c r="AU20" s="37">
        <f t="shared" si="6"/>
        <v>0</v>
      </c>
      <c r="AV20" s="399"/>
      <c r="AW20" s="401">
        <f t="shared" si="19"/>
        <v>0</v>
      </c>
      <c r="AX20" s="401">
        <f>IF(AV20="",0,VLOOKUP(ROUNDDOWN(TEXT(B20,"0000"),-1),VLOOKUP!$M$3:$W$32,RIGHT(TEXT(B20,"0000"),1)+2,FALSE))</f>
        <v>0</v>
      </c>
      <c r="AY20" s="401">
        <f t="shared" si="24"/>
        <v>0</v>
      </c>
      <c r="AZ20" s="33">
        <f>AY20*((IF(Z20&gt;JUN!$Z$44,JUN!$Z$44,Z20)+AC20+AD20+AR20)*1.9835)/E20</f>
        <v>0</v>
      </c>
      <c r="BA20" s="33"/>
      <c r="BB20" s="33"/>
      <c r="BC20" s="149" t="str">
        <f t="shared" si="20"/>
        <v/>
      </c>
      <c r="BD20" s="24"/>
      <c r="BE20" s="40"/>
      <c r="BF20" s="169"/>
      <c r="BG20" s="39"/>
      <c r="BH20" s="39"/>
      <c r="BI20" s="314"/>
      <c r="BJ20" s="319">
        <f t="shared" si="7"/>
        <v>6.8419129379289343</v>
      </c>
      <c r="BK20" s="40"/>
      <c r="BL20" s="71"/>
      <c r="BM20" s="534">
        <f t="shared" si="8"/>
        <v>0</v>
      </c>
      <c r="BN20" s="247">
        <f t="shared" si="9"/>
        <v>0</v>
      </c>
      <c r="BP20" s="471">
        <f t="shared" si="21"/>
        <v>6</v>
      </c>
      <c r="BQ20" s="474"/>
      <c r="BR20" s="472">
        <f t="shared" si="10"/>
        <v>0</v>
      </c>
      <c r="BS20" s="473"/>
      <c r="BT20" s="473">
        <f t="shared" si="11"/>
        <v>0</v>
      </c>
    </row>
    <row r="21" spans="1:72" ht="12.95" customHeight="1">
      <c r="A21" s="42">
        <f t="shared" si="12"/>
        <v>7</v>
      </c>
      <c r="B21" s="98"/>
      <c r="C21" s="390">
        <f>IF(B21="",C20,VLOOKUP(TRUNC(B21,1),VLOOKUP!$A$3:$K$2834,RIGHT(TEXT(B21,"0000.00"),1)+2,FALSE))</f>
        <v>178965</v>
      </c>
      <c r="D21" s="39">
        <f t="shared" si="13"/>
        <v>0</v>
      </c>
      <c r="E21" s="49">
        <f t="shared" si="0"/>
        <v>26965</v>
      </c>
      <c r="F21" s="106">
        <f t="shared" si="1"/>
        <v>0</v>
      </c>
      <c r="G21" s="41"/>
      <c r="H21" s="174"/>
      <c r="I21" s="41">
        <f t="shared" si="2"/>
        <v>0</v>
      </c>
      <c r="J21" s="36">
        <f t="shared" si="14"/>
        <v>0</v>
      </c>
      <c r="K21" s="41">
        <f t="shared" si="3"/>
        <v>0</v>
      </c>
      <c r="L21" s="41">
        <f t="shared" si="15"/>
        <v>0</v>
      </c>
      <c r="M21" s="108"/>
      <c r="N21" s="33"/>
      <c r="O21" s="41"/>
      <c r="P21" s="33"/>
      <c r="Q21" s="133">
        <f>1618000/325851/1.9835*1.02</f>
        <v>2.5534503991691366</v>
      </c>
      <c r="R21" s="67">
        <f>IF(((4.6*1.04)-T21)&gt;=4.2,4.2,(4.6*1.04)-T21)</f>
        <v>3.9521339153509008</v>
      </c>
      <c r="S21" s="67">
        <f>IF(((4.6*1.04)-T21)&gt;=4.2,((4.6*1.04)-T21)-4.2,0)</f>
        <v>0</v>
      </c>
      <c r="T21" s="67">
        <v>0.83186608464909884</v>
      </c>
      <c r="U21" s="124">
        <v>0</v>
      </c>
      <c r="V21" s="41"/>
      <c r="W21" s="41"/>
      <c r="X21" s="41">
        <f t="shared" si="16"/>
        <v>0</v>
      </c>
      <c r="Y21" s="41">
        <f t="shared" si="4"/>
        <v>0</v>
      </c>
      <c r="Z21" s="49">
        <v>0</v>
      </c>
      <c r="AA21" s="41">
        <v>0</v>
      </c>
      <c r="AB21" s="49">
        <v>0</v>
      </c>
      <c r="AC21" s="56">
        <f t="shared" si="22"/>
        <v>1018.2383948269878</v>
      </c>
      <c r="AD21" s="49">
        <f t="shared" si="25"/>
        <v>827.32543483740926</v>
      </c>
      <c r="AE21" s="397"/>
      <c r="AG21" s="39">
        <f t="shared" si="23"/>
        <v>1593.1838248961035</v>
      </c>
      <c r="AH21" s="41"/>
      <c r="AI21" s="157"/>
      <c r="AJ21" s="175"/>
      <c r="AK21" s="41"/>
      <c r="AL21" s="49">
        <f t="shared" si="26"/>
        <v>3468.6792387194482</v>
      </c>
      <c r="AM21" s="49"/>
      <c r="AN21" s="68">
        <f t="shared" si="17"/>
        <v>0</v>
      </c>
      <c r="AO21" s="41">
        <f t="shared" si="18"/>
        <v>0</v>
      </c>
      <c r="AP21" s="41">
        <f t="shared" si="5"/>
        <v>0</v>
      </c>
      <c r="AQ21" s="170"/>
      <c r="AR21" s="559"/>
      <c r="AS21" s="443"/>
      <c r="AT21" s="36"/>
      <c r="AU21" s="37">
        <f t="shared" si="6"/>
        <v>0</v>
      </c>
      <c r="AV21" s="399"/>
      <c r="AW21" s="401">
        <f t="shared" si="19"/>
        <v>0</v>
      </c>
      <c r="AX21" s="401">
        <f>IF(AV21="",0,VLOOKUP(ROUNDDOWN(TEXT(B21,"0000"),-1),VLOOKUP!$M$3:$W$32,RIGHT(TEXT(B21,"0000"),1)+2,FALSE))</f>
        <v>0</v>
      </c>
      <c r="AY21" s="401">
        <f t="shared" si="24"/>
        <v>0</v>
      </c>
      <c r="AZ21" s="33">
        <f>AY21*((IF(Z21&gt;JUN!$Z$44,JUN!$Z$44,Z21)+AC21+AD21+AR21)*1.9835)/E21</f>
        <v>0</v>
      </c>
      <c r="BA21" s="33"/>
      <c r="BB21" s="33"/>
      <c r="BC21" s="149" t="str">
        <f t="shared" si="20"/>
        <v/>
      </c>
      <c r="BD21" s="24"/>
      <c r="BE21" s="40"/>
      <c r="BF21" s="169"/>
      <c r="BG21" s="39"/>
      <c r="BH21" s="39"/>
      <c r="BI21" s="314"/>
      <c r="BJ21" s="319">
        <f t="shared" si="7"/>
        <v>7.3374503991691364</v>
      </c>
      <c r="BK21" s="40"/>
      <c r="BL21" s="71"/>
      <c r="BM21" s="534">
        <f t="shared" si="8"/>
        <v>0</v>
      </c>
      <c r="BN21" s="247">
        <f t="shared" si="9"/>
        <v>0</v>
      </c>
      <c r="BP21" s="471">
        <f t="shared" si="21"/>
        <v>7</v>
      </c>
      <c r="BQ21" s="474"/>
      <c r="BR21" s="472">
        <f t="shared" si="10"/>
        <v>0</v>
      </c>
      <c r="BS21" s="473"/>
      <c r="BT21" s="473">
        <f t="shared" si="11"/>
        <v>0</v>
      </c>
    </row>
    <row r="22" spans="1:72" ht="12.95" customHeight="1">
      <c r="A22" s="42">
        <f t="shared" si="12"/>
        <v>8</v>
      </c>
      <c r="B22" s="98"/>
      <c r="C22" s="390">
        <f>IF(B22="",C21,VLOOKUP(TRUNC(B22,1),VLOOKUP!$A$3:$K$2834,RIGHT(TEXT(B22,"0000.00"),1)+2,FALSE))</f>
        <v>178965</v>
      </c>
      <c r="D22" s="39">
        <f t="shared" si="13"/>
        <v>0</v>
      </c>
      <c r="E22" s="49">
        <f t="shared" si="0"/>
        <v>26965</v>
      </c>
      <c r="F22" s="106">
        <f t="shared" si="1"/>
        <v>0</v>
      </c>
      <c r="G22" s="41"/>
      <c r="H22" s="174"/>
      <c r="I22" s="41">
        <f>G22+H22</f>
        <v>0</v>
      </c>
      <c r="J22" s="36">
        <f t="shared" si="14"/>
        <v>0</v>
      </c>
      <c r="K22" s="41">
        <f t="shared" si="3"/>
        <v>0</v>
      </c>
      <c r="L22" s="41">
        <f t="shared" si="15"/>
        <v>0</v>
      </c>
      <c r="M22" s="108"/>
      <c r="N22" s="33"/>
      <c r="O22" s="41"/>
      <c r="P22" s="33"/>
      <c r="Q22" s="133">
        <f>1575200/325851/1.9835*1.02</f>
        <v>2.4859054813171957</v>
      </c>
      <c r="R22" s="67">
        <f>IF(((4*1.04)-T22)&gt;=4.2,4.2,(4*1.04)-T22)</f>
        <v>3.3281339153509011</v>
      </c>
      <c r="S22" s="67">
        <f>IF(((4*1.04)-T22)&gt;=4.2,((4*1.04)-T22)-4.2,0)</f>
        <v>0</v>
      </c>
      <c r="T22" s="67">
        <v>0.83186608464909884</v>
      </c>
      <c r="U22" s="124">
        <v>0</v>
      </c>
      <c r="V22" s="41"/>
      <c r="W22" s="41"/>
      <c r="X22" s="41">
        <f t="shared" si="16"/>
        <v>0</v>
      </c>
      <c r="Y22" s="41">
        <f t="shared" si="4"/>
        <v>0</v>
      </c>
      <c r="Z22" s="49">
        <v>0</v>
      </c>
      <c r="AA22" s="41">
        <v>0</v>
      </c>
      <c r="AB22" s="49">
        <v>0</v>
      </c>
      <c r="AC22" s="56">
        <f t="shared" si="22"/>
        <v>1018.2383948269878</v>
      </c>
      <c r="AD22" s="49">
        <f t="shared" si="25"/>
        <v>827.32543483740926</v>
      </c>
      <c r="AE22" s="397"/>
      <c r="AG22" s="39">
        <f t="shared" si="23"/>
        <v>1593.1838248961035</v>
      </c>
      <c r="AH22" s="41"/>
      <c r="AI22" s="157"/>
      <c r="AJ22" s="175"/>
      <c r="AK22" s="41"/>
      <c r="AL22" s="49">
        <f t="shared" si="26"/>
        <v>3468.6792387194482</v>
      </c>
      <c r="AM22" s="49"/>
      <c r="AN22" s="68">
        <f t="shared" si="17"/>
        <v>0</v>
      </c>
      <c r="AO22" s="41">
        <f t="shared" si="18"/>
        <v>0</v>
      </c>
      <c r="AP22" s="41">
        <f t="shared" si="5"/>
        <v>0</v>
      </c>
      <c r="AQ22" s="170"/>
      <c r="AR22" s="559"/>
      <c r="AS22" s="443"/>
      <c r="AT22" s="36"/>
      <c r="AU22" s="37">
        <f t="shared" si="6"/>
        <v>0</v>
      </c>
      <c r="AV22" s="399"/>
      <c r="AW22" s="401">
        <f t="shared" si="19"/>
        <v>0</v>
      </c>
      <c r="AX22" s="401">
        <f>IF(AV22="",0,VLOOKUP(ROUNDDOWN(TEXT(B22,"0000"),-1),VLOOKUP!$M$3:$W$32,RIGHT(TEXT(B22,"0000"),1)+2,FALSE))</f>
        <v>0</v>
      </c>
      <c r="AY22" s="401">
        <f t="shared" si="24"/>
        <v>0</v>
      </c>
      <c r="AZ22" s="33">
        <f>AY22*((IF(Z22&gt;JUN!$Z$44,JUN!$Z$44,Z22)+AC22+AD22+AR22)*1.9835)/E22</f>
        <v>0</v>
      </c>
      <c r="BA22" s="33"/>
      <c r="BB22" s="33"/>
      <c r="BC22" s="149" t="str">
        <f t="shared" si="20"/>
        <v/>
      </c>
      <c r="BD22" s="24"/>
      <c r="BE22" s="40"/>
      <c r="BF22" s="169"/>
      <c r="BG22" s="39"/>
      <c r="BH22" s="39"/>
      <c r="BI22" s="314"/>
      <c r="BJ22" s="319">
        <f t="shared" si="7"/>
        <v>6.6459054813171958</v>
      </c>
      <c r="BK22" s="40"/>
      <c r="BL22" s="71"/>
      <c r="BM22" s="534">
        <f t="shared" si="8"/>
        <v>0</v>
      </c>
      <c r="BN22" s="247">
        <f t="shared" si="9"/>
        <v>0</v>
      </c>
      <c r="BP22" s="471">
        <f t="shared" si="21"/>
        <v>8</v>
      </c>
      <c r="BQ22" s="474"/>
      <c r="BR22" s="472">
        <f t="shared" si="10"/>
        <v>0</v>
      </c>
      <c r="BS22" s="473"/>
      <c r="BT22" s="473">
        <f t="shared" si="11"/>
        <v>0</v>
      </c>
    </row>
    <row r="23" spans="1:72" ht="12.95" customHeight="1">
      <c r="A23" s="42">
        <f t="shared" si="12"/>
        <v>9</v>
      </c>
      <c r="B23" s="98"/>
      <c r="C23" s="390">
        <f>IF(B23="",C22,VLOOKUP(TRUNC(B23,1),VLOOKUP!$A$3:$K$2834,RIGHT(TEXT(B23,"0000.00"),1)+2,FALSE))</f>
        <v>178965</v>
      </c>
      <c r="D23" s="39">
        <f t="shared" si="13"/>
        <v>0</v>
      </c>
      <c r="E23" s="49">
        <f t="shared" si="0"/>
        <v>26965</v>
      </c>
      <c r="F23" s="106">
        <f t="shared" si="1"/>
        <v>0</v>
      </c>
      <c r="G23" s="41"/>
      <c r="H23" s="174"/>
      <c r="I23" s="41">
        <f t="shared" si="2"/>
        <v>0</v>
      </c>
      <c r="J23" s="36">
        <f t="shared" si="14"/>
        <v>0</v>
      </c>
      <c r="K23" s="41">
        <f t="shared" si="3"/>
        <v>0</v>
      </c>
      <c r="L23" s="41">
        <f t="shared" si="15"/>
        <v>0</v>
      </c>
      <c r="M23" s="108"/>
      <c r="N23" s="33"/>
      <c r="O23" s="41"/>
      <c r="P23" s="33"/>
      <c r="Q23" s="133">
        <f>1478900/325851/1.9835*1.02</f>
        <v>2.333929416150331</v>
      </c>
      <c r="R23" s="67">
        <f>IF(((3.9*1.04)-T23)&gt;=4.2,4.2,(3.9*1.04)-T23)</f>
        <v>3.224133915350901</v>
      </c>
      <c r="S23" s="67">
        <f>IF(((3.9*1.04)-T23)&gt;=4.2,((3.9*1.04)-T23)-4.2,0)</f>
        <v>0</v>
      </c>
      <c r="T23" s="67">
        <v>0.83186608464909884</v>
      </c>
      <c r="U23" s="124">
        <v>0</v>
      </c>
      <c r="V23" s="41"/>
      <c r="W23" s="41"/>
      <c r="X23" s="41">
        <f t="shared" si="16"/>
        <v>0</v>
      </c>
      <c r="Y23" s="41">
        <f t="shared" si="4"/>
        <v>0</v>
      </c>
      <c r="Z23" s="49">
        <v>0</v>
      </c>
      <c r="AA23" s="41">
        <v>0</v>
      </c>
      <c r="AB23" s="49">
        <v>0</v>
      </c>
      <c r="AC23" s="56">
        <f t="shared" si="22"/>
        <v>1018.2383948269878</v>
      </c>
      <c r="AD23" s="49">
        <f t="shared" si="25"/>
        <v>827.32543483740926</v>
      </c>
      <c r="AE23" s="397"/>
      <c r="AG23" s="39">
        <f t="shared" si="23"/>
        <v>1593.1838248961035</v>
      </c>
      <c r="AH23" s="41"/>
      <c r="AI23" s="157"/>
      <c r="AJ23" s="175"/>
      <c r="AK23" s="41"/>
      <c r="AL23" s="49">
        <f t="shared" si="26"/>
        <v>3468.6792387194482</v>
      </c>
      <c r="AM23" s="49"/>
      <c r="AN23" s="68">
        <f t="shared" si="17"/>
        <v>0</v>
      </c>
      <c r="AO23" s="41">
        <f t="shared" si="18"/>
        <v>0</v>
      </c>
      <c r="AP23" s="41">
        <f t="shared" si="5"/>
        <v>0</v>
      </c>
      <c r="AQ23" s="170"/>
      <c r="AR23" s="559"/>
      <c r="AS23" s="443"/>
      <c r="AT23" s="36"/>
      <c r="AU23" s="37">
        <f t="shared" si="6"/>
        <v>0</v>
      </c>
      <c r="AV23" s="399"/>
      <c r="AW23" s="401">
        <f t="shared" si="19"/>
        <v>0</v>
      </c>
      <c r="AX23" s="401">
        <f>IF(AV23="",0,VLOOKUP(ROUNDDOWN(TEXT(B23,"0000"),-1),VLOOKUP!$M$3:$W$32,RIGHT(TEXT(B23,"0000"),1)+2,FALSE))</f>
        <v>0</v>
      </c>
      <c r="AY23" s="401">
        <f t="shared" si="24"/>
        <v>0</v>
      </c>
      <c r="AZ23" s="33">
        <f>AY23*((IF(Z23&gt;JUN!$Z$44,JUN!$Z$44,Z23)+AC23+AD23+AR23)*1.9835)/E23</f>
        <v>0</v>
      </c>
      <c r="BA23" s="33"/>
      <c r="BB23" s="33"/>
      <c r="BC23" s="149" t="str">
        <f t="shared" si="20"/>
        <v/>
      </c>
      <c r="BD23" s="24"/>
      <c r="BE23" s="40"/>
      <c r="BF23" s="169"/>
      <c r="BG23" s="50"/>
      <c r="BH23" s="39"/>
      <c r="BI23" s="314"/>
      <c r="BJ23" s="319">
        <f t="shared" si="7"/>
        <v>6.3899294161503315</v>
      </c>
      <c r="BK23" s="40"/>
      <c r="BL23" s="71"/>
      <c r="BM23" s="534">
        <f t="shared" si="8"/>
        <v>0</v>
      </c>
      <c r="BN23" s="247">
        <f t="shared" si="9"/>
        <v>0</v>
      </c>
      <c r="BP23" s="471">
        <f t="shared" si="21"/>
        <v>9</v>
      </c>
      <c r="BQ23" s="474"/>
      <c r="BR23" s="472">
        <f t="shared" si="10"/>
        <v>0</v>
      </c>
      <c r="BS23" s="473"/>
      <c r="BT23" s="473">
        <f t="shared" si="11"/>
        <v>0</v>
      </c>
    </row>
    <row r="24" spans="1:72" ht="12.95" customHeight="1">
      <c r="A24" s="42">
        <f t="shared" si="12"/>
        <v>10</v>
      </c>
      <c r="B24" s="98"/>
      <c r="C24" s="390">
        <f>IF(B24="",C23,VLOOKUP(TRUNC(B24,1),VLOOKUP!$A$3:$K$2834,RIGHT(TEXT(B24,"0000.00"),1)+2,FALSE))</f>
        <v>178965</v>
      </c>
      <c r="D24" s="39">
        <f t="shared" si="13"/>
        <v>0</v>
      </c>
      <c r="E24" s="49">
        <f t="shared" si="0"/>
        <v>26965</v>
      </c>
      <c r="F24" s="106">
        <f t="shared" si="1"/>
        <v>0</v>
      </c>
      <c r="G24" s="41"/>
      <c r="H24" s="174"/>
      <c r="I24" s="41">
        <f t="shared" si="2"/>
        <v>0</v>
      </c>
      <c r="J24" s="36">
        <f t="shared" si="14"/>
        <v>0</v>
      </c>
      <c r="K24" s="41">
        <f t="shared" si="3"/>
        <v>0</v>
      </c>
      <c r="L24" s="41">
        <f t="shared" si="15"/>
        <v>0</v>
      </c>
      <c r="M24" s="108"/>
      <c r="N24" s="33"/>
      <c r="O24" s="41"/>
      <c r="P24" s="33"/>
      <c r="Q24" s="133">
        <f>1489600/325851/1.9835*1.02</f>
        <v>2.350815645613316</v>
      </c>
      <c r="R24" s="67">
        <f>IF(((3.4*1.04)-T24)&gt;=4.2,4.2,(3.4*1.04)-T24)</f>
        <v>2.704133915350901</v>
      </c>
      <c r="S24" s="67">
        <f>IF(((3.4*1.04)-T24)&gt;=4.2,((3.4*1.04)-T24)-4.2,0)</f>
        <v>0</v>
      </c>
      <c r="T24" s="67">
        <v>0.83186608464909895</v>
      </c>
      <c r="U24" s="124">
        <v>0</v>
      </c>
      <c r="V24" s="41"/>
      <c r="W24" s="41"/>
      <c r="X24" s="41">
        <f t="shared" si="16"/>
        <v>0</v>
      </c>
      <c r="Y24" s="41">
        <f t="shared" si="4"/>
        <v>0</v>
      </c>
      <c r="Z24" s="49">
        <v>0</v>
      </c>
      <c r="AA24" s="41">
        <v>0</v>
      </c>
      <c r="AB24" s="49">
        <v>0</v>
      </c>
      <c r="AC24" s="56">
        <f t="shared" si="22"/>
        <v>1018.2383948269878</v>
      </c>
      <c r="AD24" s="49">
        <f t="shared" si="25"/>
        <v>827.32543483740926</v>
      </c>
      <c r="AE24" s="397"/>
      <c r="AG24" s="39">
        <f t="shared" si="23"/>
        <v>1593.1838248961035</v>
      </c>
      <c r="AH24" s="41"/>
      <c r="AI24" s="157"/>
      <c r="AJ24" s="175"/>
      <c r="AK24" s="41"/>
      <c r="AL24" s="49">
        <f t="shared" si="26"/>
        <v>3468.6792387194482</v>
      </c>
      <c r="AM24" s="49"/>
      <c r="AN24" s="68">
        <f t="shared" si="17"/>
        <v>0</v>
      </c>
      <c r="AO24" s="41">
        <f t="shared" si="18"/>
        <v>0</v>
      </c>
      <c r="AP24" s="41">
        <f t="shared" si="5"/>
        <v>0</v>
      </c>
      <c r="AQ24" s="170"/>
      <c r="AR24" s="559"/>
      <c r="AS24" s="443"/>
      <c r="AT24" s="36"/>
      <c r="AU24" s="37">
        <f t="shared" si="6"/>
        <v>0</v>
      </c>
      <c r="AV24" s="399"/>
      <c r="AW24" s="401">
        <f t="shared" si="19"/>
        <v>0</v>
      </c>
      <c r="AX24" s="401">
        <f>IF(AV24="",0,VLOOKUP(ROUNDDOWN(TEXT(B24,"0000"),-1),VLOOKUP!$M$3:$W$32,RIGHT(TEXT(B24,"0000"),1)+2,FALSE))</f>
        <v>0</v>
      </c>
      <c r="AY24" s="401">
        <f t="shared" si="24"/>
        <v>0</v>
      </c>
      <c r="AZ24" s="33">
        <f>AY24*((IF(Z24&gt;JUN!$Z$44,JUN!$Z$44,Z24)+AC24+AD24+AR24)*1.9835)/E24</f>
        <v>0</v>
      </c>
      <c r="BA24" s="33"/>
      <c r="BB24" s="33"/>
      <c r="BC24" s="149" t="str">
        <f t="shared" si="20"/>
        <v/>
      </c>
      <c r="BD24" s="24"/>
      <c r="BE24" s="40"/>
      <c r="BF24" s="169"/>
      <c r="BG24" s="39"/>
      <c r="BH24" s="39"/>
      <c r="BI24" s="314"/>
      <c r="BJ24" s="319">
        <f t="shared" si="7"/>
        <v>5.8868156456133161</v>
      </c>
      <c r="BK24" s="40"/>
      <c r="BL24" s="71"/>
      <c r="BM24" s="534">
        <f t="shared" si="8"/>
        <v>0</v>
      </c>
      <c r="BN24" s="247">
        <f t="shared" si="9"/>
        <v>0</v>
      </c>
      <c r="BP24" s="471">
        <f t="shared" si="21"/>
        <v>10</v>
      </c>
      <c r="BQ24" s="474"/>
      <c r="BR24" s="472">
        <f t="shared" si="10"/>
        <v>0</v>
      </c>
      <c r="BS24" s="473"/>
      <c r="BT24" s="473">
        <f t="shared" si="11"/>
        <v>0</v>
      </c>
    </row>
    <row r="25" spans="1:72" ht="12.75" customHeight="1">
      <c r="A25" s="42">
        <f t="shared" si="12"/>
        <v>11</v>
      </c>
      <c r="B25" s="98"/>
      <c r="C25" s="390">
        <f>IF(B25="",C24,VLOOKUP(TRUNC(B25,1),VLOOKUP!$A$3:$K$2834,RIGHT(TEXT(B25,"0000.00"),1)+2,FALSE))</f>
        <v>178965</v>
      </c>
      <c r="D25" s="39">
        <f t="shared" si="13"/>
        <v>0</v>
      </c>
      <c r="E25" s="49">
        <f t="shared" si="0"/>
        <v>26965</v>
      </c>
      <c r="F25" s="106">
        <f t="shared" si="1"/>
        <v>0</v>
      </c>
      <c r="G25" s="41"/>
      <c r="H25" s="174"/>
      <c r="I25" s="41">
        <f t="shared" si="2"/>
        <v>0</v>
      </c>
      <c r="J25" s="36">
        <f t="shared" si="14"/>
        <v>0</v>
      </c>
      <c r="K25" s="41">
        <f t="shared" si="3"/>
        <v>0</v>
      </c>
      <c r="L25" s="41">
        <f t="shared" si="15"/>
        <v>0</v>
      </c>
      <c r="M25" s="108"/>
      <c r="N25" s="33"/>
      <c r="O25" s="41"/>
      <c r="P25" s="33"/>
      <c r="Q25" s="133">
        <f>1628200/325851/1.9835*1.02</f>
        <v>2.569547552488991</v>
      </c>
      <c r="R25" s="67">
        <f>IF(((4.6*1.04)-T25)&gt;=4.2,4.2,(4.6*1.04)-T25)</f>
        <v>3.75549773189694</v>
      </c>
      <c r="S25" s="67">
        <f>IF(((4.6*1.04)-T25)&gt;=4.2,((4.6*1.04)-T25)-4.2,0)</f>
        <v>0</v>
      </c>
      <c r="T25" s="67">
        <v>1.0285022681030598</v>
      </c>
      <c r="U25" s="124">
        <v>0</v>
      </c>
      <c r="V25" s="41"/>
      <c r="W25" s="41"/>
      <c r="X25" s="41">
        <f t="shared" si="16"/>
        <v>0</v>
      </c>
      <c r="Y25" s="41">
        <f t="shared" si="4"/>
        <v>0</v>
      </c>
      <c r="Z25" s="49">
        <v>0</v>
      </c>
      <c r="AA25" s="41">
        <v>0</v>
      </c>
      <c r="AB25" s="49">
        <v>0</v>
      </c>
      <c r="AC25" s="56">
        <f t="shared" si="22"/>
        <v>1018.2383948269878</v>
      </c>
      <c r="AD25" s="49">
        <f t="shared" si="25"/>
        <v>827.32543483740926</v>
      </c>
      <c r="AE25" s="397"/>
      <c r="AG25" s="39">
        <f t="shared" si="23"/>
        <v>1593.1838248961035</v>
      </c>
      <c r="AH25" s="41"/>
      <c r="AI25" s="157"/>
      <c r="AJ25" s="175"/>
      <c r="AK25" s="41"/>
      <c r="AL25" s="49">
        <f t="shared" si="26"/>
        <v>3468.6792387194482</v>
      </c>
      <c r="AM25" s="49"/>
      <c r="AN25" s="68">
        <f t="shared" si="17"/>
        <v>0</v>
      </c>
      <c r="AO25" s="41">
        <f t="shared" si="18"/>
        <v>0</v>
      </c>
      <c r="AP25" s="41">
        <f t="shared" si="5"/>
        <v>0</v>
      </c>
      <c r="AQ25" s="170"/>
      <c r="AR25" s="559"/>
      <c r="AS25" s="443"/>
      <c r="AT25" s="36"/>
      <c r="AU25" s="37">
        <f t="shared" si="6"/>
        <v>0</v>
      </c>
      <c r="AV25" s="399"/>
      <c r="AW25" s="401">
        <f t="shared" si="19"/>
        <v>0</v>
      </c>
      <c r="AX25" s="401">
        <f>IF(AV25="",0,VLOOKUP(ROUNDDOWN(TEXT(B25,"0000"),-1),VLOOKUP!$M$3:$W$32,RIGHT(TEXT(B25,"0000"),1)+2,FALSE))</f>
        <v>0</v>
      </c>
      <c r="AY25" s="401">
        <f t="shared" si="24"/>
        <v>0</v>
      </c>
      <c r="AZ25" s="33">
        <f>AY25*((IF(Z25&gt;JUN!$Z$44,JUN!$Z$44,Z25)+AC25+AD25+AR25)*1.9835)/E25</f>
        <v>0</v>
      </c>
      <c r="BA25" s="33"/>
      <c r="BB25" s="33"/>
      <c r="BC25" s="149" t="str">
        <f t="shared" si="20"/>
        <v/>
      </c>
      <c r="BD25" s="24"/>
      <c r="BE25" s="40"/>
      <c r="BF25" s="169"/>
      <c r="BG25" s="39"/>
      <c r="BH25" s="39"/>
      <c r="BI25" s="314"/>
      <c r="BJ25" s="319">
        <f t="shared" si="7"/>
        <v>7.3535475524889904</v>
      </c>
      <c r="BK25" s="40"/>
      <c r="BL25" s="71"/>
      <c r="BM25" s="534">
        <f t="shared" si="8"/>
        <v>0</v>
      </c>
      <c r="BN25" s="247">
        <f t="shared" si="9"/>
        <v>0</v>
      </c>
      <c r="BP25" s="471">
        <f t="shared" si="21"/>
        <v>11</v>
      </c>
      <c r="BQ25" s="474"/>
      <c r="BR25" s="472">
        <f t="shared" si="10"/>
        <v>0</v>
      </c>
      <c r="BS25" s="473"/>
      <c r="BT25" s="473">
        <f t="shared" si="11"/>
        <v>0</v>
      </c>
    </row>
    <row r="26" spans="1:72" ht="12.95" customHeight="1">
      <c r="A26" s="42">
        <f t="shared" si="12"/>
        <v>12</v>
      </c>
      <c r="B26" s="98"/>
      <c r="C26" s="390">
        <f>IF(B26="",C25,VLOOKUP(TRUNC(B26,1),VLOOKUP!$A$3:$K$2834,RIGHT(TEXT(B26,"0000.00"),1)+2,FALSE))</f>
        <v>178965</v>
      </c>
      <c r="D26" s="39">
        <f t="shared" si="13"/>
        <v>0</v>
      </c>
      <c r="E26" s="49">
        <f t="shared" si="0"/>
        <v>26965</v>
      </c>
      <c r="F26" s="106">
        <f t="shared" si="1"/>
        <v>0</v>
      </c>
      <c r="G26" s="41"/>
      <c r="H26" s="174"/>
      <c r="I26" s="41">
        <f t="shared" si="2"/>
        <v>0</v>
      </c>
      <c r="J26" s="36">
        <f t="shared" si="14"/>
        <v>0</v>
      </c>
      <c r="K26" s="41">
        <f t="shared" si="3"/>
        <v>0</v>
      </c>
      <c r="L26" s="41">
        <f t="shared" si="15"/>
        <v>0</v>
      </c>
      <c r="M26" s="108"/>
      <c r="N26" s="33"/>
      <c r="O26" s="41"/>
      <c r="P26" s="33"/>
      <c r="Q26" s="133">
        <f>1519400/325851/1.9835*1.02</f>
        <v>2.3978445837438724</v>
      </c>
      <c r="R26" s="67">
        <f>IF(((4.7*1.04)-T26)&gt;=4.2,4.2,(4.7*1.04)-T26)</f>
        <v>3.859497731896941</v>
      </c>
      <c r="S26" s="67">
        <f>IF(((4.7*1.04)-T26)&gt;=4.2,((4.7*1.04)-T26)-4.2,0)</f>
        <v>0</v>
      </c>
      <c r="T26" s="67">
        <v>1.0285022681030598</v>
      </c>
      <c r="U26" s="124">
        <v>0</v>
      </c>
      <c r="V26" s="41"/>
      <c r="W26" s="41"/>
      <c r="X26" s="41">
        <f t="shared" si="16"/>
        <v>0</v>
      </c>
      <c r="Y26" s="41">
        <f t="shared" si="4"/>
        <v>0</v>
      </c>
      <c r="Z26" s="49">
        <v>0</v>
      </c>
      <c r="AA26" s="41">
        <v>0</v>
      </c>
      <c r="AB26" s="49">
        <v>0</v>
      </c>
      <c r="AC26" s="56">
        <f t="shared" si="22"/>
        <v>1018.2383948269878</v>
      </c>
      <c r="AD26" s="49">
        <f t="shared" si="25"/>
        <v>827.32543483740926</v>
      </c>
      <c r="AE26" s="397"/>
      <c r="AG26" s="39">
        <f t="shared" si="23"/>
        <v>1593.1838248961035</v>
      </c>
      <c r="AH26" s="41"/>
      <c r="AI26" s="157"/>
      <c r="AJ26" s="175"/>
      <c r="AK26" s="41"/>
      <c r="AL26" s="49">
        <f t="shared" si="26"/>
        <v>3468.6792387194482</v>
      </c>
      <c r="AM26" s="49"/>
      <c r="AN26" s="68">
        <f t="shared" si="17"/>
        <v>0</v>
      </c>
      <c r="AO26" s="41">
        <f t="shared" si="18"/>
        <v>0</v>
      </c>
      <c r="AP26" s="41">
        <f t="shared" si="5"/>
        <v>0</v>
      </c>
      <c r="AQ26" s="170"/>
      <c r="AR26" s="559"/>
      <c r="AS26" s="443"/>
      <c r="AT26" s="36"/>
      <c r="AU26" s="37">
        <f t="shared" si="6"/>
        <v>0</v>
      </c>
      <c r="AV26" s="399"/>
      <c r="AW26" s="401">
        <f t="shared" si="19"/>
        <v>0</v>
      </c>
      <c r="AX26" s="401">
        <f>IF(AV26="",0,VLOOKUP(ROUNDDOWN(TEXT(B26,"0000"),-1),VLOOKUP!$M$3:$W$32,RIGHT(TEXT(B26,"0000"),1)+2,FALSE))</f>
        <v>0</v>
      </c>
      <c r="AY26" s="401">
        <f t="shared" si="24"/>
        <v>0</v>
      </c>
      <c r="AZ26" s="33">
        <f>AY26*((IF(Z26&gt;JUN!$Z$44,JUN!$Z$44,Z26)+AC26+AD26+AR26)*1.9835)/E26</f>
        <v>0</v>
      </c>
      <c r="BA26" s="33"/>
      <c r="BB26" s="33"/>
      <c r="BC26" s="149" t="str">
        <f t="shared" si="20"/>
        <v/>
      </c>
      <c r="BD26" s="24"/>
      <c r="BE26" s="40"/>
      <c r="BF26" s="169"/>
      <c r="BG26" s="39"/>
      <c r="BH26" s="39"/>
      <c r="BI26" s="314"/>
      <c r="BJ26" s="319">
        <f t="shared" si="7"/>
        <v>7.2858445837438737</v>
      </c>
      <c r="BK26" s="40"/>
      <c r="BL26" s="71"/>
      <c r="BM26" s="534">
        <f t="shared" si="8"/>
        <v>0</v>
      </c>
      <c r="BN26" s="247">
        <f t="shared" si="9"/>
        <v>0</v>
      </c>
      <c r="BP26" s="471">
        <f t="shared" si="21"/>
        <v>12</v>
      </c>
      <c r="BQ26" s="456"/>
      <c r="BR26" s="472">
        <f t="shared" si="10"/>
        <v>0</v>
      </c>
      <c r="BS26" s="473"/>
      <c r="BT26" s="473">
        <f t="shared" si="11"/>
        <v>0</v>
      </c>
    </row>
    <row r="27" spans="1:72" ht="12.95" customHeight="1">
      <c r="A27" s="42">
        <f t="shared" si="12"/>
        <v>13</v>
      </c>
      <c r="B27" s="98"/>
      <c r="C27" s="390">
        <f>IF(B27="",C26,VLOOKUP(TRUNC(B27,1),VLOOKUP!$A$3:$K$2834,RIGHT(TEXT(B27,"0000.00"),1)+2,FALSE))</f>
        <v>178965</v>
      </c>
      <c r="D27" s="39">
        <f t="shared" si="13"/>
        <v>0</v>
      </c>
      <c r="E27" s="49">
        <f t="shared" si="0"/>
        <v>26965</v>
      </c>
      <c r="F27" s="106">
        <f t="shared" si="1"/>
        <v>0</v>
      </c>
      <c r="G27" s="41"/>
      <c r="H27" s="174"/>
      <c r="I27" s="41">
        <f t="shared" si="2"/>
        <v>0</v>
      </c>
      <c r="J27" s="36">
        <f t="shared" si="14"/>
        <v>0</v>
      </c>
      <c r="K27" s="41">
        <f t="shared" si="3"/>
        <v>0</v>
      </c>
      <c r="L27" s="41">
        <f t="shared" si="15"/>
        <v>0</v>
      </c>
      <c r="M27" s="108"/>
      <c r="N27" s="33"/>
      <c r="O27" s="41"/>
      <c r="P27" s="33"/>
      <c r="Q27" s="133">
        <f>1517300/325851/1.9835*1.02</f>
        <v>2.3945304639427261</v>
      </c>
      <c r="R27" s="67">
        <f>IF(((3*1.04)-T27)&gt;=4.2,4.2,(3*1.04)-T27)</f>
        <v>2.0914977318969403</v>
      </c>
      <c r="S27" s="67">
        <f>IF(((3*1.04)-T27)&gt;=4.2,((3*1.04)-T27)-4.2,0)</f>
        <v>0</v>
      </c>
      <c r="T27" s="67">
        <v>1.0285022681030598</v>
      </c>
      <c r="U27" s="124">
        <v>0</v>
      </c>
      <c r="V27" s="41"/>
      <c r="W27" s="41"/>
      <c r="X27" s="41">
        <f t="shared" si="16"/>
        <v>0</v>
      </c>
      <c r="Y27" s="41">
        <f t="shared" si="4"/>
        <v>0</v>
      </c>
      <c r="Z27" s="49">
        <v>0</v>
      </c>
      <c r="AA27" s="41">
        <v>0</v>
      </c>
      <c r="AB27" s="49">
        <v>0</v>
      </c>
      <c r="AC27" s="56">
        <f t="shared" si="22"/>
        <v>1018.2383948269878</v>
      </c>
      <c r="AD27" s="49">
        <f t="shared" si="25"/>
        <v>827.32543483740926</v>
      </c>
      <c r="AE27" s="397"/>
      <c r="AG27" s="39">
        <f t="shared" si="23"/>
        <v>1593.1838248961035</v>
      </c>
      <c r="AH27" s="41"/>
      <c r="AI27" s="157"/>
      <c r="AJ27" s="175"/>
      <c r="AK27" s="41"/>
      <c r="AL27" s="49">
        <f t="shared" si="26"/>
        <v>3468.6792387194482</v>
      </c>
      <c r="AM27" s="49"/>
      <c r="AN27" s="68">
        <f t="shared" si="17"/>
        <v>0</v>
      </c>
      <c r="AO27" s="41">
        <f t="shared" si="18"/>
        <v>0</v>
      </c>
      <c r="AP27" s="41">
        <f t="shared" si="5"/>
        <v>0</v>
      </c>
      <c r="AQ27" s="170"/>
      <c r="AR27" s="559"/>
      <c r="AS27" s="443"/>
      <c r="AT27" s="36"/>
      <c r="AU27" s="37">
        <f t="shared" si="6"/>
        <v>0</v>
      </c>
      <c r="AV27" s="399"/>
      <c r="AW27" s="401">
        <f>AV27*0.7</f>
        <v>0</v>
      </c>
      <c r="AX27" s="401">
        <f>IF(AV27="",0,VLOOKUP(ROUNDDOWN(TEXT(B27,"0000"),-1),VLOOKUP!$M$3:$W$32,RIGHT(TEXT(B27,"0000"),1)+2,FALSE))</f>
        <v>0</v>
      </c>
      <c r="AY27" s="401">
        <f t="shared" si="24"/>
        <v>0</v>
      </c>
      <c r="AZ27" s="33">
        <f>AY27*((IF(Z27&gt;JUN!$Z$44,JUN!$Z$44,Z27)+AC27+AD27+AR27)*1.9835)/E27</f>
        <v>0</v>
      </c>
      <c r="BA27" s="33"/>
      <c r="BB27" s="33"/>
      <c r="BC27" s="149" t="str">
        <f t="shared" si="20"/>
        <v/>
      </c>
      <c r="BD27" s="24"/>
      <c r="BE27" s="40"/>
      <c r="BF27" s="169"/>
      <c r="BG27" s="39"/>
      <c r="BH27" s="39"/>
      <c r="BI27" s="314"/>
      <c r="BJ27" s="319">
        <f t="shared" si="7"/>
        <v>5.5145304639427266</v>
      </c>
      <c r="BK27" s="40"/>
      <c r="BL27" s="71"/>
      <c r="BM27" s="534">
        <f t="shared" si="8"/>
        <v>0</v>
      </c>
      <c r="BN27" s="247">
        <f t="shared" si="9"/>
        <v>0</v>
      </c>
      <c r="BP27" s="471">
        <f t="shared" si="21"/>
        <v>13</v>
      </c>
      <c r="BQ27" s="456"/>
      <c r="BR27" s="472">
        <f t="shared" si="10"/>
        <v>0</v>
      </c>
      <c r="BS27" s="473"/>
      <c r="BT27" s="473">
        <f t="shared" si="11"/>
        <v>0</v>
      </c>
    </row>
    <row r="28" spans="1:72" ht="12.95" customHeight="1">
      <c r="A28" s="42">
        <f t="shared" si="12"/>
        <v>14</v>
      </c>
      <c r="B28" s="98"/>
      <c r="C28" s="390">
        <f>IF(B28="",C27,VLOOKUP(TRUNC(B28,1),VLOOKUP!$A$3:$K$2834,RIGHT(TEXT(B28,"0000.00"),1)+2,FALSE))</f>
        <v>178965</v>
      </c>
      <c r="D28" s="39">
        <f t="shared" si="13"/>
        <v>0</v>
      </c>
      <c r="E28" s="49">
        <f t="shared" si="0"/>
        <v>26965</v>
      </c>
      <c r="F28" s="106">
        <f t="shared" si="1"/>
        <v>0</v>
      </c>
      <c r="G28" s="41"/>
      <c r="H28" s="174"/>
      <c r="I28" s="41">
        <f t="shared" si="2"/>
        <v>0</v>
      </c>
      <c r="J28" s="36">
        <f t="shared" si="14"/>
        <v>0</v>
      </c>
      <c r="K28" s="41">
        <f t="shared" si="3"/>
        <v>0</v>
      </c>
      <c r="L28" s="41">
        <f t="shared" si="15"/>
        <v>0</v>
      </c>
      <c r="M28" s="108"/>
      <c r="N28" s="33"/>
      <c r="O28" s="41"/>
      <c r="P28" s="33"/>
      <c r="Q28" s="133">
        <f>1511200/325851/1.9835*1.02</f>
        <v>2.3849037349965383</v>
      </c>
      <c r="R28" s="67">
        <f>IF(((3.6*1.04)-T28)&gt;=4.2,4.2,(3.6*1.04)-T28)</f>
        <v>2.7154977318969404</v>
      </c>
      <c r="S28" s="67">
        <f>IF(((3.6*1.04)-T28)&gt;=4.2,((3.6*1.04)-T28)-4.2,0)</f>
        <v>0</v>
      </c>
      <c r="T28" s="67">
        <v>1.0285022681030598</v>
      </c>
      <c r="U28" s="124">
        <v>0</v>
      </c>
      <c r="V28" s="41"/>
      <c r="W28" s="41"/>
      <c r="X28" s="41">
        <f t="shared" si="16"/>
        <v>0</v>
      </c>
      <c r="Y28" s="41">
        <f t="shared" si="4"/>
        <v>0</v>
      </c>
      <c r="Z28" s="49">
        <v>0</v>
      </c>
      <c r="AA28" s="41">
        <v>0</v>
      </c>
      <c r="AB28" s="49">
        <v>0</v>
      </c>
      <c r="AC28" s="56">
        <f t="shared" si="22"/>
        <v>1018.2383948269878</v>
      </c>
      <c r="AD28" s="49">
        <f t="shared" si="25"/>
        <v>827.32543483740926</v>
      </c>
      <c r="AE28" s="397"/>
      <c r="AG28" s="39">
        <f t="shared" si="23"/>
        <v>1593.1838248961035</v>
      </c>
      <c r="AH28" s="41"/>
      <c r="AI28" s="157"/>
      <c r="AJ28" s="175"/>
      <c r="AK28" s="41"/>
      <c r="AL28" s="49">
        <f t="shared" si="26"/>
        <v>3468.6792387194482</v>
      </c>
      <c r="AM28" s="49"/>
      <c r="AN28" s="68">
        <f t="shared" si="17"/>
        <v>0</v>
      </c>
      <c r="AO28" s="41">
        <f t="shared" si="18"/>
        <v>0</v>
      </c>
      <c r="AP28" s="41">
        <f>AN28+AO28</f>
        <v>0</v>
      </c>
      <c r="AQ28" s="170"/>
      <c r="AR28" s="559"/>
      <c r="AS28" s="443"/>
      <c r="AT28" s="36"/>
      <c r="AU28" s="37">
        <f t="shared" si="6"/>
        <v>0</v>
      </c>
      <c r="AV28" s="399"/>
      <c r="AW28" s="401">
        <f t="shared" ref="AW28:AW44" si="27">AV28*0.7</f>
        <v>0</v>
      </c>
      <c r="AX28" s="401">
        <f>IF(AV28="",0,VLOOKUP(ROUNDDOWN(TEXT(B28,"0000"),-1),VLOOKUP!$M$3:$W$32,RIGHT(TEXT(B28,"0000"),1)+2,FALSE))</f>
        <v>0</v>
      </c>
      <c r="AY28" s="401">
        <f t="shared" si="24"/>
        <v>0</v>
      </c>
      <c r="AZ28" s="33">
        <f>AY28*((IF(Z28&gt;JUN!$Z$44,JUN!$Z$44,Z28)+AC28+AD28+AR28)*1.9835)/E28</f>
        <v>0</v>
      </c>
      <c r="BA28" s="33"/>
      <c r="BB28" s="33"/>
      <c r="BC28" s="149" t="str">
        <f t="shared" si="20"/>
        <v/>
      </c>
      <c r="BD28" s="24"/>
      <c r="BE28" s="40"/>
      <c r="BF28" s="169"/>
      <c r="BG28" s="50"/>
      <c r="BH28" s="39"/>
      <c r="BI28" s="314"/>
      <c r="BJ28" s="319">
        <f t="shared" si="7"/>
        <v>6.1289037349965376</v>
      </c>
      <c r="BK28" s="40"/>
      <c r="BL28" s="71"/>
      <c r="BM28" s="534">
        <f t="shared" si="8"/>
        <v>0</v>
      </c>
      <c r="BN28" s="247">
        <f t="shared" si="9"/>
        <v>0</v>
      </c>
      <c r="BP28" s="471">
        <f t="shared" si="21"/>
        <v>14</v>
      </c>
      <c r="BQ28" s="456"/>
      <c r="BR28" s="472">
        <f t="shared" si="10"/>
        <v>0</v>
      </c>
      <c r="BS28" s="473"/>
      <c r="BT28" s="473">
        <f t="shared" si="11"/>
        <v>0</v>
      </c>
    </row>
    <row r="29" spans="1:72" ht="12.75">
      <c r="A29" s="42">
        <f t="shared" si="12"/>
        <v>15</v>
      </c>
      <c r="B29" s="98"/>
      <c r="C29" s="390">
        <f>IF(B29="",C28,VLOOKUP(TRUNC(B29,1),VLOOKUP!$A$3:$K$2834,RIGHT(TEXT(B29,"0000.00"),1)+2,FALSE))</f>
        <v>178965</v>
      </c>
      <c r="D29" s="39">
        <f t="shared" si="13"/>
        <v>0</v>
      </c>
      <c r="E29" s="49">
        <f t="shared" si="0"/>
        <v>26965</v>
      </c>
      <c r="F29" s="106">
        <f t="shared" si="1"/>
        <v>0</v>
      </c>
      <c r="G29" s="41"/>
      <c r="H29" s="174"/>
      <c r="I29" s="41">
        <f t="shared" si="2"/>
        <v>0</v>
      </c>
      <c r="J29" s="36">
        <f t="shared" si="14"/>
        <v>0</v>
      </c>
      <c r="K29" s="41">
        <f t="shared" si="3"/>
        <v>0</v>
      </c>
      <c r="L29" s="41">
        <f t="shared" si="15"/>
        <v>0</v>
      </c>
      <c r="M29" s="108"/>
      <c r="N29" s="33"/>
      <c r="O29" s="41"/>
      <c r="P29" s="33"/>
      <c r="Q29" s="133">
        <f>1267800/325851/1.9835*1.02</f>
        <v>2.0007814685207856</v>
      </c>
      <c r="R29" s="67">
        <f>IF(((3.7*1.04)-T29)&gt;=4.2,4.2,(3.7*1.04)-T29)</f>
        <v>2.8194977318969405</v>
      </c>
      <c r="S29" s="67">
        <f>IF(((3.7*1.04)-T29)&gt;=4.2,((3.7*1.04)-T29)-4.2,0)</f>
        <v>0</v>
      </c>
      <c r="T29" s="67">
        <v>1.0285022681030598</v>
      </c>
      <c r="U29" s="124">
        <v>0</v>
      </c>
      <c r="V29" s="41"/>
      <c r="W29" s="41"/>
      <c r="X29" s="41">
        <f t="shared" si="16"/>
        <v>0</v>
      </c>
      <c r="Y29" s="41">
        <f t="shared" si="4"/>
        <v>0</v>
      </c>
      <c r="Z29" s="49">
        <v>0</v>
      </c>
      <c r="AA29" s="41">
        <v>0</v>
      </c>
      <c r="AB29" s="49">
        <v>0</v>
      </c>
      <c r="AC29" s="56">
        <f t="shared" si="22"/>
        <v>1018.2383948269878</v>
      </c>
      <c r="AD29" s="49">
        <f t="shared" si="25"/>
        <v>827.32543483740926</v>
      </c>
      <c r="AE29" s="397"/>
      <c r="AG29" s="39">
        <f t="shared" si="23"/>
        <v>1593.1838248961035</v>
      </c>
      <c r="AH29" s="41"/>
      <c r="AI29" s="157"/>
      <c r="AJ29" s="175"/>
      <c r="AK29" s="41"/>
      <c r="AL29" s="49">
        <f t="shared" si="26"/>
        <v>3468.6792387194482</v>
      </c>
      <c r="AM29" s="49"/>
      <c r="AN29" s="68">
        <f t="shared" si="17"/>
        <v>0</v>
      </c>
      <c r="AO29" s="41">
        <f t="shared" si="18"/>
        <v>0</v>
      </c>
      <c r="AP29" s="41">
        <f t="shared" si="5"/>
        <v>0</v>
      </c>
      <c r="AQ29" s="170"/>
      <c r="AR29" s="559"/>
      <c r="AS29" s="443"/>
      <c r="AT29" s="36"/>
      <c r="AU29" s="37">
        <f t="shared" si="6"/>
        <v>0</v>
      </c>
      <c r="AV29" s="399"/>
      <c r="AW29" s="401">
        <f t="shared" si="27"/>
        <v>0</v>
      </c>
      <c r="AX29" s="401">
        <f>IF(AV29="",0,VLOOKUP(ROUNDDOWN(TEXT(B29,"0000"),-1),VLOOKUP!$M$3:$W$32,RIGHT(TEXT(B29,"0000"),1)+2,FALSE))</f>
        <v>0</v>
      </c>
      <c r="AY29" s="401">
        <f t="shared" si="24"/>
        <v>0</v>
      </c>
      <c r="AZ29" s="33">
        <f>AY29*((IF(Z29&gt;JUN!$Z$44,JUN!$Z$44,Z29)+AC29+AD29+AR29)*1.9835)/E29</f>
        <v>0</v>
      </c>
      <c r="BA29" s="33"/>
      <c r="BB29" s="33"/>
      <c r="BC29" s="149" t="str">
        <f t="shared" si="20"/>
        <v/>
      </c>
      <c r="BD29" s="24"/>
      <c r="BE29" s="40"/>
      <c r="BF29" s="169"/>
      <c r="BG29" s="50"/>
      <c r="BH29" s="39"/>
      <c r="BI29" s="314"/>
      <c r="BJ29" s="319">
        <f t="shared" si="7"/>
        <v>5.8487814685207855</v>
      </c>
      <c r="BK29" s="40"/>
      <c r="BL29" s="71"/>
      <c r="BM29" s="534">
        <f t="shared" si="8"/>
        <v>0</v>
      </c>
      <c r="BN29" s="247">
        <f t="shared" si="9"/>
        <v>0</v>
      </c>
      <c r="BP29" s="471">
        <f t="shared" si="21"/>
        <v>15</v>
      </c>
      <c r="BQ29" s="456"/>
      <c r="BR29" s="472">
        <f t="shared" si="10"/>
        <v>0</v>
      </c>
      <c r="BS29" s="473"/>
      <c r="BT29" s="473">
        <f t="shared" si="11"/>
        <v>0</v>
      </c>
    </row>
    <row r="30" spans="1:72" ht="13.5" customHeight="1">
      <c r="A30" s="42">
        <f t="shared" si="12"/>
        <v>16</v>
      </c>
      <c r="B30" s="98"/>
      <c r="C30" s="390">
        <f>IF(B30="",C29,VLOOKUP(TRUNC(B30,1),VLOOKUP!$A$3:$K$2834,RIGHT(TEXT(B30,"0000.00"),1)+2,FALSE))</f>
        <v>178965</v>
      </c>
      <c r="D30" s="39">
        <f t="shared" si="13"/>
        <v>0</v>
      </c>
      <c r="E30" s="49">
        <f t="shared" si="0"/>
        <v>26965</v>
      </c>
      <c r="F30" s="106">
        <f t="shared" si="1"/>
        <v>0</v>
      </c>
      <c r="G30" s="41"/>
      <c r="H30" s="174"/>
      <c r="I30" s="41">
        <f t="shared" si="2"/>
        <v>0</v>
      </c>
      <c r="J30" s="36">
        <f t="shared" si="14"/>
        <v>0</v>
      </c>
      <c r="K30" s="41">
        <f t="shared" si="3"/>
        <v>0</v>
      </c>
      <c r="L30" s="41">
        <f t="shared" si="15"/>
        <v>0</v>
      </c>
      <c r="M30" s="108"/>
      <c r="N30" s="33"/>
      <c r="O30" s="41"/>
      <c r="P30" s="33"/>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c r="AJ30" s="175"/>
      <c r="AK30" s="41"/>
      <c r="AL30" s="49">
        <f t="shared" si="26"/>
        <v>3468.6792387194482</v>
      </c>
      <c r="AM30" s="49"/>
      <c r="AN30" s="68">
        <f t="shared" si="17"/>
        <v>0</v>
      </c>
      <c r="AO30" s="41">
        <f t="shared" si="18"/>
        <v>0</v>
      </c>
      <c r="AP30" s="41">
        <f t="shared" si="5"/>
        <v>0</v>
      </c>
      <c r="AQ30" s="170"/>
      <c r="AR30" s="559"/>
      <c r="AS30" s="443"/>
      <c r="AT30" s="36"/>
      <c r="AU30" s="37">
        <v>0</v>
      </c>
      <c r="AV30" s="399"/>
      <c r="AW30" s="401">
        <f t="shared" si="27"/>
        <v>0</v>
      </c>
      <c r="AX30" s="401">
        <f>IF(AV30="",0,VLOOKUP(ROUNDDOWN(TEXT(B30,"0000"),-1),VLOOKUP!$M$3:$W$32,RIGHT(TEXT(B30,"0000"),1)+2,FALSE))</f>
        <v>0</v>
      </c>
      <c r="AY30" s="401">
        <f t="shared" si="24"/>
        <v>0</v>
      </c>
      <c r="AZ30" s="33">
        <f>AY30*((IF(Z30&gt;JUN!$Z$44,JUN!$Z$44,Z30)+AC30+AD30+AR30)*1.9835)/E30</f>
        <v>0</v>
      </c>
      <c r="BA30" s="33"/>
      <c r="BB30" s="36"/>
      <c r="BC30" s="149" t="str">
        <f t="shared" si="20"/>
        <v/>
      </c>
      <c r="BD30" s="24"/>
      <c r="BE30" s="40"/>
      <c r="BF30" s="169"/>
      <c r="BG30" s="50"/>
      <c r="BH30" s="39"/>
      <c r="BI30" s="314"/>
      <c r="BJ30" s="319">
        <f t="shared" si="7"/>
        <v>5.2457708939280465</v>
      </c>
      <c r="BK30" s="40"/>
      <c r="BL30" s="71"/>
      <c r="BM30" s="534">
        <f t="shared" si="8"/>
        <v>0</v>
      </c>
      <c r="BN30" s="247">
        <f t="shared" si="9"/>
        <v>0</v>
      </c>
      <c r="BP30" s="471">
        <f t="shared" si="21"/>
        <v>16</v>
      </c>
      <c r="BQ30" s="456"/>
      <c r="BR30" s="472">
        <f t="shared" si="10"/>
        <v>0</v>
      </c>
      <c r="BS30" s="473"/>
      <c r="BT30" s="473">
        <f t="shared" si="11"/>
        <v>0</v>
      </c>
    </row>
    <row r="31" spans="1:72" ht="12.95" customHeight="1">
      <c r="A31" s="42">
        <f t="shared" si="12"/>
        <v>17</v>
      </c>
      <c r="B31" s="98"/>
      <c r="C31" s="390">
        <f>IF(B31="",C30,VLOOKUP(TRUNC(B31,1),VLOOKUP!$A$3:$K$2834,RIGHT(TEXT(B31,"0000.00"),1)+2,FALSE))</f>
        <v>178965</v>
      </c>
      <c r="D31" s="39">
        <f t="shared" si="13"/>
        <v>0</v>
      </c>
      <c r="E31" s="49">
        <f t="shared" si="0"/>
        <v>26965</v>
      </c>
      <c r="F31" s="106">
        <f t="shared" si="1"/>
        <v>0</v>
      </c>
      <c r="G31" s="41"/>
      <c r="H31" s="174"/>
      <c r="I31" s="41">
        <f t="shared" si="2"/>
        <v>0</v>
      </c>
      <c r="J31" s="36">
        <f t="shared" si="14"/>
        <v>0</v>
      </c>
      <c r="K31" s="41">
        <f t="shared" si="3"/>
        <v>0</v>
      </c>
      <c r="L31" s="41">
        <f t="shared" si="15"/>
        <v>0</v>
      </c>
      <c r="M31" s="108"/>
      <c r="N31" s="33"/>
      <c r="O31" s="41"/>
      <c r="P31" s="33"/>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c r="AJ31" s="175"/>
      <c r="AK31" s="41"/>
      <c r="AL31" s="49">
        <f t="shared" si="26"/>
        <v>3468.6792387194482</v>
      </c>
      <c r="AM31" s="49"/>
      <c r="AN31" s="68">
        <f t="shared" si="17"/>
        <v>0</v>
      </c>
      <c r="AO31" s="41">
        <f t="shared" si="18"/>
        <v>0</v>
      </c>
      <c r="AP31" s="41">
        <f t="shared" si="5"/>
        <v>0</v>
      </c>
      <c r="AQ31" s="170"/>
      <c r="AR31" s="559"/>
      <c r="AS31" s="443"/>
      <c r="AT31" s="36"/>
      <c r="AU31" s="37">
        <v>0</v>
      </c>
      <c r="AV31" s="399"/>
      <c r="AW31" s="401">
        <f t="shared" si="27"/>
        <v>0</v>
      </c>
      <c r="AX31" s="401">
        <f>IF(AV31="",0,VLOOKUP(ROUNDDOWN(TEXT(B31,"0000"),-1),VLOOKUP!$M$3:$W$32,RIGHT(TEXT(B31,"0000"),1)+2,FALSE))</f>
        <v>0</v>
      </c>
      <c r="AY31" s="401">
        <f t="shared" si="24"/>
        <v>0</v>
      </c>
      <c r="AZ31" s="33">
        <f>AY31*((IF(Z31&gt;JUN!$Z$44,JUN!$Z$44,Z31)+AC31+AD31+AR31)*1.9835)/E31</f>
        <v>0</v>
      </c>
      <c r="BA31" s="33"/>
      <c r="BB31" s="36"/>
      <c r="BC31" s="149" t="str">
        <f t="shared" si="20"/>
        <v/>
      </c>
      <c r="BD31" s="24"/>
      <c r="BE31" s="40"/>
      <c r="BF31" s="169"/>
      <c r="BG31" s="50"/>
      <c r="BH31" s="39"/>
      <c r="BI31" s="314"/>
      <c r="BJ31" s="319">
        <f t="shared" si="7"/>
        <v>5.1023168511069876</v>
      </c>
      <c r="BK31" s="40"/>
      <c r="BL31" s="71"/>
      <c r="BM31" s="534">
        <f t="shared" si="8"/>
        <v>0</v>
      </c>
      <c r="BN31" s="247">
        <f t="shared" si="9"/>
        <v>0</v>
      </c>
      <c r="BP31" s="471">
        <f t="shared" si="21"/>
        <v>17</v>
      </c>
      <c r="BQ31" s="456"/>
      <c r="BR31" s="472">
        <f t="shared" si="10"/>
        <v>0</v>
      </c>
      <c r="BS31" s="473"/>
      <c r="BT31" s="473">
        <f t="shared" si="11"/>
        <v>0</v>
      </c>
    </row>
    <row r="32" spans="1:72" ht="12.95" customHeight="1">
      <c r="A32" s="42">
        <f t="shared" si="12"/>
        <v>18</v>
      </c>
      <c r="B32" s="98"/>
      <c r="C32" s="390">
        <f>IF(B32="",C31,VLOOKUP(TRUNC(B32,1),VLOOKUP!$A$3:$K$2834,RIGHT(TEXT(B32,"0000.00"),1)+2,FALSE))</f>
        <v>178965</v>
      </c>
      <c r="D32" s="39">
        <f t="shared" si="13"/>
        <v>0</v>
      </c>
      <c r="E32" s="49">
        <f t="shared" si="0"/>
        <v>26965</v>
      </c>
      <c r="F32" s="106">
        <f t="shared" si="1"/>
        <v>0</v>
      </c>
      <c r="G32" s="41"/>
      <c r="H32" s="174"/>
      <c r="I32" s="41">
        <f t="shared" si="2"/>
        <v>0</v>
      </c>
      <c r="J32" s="36">
        <f t="shared" si="14"/>
        <v>0</v>
      </c>
      <c r="K32" s="41">
        <f t="shared" si="3"/>
        <v>0</v>
      </c>
      <c r="L32" s="41">
        <f t="shared" si="15"/>
        <v>0</v>
      </c>
      <c r="M32" s="108"/>
      <c r="N32" s="33"/>
      <c r="O32" s="41"/>
      <c r="P32" s="33"/>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c r="AJ32" s="175"/>
      <c r="AK32" s="41"/>
      <c r="AL32" s="49">
        <f t="shared" si="26"/>
        <v>3468.6792387194482</v>
      </c>
      <c r="AM32" s="49"/>
      <c r="AN32" s="68">
        <f t="shared" si="17"/>
        <v>0</v>
      </c>
      <c r="AO32" s="41">
        <f t="shared" si="18"/>
        <v>0</v>
      </c>
      <c r="AP32" s="41">
        <f t="shared" si="5"/>
        <v>0</v>
      </c>
      <c r="AQ32" s="170"/>
      <c r="AR32" s="559"/>
      <c r="AS32" s="443"/>
      <c r="AT32" s="36"/>
      <c r="AU32" s="37">
        <v>0</v>
      </c>
      <c r="AV32" s="399"/>
      <c r="AW32" s="401">
        <f t="shared" si="27"/>
        <v>0</v>
      </c>
      <c r="AX32" s="401">
        <f>IF(AV32="",0,VLOOKUP(ROUNDDOWN(TEXT(B32,"0000"),-1),VLOOKUP!$M$3:$W$32,RIGHT(TEXT(B32,"0000"),1)+2,FALSE))</f>
        <v>0</v>
      </c>
      <c r="AY32" s="401">
        <f t="shared" si="24"/>
        <v>0</v>
      </c>
      <c r="AZ32" s="33">
        <f>AY32*((IF(Z32&gt;JUN!$Z$44,JUN!$Z$44,Z32)+AC32+AD32+AR32)*1.9835)/E32</f>
        <v>0</v>
      </c>
      <c r="BA32" s="33"/>
      <c r="BB32" s="36"/>
      <c r="BC32" s="149" t="str">
        <f t="shared" si="20"/>
        <v/>
      </c>
      <c r="BD32" s="24"/>
      <c r="BE32" s="40"/>
      <c r="BF32" s="169"/>
      <c r="BG32" s="50"/>
      <c r="BH32" s="39"/>
      <c r="BI32" s="314"/>
      <c r="BJ32" s="319">
        <f t="shared" si="7"/>
        <v>4.8731693748065474</v>
      </c>
      <c r="BK32" s="40"/>
      <c r="BL32" s="71"/>
      <c r="BM32" s="534">
        <f t="shared" si="8"/>
        <v>0</v>
      </c>
      <c r="BN32" s="247">
        <f t="shared" si="9"/>
        <v>0</v>
      </c>
      <c r="BP32" s="471">
        <f t="shared" si="21"/>
        <v>18</v>
      </c>
      <c r="BQ32" s="456"/>
      <c r="BR32" s="472">
        <f t="shared" si="10"/>
        <v>0</v>
      </c>
      <c r="BS32" s="473"/>
      <c r="BT32" s="473">
        <f t="shared" si="11"/>
        <v>0</v>
      </c>
    </row>
    <row r="33" spans="1:72" ht="12.95" customHeight="1">
      <c r="A33" s="42">
        <f t="shared" si="12"/>
        <v>19</v>
      </c>
      <c r="B33" s="98"/>
      <c r="C33" s="390">
        <f>IF(B33="",C32,VLOOKUP(TRUNC(B33,1),VLOOKUP!$A$3:$K$2834,RIGHT(TEXT(B33,"0000.00"),1)+2,FALSE))</f>
        <v>178965</v>
      </c>
      <c r="D33" s="39">
        <f t="shared" si="13"/>
        <v>0</v>
      </c>
      <c r="E33" s="49">
        <f t="shared" si="0"/>
        <v>26965</v>
      </c>
      <c r="F33" s="106">
        <f t="shared" si="1"/>
        <v>0</v>
      </c>
      <c r="G33" s="41"/>
      <c r="H33" s="174"/>
      <c r="I33" s="41">
        <f t="shared" si="2"/>
        <v>0</v>
      </c>
      <c r="J33" s="36">
        <f t="shared" si="14"/>
        <v>0</v>
      </c>
      <c r="K33" s="41">
        <f t="shared" si="3"/>
        <v>0</v>
      </c>
      <c r="L33" s="41">
        <f t="shared" si="15"/>
        <v>0</v>
      </c>
      <c r="M33" s="108"/>
      <c r="N33" s="33"/>
      <c r="O33" s="41"/>
      <c r="P33" s="33"/>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c r="AJ33" s="175"/>
      <c r="AK33" s="41"/>
      <c r="AL33" s="49">
        <f t="shared" si="26"/>
        <v>3468.6792387194482</v>
      </c>
      <c r="AM33" s="49"/>
      <c r="AN33" s="68">
        <f t="shared" si="17"/>
        <v>0</v>
      </c>
      <c r="AO33" s="41">
        <f t="shared" si="18"/>
        <v>0</v>
      </c>
      <c r="AP33" s="41">
        <f t="shared" si="5"/>
        <v>0</v>
      </c>
      <c r="AQ33" s="170"/>
      <c r="AR33" s="559"/>
      <c r="AS33" s="443"/>
      <c r="AT33" s="36"/>
      <c r="AU33" s="37">
        <v>0</v>
      </c>
      <c r="AV33" s="399"/>
      <c r="AW33" s="401">
        <f t="shared" si="27"/>
        <v>0</v>
      </c>
      <c r="AX33" s="401">
        <f>IF(AV33="",0,VLOOKUP(ROUNDDOWN(TEXT(B33,"0000"),-1),VLOOKUP!$M$3:$W$32,RIGHT(TEXT(B33,"0000"),1)+2,FALSE))</f>
        <v>0</v>
      </c>
      <c r="AY33" s="401">
        <f t="shared" si="24"/>
        <v>0</v>
      </c>
      <c r="AZ33" s="33">
        <f>AY33*((IF(Z33&gt;JUN!$Z$44,JUN!$Z$44,Z33)+AC33+AD33+AR33)*1.9835)/E33</f>
        <v>0</v>
      </c>
      <c r="BA33" s="33"/>
      <c r="BB33" s="33"/>
      <c r="BC33" s="149" t="str">
        <f t="shared" si="20"/>
        <v/>
      </c>
      <c r="BD33" s="24"/>
      <c r="BE33" s="40"/>
      <c r="BF33" s="169"/>
      <c r="BG33" s="50"/>
      <c r="BH33" s="39"/>
      <c r="BI33" s="314"/>
      <c r="BJ33" s="319">
        <f t="shared" si="7"/>
        <v>3.757102434608802</v>
      </c>
      <c r="BK33" s="40"/>
      <c r="BL33" s="71"/>
      <c r="BM33" s="534">
        <f t="shared" si="8"/>
        <v>0</v>
      </c>
      <c r="BN33" s="247">
        <f t="shared" si="9"/>
        <v>0</v>
      </c>
      <c r="BP33" s="471">
        <f t="shared" si="21"/>
        <v>19</v>
      </c>
      <c r="BQ33" s="456"/>
      <c r="BR33" s="472">
        <f t="shared" si="10"/>
        <v>0</v>
      </c>
      <c r="BS33" s="473"/>
      <c r="BT33" s="473">
        <f t="shared" si="11"/>
        <v>0</v>
      </c>
    </row>
    <row r="34" spans="1:72" ht="12.95" customHeight="1">
      <c r="A34" s="42">
        <f t="shared" si="12"/>
        <v>20</v>
      </c>
      <c r="B34" s="98"/>
      <c r="C34" s="390">
        <f>IF(B34="",C33,VLOOKUP(TRUNC(B34,1),VLOOKUP!$A$3:$K$2834,RIGHT(TEXT(B34,"0000.00"),1)+2,FALSE))</f>
        <v>178965</v>
      </c>
      <c r="D34" s="39">
        <f t="shared" si="13"/>
        <v>0</v>
      </c>
      <c r="E34" s="49">
        <f t="shared" si="0"/>
        <v>26965</v>
      </c>
      <c r="F34" s="106">
        <f t="shared" si="1"/>
        <v>0</v>
      </c>
      <c r="G34" s="41"/>
      <c r="H34" s="174"/>
      <c r="I34" s="41">
        <f t="shared" si="2"/>
        <v>0</v>
      </c>
      <c r="J34" s="36">
        <f t="shared" si="14"/>
        <v>0</v>
      </c>
      <c r="K34" s="41">
        <f t="shared" si="3"/>
        <v>0</v>
      </c>
      <c r="L34" s="41">
        <f t="shared" si="15"/>
        <v>0</v>
      </c>
      <c r="M34" s="108"/>
      <c r="N34" s="33"/>
      <c r="O34" s="41"/>
      <c r="P34" s="33"/>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c r="AJ34" s="175"/>
      <c r="AK34" s="41"/>
      <c r="AL34" s="49">
        <f t="shared" si="26"/>
        <v>3468.6792387194482</v>
      </c>
      <c r="AM34" s="49"/>
      <c r="AN34" s="68">
        <f t="shared" si="17"/>
        <v>0</v>
      </c>
      <c r="AO34" s="41">
        <f t="shared" si="18"/>
        <v>0</v>
      </c>
      <c r="AP34" s="41">
        <f t="shared" si="5"/>
        <v>0</v>
      </c>
      <c r="AQ34" s="170"/>
      <c r="AR34" s="559"/>
      <c r="AS34" s="443"/>
      <c r="AT34" s="36"/>
      <c r="AU34" s="37">
        <v>0</v>
      </c>
      <c r="AV34" s="399"/>
      <c r="AW34" s="401">
        <f t="shared" si="27"/>
        <v>0</v>
      </c>
      <c r="AX34" s="401">
        <f>IF(AV34="",0,VLOOKUP(ROUNDDOWN(TEXT(B34,"0000"),-1),VLOOKUP!$M$3:$W$32,RIGHT(TEXT(B34,"0000"),1)+2,FALSE))</f>
        <v>0</v>
      </c>
      <c r="AY34" s="401">
        <f t="shared" si="24"/>
        <v>0</v>
      </c>
      <c r="AZ34" s="33">
        <f>AY34*((IF(Z34&gt;JUN!$Z$44,JUN!$Z$44,Z34)+AC34+AD34+AR34)*1.9835)/E34</f>
        <v>0</v>
      </c>
      <c r="BA34" s="33"/>
      <c r="BB34" s="33"/>
      <c r="BC34" s="149" t="str">
        <f t="shared" si="20"/>
        <v/>
      </c>
      <c r="BD34" s="24"/>
      <c r="BE34" s="40"/>
      <c r="BF34" s="169"/>
      <c r="BG34" s="50"/>
      <c r="BH34" s="39"/>
      <c r="BI34" s="314"/>
      <c r="BJ34" s="319">
        <f t="shared" si="7"/>
        <v>4.3804714093588499</v>
      </c>
      <c r="BK34" s="40"/>
      <c r="BL34" s="71"/>
      <c r="BM34" s="534">
        <f t="shared" si="8"/>
        <v>0</v>
      </c>
      <c r="BN34" s="247">
        <f t="shared" si="9"/>
        <v>0</v>
      </c>
      <c r="BP34" s="471">
        <f t="shared" si="21"/>
        <v>20</v>
      </c>
      <c r="BQ34" s="456"/>
      <c r="BR34" s="472">
        <f t="shared" si="10"/>
        <v>0</v>
      </c>
      <c r="BS34" s="473"/>
      <c r="BT34" s="473">
        <f t="shared" si="11"/>
        <v>0</v>
      </c>
    </row>
    <row r="35" spans="1:72" ht="12.95" customHeight="1">
      <c r="A35" s="42">
        <f t="shared" si="12"/>
        <v>21</v>
      </c>
      <c r="B35" s="98"/>
      <c r="C35" s="390">
        <f>IF(B35="",C34,VLOOKUP(TRUNC(B35,1),VLOOKUP!$A$3:$K$2834,RIGHT(TEXT(B35,"0000.00"),1)+2,FALSE))</f>
        <v>178965</v>
      </c>
      <c r="D35" s="39">
        <f t="shared" si="13"/>
        <v>0</v>
      </c>
      <c r="E35" s="49">
        <f t="shared" si="0"/>
        <v>26965</v>
      </c>
      <c r="F35" s="106">
        <f t="shared" si="1"/>
        <v>0</v>
      </c>
      <c r="G35" s="41"/>
      <c r="H35" s="174"/>
      <c r="I35" s="41">
        <f t="shared" si="2"/>
        <v>0</v>
      </c>
      <c r="J35" s="36">
        <f t="shared" si="14"/>
        <v>0</v>
      </c>
      <c r="K35" s="41">
        <f t="shared" si="3"/>
        <v>0</v>
      </c>
      <c r="L35" s="41">
        <f t="shared" si="15"/>
        <v>0</v>
      </c>
      <c r="M35" s="108"/>
      <c r="N35" s="33"/>
      <c r="O35" s="41"/>
      <c r="P35" s="33"/>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c r="AJ35" s="175"/>
      <c r="AK35" s="41"/>
      <c r="AL35" s="49">
        <f t="shared" si="26"/>
        <v>3468.6792387194482</v>
      </c>
      <c r="AM35" s="49"/>
      <c r="AN35" s="68">
        <f t="shared" si="17"/>
        <v>0</v>
      </c>
      <c r="AO35" s="41">
        <f t="shared" si="18"/>
        <v>0</v>
      </c>
      <c r="AP35" s="41">
        <f t="shared" si="5"/>
        <v>0</v>
      </c>
      <c r="AQ35" s="170"/>
      <c r="AR35" s="559"/>
      <c r="AS35" s="443"/>
      <c r="AT35" s="149"/>
      <c r="AU35" s="37">
        <v>0</v>
      </c>
      <c r="AV35" s="399"/>
      <c r="AW35" s="401">
        <f t="shared" si="27"/>
        <v>0</v>
      </c>
      <c r="AX35" s="401">
        <f>IF(AV35="",0,VLOOKUP(ROUNDDOWN(TEXT(B35,"0000"),-1),VLOOKUP!$M$3:$W$32,RIGHT(TEXT(B35,"0000"),1)+2,FALSE))</f>
        <v>0</v>
      </c>
      <c r="AY35" s="401">
        <f t="shared" si="24"/>
        <v>0</v>
      </c>
      <c r="AZ35" s="33">
        <f>AY35*((IF(Z35&gt;JUN!$Z$44,JUN!$Z$44,Z35)+AC35+AD35+AR35)*1.9835)/E35</f>
        <v>0</v>
      </c>
      <c r="BA35" s="33"/>
      <c r="BB35" s="33"/>
      <c r="BC35" s="149" t="str">
        <f t="shared" si="20"/>
        <v/>
      </c>
      <c r="BD35" s="24"/>
      <c r="BE35" s="40"/>
      <c r="BF35" s="169"/>
      <c r="BG35" s="39"/>
      <c r="BH35" s="39"/>
      <c r="BI35" s="314"/>
      <c r="BJ35" s="319">
        <f t="shared" si="7"/>
        <v>4.2296000507923672</v>
      </c>
      <c r="BK35" s="40"/>
      <c r="BL35" s="71"/>
      <c r="BM35" s="534">
        <f t="shared" si="8"/>
        <v>0</v>
      </c>
      <c r="BN35" s="247">
        <f t="shared" si="9"/>
        <v>0</v>
      </c>
      <c r="BP35" s="471">
        <f t="shared" si="21"/>
        <v>21</v>
      </c>
      <c r="BQ35" s="456"/>
      <c r="BR35" s="472">
        <f t="shared" si="10"/>
        <v>0</v>
      </c>
      <c r="BS35" s="473"/>
      <c r="BT35" s="473">
        <f t="shared" si="11"/>
        <v>0</v>
      </c>
    </row>
    <row r="36" spans="1:72" ht="12.95" customHeight="1">
      <c r="A36" s="42">
        <f t="shared" si="12"/>
        <v>22</v>
      </c>
      <c r="B36" s="98"/>
      <c r="C36" s="390">
        <f>IF(B36="",C35,VLOOKUP(TRUNC(B36,1),VLOOKUP!$A$3:$K$2834,RIGHT(TEXT(B36,"0000.00"),1)+2,FALSE))</f>
        <v>178965</v>
      </c>
      <c r="D36" s="39">
        <f t="shared" si="13"/>
        <v>0</v>
      </c>
      <c r="E36" s="49">
        <f t="shared" si="0"/>
        <v>26965</v>
      </c>
      <c r="F36" s="106">
        <f t="shared" si="1"/>
        <v>0</v>
      </c>
      <c r="G36" s="41"/>
      <c r="H36" s="174"/>
      <c r="I36" s="41">
        <f>G36+H36</f>
        <v>0</v>
      </c>
      <c r="J36" s="36">
        <f t="shared" si="14"/>
        <v>0</v>
      </c>
      <c r="K36" s="41">
        <f t="shared" si="3"/>
        <v>0</v>
      </c>
      <c r="L36" s="41">
        <f t="shared" si="15"/>
        <v>0</v>
      </c>
      <c r="M36" s="108"/>
      <c r="N36" s="33"/>
      <c r="O36" s="41"/>
      <c r="P36" s="33"/>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c r="AJ36" s="175"/>
      <c r="AK36" s="41"/>
      <c r="AL36" s="49">
        <f t="shared" si="26"/>
        <v>3468.6792387194482</v>
      </c>
      <c r="AM36" s="49"/>
      <c r="AN36" s="68">
        <f t="shared" si="17"/>
        <v>0</v>
      </c>
      <c r="AO36" s="41">
        <f t="shared" si="18"/>
        <v>0</v>
      </c>
      <c r="AP36" s="41">
        <f t="shared" si="5"/>
        <v>0</v>
      </c>
      <c r="AQ36" s="170"/>
      <c r="AR36" s="559"/>
      <c r="AS36" s="443"/>
      <c r="AT36" s="149"/>
      <c r="AU36" s="37">
        <v>0</v>
      </c>
      <c r="AV36" s="399"/>
      <c r="AW36" s="401">
        <f t="shared" si="27"/>
        <v>0</v>
      </c>
      <c r="AX36" s="401">
        <f>IF(AV36="",0,VLOOKUP(ROUNDDOWN(TEXT(B36,"0000"),-1),VLOOKUP!$M$3:$W$32,RIGHT(TEXT(B36,"0000"),1)+2,FALSE))</f>
        <v>0</v>
      </c>
      <c r="AY36" s="401">
        <f t="shared" si="24"/>
        <v>0</v>
      </c>
      <c r="AZ36" s="33">
        <f>AY36*((IF(Z36&gt;JUN!$Z$44,JUN!$Z$44,Z36)+AC36+AD36+AR36)*1.9835)/E36</f>
        <v>0</v>
      </c>
      <c r="BA36" s="33"/>
      <c r="BB36" s="33"/>
      <c r="BC36" s="149" t="str">
        <f t="shared" si="20"/>
        <v/>
      </c>
      <c r="BD36" s="24"/>
      <c r="BE36" s="40"/>
      <c r="BF36" s="169"/>
      <c r="BG36" s="39"/>
      <c r="BH36" s="39"/>
      <c r="BI36" s="314"/>
      <c r="BJ36" s="319">
        <f t="shared" si="7"/>
        <v>4.4500676895183764</v>
      </c>
      <c r="BK36" s="40"/>
      <c r="BL36" s="71"/>
      <c r="BM36" s="534">
        <f t="shared" si="8"/>
        <v>0</v>
      </c>
      <c r="BN36" s="247">
        <f t="shared" si="9"/>
        <v>0</v>
      </c>
      <c r="BP36" s="471">
        <f t="shared" si="21"/>
        <v>22</v>
      </c>
      <c r="BQ36" s="456"/>
      <c r="BR36" s="472">
        <f t="shared" si="10"/>
        <v>0</v>
      </c>
      <c r="BS36" s="473"/>
      <c r="BT36" s="473">
        <f t="shared" si="11"/>
        <v>0</v>
      </c>
    </row>
    <row r="37" spans="1:72" ht="12.95" customHeight="1">
      <c r="A37" s="42">
        <f t="shared" si="12"/>
        <v>23</v>
      </c>
      <c r="B37" s="98"/>
      <c r="C37" s="390">
        <f>IF(B37="",C36,VLOOKUP(TRUNC(B37,1),VLOOKUP!$A$3:$K$2834,RIGHT(TEXT(B37,"0000.00"),1)+2,FALSE))</f>
        <v>178965</v>
      </c>
      <c r="D37" s="39">
        <f t="shared" si="13"/>
        <v>0</v>
      </c>
      <c r="E37" s="49">
        <f t="shared" si="0"/>
        <v>26965</v>
      </c>
      <c r="F37" s="106">
        <f t="shared" si="1"/>
        <v>0</v>
      </c>
      <c r="G37" s="41"/>
      <c r="H37" s="174"/>
      <c r="I37" s="41">
        <f t="shared" si="2"/>
        <v>0</v>
      </c>
      <c r="J37" s="36">
        <f t="shared" si="14"/>
        <v>0</v>
      </c>
      <c r="K37" s="41">
        <f t="shared" si="3"/>
        <v>0</v>
      </c>
      <c r="L37" s="41">
        <f t="shared" si="15"/>
        <v>0</v>
      </c>
      <c r="M37" s="108"/>
      <c r="N37" s="33"/>
      <c r="O37" s="41"/>
      <c r="P37" s="33"/>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c r="AJ37" s="175"/>
      <c r="AK37" s="41"/>
      <c r="AL37" s="49">
        <f t="shared" si="26"/>
        <v>3468.6792387194482</v>
      </c>
      <c r="AM37" s="49"/>
      <c r="AN37" s="68">
        <f t="shared" si="17"/>
        <v>0</v>
      </c>
      <c r="AO37" s="41">
        <f t="shared" si="18"/>
        <v>0</v>
      </c>
      <c r="AP37" s="41">
        <f t="shared" si="5"/>
        <v>0</v>
      </c>
      <c r="AQ37" s="170"/>
      <c r="AR37" s="559"/>
      <c r="AS37" s="443"/>
      <c r="AT37" s="149"/>
      <c r="AU37" s="37">
        <v>0</v>
      </c>
      <c r="AV37" s="399"/>
      <c r="AW37" s="401">
        <f t="shared" si="27"/>
        <v>0</v>
      </c>
      <c r="AX37" s="401">
        <f>IF(AV37="",0,VLOOKUP(ROUNDDOWN(TEXT(B37,"0000"),-1),VLOOKUP!$M$3:$W$32,RIGHT(TEXT(B37,"0000"),1)+2,FALSE))</f>
        <v>0</v>
      </c>
      <c r="AY37" s="401">
        <f t="shared" si="24"/>
        <v>0</v>
      </c>
      <c r="AZ37" s="33">
        <f>AY37*((IF(Z37&gt;JUN!$Z$44,JUN!$Z$44,Z37)+AC37+AD37+AR37)*1.9835)/E37</f>
        <v>0</v>
      </c>
      <c r="BA37" s="33"/>
      <c r="BB37" s="33"/>
      <c r="BC37" s="149" t="str">
        <f t="shared" si="20"/>
        <v/>
      </c>
      <c r="BD37" s="24"/>
      <c r="BE37" s="40"/>
      <c r="BF37" s="169"/>
      <c r="BG37" s="39"/>
      <c r="BH37" s="50"/>
      <c r="BI37" s="314"/>
      <c r="BJ37" s="319">
        <f t="shared" si="7"/>
        <v>4.2100309624427394</v>
      </c>
      <c r="BK37" s="40"/>
      <c r="BL37" s="71"/>
      <c r="BM37" s="534">
        <f t="shared" si="8"/>
        <v>0</v>
      </c>
      <c r="BN37" s="247">
        <f t="shared" si="9"/>
        <v>0</v>
      </c>
      <c r="BP37" s="471">
        <f t="shared" si="21"/>
        <v>23</v>
      </c>
      <c r="BQ37" s="456"/>
      <c r="BR37" s="472">
        <f t="shared" si="10"/>
        <v>0</v>
      </c>
      <c r="BS37" s="473"/>
      <c r="BT37" s="473">
        <f t="shared" si="11"/>
        <v>0</v>
      </c>
    </row>
    <row r="38" spans="1:72" ht="12.95" customHeight="1">
      <c r="A38" s="42">
        <f t="shared" si="12"/>
        <v>24</v>
      </c>
      <c r="B38" s="98"/>
      <c r="C38" s="390">
        <f>IF(B38="",C37,VLOOKUP(TRUNC(B38,1),VLOOKUP!$A$3:$K$2834,RIGHT(TEXT(B38,"0000.00"),1)+2,FALSE))</f>
        <v>178965</v>
      </c>
      <c r="D38" s="39">
        <f t="shared" si="13"/>
        <v>0</v>
      </c>
      <c r="E38" s="49">
        <f t="shared" si="0"/>
        <v>26965</v>
      </c>
      <c r="F38" s="106">
        <f t="shared" si="1"/>
        <v>0</v>
      </c>
      <c r="G38" s="41"/>
      <c r="H38" s="174"/>
      <c r="I38" s="41">
        <f t="shared" si="2"/>
        <v>0</v>
      </c>
      <c r="J38" s="36">
        <f t="shared" si="14"/>
        <v>0</v>
      </c>
      <c r="K38" s="41">
        <f t="shared" si="3"/>
        <v>0</v>
      </c>
      <c r="L38" s="41">
        <f t="shared" si="15"/>
        <v>0</v>
      </c>
      <c r="M38" s="108"/>
      <c r="N38" s="33"/>
      <c r="O38" s="41"/>
      <c r="P38" s="33"/>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c r="AJ38" s="175"/>
      <c r="AK38" s="41"/>
      <c r="AL38" s="49">
        <f t="shared" si="26"/>
        <v>3468.6792387194482</v>
      </c>
      <c r="AM38" s="49"/>
      <c r="AN38" s="68">
        <f t="shared" si="17"/>
        <v>0</v>
      </c>
      <c r="AO38" s="41">
        <f t="shared" si="18"/>
        <v>0</v>
      </c>
      <c r="AP38" s="41">
        <f t="shared" si="5"/>
        <v>0</v>
      </c>
      <c r="AQ38" s="170"/>
      <c r="AR38" s="559"/>
      <c r="AS38" s="443"/>
      <c r="AT38" s="149"/>
      <c r="AU38" s="37">
        <v>0</v>
      </c>
      <c r="AV38" s="399"/>
      <c r="AW38" s="401">
        <f t="shared" si="27"/>
        <v>0</v>
      </c>
      <c r="AX38" s="401">
        <f>IF(AV38="",0,VLOOKUP(ROUNDDOWN(TEXT(B38,"0000"),-1),VLOOKUP!$M$3:$W$32,RIGHT(TEXT(B38,"0000"),1)+2,FALSE))</f>
        <v>0</v>
      </c>
      <c r="AY38" s="401">
        <f t="shared" si="24"/>
        <v>0</v>
      </c>
      <c r="AZ38" s="33">
        <f>AY38*((IF(Z38&gt;JUN!$Z$44,JUN!$Z$44,Z38)+AC38+AD38+AR38)*1.9835)/E38</f>
        <v>0</v>
      </c>
      <c r="BA38" s="33"/>
      <c r="BB38" s="33"/>
      <c r="BC38" s="149" t="str">
        <f t="shared" si="20"/>
        <v/>
      </c>
      <c r="BD38" s="24"/>
      <c r="BE38" s="40"/>
      <c r="BF38" s="169"/>
      <c r="BG38" s="39"/>
      <c r="BH38" s="50"/>
      <c r="BI38" s="314"/>
      <c r="BJ38" s="319">
        <f t="shared" si="7"/>
        <v>4.0552146944897114</v>
      </c>
      <c r="BK38" s="40"/>
      <c r="BL38" s="71"/>
      <c r="BM38" s="534">
        <f t="shared" si="8"/>
        <v>0</v>
      </c>
      <c r="BN38" s="247">
        <f t="shared" si="9"/>
        <v>0</v>
      </c>
      <c r="BP38" s="471">
        <f t="shared" si="21"/>
        <v>24</v>
      </c>
      <c r="BQ38" s="456"/>
      <c r="BR38" s="472">
        <f t="shared" si="10"/>
        <v>0</v>
      </c>
      <c r="BS38" s="473"/>
      <c r="BT38" s="473">
        <f t="shared" si="11"/>
        <v>0</v>
      </c>
    </row>
    <row r="39" spans="1:72" ht="12.95" customHeight="1">
      <c r="A39" s="42">
        <v>25</v>
      </c>
      <c r="B39" s="98"/>
      <c r="C39" s="390">
        <f>IF(B39="",C38,VLOOKUP(TRUNC(B39,1),VLOOKUP!$A$3:$K$2834,RIGHT(TEXT(B39,"0000.00"),1)+2,FALSE))</f>
        <v>178965</v>
      </c>
      <c r="D39" s="39">
        <f t="shared" si="13"/>
        <v>0</v>
      </c>
      <c r="E39" s="49">
        <f t="shared" si="0"/>
        <v>26965</v>
      </c>
      <c r="F39" s="106">
        <f t="shared" si="1"/>
        <v>0</v>
      </c>
      <c r="G39" s="41"/>
      <c r="H39" s="174"/>
      <c r="I39" s="41">
        <f t="shared" si="2"/>
        <v>0</v>
      </c>
      <c r="J39" s="36">
        <f t="shared" si="14"/>
        <v>0</v>
      </c>
      <c r="K39" s="41">
        <f t="shared" si="3"/>
        <v>0</v>
      </c>
      <c r="L39" s="41">
        <f t="shared" si="15"/>
        <v>0</v>
      </c>
      <c r="M39" s="108"/>
      <c r="N39" s="33"/>
      <c r="O39" s="41"/>
      <c r="P39" s="33"/>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c r="AJ39" s="175"/>
      <c r="AK39" s="41"/>
      <c r="AL39" s="49">
        <f t="shared" si="26"/>
        <v>3468.6792387194482</v>
      </c>
      <c r="AM39" s="49"/>
      <c r="AN39" s="68">
        <f t="shared" si="17"/>
        <v>0</v>
      </c>
      <c r="AO39" s="41">
        <f t="shared" si="18"/>
        <v>0</v>
      </c>
      <c r="AP39" s="41">
        <f t="shared" si="5"/>
        <v>0</v>
      </c>
      <c r="AQ39" s="170"/>
      <c r="AR39" s="559"/>
      <c r="AS39" s="443"/>
      <c r="AT39" s="36"/>
      <c r="AU39" s="37">
        <v>0</v>
      </c>
      <c r="AV39" s="399"/>
      <c r="AW39" s="401">
        <f t="shared" si="27"/>
        <v>0</v>
      </c>
      <c r="AX39" s="401">
        <f>IF(AV39="",0,VLOOKUP(ROUNDDOWN(TEXT(B39,"0000"),-1),VLOOKUP!$M$3:$W$32,RIGHT(TEXT(B39,"0000"),1)+2,FALSE))</f>
        <v>0</v>
      </c>
      <c r="AY39" s="401">
        <f t="shared" si="24"/>
        <v>0</v>
      </c>
      <c r="AZ39" s="33">
        <f>AY39*((IF(Z39&gt;JUN!$Z$44,JUN!$Z$44,Z39)+AC39+AD39+AR39)*1.9835)/E39</f>
        <v>0</v>
      </c>
      <c r="BA39" s="33"/>
      <c r="BB39" s="33"/>
      <c r="BC39" s="149" t="str">
        <f t="shared" si="20"/>
        <v/>
      </c>
      <c r="BD39" s="24"/>
      <c r="BE39" s="40"/>
      <c r="BF39" s="169"/>
      <c r="BG39" s="39"/>
      <c r="BH39" s="50"/>
      <c r="BI39" s="314"/>
      <c r="BJ39" s="319">
        <f t="shared" si="7"/>
        <v>4.0193908732561558</v>
      </c>
      <c r="BK39" s="40"/>
      <c r="BL39" s="71"/>
      <c r="BM39" s="534">
        <f t="shared" si="8"/>
        <v>0</v>
      </c>
      <c r="BN39" s="247">
        <f t="shared" si="9"/>
        <v>0</v>
      </c>
      <c r="BP39" s="471">
        <f t="shared" si="21"/>
        <v>25</v>
      </c>
      <c r="BQ39" s="456"/>
      <c r="BR39" s="472">
        <f t="shared" si="10"/>
        <v>0</v>
      </c>
      <c r="BS39" s="473"/>
      <c r="BT39" s="473">
        <f t="shared" si="11"/>
        <v>0</v>
      </c>
    </row>
    <row r="40" spans="1:72" ht="12.95" customHeight="1">
      <c r="A40" s="42">
        <v>26</v>
      </c>
      <c r="B40" s="98"/>
      <c r="C40" s="390">
        <f>IF(B40="",C39,VLOOKUP(TRUNC(B40,1),VLOOKUP!$A$3:$K$2834,RIGHT(TEXT(B40,"0000.00"),1)+2,FALSE))</f>
        <v>178965</v>
      </c>
      <c r="D40" s="39">
        <f t="shared" si="13"/>
        <v>0</v>
      </c>
      <c r="E40" s="49">
        <f t="shared" si="0"/>
        <v>26965</v>
      </c>
      <c r="F40" s="106">
        <f t="shared" si="1"/>
        <v>0</v>
      </c>
      <c r="G40" s="41"/>
      <c r="H40" s="174"/>
      <c r="I40" s="41">
        <f t="shared" si="2"/>
        <v>0</v>
      </c>
      <c r="J40" s="36">
        <f t="shared" si="14"/>
        <v>0</v>
      </c>
      <c r="K40" s="41">
        <f t="shared" si="3"/>
        <v>0</v>
      </c>
      <c r="L40" s="41">
        <f t="shared" si="15"/>
        <v>0</v>
      </c>
      <c r="M40" s="108"/>
      <c r="N40" s="33"/>
      <c r="O40" s="41"/>
      <c r="P40" s="33"/>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c r="AJ40" s="175"/>
      <c r="AK40" s="41"/>
      <c r="AL40" s="49">
        <f t="shared" si="26"/>
        <v>3468.6792387194482</v>
      </c>
      <c r="AM40" s="49"/>
      <c r="AN40" s="68">
        <f t="shared" si="17"/>
        <v>0</v>
      </c>
      <c r="AO40" s="41">
        <f t="shared" si="18"/>
        <v>0</v>
      </c>
      <c r="AP40" s="41">
        <f t="shared" si="5"/>
        <v>0</v>
      </c>
      <c r="AQ40" s="170"/>
      <c r="AR40" s="559"/>
      <c r="AS40" s="443"/>
      <c r="AT40" s="36"/>
      <c r="AU40" s="37">
        <v>0</v>
      </c>
      <c r="AV40" s="399"/>
      <c r="AW40" s="401">
        <f t="shared" si="27"/>
        <v>0</v>
      </c>
      <c r="AX40" s="401">
        <f>IF(AV40="",0,VLOOKUP(ROUNDDOWN(TEXT(B40,"0000"),-1),VLOOKUP!$M$3:$W$32,RIGHT(TEXT(B40,"0000"),1)+2,FALSE))</f>
        <v>0</v>
      </c>
      <c r="AY40" s="401">
        <f t="shared" si="24"/>
        <v>0</v>
      </c>
      <c r="AZ40" s="33">
        <f>AY40*((IF(Z40&gt;JUN!$Z$44,JUN!$Z$44,Z40)+AC40+AD40+AR40)*1.9835)/E40</f>
        <v>0</v>
      </c>
      <c r="BA40" s="33"/>
      <c r="BB40" s="33"/>
      <c r="BC40" s="149" t="str">
        <f t="shared" si="20"/>
        <v/>
      </c>
      <c r="BD40" s="24"/>
      <c r="BE40" s="40"/>
      <c r="BF40" s="169"/>
      <c r="BG40" s="39"/>
      <c r="BH40" s="50"/>
      <c r="BI40" s="314"/>
      <c r="BJ40" s="319">
        <f t="shared" si="7"/>
        <v>4.0372239940908967</v>
      </c>
      <c r="BK40" s="40"/>
      <c r="BL40" s="71"/>
      <c r="BM40" s="534">
        <f t="shared" si="8"/>
        <v>0</v>
      </c>
      <c r="BN40" s="247">
        <f t="shared" si="9"/>
        <v>0</v>
      </c>
      <c r="BP40" s="471">
        <f t="shared" si="21"/>
        <v>26</v>
      </c>
      <c r="BQ40" s="456"/>
      <c r="BR40" s="472">
        <f t="shared" si="10"/>
        <v>0</v>
      </c>
      <c r="BS40" s="473"/>
      <c r="BT40" s="473">
        <f t="shared" si="11"/>
        <v>0</v>
      </c>
    </row>
    <row r="41" spans="1:72" ht="12.95" customHeight="1">
      <c r="A41" s="42">
        <v>27</v>
      </c>
      <c r="B41" s="98"/>
      <c r="C41" s="390">
        <f>IF(B41="",C40,VLOOKUP(TRUNC(B41,1),VLOOKUP!$A$3:$K$2834,RIGHT(TEXT(B41,"0000.00"),1)+2,FALSE))</f>
        <v>178965</v>
      </c>
      <c r="D41" s="39">
        <f t="shared" si="13"/>
        <v>0</v>
      </c>
      <c r="E41" s="49">
        <f t="shared" si="0"/>
        <v>26965</v>
      </c>
      <c r="F41" s="106">
        <f t="shared" si="1"/>
        <v>0</v>
      </c>
      <c r="G41" s="41"/>
      <c r="H41" s="174"/>
      <c r="I41" s="41">
        <f t="shared" si="2"/>
        <v>0</v>
      </c>
      <c r="J41" s="36">
        <f t="shared" si="14"/>
        <v>0</v>
      </c>
      <c r="K41" s="41">
        <f t="shared" si="3"/>
        <v>0</v>
      </c>
      <c r="L41" s="41">
        <f>IF(G41="",0,F41-(I41-AN41))</f>
        <v>0</v>
      </c>
      <c r="M41" s="108"/>
      <c r="N41" s="33"/>
      <c r="O41" s="41"/>
      <c r="P41" s="33"/>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c r="AJ41" s="175"/>
      <c r="AK41" s="41"/>
      <c r="AL41" s="49">
        <f t="shared" si="26"/>
        <v>3468.6792387194482</v>
      </c>
      <c r="AM41" s="49"/>
      <c r="AN41" s="68">
        <f t="shared" si="17"/>
        <v>0</v>
      </c>
      <c r="AO41" s="41">
        <f t="shared" si="18"/>
        <v>0</v>
      </c>
      <c r="AP41" s="41">
        <f t="shared" si="5"/>
        <v>0</v>
      </c>
      <c r="AQ41" s="170"/>
      <c r="AR41" s="559"/>
      <c r="AS41" s="443"/>
      <c r="AT41" s="36"/>
      <c r="AU41" s="37">
        <v>0</v>
      </c>
      <c r="AV41" s="399"/>
      <c r="AW41" s="401">
        <f t="shared" si="27"/>
        <v>0</v>
      </c>
      <c r="AX41" s="401">
        <f>IF(AV41="",0,VLOOKUP(ROUNDDOWN(TEXT(B41,"0000"),-1),VLOOKUP!$M$3:$W$32,RIGHT(TEXT(B41,"0000"),1)+2,FALSE))</f>
        <v>0</v>
      </c>
      <c r="AY41" s="401">
        <f t="shared" si="24"/>
        <v>0</v>
      </c>
      <c r="AZ41" s="33">
        <f>AY41*((IF(Z41&gt;JUN!$Z$44,JUN!$Z$44,Z41)+AC41+AD41+AR41)*1.9835)/E41</f>
        <v>0</v>
      </c>
      <c r="BA41" s="33"/>
      <c r="BB41" s="33"/>
      <c r="BC41" s="149" t="str">
        <f t="shared" si="20"/>
        <v/>
      </c>
      <c r="BD41" s="24"/>
      <c r="BE41" s="40"/>
      <c r="BF41" s="169"/>
      <c r="BG41" s="39"/>
      <c r="BH41" s="50"/>
      <c r="BI41" s="314"/>
      <c r="BJ41" s="319">
        <f t="shared" si="7"/>
        <v>4.4423354503093586</v>
      </c>
      <c r="BK41" s="40"/>
      <c r="BL41" s="71"/>
      <c r="BM41" s="534">
        <f t="shared" si="8"/>
        <v>0</v>
      </c>
      <c r="BN41" s="247">
        <f t="shared" si="9"/>
        <v>0</v>
      </c>
      <c r="BP41" s="471">
        <f t="shared" si="21"/>
        <v>27</v>
      </c>
      <c r="BQ41" s="456"/>
      <c r="BR41" s="472">
        <f t="shared" si="10"/>
        <v>0</v>
      </c>
      <c r="BS41" s="473"/>
      <c r="BT41" s="473">
        <f t="shared" si="11"/>
        <v>0</v>
      </c>
    </row>
    <row r="42" spans="1:72" ht="12.95" customHeight="1">
      <c r="A42" s="42">
        <v>28</v>
      </c>
      <c r="B42" s="98"/>
      <c r="C42" s="390">
        <f>IF(B42="",C41,VLOOKUP(TRUNC(B42,1),VLOOKUP!$A$3:$K$2834,RIGHT(TEXT(B42,"0000.00"),1)+2,FALSE))</f>
        <v>178965</v>
      </c>
      <c r="D42" s="39">
        <f t="shared" si="13"/>
        <v>0</v>
      </c>
      <c r="E42" s="49">
        <f t="shared" si="0"/>
        <v>26965</v>
      </c>
      <c r="F42" s="106">
        <f t="shared" si="1"/>
        <v>0</v>
      </c>
      <c r="G42" s="41"/>
      <c r="H42" s="174"/>
      <c r="I42" s="41">
        <f t="shared" si="2"/>
        <v>0</v>
      </c>
      <c r="J42" s="36">
        <f t="shared" si="14"/>
        <v>0</v>
      </c>
      <c r="K42" s="41">
        <f t="shared" si="3"/>
        <v>0</v>
      </c>
      <c r="L42" s="41">
        <f t="shared" si="15"/>
        <v>0</v>
      </c>
      <c r="M42" s="108"/>
      <c r="N42" s="33"/>
      <c r="O42" s="41"/>
      <c r="P42" s="33"/>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c r="AJ42" s="175"/>
      <c r="AK42" s="41"/>
      <c r="AL42" s="49">
        <f t="shared" si="26"/>
        <v>3468.6792387194482</v>
      </c>
      <c r="AM42" s="49"/>
      <c r="AN42" s="68">
        <f t="shared" si="17"/>
        <v>0</v>
      </c>
      <c r="AO42" s="41">
        <f t="shared" si="18"/>
        <v>0</v>
      </c>
      <c r="AP42" s="41">
        <f t="shared" si="5"/>
        <v>0</v>
      </c>
      <c r="AQ42" s="170"/>
      <c r="AR42" s="559"/>
      <c r="AS42" s="443"/>
      <c r="AT42" s="36"/>
      <c r="AU42" s="37">
        <v>0</v>
      </c>
      <c r="AV42" s="399"/>
      <c r="AW42" s="401">
        <f t="shared" si="27"/>
        <v>0</v>
      </c>
      <c r="AX42" s="401">
        <f>IF(AV42="",0,VLOOKUP(ROUNDDOWN(TEXT(B42,"0000"),-1),VLOOKUP!$M$3:$W$32,RIGHT(TEXT(B42,"0000"),1)+2,FALSE))</f>
        <v>0</v>
      </c>
      <c r="AY42" s="401">
        <f t="shared" si="24"/>
        <v>0</v>
      </c>
      <c r="AZ42" s="33">
        <f>AY42*((IF(Z42&gt;JUN!$Z$44,JUN!$Z$44,Z42)+AC42+AD42+AR42)*1.9835)/E42</f>
        <v>0</v>
      </c>
      <c r="BA42" s="33"/>
      <c r="BB42" s="33"/>
      <c r="BC42" s="149" t="str">
        <f t="shared" si="20"/>
        <v/>
      </c>
      <c r="BD42" s="24"/>
      <c r="BE42" s="40"/>
      <c r="BF42" s="169"/>
      <c r="BG42" s="39"/>
      <c r="BH42" s="50"/>
      <c r="BI42" s="314"/>
      <c r="BJ42" s="319">
        <f t="shared" si="7"/>
        <v>4.3607445057805965</v>
      </c>
      <c r="BK42" s="40"/>
      <c r="BL42" s="71"/>
      <c r="BM42" s="534">
        <f t="shared" si="8"/>
        <v>0</v>
      </c>
      <c r="BN42" s="247">
        <f t="shared" si="9"/>
        <v>0</v>
      </c>
      <c r="BP42" s="471">
        <f t="shared" si="21"/>
        <v>28</v>
      </c>
      <c r="BQ42" s="456"/>
      <c r="BR42" s="472">
        <f t="shared" si="10"/>
        <v>0</v>
      </c>
      <c r="BS42" s="473"/>
      <c r="BT42" s="473">
        <f t="shared" si="11"/>
        <v>0</v>
      </c>
    </row>
    <row r="43" spans="1:72" ht="12.95" customHeight="1">
      <c r="A43" s="42">
        <v>29</v>
      </c>
      <c r="B43" s="98"/>
      <c r="C43" s="390">
        <f>IF(B43="",C42,VLOOKUP(TRUNC(B43,1),VLOOKUP!$A$3:$K$2834,RIGHT(TEXT(B43,"0000.00"),1)+2,FALSE))</f>
        <v>178965</v>
      </c>
      <c r="D43" s="39">
        <f t="shared" si="13"/>
        <v>0</v>
      </c>
      <c r="E43" s="49">
        <f t="shared" si="0"/>
        <v>26965</v>
      </c>
      <c r="F43" s="106">
        <f t="shared" si="1"/>
        <v>0</v>
      </c>
      <c r="G43" s="41"/>
      <c r="H43" s="174"/>
      <c r="I43" s="41">
        <f t="shared" si="2"/>
        <v>0</v>
      </c>
      <c r="J43" s="36">
        <f t="shared" si="14"/>
        <v>0</v>
      </c>
      <c r="K43" s="41">
        <f t="shared" si="3"/>
        <v>0</v>
      </c>
      <c r="L43" s="41">
        <f t="shared" si="15"/>
        <v>0</v>
      </c>
      <c r="M43" s="108"/>
      <c r="N43" s="33"/>
      <c r="O43" s="41"/>
      <c r="P43" s="33"/>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c r="AJ43" s="175"/>
      <c r="AK43" s="41"/>
      <c r="AL43" s="49">
        <f t="shared" si="26"/>
        <v>3468.6792387194482</v>
      </c>
      <c r="AM43" s="49"/>
      <c r="AN43" s="68">
        <f t="shared" si="17"/>
        <v>0</v>
      </c>
      <c r="AO43" s="41">
        <f t="shared" si="18"/>
        <v>0</v>
      </c>
      <c r="AP43" s="41">
        <f t="shared" si="5"/>
        <v>0</v>
      </c>
      <c r="AQ43" s="170"/>
      <c r="AR43" s="559"/>
      <c r="AS43" s="443"/>
      <c r="AT43" s="36"/>
      <c r="AU43" s="37">
        <v>0</v>
      </c>
      <c r="AV43" s="399"/>
      <c r="AW43" s="401">
        <f t="shared" si="27"/>
        <v>0</v>
      </c>
      <c r="AX43" s="401">
        <f>IF(AV43="",0,VLOOKUP(ROUNDDOWN(TEXT(B43,"0000"),-1),VLOOKUP!$M$3:$W$32,RIGHT(TEXT(B43,"0000"),1)+2,FALSE))</f>
        <v>0</v>
      </c>
      <c r="AY43" s="401">
        <f t="shared" si="24"/>
        <v>0</v>
      </c>
      <c r="AZ43" s="33">
        <f>AY43*((IF(Z43&gt;JUN!$Z$44,JUN!$Z$44,Z43)+AC43+AD43+AR43)*1.9835)/E43</f>
        <v>0</v>
      </c>
      <c r="BA43" s="33"/>
      <c r="BB43" s="33"/>
      <c r="BC43" s="149" t="str">
        <f t="shared" si="20"/>
        <v/>
      </c>
      <c r="BD43" s="24"/>
      <c r="BE43" s="40"/>
      <c r="BF43" s="169"/>
      <c r="BG43" s="39"/>
      <c r="BH43" s="50"/>
      <c r="BI43" s="314"/>
      <c r="BJ43" s="319">
        <f t="shared" si="7"/>
        <v>3.8614166510787387</v>
      </c>
      <c r="BK43" s="40"/>
      <c r="BL43" s="71"/>
      <c r="BM43" s="534">
        <f t="shared" si="8"/>
        <v>0</v>
      </c>
      <c r="BN43" s="247">
        <f t="shared" si="9"/>
        <v>0</v>
      </c>
      <c r="BP43" s="471">
        <f t="shared" si="21"/>
        <v>29</v>
      </c>
      <c r="BQ43" s="456"/>
      <c r="BR43" s="472">
        <f t="shared" si="10"/>
        <v>0</v>
      </c>
      <c r="BS43" s="473"/>
      <c r="BT43" s="473">
        <f t="shared" si="11"/>
        <v>0</v>
      </c>
    </row>
    <row r="44" spans="1:72" ht="12.95" customHeight="1">
      <c r="A44" s="42">
        <v>30</v>
      </c>
      <c r="B44" s="98"/>
      <c r="C44" s="390">
        <f>IF(B44="",C43,VLOOKUP(TRUNC(B44,1),VLOOKUP!$A$3:$K$2834,RIGHT(TEXT(B44,"0000.00"),1)+2,FALSE))</f>
        <v>178965</v>
      </c>
      <c r="D44" s="39">
        <f t="shared" si="13"/>
        <v>0</v>
      </c>
      <c r="E44" s="49">
        <f t="shared" si="0"/>
        <v>26965</v>
      </c>
      <c r="F44" s="106">
        <f t="shared" si="1"/>
        <v>0</v>
      </c>
      <c r="G44" s="41"/>
      <c r="H44" s="174"/>
      <c r="I44" s="41">
        <f t="shared" si="2"/>
        <v>0</v>
      </c>
      <c r="J44" s="36">
        <f t="shared" si="14"/>
        <v>0</v>
      </c>
      <c r="K44" s="41">
        <f t="shared" si="3"/>
        <v>0</v>
      </c>
      <c r="L44" s="41">
        <f t="shared" si="15"/>
        <v>0</v>
      </c>
      <c r="M44" s="108"/>
      <c r="N44" s="33"/>
      <c r="O44" s="41"/>
      <c r="P44" s="33"/>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c r="AJ44" s="175"/>
      <c r="AK44" s="41"/>
      <c r="AL44" s="49">
        <f t="shared" si="26"/>
        <v>3468.6792387194482</v>
      </c>
      <c r="AM44" s="49"/>
      <c r="AN44" s="68">
        <f t="shared" si="17"/>
        <v>0</v>
      </c>
      <c r="AO44" s="41">
        <f t="shared" si="18"/>
        <v>0</v>
      </c>
      <c r="AP44" s="41">
        <f t="shared" si="5"/>
        <v>0</v>
      </c>
      <c r="AQ44" s="170"/>
      <c r="AR44" s="559"/>
      <c r="AS44" s="443"/>
      <c r="AT44" s="36"/>
      <c r="AU44" s="37">
        <v>0</v>
      </c>
      <c r="AV44" s="399"/>
      <c r="AW44" s="401">
        <f t="shared" si="27"/>
        <v>0</v>
      </c>
      <c r="AX44" s="401">
        <f>IF(AV44="",0,VLOOKUP(ROUNDDOWN(TEXT(B44,"0000"),-1),VLOOKUP!$M$3:$W$32,RIGHT(TEXT(B44,"0000"),1)+2,FALSE))</f>
        <v>0</v>
      </c>
      <c r="AY44" s="401">
        <f>AW44/12*AX44</f>
        <v>0</v>
      </c>
      <c r="AZ44" s="33">
        <f>AY44*((IF(Z44&gt;JUN!$Z$44,JUN!$Z$44,Z44)+AC44+AD44+AR44)*1.9835)/E44</f>
        <v>0</v>
      </c>
      <c r="BA44" s="33"/>
      <c r="BB44" s="33"/>
      <c r="BC44" s="149" t="str">
        <f t="shared" si="20"/>
        <v/>
      </c>
      <c r="BD44" s="24"/>
      <c r="BE44" s="40"/>
      <c r="BF44" s="169"/>
      <c r="BG44" s="39"/>
      <c r="BH44" s="50"/>
      <c r="BI44" s="314"/>
      <c r="BJ44" s="319">
        <f t="shared" si="7"/>
        <v>5.1261474219586223</v>
      </c>
      <c r="BK44" s="40"/>
      <c r="BL44" s="71"/>
      <c r="BM44" s="534">
        <f t="shared" si="8"/>
        <v>0</v>
      </c>
      <c r="BN44" s="247">
        <f t="shared" si="9"/>
        <v>0</v>
      </c>
      <c r="BP44" s="471">
        <f t="shared" si="21"/>
        <v>30</v>
      </c>
      <c r="BQ44" s="456"/>
      <c r="BR44" s="472">
        <f t="shared" si="10"/>
        <v>0</v>
      </c>
      <c r="BS44" s="473"/>
      <c r="BT44" s="473">
        <f t="shared" si="11"/>
        <v>0</v>
      </c>
    </row>
    <row r="45" spans="1:72" ht="12.95" customHeight="1">
      <c r="A45" s="42">
        <v>31</v>
      </c>
      <c r="B45" s="98"/>
      <c r="C45" s="390">
        <f>IF(B45="",C44,VLOOKUP(TRUNC(B45,1),VLOOKUP!$A$3:$K$2834,RIGHT(TEXT(B45,"0000.00"),1)+2,FALSE))</f>
        <v>178965</v>
      </c>
      <c r="D45" s="39">
        <f t="shared" si="13"/>
        <v>0</v>
      </c>
      <c r="E45" s="49">
        <f t="shared" si="0"/>
        <v>26965</v>
      </c>
      <c r="F45" s="106">
        <f t="shared" si="1"/>
        <v>0</v>
      </c>
      <c r="G45" s="41"/>
      <c r="H45" s="174"/>
      <c r="I45" s="41">
        <f t="shared" si="2"/>
        <v>0</v>
      </c>
      <c r="J45" s="36">
        <f t="shared" si="14"/>
        <v>0</v>
      </c>
      <c r="K45" s="41">
        <f t="shared" si="3"/>
        <v>0</v>
      </c>
      <c r="L45" s="41">
        <f t="shared" si="15"/>
        <v>0</v>
      </c>
      <c r="M45" s="108"/>
      <c r="N45" s="33"/>
      <c r="O45" s="41"/>
      <c r="P45" s="33"/>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c r="AJ45" s="175"/>
      <c r="AK45" s="41"/>
      <c r="AL45" s="49">
        <f t="shared" si="26"/>
        <v>3468.6792387194482</v>
      </c>
      <c r="AM45" s="49"/>
      <c r="AN45" s="68">
        <f t="shared" si="17"/>
        <v>0</v>
      </c>
      <c r="AO45" s="41">
        <f t="shared" si="18"/>
        <v>0</v>
      </c>
      <c r="AP45" s="106">
        <f t="shared" si="5"/>
        <v>0</v>
      </c>
      <c r="AQ45" s="170"/>
      <c r="AR45" s="559"/>
      <c r="AS45" s="443"/>
      <c r="AT45" s="36"/>
      <c r="AU45" s="37">
        <v>0</v>
      </c>
      <c r="AV45" s="399"/>
      <c r="AW45" s="401">
        <f t="shared" ref="AW45" si="28">AV45*0.7</f>
        <v>0</v>
      </c>
      <c r="AX45" s="401">
        <f>IF(AV45="",0,VLOOKUP(ROUNDDOWN(TEXT(B45,"0000"),-1),VLOOKUP!$M$3:$W$32,RIGHT(TEXT(B45,"0000"),1)+2,FALSE))</f>
        <v>0</v>
      </c>
      <c r="AY45" s="401">
        <f>AW45/12*AX45</f>
        <v>0</v>
      </c>
      <c r="AZ45" s="33">
        <f>AY45*((IF(Z45&gt;JUN!$Z$44,JUN!$Z$44,Z45)+AC45+AD45+AR45)*1.9835)/E45</f>
        <v>0</v>
      </c>
      <c r="BA45" s="33"/>
      <c r="BB45" s="33"/>
      <c r="BC45" s="149" t="str">
        <f t="shared" si="20"/>
        <v/>
      </c>
      <c r="BD45" s="24"/>
      <c r="BE45" s="40"/>
      <c r="BF45" s="169"/>
      <c r="BG45" s="39"/>
      <c r="BH45" s="50"/>
      <c r="BI45" s="314"/>
      <c r="BJ45" s="485">
        <f t="shared" si="7"/>
        <v>3.7706738372769824</v>
      </c>
      <c r="BK45" s="40"/>
      <c r="BL45" s="71"/>
      <c r="BM45" s="534">
        <f t="shared" si="8"/>
        <v>0</v>
      </c>
      <c r="BN45" s="247">
        <f t="shared" si="9"/>
        <v>0</v>
      </c>
      <c r="BP45" s="471">
        <f t="shared" si="21"/>
        <v>31</v>
      </c>
      <c r="BQ45" s="456"/>
      <c r="BR45" s="472">
        <f t="shared" si="10"/>
        <v>0</v>
      </c>
      <c r="BS45" s="473"/>
      <c r="BT45" s="473">
        <f t="shared" si="11"/>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29">SUM(F15:F45)</f>
        <v>0</v>
      </c>
      <c r="G47" s="49">
        <f t="shared" si="29"/>
        <v>0</v>
      </c>
      <c r="H47" s="49">
        <f t="shared" si="29"/>
        <v>0</v>
      </c>
      <c r="I47" s="49">
        <f t="shared" si="29"/>
        <v>0</v>
      </c>
      <c r="J47" s="49">
        <f t="shared" si="29"/>
        <v>0</v>
      </c>
      <c r="K47" s="49">
        <f t="shared" si="29"/>
        <v>0</v>
      </c>
      <c r="L47" s="49">
        <f t="shared" si="29"/>
        <v>0</v>
      </c>
      <c r="M47" s="94">
        <f>SUM(M15:M45)</f>
        <v>0</v>
      </c>
      <c r="N47" s="49">
        <f>SUM(N15:N45)</f>
        <v>0</v>
      </c>
      <c r="O47" s="49">
        <f t="shared" si="29"/>
        <v>0</v>
      </c>
      <c r="P47" s="49">
        <f>SUM(P15:P45)</f>
        <v>0</v>
      </c>
      <c r="Q47" s="49">
        <f>SUM(Q15:Q45)</f>
        <v>65.31088547551002</v>
      </c>
      <c r="R47" s="49">
        <f t="shared" si="29"/>
        <v>78.99825434594112</v>
      </c>
      <c r="S47" s="49">
        <f t="shared" ref="S47:W47" si="30">SUM(S15:S45)</f>
        <v>0</v>
      </c>
      <c r="T47" s="49">
        <f>SUM(T15:T45)</f>
        <v>26.041745654058893</v>
      </c>
      <c r="U47" s="95">
        <f t="shared" si="30"/>
        <v>0</v>
      </c>
      <c r="V47" s="49">
        <f t="shared" si="30"/>
        <v>0</v>
      </c>
      <c r="W47" s="49">
        <f t="shared" si="30"/>
        <v>0</v>
      </c>
      <c r="X47" s="49">
        <f>SUM(X15:X29)</f>
        <v>0</v>
      </c>
      <c r="Y47" s="49">
        <f>SUM(Y15:Y29)</f>
        <v>0</v>
      </c>
      <c r="Z47" s="49"/>
      <c r="AA47" s="49"/>
      <c r="AB47" s="49"/>
      <c r="AC47" s="49"/>
      <c r="AD47" s="49"/>
      <c r="AE47" s="397"/>
      <c r="AF47" s="397">
        <f>SUM(AF15:AF45)</f>
        <v>0</v>
      </c>
      <c r="AG47" s="43">
        <f>AG12-AG29</f>
        <v>2372.9971094717203</v>
      </c>
      <c r="AH47" s="49">
        <f>SUM(AH15:AH45)</f>
        <v>0</v>
      </c>
      <c r="AI47" s="94">
        <f>SUM(AI15:AI45)</f>
        <v>10.199999999999999</v>
      </c>
      <c r="AJ47" s="95">
        <f>SUM(AJ15:AJ45)</f>
        <v>7.8</v>
      </c>
      <c r="AK47" s="49">
        <f>SUM(AK15:AK45)</f>
        <v>0</v>
      </c>
      <c r="AL47" s="49"/>
      <c r="AM47" s="49">
        <f t="shared" ref="AM47:AP47" si="31">SUM(AM15:AM45)</f>
        <v>0</v>
      </c>
      <c r="AN47" s="49">
        <f t="shared" si="31"/>
        <v>0</v>
      </c>
      <c r="AO47" s="49">
        <f t="shared" si="31"/>
        <v>0</v>
      </c>
      <c r="AP47" s="93">
        <f t="shared" si="31"/>
        <v>0</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0</v>
      </c>
      <c r="BG47" s="39" t="e">
        <f>AVERAGE(BG15:BG45)</f>
        <v>#DIV/0!</v>
      </c>
      <c r="BH47" s="39" t="e">
        <f>AVERAGE(BH15:BH45)</f>
        <v>#DIV/0!</v>
      </c>
      <c r="BI47" s="97" t="s">
        <v>43</v>
      </c>
      <c r="BJ47" s="93">
        <f>SUM(BJ15:BJ45)</f>
        <v>170.35088547550998</v>
      </c>
      <c r="BK47" s="43">
        <f>SUM(BK15:BK45)</f>
        <v>0</v>
      </c>
      <c r="BL47" s="314"/>
      <c r="BM47" s="56">
        <f>SUM(BM15:BM45)</f>
        <v>0</v>
      </c>
      <c r="BN47" s="147">
        <f>SUM(BN15:BN45)</f>
        <v>0</v>
      </c>
      <c r="BP47" s="396"/>
      <c r="BQ47" s="396"/>
      <c r="BR47" s="396"/>
      <c r="BS47" s="412">
        <f>SUM(BS15:BS44)</f>
        <v>0</v>
      </c>
      <c r="BT47" s="412">
        <f>SUM(BT15:BT44)</f>
        <v>0</v>
      </c>
    </row>
    <row r="48" spans="1:72" ht="12.95" customHeight="1">
      <c r="A48" s="84" t="s">
        <v>33</v>
      </c>
      <c r="B48" s="189"/>
      <c r="C48" s="49"/>
      <c r="D48" s="49">
        <f>SUM(D15:D45)</f>
        <v>0</v>
      </c>
      <c r="E48" s="49"/>
      <c r="F48" s="93">
        <f t="shared" ref="F48:R48" si="32">F47*$D$2</f>
        <v>0</v>
      </c>
      <c r="G48" s="49">
        <f t="shared" si="32"/>
        <v>0</v>
      </c>
      <c r="H48" s="49">
        <f t="shared" si="32"/>
        <v>0</v>
      </c>
      <c r="I48" s="49">
        <f t="shared" si="32"/>
        <v>0</v>
      </c>
      <c r="J48" s="49">
        <f t="shared" si="32"/>
        <v>0</v>
      </c>
      <c r="K48" s="49">
        <f t="shared" si="32"/>
        <v>0</v>
      </c>
      <c r="L48" s="49">
        <f t="shared" si="32"/>
        <v>0</v>
      </c>
      <c r="M48" s="94">
        <f t="shared" si="32"/>
        <v>0</v>
      </c>
      <c r="N48" s="49">
        <f t="shared" si="32"/>
        <v>0</v>
      </c>
      <c r="O48" s="49">
        <f t="shared" si="32"/>
        <v>0</v>
      </c>
      <c r="P48" s="49">
        <f t="shared" si="32"/>
        <v>0</v>
      </c>
      <c r="Q48" s="49">
        <f>Q47*$D$2</f>
        <v>129.54414134067412</v>
      </c>
      <c r="R48" s="49">
        <f t="shared" si="32"/>
        <v>156.69303749517422</v>
      </c>
      <c r="S48" s="49">
        <f t="shared" ref="S48:Y48" si="33">S47*$D$2</f>
        <v>0</v>
      </c>
      <c r="T48" s="49">
        <f t="shared" si="33"/>
        <v>51.653802504825812</v>
      </c>
      <c r="U48" s="95">
        <f t="shared" si="33"/>
        <v>0</v>
      </c>
      <c r="V48" s="49">
        <f t="shared" si="33"/>
        <v>0</v>
      </c>
      <c r="W48" s="49">
        <f t="shared" si="33"/>
        <v>0</v>
      </c>
      <c r="X48" s="49">
        <f t="shared" si="33"/>
        <v>0</v>
      </c>
      <c r="Y48" s="49">
        <f t="shared" si="33"/>
        <v>0</v>
      </c>
      <c r="Z48" s="49"/>
      <c r="AA48" s="49"/>
      <c r="AB48" s="49"/>
      <c r="AC48" s="49"/>
      <c r="AD48" s="49"/>
      <c r="AE48" s="397"/>
      <c r="AF48" s="397">
        <f>AF47*$D$2</f>
        <v>0</v>
      </c>
      <c r="AG48" s="43">
        <f>AG47*$D$2</f>
        <v>4706.8397666371575</v>
      </c>
      <c r="AH48" s="49">
        <f t="shared" ref="AH48:AP48" si="34">AH47*$D$2</f>
        <v>0</v>
      </c>
      <c r="AI48" s="94">
        <f>AI47*$D$2</f>
        <v>20.2317</v>
      </c>
      <c r="AJ48" s="95">
        <f>AJ47*$D$2</f>
        <v>15.471299999999999</v>
      </c>
      <c r="AK48" s="49">
        <f t="shared" si="34"/>
        <v>0</v>
      </c>
      <c r="AL48" s="49"/>
      <c r="AM48" s="49">
        <f t="shared" si="34"/>
        <v>0</v>
      </c>
      <c r="AN48" s="49">
        <f t="shared" si="34"/>
        <v>0</v>
      </c>
      <c r="AO48" s="49">
        <f t="shared" si="34"/>
        <v>0</v>
      </c>
      <c r="AP48" s="93">
        <f t="shared" si="34"/>
        <v>0</v>
      </c>
      <c r="AQ48" s="49">
        <f>AQ47*$D$2</f>
        <v>0</v>
      </c>
      <c r="AR48" s="49"/>
      <c r="AS48" s="397">
        <f t="shared" ref="AS48" si="35">AS47*$D$2</f>
        <v>0</v>
      </c>
      <c r="AT48" s="49">
        <f>AT47*$D$2</f>
        <v>0</v>
      </c>
      <c r="AU48" s="49"/>
      <c r="AV48" s="397">
        <f>SUM(AV15:AV45)</f>
        <v>0</v>
      </c>
      <c r="AW48" s="397"/>
      <c r="AX48" s="397"/>
      <c r="AY48" s="397">
        <f>SUM(AY15:AY45)</f>
        <v>0</v>
      </c>
      <c r="AZ48" s="49">
        <f>SUM(AZ15:AZ45)</f>
        <v>0</v>
      </c>
      <c r="BA48" s="49">
        <f>BA47*$D$2</f>
        <v>0</v>
      </c>
      <c r="BB48" s="49">
        <f>BB47*$D$2</f>
        <v>0</v>
      </c>
      <c r="BC48" s="49">
        <f>BC47*$D$2</f>
        <v>0</v>
      </c>
      <c r="BD48" s="43"/>
      <c r="BE48" s="49">
        <f>BE47*$D$2</f>
        <v>0</v>
      </c>
      <c r="BF48" s="169"/>
      <c r="BG48" s="39">
        <f>MAX(BG15:BG45)</f>
        <v>0</v>
      </c>
      <c r="BH48" s="39">
        <f>MAX(BH15:BH45)</f>
        <v>0</v>
      </c>
      <c r="BI48" s="97" t="s">
        <v>34</v>
      </c>
      <c r="BJ48" s="93">
        <f>BJ47*$D$2</f>
        <v>337.89098134067405</v>
      </c>
      <c r="BK48" s="43">
        <f>BK47*$D$2</f>
        <v>0</v>
      </c>
      <c r="BL48" s="314"/>
      <c r="BM48" s="56">
        <f>BM47*$D$2</f>
        <v>0</v>
      </c>
      <c r="BN48" s="147">
        <f>BN47*$D$2</f>
        <v>0</v>
      </c>
      <c r="BP48" s="396"/>
      <c r="BQ48" s="396"/>
      <c r="BR48" s="396"/>
      <c r="BS48" s="412">
        <f>BS47*$D$2</f>
        <v>0</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6">F12+F47</f>
        <v>-17926.392740105868</v>
      </c>
      <c r="G50" s="49">
        <f t="shared" si="36"/>
        <v>58214.1</v>
      </c>
      <c r="H50" s="49">
        <f t="shared" si="36"/>
        <v>425.08000000000004</v>
      </c>
      <c r="I50" s="49">
        <f t="shared" si="36"/>
        <v>58639.180000000008</v>
      </c>
      <c r="J50" s="49">
        <f t="shared" si="36"/>
        <v>1465.2759566422985</v>
      </c>
      <c r="K50" s="49">
        <f t="shared" si="36"/>
        <v>60104.455956642305</v>
      </c>
      <c r="L50" s="49">
        <f t="shared" si="36"/>
        <v>-2758.8827401058734</v>
      </c>
      <c r="M50" s="94">
        <f t="shared" si="36"/>
        <v>29916.639999999999</v>
      </c>
      <c r="N50" s="49">
        <f t="shared" si="36"/>
        <v>32.912500000000009</v>
      </c>
      <c r="O50" s="49">
        <f t="shared" si="36"/>
        <v>6414.3245000000006</v>
      </c>
      <c r="P50" s="49">
        <f>P12+P47</f>
        <v>7.2</v>
      </c>
      <c r="Q50" s="49"/>
      <c r="R50" s="49"/>
      <c r="S50" s="49"/>
      <c r="T50" s="49"/>
      <c r="U50" s="95"/>
      <c r="V50" s="49">
        <f>V12+V47</f>
        <v>16010.32</v>
      </c>
      <c r="W50" s="49">
        <f>W12+W47</f>
        <v>8688.9700000000012</v>
      </c>
      <c r="X50" s="49">
        <f>X12+X47</f>
        <v>49099.29067617582</v>
      </c>
      <c r="Y50" s="49">
        <f>Y12+Y47</f>
        <v>48859.474820857606</v>
      </c>
      <c r="Z50" s="56"/>
      <c r="AA50" s="49"/>
      <c r="AB50" s="49"/>
      <c r="AC50" s="49"/>
      <c r="AD50" s="49"/>
      <c r="AE50" s="397"/>
      <c r="AF50" s="397">
        <f>AF12+AF47</f>
        <v>0</v>
      </c>
      <c r="AG50" s="43">
        <f>AG47+AG13</f>
        <v>3966.1809343678237</v>
      </c>
      <c r="AH50" s="49">
        <f>AH12+AH47</f>
        <v>13829.380000000001</v>
      </c>
      <c r="AI50" s="94">
        <f>AI12+AI47</f>
        <v>321.30000000000013</v>
      </c>
      <c r="AJ50" s="95">
        <f>AJ12+AJ47</f>
        <v>245.69999999999996</v>
      </c>
      <c r="AK50" s="49">
        <f t="shared" ref="AK50" si="37">AK12+AK47</f>
        <v>5326.3799999999983</v>
      </c>
      <c r="AL50" s="49"/>
      <c r="AM50" s="49">
        <f t="shared" ref="AM50:AS50" si="38">AM12+AM47</f>
        <v>0</v>
      </c>
      <c r="AN50" s="49">
        <f t="shared" si="38"/>
        <v>73806.690000000017</v>
      </c>
      <c r="AO50" s="49">
        <f t="shared" si="38"/>
        <v>4224.1586967481726</v>
      </c>
      <c r="AP50" s="93">
        <f t="shared" si="38"/>
        <v>78030.848696748159</v>
      </c>
      <c r="AQ50" s="529">
        <f t="shared" si="38"/>
        <v>0</v>
      </c>
      <c r="AR50" s="560"/>
      <c r="AS50" s="397">
        <f t="shared" si="38"/>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0</v>
      </c>
      <c r="BH50" s="39">
        <f>MIN(BH15:BH45)</f>
        <v>0</v>
      </c>
      <c r="BI50" s="97" t="s">
        <v>36</v>
      </c>
      <c r="BJ50" s="93">
        <f>BJ12+BJ47</f>
        <v>1670.5214370928268</v>
      </c>
      <c r="BK50" s="43">
        <f>BK12+BK47</f>
        <v>2196.73</v>
      </c>
      <c r="BL50" s="314"/>
      <c r="BM50" s="56">
        <f>BM47+BM12</f>
        <v>3418.0769282139827</v>
      </c>
      <c r="BN50" s="147">
        <f>BN47+BN12</f>
        <v>1299.1086614201768</v>
      </c>
      <c r="BP50" s="396"/>
      <c r="BQ50" s="396"/>
      <c r="BR50" s="396"/>
      <c r="BS50" s="412"/>
      <c r="BT50" s="412"/>
    </row>
    <row r="51" spans="1:72" ht="12.95" customHeight="1">
      <c r="A51" s="84" t="s">
        <v>37</v>
      </c>
      <c r="B51" s="189"/>
      <c r="C51" s="49"/>
      <c r="D51" s="49"/>
      <c r="E51" s="49"/>
      <c r="F51" s="93">
        <f t="shared" ref="F51:P51" si="39">F50*$D$2</f>
        <v>-35556.999999999993</v>
      </c>
      <c r="G51" s="49">
        <f t="shared" si="39"/>
        <v>115467.66735</v>
      </c>
      <c r="H51" s="49">
        <f t="shared" si="39"/>
        <v>843.14618000000007</v>
      </c>
      <c r="I51" s="49">
        <f t="shared" si="39"/>
        <v>116310.81353000001</v>
      </c>
      <c r="J51" s="49">
        <f t="shared" si="39"/>
        <v>2906.374859999999</v>
      </c>
      <c r="K51" s="49">
        <f t="shared" si="39"/>
        <v>119217.18839000001</v>
      </c>
      <c r="L51" s="49">
        <f t="shared" si="39"/>
        <v>-5472.243915</v>
      </c>
      <c r="M51" s="94">
        <f t="shared" si="39"/>
        <v>59339.655440000002</v>
      </c>
      <c r="N51" s="49">
        <f t="shared" si="39"/>
        <v>65.281943750000025</v>
      </c>
      <c r="O51" s="49">
        <f t="shared" si="39"/>
        <v>12722.812645750002</v>
      </c>
      <c r="P51" s="49">
        <f t="shared" si="39"/>
        <v>14.2812</v>
      </c>
      <c r="Q51" s="49"/>
      <c r="R51" s="49"/>
      <c r="S51" s="49"/>
      <c r="T51" s="49"/>
      <c r="U51" s="95"/>
      <c r="V51" s="49">
        <f>V50*$D$2</f>
        <v>31756.469720000001</v>
      </c>
      <c r="W51" s="49">
        <f>W50*$D$2</f>
        <v>17234.571995000002</v>
      </c>
      <c r="X51" s="49">
        <f>X50*$D$2</f>
        <v>97388.443056194737</v>
      </c>
      <c r="Y51" s="49">
        <f>Y50*$D$2</f>
        <v>96912.768307171063</v>
      </c>
      <c r="Z51" s="56"/>
      <c r="AA51" s="49"/>
      <c r="AB51" s="49"/>
      <c r="AC51" s="49"/>
      <c r="AD51" s="49"/>
      <c r="AE51" s="397"/>
      <c r="AF51" s="397">
        <f>AF50*$D$2</f>
        <v>0</v>
      </c>
      <c r="AG51" s="43">
        <f t="shared" ref="AG51" si="40">AG50*$D$2</f>
        <v>7866.9198833185783</v>
      </c>
      <c r="AH51" s="49">
        <f>AH50*$D$2</f>
        <v>27430.575230000002</v>
      </c>
      <c r="AI51" s="94">
        <f>AI50*$D$2</f>
        <v>637.2985500000002</v>
      </c>
      <c r="AJ51" s="95">
        <f>AJ50*$D$2</f>
        <v>487.34594999999996</v>
      </c>
      <c r="AK51" s="49">
        <f>AK50*$D$2</f>
        <v>10564.874729999998</v>
      </c>
      <c r="AL51" s="49"/>
      <c r="AM51" s="49">
        <f>AM50*$D$2</f>
        <v>0</v>
      </c>
      <c r="AN51" s="49">
        <f>AN50*$D$2</f>
        <v>146395.56961500004</v>
      </c>
      <c r="AO51" s="49">
        <f>AO50*$D$2</f>
        <v>8378.6187750000008</v>
      </c>
      <c r="AP51" s="49">
        <f>AP50*$D$2</f>
        <v>154774.18838999997</v>
      </c>
      <c r="AQ51" s="529">
        <f t="shared" ref="AQ51" si="41">AQ50*$D$2</f>
        <v>0</v>
      </c>
      <c r="AR51" s="560"/>
      <c r="AS51" s="397">
        <f t="shared" ref="AS51" si="42">AS50*$D$2</f>
        <v>0</v>
      </c>
      <c r="AT51" s="49"/>
      <c r="AU51" s="49"/>
      <c r="AV51" s="397">
        <f>AV13+AV48</f>
        <v>45.307499999999997</v>
      </c>
      <c r="AW51" s="397"/>
      <c r="AX51" s="397"/>
      <c r="AY51" s="397">
        <f>SUM(AY13,AY48)</f>
        <v>8439.0667083333319</v>
      </c>
      <c r="AZ51" s="49">
        <f>AZ12+AZ48</f>
        <v>3284.0944199253504</v>
      </c>
      <c r="BA51" s="49">
        <f>BA50*$D$2</f>
        <v>2647.0000000000005</v>
      </c>
      <c r="BB51" s="49">
        <f>BB50*$D$2</f>
        <v>0</v>
      </c>
      <c r="BC51" s="49">
        <f>BC50*$D$2</f>
        <v>1641.0000000000002</v>
      </c>
      <c r="BD51" s="49">
        <f>BD50*$D$2</f>
        <v>41.124566666666659</v>
      </c>
      <c r="BE51" s="49">
        <f>BE50*$D$2</f>
        <v>1913.6000000000001</v>
      </c>
      <c r="BF51" s="169"/>
      <c r="BG51" s="39"/>
      <c r="BH51" s="39"/>
      <c r="BI51" s="314"/>
      <c r="BJ51" s="93">
        <f>BJ50*$D$2</f>
        <v>3313.4792704736219</v>
      </c>
      <c r="BK51" s="43">
        <f>BK50*$D$2</f>
        <v>4357.2139550000002</v>
      </c>
      <c r="BL51" s="314"/>
      <c r="BM51" s="56">
        <f>BM50*$D$2</f>
        <v>6779.755587112435</v>
      </c>
      <c r="BN51" s="147">
        <f>BN50*$D$2</f>
        <v>2576.7820299269206</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3">F13+F47</f>
        <v>-15230.148726997721</v>
      </c>
      <c r="G53" s="49">
        <f t="shared" si="43"/>
        <v>64458.3</v>
      </c>
      <c r="H53" s="49">
        <f t="shared" si="43"/>
        <v>554.97</v>
      </c>
      <c r="I53" s="49">
        <f t="shared" si="43"/>
        <v>65013.270000000004</v>
      </c>
      <c r="J53" s="49">
        <f t="shared" si="43"/>
        <v>4354.6268464834875</v>
      </c>
      <c r="K53" s="49">
        <f t="shared" si="43"/>
        <v>69367.896846483491</v>
      </c>
      <c r="L53" s="49">
        <f t="shared" si="43"/>
        <v>-1109.8687269977313</v>
      </c>
      <c r="M53" s="94">
        <f t="shared" si="43"/>
        <v>30774.79</v>
      </c>
      <c r="N53" s="49">
        <f>N13+N47</f>
        <v>32.912500000000009</v>
      </c>
      <c r="O53" s="49">
        <f t="shared" si="43"/>
        <v>6414.335</v>
      </c>
      <c r="P53" s="49">
        <f t="shared" si="43"/>
        <v>7.2</v>
      </c>
      <c r="Q53" s="49">
        <f>Q13+Q47</f>
        <v>857.29432086110523</v>
      </c>
      <c r="R53" s="49">
        <f t="shared" si="43"/>
        <v>735.51215829179637</v>
      </c>
      <c r="S53" s="49">
        <f t="shared" ref="S53:Y53" si="44">S13+S47</f>
        <v>322.58873938862695</v>
      </c>
      <c r="T53" s="49">
        <f>T13+T47</f>
        <v>329.11310215957684</v>
      </c>
      <c r="U53" s="95">
        <f t="shared" si="44"/>
        <v>64.300345839550417</v>
      </c>
      <c r="V53" s="49">
        <f t="shared" si="44"/>
        <v>16736.62</v>
      </c>
      <c r="W53" s="49">
        <f t="shared" si="44"/>
        <v>8704.59</v>
      </c>
      <c r="X53" s="49">
        <f t="shared" si="44"/>
        <v>49275.881260557784</v>
      </c>
      <c r="Y53" s="49">
        <f t="shared" si="44"/>
        <v>48859.474820857606</v>
      </c>
      <c r="Z53" s="49"/>
      <c r="AA53" s="49"/>
      <c r="AB53" s="49"/>
      <c r="AC53" s="49"/>
      <c r="AD53" s="49"/>
      <c r="AE53" s="397"/>
      <c r="AF53" s="397">
        <f>AF12+AF47</f>
        <v>0</v>
      </c>
      <c r="AG53" s="49">
        <f>AG13+AG47</f>
        <v>3966.1809343678237</v>
      </c>
      <c r="AH53" s="49">
        <f>AH13+AH47</f>
        <v>27430.575230000002</v>
      </c>
      <c r="AI53" s="94">
        <f>AI13+AI47</f>
        <v>321.30000000000013</v>
      </c>
      <c r="AJ53" s="95">
        <f>AJ13+AJ47</f>
        <v>245.69999999999996</v>
      </c>
      <c r="AK53" s="49">
        <f>AK13+AK47</f>
        <v>9050.1699999999983</v>
      </c>
      <c r="AL53" s="49">
        <f>AL45</f>
        <v>3468.6792387194482</v>
      </c>
      <c r="AM53" s="49">
        <f t="shared" ref="AM53:AT53" si="45">AM13+AM47</f>
        <v>0</v>
      </c>
      <c r="AN53" s="49">
        <f t="shared" si="45"/>
        <v>79133.550000000017</v>
      </c>
      <c r="AO53" s="49">
        <f t="shared" si="45"/>
        <v>5464.4955734812193</v>
      </c>
      <c r="AP53" s="353">
        <f t="shared" si="45"/>
        <v>84598.045573481213</v>
      </c>
      <c r="AQ53" s="49">
        <f t="shared" si="45"/>
        <v>685.9</v>
      </c>
      <c r="AR53" s="49"/>
      <c r="AS53" s="397">
        <f>AS13+AS47</f>
        <v>0</v>
      </c>
      <c r="AT53" s="49">
        <f t="shared" si="45"/>
        <v>416.40643970018664</v>
      </c>
      <c r="AU53" s="49"/>
      <c r="AV53" s="397"/>
      <c r="AW53" s="397"/>
      <c r="AX53" s="397"/>
      <c r="AY53" s="397"/>
      <c r="AZ53" s="49"/>
      <c r="BA53" s="49"/>
      <c r="BB53" s="49"/>
      <c r="BC53" s="49"/>
      <c r="BD53" s="49"/>
      <c r="BE53" s="43"/>
      <c r="BF53" s="170">
        <f>BF13+BF47</f>
        <v>7.5265000000000004</v>
      </c>
      <c r="BG53" s="39"/>
      <c r="BH53" s="39"/>
      <c r="BI53" s="314"/>
      <c r="BJ53" s="93">
        <f>BJ13+BJ47</f>
        <v>2348.921166540656</v>
      </c>
      <c r="BK53" s="43">
        <f>BK13+BK47</f>
        <v>2196.73</v>
      </c>
      <c r="BL53" s="314"/>
      <c r="BM53" s="56">
        <f>BM13+BM47</f>
        <v>3418.0769282139827</v>
      </c>
      <c r="BN53" s="147">
        <f>BN13+BN47</f>
        <v>675.05430737694769</v>
      </c>
      <c r="BP53" s="396"/>
      <c r="BQ53" s="396"/>
      <c r="BR53" s="396"/>
      <c r="BS53" s="412">
        <f>BS13+BS47</f>
        <v>0</v>
      </c>
      <c r="BT53" s="412">
        <f>BT13+BT47</f>
        <v>0</v>
      </c>
    </row>
    <row r="54" spans="1:72" ht="12.95" customHeight="1">
      <c r="A54" s="84" t="s">
        <v>39</v>
      </c>
      <c r="B54" s="189"/>
      <c r="C54" s="49"/>
      <c r="D54" s="49">
        <f>D13+D48</f>
        <v>-30209</v>
      </c>
      <c r="E54" s="49">
        <f>E45</f>
        <v>26965</v>
      </c>
      <c r="F54" s="93">
        <f t="shared" ref="F54:AL54" si="46">F53*$D$2</f>
        <v>-30208.999999999978</v>
      </c>
      <c r="G54" s="49">
        <f t="shared" si="46"/>
        <v>127853.03805</v>
      </c>
      <c r="H54" s="49">
        <f t="shared" si="46"/>
        <v>1100.782995</v>
      </c>
      <c r="I54" s="49">
        <f t="shared" si="46"/>
        <v>128953.821045</v>
      </c>
      <c r="J54" s="49">
        <f t="shared" si="46"/>
        <v>8637.4023499999985</v>
      </c>
      <c r="K54" s="49">
        <f t="shared" si="46"/>
        <v>137591.22339500001</v>
      </c>
      <c r="L54" s="49">
        <f t="shared" si="46"/>
        <v>-2201.4246200000002</v>
      </c>
      <c r="M54" s="94">
        <f t="shared" si="46"/>
        <v>61041.795965000005</v>
      </c>
      <c r="N54" s="49">
        <f>N53*$D$2</f>
        <v>65.281943750000025</v>
      </c>
      <c r="O54" s="49">
        <f t="shared" si="46"/>
        <v>12722.8334725</v>
      </c>
      <c r="P54" s="49">
        <f t="shared" si="46"/>
        <v>14.2812</v>
      </c>
      <c r="Q54" s="49">
        <f>Q53*$D$2</f>
        <v>1700.4432854280024</v>
      </c>
      <c r="R54" s="49">
        <f t="shared" si="46"/>
        <v>1458.8883659717781</v>
      </c>
      <c r="S54" s="201">
        <f>S53*$D$2</f>
        <v>639.8547645773416</v>
      </c>
      <c r="T54" s="201">
        <f>T53*$D$2</f>
        <v>652.79583813352065</v>
      </c>
      <c r="U54" s="115">
        <f>U53*$D$2</f>
        <v>127.53973597274826</v>
      </c>
      <c r="V54" s="49">
        <f t="shared" si="46"/>
        <v>33197.085769999998</v>
      </c>
      <c r="W54" s="49">
        <f t="shared" si="46"/>
        <v>17265.554264999999</v>
      </c>
      <c r="X54" s="49">
        <f t="shared" si="46"/>
        <v>97738.710480316367</v>
      </c>
      <c r="Y54" s="49">
        <f t="shared" si="46"/>
        <v>96912.768307171063</v>
      </c>
      <c r="Z54" s="49"/>
      <c r="AA54" s="49"/>
      <c r="AB54" s="49"/>
      <c r="AC54" s="49"/>
      <c r="AD54" s="49"/>
      <c r="AE54" s="397"/>
      <c r="AF54" s="397">
        <f>AF53*$D$2</f>
        <v>0</v>
      </c>
      <c r="AG54" s="43">
        <f>AG53*$D$2</f>
        <v>7866.9198833185783</v>
      </c>
      <c r="AH54" s="43">
        <f>AH53*$D$2</f>
        <v>54408.545968705002</v>
      </c>
      <c r="AI54" s="176">
        <f>AI53*$D$2</f>
        <v>637.2985500000002</v>
      </c>
      <c r="AJ54" s="115">
        <f>AJ53*$D$2</f>
        <v>487.34594999999996</v>
      </c>
      <c r="AK54" s="49">
        <f t="shared" si="46"/>
        <v>17951.012194999996</v>
      </c>
      <c r="AL54" s="49">
        <f t="shared" si="46"/>
        <v>6880.1252700000259</v>
      </c>
      <c r="AM54" s="49">
        <f t="shared" ref="AM54:AT54" si="47">AM53*$D$2</f>
        <v>0</v>
      </c>
      <c r="AN54" s="49">
        <f t="shared" si="47"/>
        <v>156961.39642500004</v>
      </c>
      <c r="AO54" s="49">
        <f t="shared" si="47"/>
        <v>10838.826969999998</v>
      </c>
      <c r="AP54" s="93">
        <f t="shared" si="47"/>
        <v>167800.22339499998</v>
      </c>
      <c r="AQ54" s="49">
        <f t="shared" si="47"/>
        <v>1360.4826499999999</v>
      </c>
      <c r="AR54" s="49"/>
      <c r="AS54" s="397">
        <f t="shared" si="47"/>
        <v>0</v>
      </c>
      <c r="AT54" s="49">
        <f t="shared" si="47"/>
        <v>825.94217314532023</v>
      </c>
      <c r="AU54" s="49"/>
      <c r="AV54" s="397"/>
      <c r="AW54" s="397"/>
      <c r="AX54" s="397"/>
      <c r="AY54" s="397"/>
      <c r="AZ54" s="49">
        <f>AZ13+AZ48</f>
        <v>0</v>
      </c>
      <c r="BA54" s="49"/>
      <c r="BB54" s="49"/>
      <c r="BC54" s="49"/>
      <c r="BD54" s="49"/>
      <c r="BE54" s="43"/>
      <c r="BF54" s="169"/>
      <c r="BG54" s="39"/>
      <c r="BH54" s="39"/>
      <c r="BI54" s="314"/>
      <c r="BJ54" s="93">
        <f>BJ53*$D$2</f>
        <v>4659.0851338333914</v>
      </c>
      <c r="BK54" s="43">
        <f>BK53*$D$2</f>
        <v>4357.2139550000002</v>
      </c>
      <c r="BL54" s="314"/>
      <c r="BM54" s="337">
        <f>BM53*$D$2</f>
        <v>6779.755587112435</v>
      </c>
      <c r="BN54" s="338">
        <f>BN53*$D$2</f>
        <v>1338.9702186821758</v>
      </c>
      <c r="BP54" s="396"/>
      <c r="BQ54" s="396"/>
      <c r="BR54" s="396"/>
      <c r="BS54" s="412">
        <f>BS53*$D$2</f>
        <v>0</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0.94238868241041152</v>
      </c>
      <c r="Q56" s="40"/>
      <c r="W56" s="24"/>
      <c r="X56" s="54"/>
      <c r="Y56" s="54"/>
      <c r="Z56" s="43"/>
      <c r="AA56" s="54"/>
      <c r="AB56" s="43"/>
      <c r="AE56" s="417"/>
      <c r="AF56" s="417"/>
      <c r="AH56" s="40"/>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777.76652749999994</v>
      </c>
      <c r="P57" s="287"/>
      <c r="Q57" s="19"/>
      <c r="R57" s="32"/>
      <c r="W57" s="24"/>
      <c r="X57" s="43"/>
      <c r="Y57" s="43"/>
      <c r="AA57" s="43"/>
      <c r="AC57" s="24"/>
      <c r="AD57" s="24"/>
      <c r="AE57" s="441"/>
      <c r="AF57" s="441"/>
      <c r="AG57" s="20"/>
      <c r="AH57" s="25"/>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43659.877358666614</v>
      </c>
      <c r="BK57" s="527">
        <f>BJ57/$BJ$61</f>
        <v>0.44669995280385139</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54078.833121649754</v>
      </c>
      <c r="BK58" s="527">
        <f>BJ58/$BJ$61</f>
        <v>0.55330004719614867</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17265.554264999999</v>
      </c>
      <c r="BK59" s="527">
        <f>BJ59/BJ58</f>
        <v>0.31926639811479141</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97738.710480316367</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Darrel</cp:lastModifiedBy>
  <cp:lastPrinted>2016-04-25T14:27:30Z</cp:lastPrinted>
  <dcterms:created xsi:type="dcterms:W3CDTF">1997-11-03T22:03:40Z</dcterms:created>
  <dcterms:modified xsi:type="dcterms:W3CDTF">2025-09-25T14:37:35Z</dcterms:modified>
</cp:coreProperties>
</file>