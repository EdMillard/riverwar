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APR!$A$1:$AZ$56</definedName>
    <definedName function="false" hidden="false" localSheetId="9" name="_xlnm.Print_Area" vbProcedure="false">AUG!$A$1:$BB$60</definedName>
    <definedName function="false" hidden="false" localSheetId="1" name="_xlnm.Print_Area" vbProcedure="false">DEC!$A$1:$AZ$60</definedName>
    <definedName function="false" hidden="false" localSheetId="3" name="_xlnm.Print_Area" vbProcedure="false">FEB!$A$1:$AZ$61</definedName>
    <definedName function="false" hidden="false" localSheetId="2" name="_xlnm.Print_Area" vbProcedure="false">JAN!$A$1:$AZ$60</definedName>
    <definedName function="false" hidden="false" localSheetId="8" name="_xlnm.Print_Area" vbProcedure="false">JUL!$A$1:$BB$56</definedName>
    <definedName function="false" hidden="false" localSheetId="7" name="_xlnm.Print_Area" vbProcedure="false">JUN!$A$1:$AZ$56</definedName>
    <definedName function="false" hidden="false" localSheetId="4" name="_xlnm.Print_Area" vbProcedure="false">MAR!$A$1:$BB$60</definedName>
    <definedName function="false" hidden="false" localSheetId="6" name="_xlnm.Print_Area" vbProcedure="false">MAY!$A$1:$AZ$60</definedName>
    <definedName function="false" hidden="false" localSheetId="11" name="_xlnm.Print_Area" vbProcedure="false">OCT!$A$1:$BA$60</definedName>
    <definedName function="false" hidden="false" localSheetId="10" name="_xlnm.Print_Area" vbProcedure="false">SEP!$A$1:$BB$60</definedName>
    <definedName function="false" hidden="false" localSheetId="8" name="solver_adj" vbProcedure="false">JUL!$P$34</definedName>
    <definedName function="false" hidden="false" localSheetId="8" name="solver_cvg" vbProcedure="false">0.0001</definedName>
    <definedName function="false" hidden="false" localSheetId="8" name="solver_drv" vbProcedure="false">1</definedName>
    <definedName function="false" hidden="false" localSheetId="8" name="solver_eng" vbProcedure="false">1</definedName>
    <definedName function="false" hidden="false" localSheetId="8" name="solver_est" vbProcedure="false">1</definedName>
    <definedName function="false" hidden="false" localSheetId="8" name="solver_itr" vbProcedure="false">2147483647</definedName>
    <definedName function="false" hidden="false" localSheetId="8" name="solver_mip" vbProcedure="false">2147483647</definedName>
    <definedName function="false" hidden="false" localSheetId="8" name="solver_mni" vbProcedure="false">30</definedName>
    <definedName function="false" hidden="false" localSheetId="8" name="solver_mrt" vbProcedure="false">0.075</definedName>
    <definedName function="false" hidden="false" localSheetId="8" name="solver_msl" vbProcedure="false">2</definedName>
    <definedName function="false" hidden="false" localSheetId="8" name="solver_neg" vbProcedure="false">1</definedName>
    <definedName function="false" hidden="false" localSheetId="8" name="solver_nod" vbProcedure="false">2147483647</definedName>
    <definedName function="false" hidden="false" localSheetId="8" name="solver_num" vbProcedure="false">0</definedName>
    <definedName function="false" hidden="false" localSheetId="8" name="solver_nwt" vbProcedure="false">1</definedName>
    <definedName function="false" hidden="false" localSheetId="8" name="solver_opt" vbProcedure="false">JUL!$P$48</definedName>
    <definedName function="false" hidden="false" localSheetId="8" name="solver_pre" vbProcedure="false">0.000001</definedName>
    <definedName function="false" hidden="false" localSheetId="8" name="solver_rbv" vbProcedure="false">1</definedName>
    <definedName function="false" hidden="false" localSheetId="8" name="solver_rlx" vbProcedure="false">2</definedName>
    <definedName function="false" hidden="false" localSheetId="8" name="solver_rsd" vbProcedure="false">0</definedName>
    <definedName function="false" hidden="false" localSheetId="8" name="solver_scl" vbProcedure="false">1</definedName>
    <definedName function="false" hidden="false" localSheetId="8" name="solver_sho" vbProcedure="false">2</definedName>
    <definedName function="false" hidden="false" localSheetId="8" name="solver_ssz" vbProcedure="false">100</definedName>
    <definedName function="false" hidden="false" localSheetId="8" name="solver_tim" vbProcedure="false">2147483647</definedName>
    <definedName function="false" hidden="false" localSheetId="8" name="solver_tol" vbProcedure="false">0.01</definedName>
    <definedName function="false" hidden="false" localSheetId="8" name="solver_typ" vbProcedure="false">3</definedName>
    <definedName function="false" hidden="false" localSheetId="8" name="solver_val" vbProcedure="false">14</definedName>
    <definedName function="false" hidden="false" localSheetId="8" name="solver_ver" vbProcedure="false">3</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G32" authorId="0">
      <text>
        <r>
          <rPr>
            <b val="true"/>
            <sz val="8"/>
            <color rgb="FF000000"/>
            <rFont val="Tahoma"/>
            <family val="2"/>
          </rPr>
          <t xml:space="preserve">Eric Sprague:
</t>
        </r>
        <r>
          <rPr>
            <sz val="8"/>
            <color rgb="FF000000"/>
            <rFont val="Tahoma"/>
            <family val="2"/>
          </rPr>
          <t xml:space="preserve">30-NOV-2015: USGS gage has ice interfering with reading. Website shows "Ice" as daily reading. Will set Dolores River equal to Calc Inflow until USGS releases values. This is for the 18th to present.</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2" authorId="0">
      <text>
        <r>
          <rPr>
            <b val="true"/>
            <sz val="9"/>
            <color rgb="FF000000"/>
            <rFont val="Tahoma"/>
            <family val="2"/>
          </rPr>
          <t xml:space="preserve">Eric Sprague:
</t>
        </r>
        <r>
          <rPr>
            <sz val="9"/>
            <color rgb="FF000000"/>
            <rFont val="Tahoma"/>
            <family val="2"/>
          </rPr>
          <t xml:space="preserve">B. Johnson shut off Lone Pine at 10:00 AM.</t>
        </r>
      </text>
    </comment>
    <comment ref="AC36" authorId="0">
      <text>
        <r>
          <rPr>
            <b val="true"/>
            <sz val="8"/>
            <color rgb="FF000000"/>
            <rFont val="Tahoma"/>
            <family val="2"/>
          </rPr>
          <t xml:space="preserve">Eric Sprague:
</t>
        </r>
        <r>
          <rPr>
            <sz val="8"/>
            <color rgb="FF000000"/>
            <rFont val="Tahoma"/>
            <family val="2"/>
          </rPr>
          <t xml:space="preserve">Begin storing 1,714.14 cfs of Totten Exchange water. This storage is purely conceptual, and represents "setting aside" water already stored in McPhee for the Totten Exchange. 
4-APR-2016. These values are dependant upon the Dolores gage, and they will change retro-actively when the gage is updated.  See "2015-2016 MVIIC's Water" spreadsheet.</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N16" authorId="0">
      <text>
        <r>
          <rPr>
            <b val="true"/>
            <sz val="8"/>
            <color rgb="FF000000"/>
            <rFont val="Tahoma"/>
            <family val="2"/>
          </rPr>
          <t xml:space="preserve">Eric Sprague:
</t>
        </r>
        <r>
          <rPr>
            <sz val="8"/>
            <color rgb="FF000000"/>
            <rFont val="Tahoma"/>
            <family val="2"/>
          </rPr>
          <t xml:space="preserve">Nov 2, 2015 Narraguinnep boat ramp read 60.0' = 12,834.5 AF capacity.</t>
        </r>
      </text>
    </comment>
    <comment ref="BA47" authorId="0">
      <text>
        <r>
          <rPr>
            <b val="true"/>
            <sz val="8"/>
            <color rgb="FF000000"/>
            <rFont val="Tahoma"/>
            <family val="2"/>
          </rPr>
          <t xml:space="preserve">Vernon:
</t>
        </r>
        <r>
          <rPr>
            <sz val="8"/>
            <color rgb="FF000000"/>
            <rFont val="Tahoma"/>
            <family val="2"/>
          </rPr>
          <t xml:space="preserve">The gate leaks and this is an estimated discharge via DWR (leak of 0.2 cfs per day).</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5" authorId="0">
      <text>
        <r>
          <rPr>
            <b val="true"/>
            <sz val="8"/>
            <color rgb="FF000000"/>
            <rFont val="Tahoma"/>
            <family val="2"/>
          </rPr>
          <t xml:space="preserve">Eric Sprague:
</t>
        </r>
        <r>
          <rPr>
            <sz val="8"/>
            <color rgb="FF000000"/>
            <rFont val="Tahoma"/>
            <family val="2"/>
          </rPr>
          <t xml:space="preserve">8-DEC-2015: USGS gage has ice interfere with reading. Website shows "Ice" as daily reading. Will set Dolores River equal to Calc Inflow until USGS releases values. This is for November 18th to present.</t>
        </r>
      </text>
    </comment>
    <comment ref="H24" authorId="0">
      <text>
        <r>
          <rPr>
            <b val="true"/>
            <sz val="8"/>
            <color rgb="FF000000"/>
            <rFont val="Tahoma"/>
            <family val="2"/>
          </rPr>
          <t xml:space="preserve">Eric Sprague:
</t>
        </r>
        <r>
          <rPr>
            <sz val="8"/>
            <color rgb="FF000000"/>
            <rFont val="Tahoma"/>
            <family val="2"/>
          </rPr>
          <t xml:space="preserve">USGS Gage iced over.</t>
        </r>
      </text>
    </comment>
    <comment ref="O28"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29"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0"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1"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2"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3"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47" authorId="0">
      <text>
        <r>
          <rPr>
            <b val="true"/>
            <sz val="8"/>
            <color rgb="FF000000"/>
            <rFont val="Tahoma"/>
            <family val="2"/>
          </rPr>
          <t xml:space="preserve">Eric Sprague:
</t>
        </r>
        <r>
          <rPr>
            <sz val="8"/>
            <color rgb="FF000000"/>
            <rFont val="Tahoma"/>
            <family val="2"/>
          </rPr>
          <t xml:space="preserve">"-21 cfs" for water that remained in Reach 2 from WY2015 but hadn't drained until 19-DEC-2015 </t>
        </r>
        <r>
          <rPr>
            <u val="single"/>
            <sz val="8"/>
            <color rgb="FF000000"/>
            <rFont val="Tahoma"/>
            <family val="2"/>
          </rPr>
          <t xml:space="preserve">WY 2016</t>
        </r>
        <r>
          <rPr>
            <sz val="8"/>
            <color rgb="FF000000"/>
            <rFont val="Tahoma"/>
            <family val="2"/>
          </rPr>
          <t xml:space="preserve">. Typically this water would have drained in November, but due to experiments being performed on the pipeshoot to test  for a leak, water was held behind Check 514 at the EDS until -DEC-2015.</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C39" authorId="0">
      <text>
        <r>
          <rPr>
            <b val="true"/>
            <sz val="9"/>
            <color rgb="FF000000"/>
            <rFont val="Tahoma"/>
            <family val="2"/>
          </rPr>
          <t xml:space="preserve">Eric Sprague:
</t>
        </r>
        <r>
          <rPr>
            <sz val="9"/>
            <color rgb="FF000000"/>
            <rFont val="Tahoma"/>
            <family val="2"/>
          </rPr>
          <t xml:space="preserve">Storing of Totten Exchange complete.</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V36" authorId="0">
      <text>
        <r>
          <rPr>
            <b val="true"/>
            <sz val="9"/>
            <color rgb="FF000000"/>
            <rFont val="Tahoma"/>
            <family val="2"/>
          </rPr>
          <t xml:space="preserve">Eric Sprague:
</t>
        </r>
        <r>
          <rPr>
            <sz val="9"/>
            <color rgb="FF000000"/>
            <rFont val="Tahoma"/>
            <family val="2"/>
          </rPr>
          <t xml:space="preserve">Precip occurred overnight, primarily after midnight, with only trace snowfall on the 21st. </t>
        </r>
      </text>
    </comment>
    <comment ref="AV37"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38"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39"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43"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44"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W30"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AW31"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AX30"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AX31"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BA48" authorId="0">
      <text>
        <r>
          <rPr>
            <b val="true"/>
            <sz val="8"/>
            <color rgb="FF000000"/>
            <rFont val="Tahoma"/>
            <family val="2"/>
          </rPr>
          <t xml:space="preserve">Vernon:
</t>
        </r>
        <r>
          <rPr>
            <sz val="8"/>
            <color rgb="FF000000"/>
            <rFont val="Tahoma"/>
            <family val="2"/>
          </rPr>
          <t xml:space="preserve">The gate leaks and this is an estimated discharge via DWR (leak of 0.2 cfs per day).</t>
        </r>
      </text>
    </comment>
  </commentList>
</comments>
</file>

<file path=xl/comments3.xml><?xml version="1.0" encoding="utf-8"?>
<comments xmlns="http://schemas.openxmlformats.org/spreadsheetml/2006/main" xmlns:xdr="http://schemas.openxmlformats.org/drawingml/2006/spreadsheetDrawing">
  <authors>
    <author> </author>
  </authors>
  <commentLis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List>
</comments>
</file>

<file path=xl/comments4.xml><?xml version="1.0" encoding="utf-8"?>
<comments xmlns="http://schemas.openxmlformats.org/spreadsheetml/2006/main" xmlns:xdr="http://schemas.openxmlformats.org/drawingml/2006/spreadsheetDrawing">
  <authors>
    <author> </author>
  </authors>
  <commentLis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0" authorId="0">
      <text>
        <r>
          <rPr>
            <b val="true"/>
            <sz val="9"/>
            <color rgb="FF000000"/>
            <rFont val="Tahoma"/>
            <family val="2"/>
          </rPr>
          <t xml:space="preserve">Eric Sprague:
</t>
        </r>
        <r>
          <rPr>
            <sz val="9"/>
            <color rgb="FF000000"/>
            <rFont val="Tahoma"/>
            <family val="2"/>
          </rPr>
          <t xml:space="preserve">MVIC oppened up the Lone Pine and began  filling NARR again.</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N30" authorId="0">
      <text>
        <r>
          <rPr>
            <b val="true"/>
            <sz val="9"/>
            <color rgb="FF000000"/>
            <rFont val="Tahoma"/>
            <family val="2"/>
          </rPr>
          <t xml:space="preserve">Eric Sprague:
</t>
        </r>
        <r>
          <rPr>
            <sz val="9"/>
            <color rgb="FF000000"/>
            <rFont val="Tahoma"/>
            <family val="2"/>
          </rPr>
          <t xml:space="preserve">MVIC oppened up the Lone Pine and began  filling NARR again.</t>
        </r>
      </text>
    </comment>
  </commentList>
</comments>
</file>

<file path=xl/comments5.xml><?xml version="1.0" encoding="utf-8"?>
<comments xmlns="http://schemas.openxmlformats.org/spreadsheetml/2006/main" xmlns:xdr="http://schemas.openxmlformats.org/drawingml/2006/spreadsheetDrawing">
  <authors>
    <author> </author>
  </authors>
  <commentList>
    <comment ref="B29" authorId="0">
      <text>
        <r>
          <rPr>
            <b val="true"/>
            <sz val="9"/>
            <color rgb="FF000000"/>
            <rFont val="Tahoma"/>
            <family val="2"/>
          </rPr>
          <t xml:space="preserve">Eric Sprague:
</t>
        </r>
        <r>
          <rPr>
            <sz val="9"/>
            <color rgb="FF000000"/>
            <rFont val="Tahoma"/>
            <family val="2"/>
          </rPr>
          <t xml:space="preserve">21-APR-2016. McPhee elevation probe found to be incorrectly reading elevation. The probe was reading out elevations higher than reality, likely due to stretching as the probe is new. The probe was recalibrated, and values from 15-MAR-2016 through 21-APR-2016 were edited to attempt to represent the true elevation. The probe is being monitored daily to detect any more errors.</t>
        </r>
      </text>
    </comment>
    <comment ref="G16" authorId="0">
      <text>
        <r>
          <rPr>
            <b val="true"/>
            <sz val="9"/>
            <color rgb="FF000000"/>
            <rFont val="Tahoma"/>
            <family val="2"/>
          </rPr>
          <t xml:space="preserve">Eric Sprague:
</t>
        </r>
        <r>
          <rPr>
            <sz val="9"/>
            <color rgb="FF000000"/>
            <rFont val="Tahoma"/>
            <family val="2"/>
          </rPr>
          <t xml:space="preserve">DWR began reporting flows for DOLDOLCO gage again. Values from 18-NOV-2015 to 2-MAR-2016 are all still estimated from elevation, but will be replaced when the values  become available on the DWR website.</t>
        </r>
      </text>
    </comment>
    <comment ref="M38" authorId="0">
      <text>
        <r>
          <rPr>
            <b val="true"/>
            <sz val="9"/>
            <color rgb="FF000000"/>
            <rFont val="Tahoma"/>
            <family val="2"/>
          </rPr>
          <t xml:space="preserve">Eric Sprague:
</t>
        </r>
        <r>
          <rPr>
            <sz val="9"/>
            <color rgb="FF000000"/>
            <rFont val="Tahoma"/>
            <family val="2"/>
          </rPr>
          <t xml:space="preserve">MVIC began a stock run but ran into issues on Friday. They will start over again during the week. Flows were into the Lone Pine, the U-Lateral, and the West Lateral.</t>
        </r>
      </text>
    </comment>
    <comment ref="M42" authorId="0">
      <text>
        <r>
          <rPr>
            <b val="true"/>
            <sz val="9"/>
            <color rgb="FF000000"/>
            <rFont val="Tahoma"/>
            <family val="2"/>
          </rPr>
          <t xml:space="preserve">Eric Sprague:
</t>
        </r>
        <r>
          <rPr>
            <sz val="9"/>
            <color rgb="FF000000"/>
            <rFont val="Tahoma"/>
            <family val="2"/>
          </rPr>
          <t xml:space="preserve">MVIC began the stock run again.</t>
        </r>
      </text>
    </comment>
    <comment ref="M45" authorId="0">
      <text>
        <r>
          <rPr>
            <b val="true"/>
            <sz val="9"/>
            <color rgb="FF000000"/>
            <rFont val="Tahoma"/>
            <family val="2"/>
          </rPr>
          <t xml:space="preserve">Eric Sprague:
</t>
        </r>
        <r>
          <rPr>
            <sz val="9"/>
            <color rgb="FF000000"/>
            <rFont val="Tahoma"/>
            <family val="2"/>
          </rPr>
          <t xml:space="preserve">MVIC ended their stock run into the East and West Laterals. They will still run some down the THC next week.</t>
        </r>
      </text>
    </comment>
    <comment ref="O41" authorId="0">
      <text>
        <r>
          <rPr>
            <b val="true"/>
            <sz val="9"/>
            <color rgb="FF000000"/>
            <rFont val="Tahoma"/>
            <family val="2"/>
          </rPr>
          <t xml:space="preserve">Eric Sprague:
</t>
        </r>
        <r>
          <rPr>
            <sz val="9"/>
            <color rgb="FF000000"/>
            <rFont val="Tahoma"/>
            <family val="2"/>
          </rPr>
          <t xml:space="preserve">EDS open. Flows registered are likely from the Hermana resulting from drainage from the brief stock run into the West Lateral.</t>
        </r>
      </text>
    </comment>
    <comment ref="O44" authorId="0">
      <text>
        <r>
          <rPr>
            <b val="true"/>
            <sz val="9"/>
            <color rgb="FF000000"/>
            <rFont val="Tahoma"/>
            <family val="2"/>
          </rPr>
          <t xml:space="preserve">Eric Sprague:
</t>
        </r>
        <r>
          <rPr>
            <sz val="9"/>
            <color rgb="FF000000"/>
            <rFont val="Tahoma"/>
            <family val="2"/>
          </rPr>
          <t xml:space="preserve">EDS open. Flows registered are likely from the Hermana resulting from drainage from the brief stock run into the West Lateral.</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U38" authorId="0">
      <text>
        <r>
          <rPr>
            <b val="true"/>
            <sz val="8"/>
            <color rgb="FF000000"/>
            <rFont val="Tahoma"/>
            <family val="2"/>
          </rPr>
          <t xml:space="preserve">Eric Sprague:
</t>
        </r>
        <r>
          <rPr>
            <sz val="8"/>
            <color rgb="FF000000"/>
            <rFont val="Tahoma"/>
            <family val="2"/>
          </rPr>
          <t xml:space="preserve">End of F-Bay Eqn as we began sending water down Towaoc Canal. If F-bay Eqn were to stay in effect MVI would not be charged for any water.</t>
        </r>
      </text>
    </comment>
    <comment ref="V36" authorId="0">
      <text>
        <r>
          <rPr>
            <b val="true"/>
            <sz val="9"/>
            <color rgb="FF000000"/>
            <rFont val="Tahoma"/>
            <family val="2"/>
          </rPr>
          <t xml:space="preserve">Eric Sprague:
</t>
        </r>
        <r>
          <rPr>
            <sz val="9"/>
            <color rgb="FF000000"/>
            <rFont val="Tahoma"/>
            <family val="2"/>
          </rPr>
          <t xml:space="preserve">NARR full. MVIC stopped filling NARR at 71.5' or 18959.9 AF.</t>
        </r>
      </text>
    </comment>
    <comment ref="V38" authorId="0">
      <text>
        <r>
          <rPr>
            <b val="true"/>
            <sz val="9"/>
            <color rgb="FF000000"/>
            <rFont val="Tahoma"/>
            <family val="2"/>
          </rPr>
          <t xml:space="preserve">Eric Sprague:
</t>
        </r>
        <r>
          <rPr>
            <sz val="9"/>
            <color rgb="FF000000"/>
            <rFont val="Tahoma"/>
            <family val="2"/>
          </rPr>
          <t xml:space="preserve">MVIC began a stock run but ran into issues on Friday. They will start over again during the week. Flows were into the Lone Pine, the U-Lateral, and the West Lateral.</t>
        </r>
      </text>
    </comment>
    <comment ref="V42" authorId="0">
      <text>
        <r>
          <rPr>
            <b val="true"/>
            <sz val="9"/>
            <color rgb="FF000000"/>
            <rFont val="Tahoma"/>
            <family val="2"/>
          </rPr>
          <t xml:space="preserve">Eric Sprague:
</t>
        </r>
        <r>
          <rPr>
            <sz val="9"/>
            <color rgb="FF000000"/>
            <rFont val="Tahoma"/>
            <family val="2"/>
          </rPr>
          <t xml:space="preserve">MVIC began the stock run again.</t>
        </r>
      </text>
    </comment>
    <comment ref="V45" authorId="0">
      <text>
        <r>
          <rPr>
            <b val="true"/>
            <sz val="9"/>
            <color rgb="FF000000"/>
            <rFont val="Tahoma"/>
            <family val="2"/>
          </rPr>
          <t xml:space="preserve">Eric Sprague:
</t>
        </r>
        <r>
          <rPr>
            <sz val="9"/>
            <color rgb="FF000000"/>
            <rFont val="Tahoma"/>
            <family val="2"/>
          </rPr>
          <t xml:space="preserve">MVIC ended their stock run into the Lone Pine.</t>
        </r>
      </text>
    </comment>
    <comment ref="W38" authorId="0">
      <text>
        <r>
          <rPr>
            <b val="true"/>
            <sz val="9"/>
            <color rgb="FF000000"/>
            <rFont val="Tahoma"/>
            <family val="2"/>
          </rPr>
          <t xml:space="preserve">Eric Sprague:
</t>
        </r>
        <r>
          <rPr>
            <sz val="9"/>
            <color rgb="FF000000"/>
            <rFont val="Tahoma"/>
            <family val="2"/>
          </rPr>
          <t xml:space="preserve">MVIC began a stock run but ran into issues on Friday. They will start over again during the week. Flows were into the Lone Pine, the U-Lateral, and the West Lateral.</t>
        </r>
      </text>
    </comment>
    <comment ref="W42" authorId="0">
      <text>
        <r>
          <rPr>
            <b val="true"/>
            <sz val="9"/>
            <color rgb="FF000000"/>
            <rFont val="Tahoma"/>
            <family val="2"/>
          </rPr>
          <t xml:space="preserve">Eric Sprague:
</t>
        </r>
        <r>
          <rPr>
            <sz val="9"/>
            <color rgb="FF000000"/>
            <rFont val="Tahoma"/>
            <family val="2"/>
          </rPr>
          <t xml:space="preserve">MVIC began the stock run again.</t>
        </r>
      </text>
    </comment>
    <comment ref="W45" authorId="0">
      <text>
        <r>
          <rPr>
            <b val="true"/>
            <sz val="9"/>
            <color rgb="FF000000"/>
            <rFont val="Tahoma"/>
            <family val="2"/>
          </rPr>
          <t xml:space="preserve">Eric Sprague:
</t>
        </r>
        <r>
          <rPr>
            <sz val="9"/>
            <color rgb="FF000000"/>
            <rFont val="Tahoma"/>
            <family val="2"/>
          </rPr>
          <t xml:space="preserve">MVIC ended their stock run into the U-Lateral.</t>
        </r>
      </text>
    </comment>
    <comment ref="Y38" authorId="0">
      <text>
        <r>
          <rPr>
            <b val="true"/>
            <sz val="9"/>
            <color rgb="FF000000"/>
            <rFont val="Tahoma"/>
            <family val="2"/>
          </rPr>
          <t xml:space="preserve">Eric Sprague:
</t>
        </r>
        <r>
          <rPr>
            <sz val="9"/>
            <color rgb="FF000000"/>
            <rFont val="Tahoma"/>
            <family val="2"/>
          </rPr>
          <t xml:space="preserve">Negative due to stock run.</t>
        </r>
      </text>
    </comment>
    <comment ref="Y39" authorId="0">
      <text>
        <r>
          <rPr>
            <b val="true"/>
            <sz val="9"/>
            <color rgb="FF000000"/>
            <rFont val="Tahoma"/>
            <family val="2"/>
          </rPr>
          <t xml:space="preserve">Eric Sprague:
</t>
        </r>
        <r>
          <rPr>
            <sz val="9"/>
            <color rgb="FF000000"/>
            <rFont val="Tahoma"/>
            <family val="2"/>
          </rPr>
          <t xml:space="preserve">Negative due to stock run.</t>
        </r>
      </text>
    </comment>
    <comment ref="Y40" authorId="0">
      <text>
        <r>
          <rPr>
            <b val="true"/>
            <sz val="9"/>
            <color rgb="FF000000"/>
            <rFont val="Tahoma"/>
            <family val="2"/>
          </rPr>
          <t xml:space="preserve">Eric Sprague:
</t>
        </r>
        <r>
          <rPr>
            <sz val="9"/>
            <color rgb="FF000000"/>
            <rFont val="Tahoma"/>
            <family val="2"/>
          </rPr>
          <t xml:space="preserve">Negative due to stock run.</t>
        </r>
      </text>
    </comment>
    <comment ref="Y41" authorId="0">
      <text>
        <r>
          <rPr>
            <b val="true"/>
            <sz val="9"/>
            <color rgb="FF000000"/>
            <rFont val="Tahoma"/>
            <family val="2"/>
          </rPr>
          <t xml:space="preserve">Eric Sprague:
</t>
        </r>
        <r>
          <rPr>
            <sz val="9"/>
            <color rgb="FF000000"/>
            <rFont val="Tahoma"/>
            <family val="2"/>
          </rPr>
          <t xml:space="preserve">Negative due to stock run.</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N36" authorId="0">
      <text>
        <r>
          <rPr>
            <b val="true"/>
            <sz val="9"/>
            <color rgb="FF000000"/>
            <rFont val="Tahoma"/>
            <family val="2"/>
          </rPr>
          <t xml:space="preserve">Eric Sprague:
</t>
        </r>
        <r>
          <rPr>
            <sz val="9"/>
            <color rgb="FF000000"/>
            <rFont val="Tahoma"/>
            <family val="2"/>
          </rPr>
          <t xml:space="preserve">NARR full. MVIC stopped filling NARR at roughly 71.5' or 18959.9 AF.</t>
        </r>
      </text>
    </comment>
    <comment ref="AN42" authorId="0">
      <text>
        <r>
          <rPr>
            <b val="true"/>
            <sz val="9"/>
            <color rgb="FF000000"/>
            <rFont val="Tahoma"/>
            <family val="2"/>
          </rPr>
          <t xml:space="preserve">Eric Sprague:
</t>
        </r>
        <r>
          <rPr>
            <sz val="9"/>
            <color rgb="FF000000"/>
            <rFont val="Tahoma"/>
            <family val="2"/>
          </rPr>
          <t xml:space="preserve">28-MAR-2016 at 6:45 AM. NARR at 71.25' or 18,844.54 AF.</t>
        </r>
      </text>
    </comment>
    <comment ref="AN44" authorId="0">
      <text>
        <r>
          <rPr>
            <b val="true"/>
            <sz val="9"/>
            <color rgb="FF000000"/>
            <rFont val="Tahoma"/>
            <family val="2"/>
          </rPr>
          <t xml:space="preserve">Eric Sprague:
</t>
        </r>
        <r>
          <rPr>
            <sz val="9"/>
            <color rgb="FF000000"/>
            <rFont val="Tahoma"/>
            <family val="2"/>
          </rPr>
          <t xml:space="preserve">30-MAR-2016 at 6:51 AM. NARR at 71.25' or 18,844.54 AF.</t>
        </r>
      </text>
    </comment>
    <comment ref="AO38" authorId="0">
      <text>
        <r>
          <rPr>
            <b val="true"/>
            <sz val="8"/>
            <color rgb="FF000000"/>
            <rFont val="Tahoma"/>
            <family val="2"/>
          </rPr>
          <t xml:space="preserve">Eric Sprague:
</t>
        </r>
        <r>
          <rPr>
            <sz val="8"/>
            <color rgb="FF000000"/>
            <rFont val="Tahoma"/>
            <family val="2"/>
          </rPr>
          <t xml:space="preserve">Begin MVIC Stock Run. West Lateral, U-Lateral, and Lone Pine all opened.
West Lateral: Ran for 5 hrs at 30 cfs, 11 hrs at 20 cfs. 15.42 cfs.
((5/24)*30)+((11/24)*20)=15.42 cfs
</t>
        </r>
      </text>
    </comment>
    <comment ref="AO39" authorId="0">
      <text>
        <r>
          <rPr>
            <b val="true"/>
            <sz val="8"/>
            <color rgb="FF000000"/>
            <rFont val="Tahoma"/>
            <family val="2"/>
          </rPr>
          <t xml:space="preserve">Eric Sprague:
</t>
        </r>
        <r>
          <rPr>
            <sz val="8"/>
            <color rgb="FF000000"/>
            <rFont val="Tahoma"/>
            <family val="2"/>
          </rPr>
          <t xml:space="preserve">MVIC Stock Run. West Lateral, U-Lateral, and Lone Pine all open. MVIC ended the stock run for the weekend to begin again Monday when the control room is manned.
West Lateral: Ran for 18.5 hrs at 20 cfs. 15.42 cfs.
((18.5/24)*20)=15.42 cfs</t>
        </r>
      </text>
    </comment>
    <comment ref="AO40" authorId="0">
      <text>
        <r>
          <rPr>
            <b val="true"/>
            <sz val="8"/>
            <color rgb="FF000000"/>
            <rFont val="Tahoma"/>
            <family val="2"/>
          </rPr>
          <t xml:space="preserve">Eric Sprague:
</t>
        </r>
        <r>
          <rPr>
            <sz val="8"/>
            <color rgb="FF000000"/>
            <rFont val="Tahoma"/>
            <family val="2"/>
          </rPr>
          <t xml:space="preserve">MVIC Stock Run. No water currently running. MVIC ended the stock run for the weekend to begin again Monday when the control room is manned.
</t>
        </r>
      </text>
    </comment>
    <comment ref="AO41" authorId="0">
      <text>
        <r>
          <rPr>
            <b val="true"/>
            <sz val="8"/>
            <color rgb="FF000000"/>
            <rFont val="Tahoma"/>
            <family val="2"/>
          </rPr>
          <t xml:space="preserve">Eric Sprague:
</t>
        </r>
        <r>
          <rPr>
            <sz val="8"/>
            <color rgb="FF000000"/>
            <rFont val="Tahoma"/>
            <family val="2"/>
          </rPr>
          <t xml:space="preserve">MVIC Stock Run. No water currently running. MVIC ended the stock run for the weekend to begin again Monday when the control room is manned.
</t>
        </r>
      </text>
    </comment>
    <comment ref="AO42" authorId="0">
      <text>
        <r>
          <rPr>
            <b val="true"/>
            <sz val="8"/>
            <color rgb="FF000000"/>
            <rFont val="Tahoma"/>
            <family val="2"/>
          </rPr>
          <t xml:space="preserve">Eric Sprague:
</t>
        </r>
        <r>
          <rPr>
            <sz val="8"/>
            <color rgb="FF000000"/>
            <rFont val="Tahoma"/>
            <family val="2"/>
          </rPr>
          <t xml:space="preserve">Re-begin MVIC Stock Run. West Lateral, East Lateral, U-Lateral, and Lone Pine all open. 
West Lateral: Ran for 16.5 hrs at 15 cfs. 10.31 cfs.
((16.5/24)*15)=10.31 cfs
East Lateral: Ran for 1.5 hrs at 20 cfs, 7 hrs at 15 cfs, 8 hrs at 12 cfs. 9.62 cfs.
</t>
        </r>
      </text>
    </comment>
    <comment ref="AO43" authorId="0">
      <text>
        <r>
          <rPr>
            <b val="true"/>
            <sz val="8"/>
            <color rgb="FF000000"/>
            <rFont val="Tahoma"/>
            <family val="2"/>
          </rPr>
          <t xml:space="preserve">Eric Sprague:
</t>
        </r>
        <r>
          <rPr>
            <sz val="8"/>
            <color rgb="FF000000"/>
            <rFont val="Tahoma"/>
            <family val="2"/>
          </rPr>
          <t xml:space="preserve">MVIC Stock Run. West Lateral, East Lateral, U-Lateral, and Lone Pine all open. 
West Lateral: Ran for 24 hrs at 15 cfs. 15 cfs.
((24/24)*15)=15 cfs
East Lateral: Ran for 24 hrs at 12 cfs.12 cfs.
</t>
        </r>
      </text>
    </comment>
    <comment ref="AO44" authorId="0">
      <text>
        <r>
          <rPr>
            <b val="true"/>
            <sz val="8"/>
            <color rgb="FF000000"/>
            <rFont val="Tahoma"/>
            <family val="2"/>
          </rPr>
          <t xml:space="preserve">Eric Sprague:
</t>
        </r>
        <r>
          <rPr>
            <sz val="8"/>
            <color rgb="FF000000"/>
            <rFont val="Tahoma"/>
            <family val="2"/>
          </rPr>
          <t xml:space="preserve">MVIC Stock Run. West Lateral, East Lateral, U-Lateral, and Lone Pine all open. 
West Lateral: Ran for 24 hrs at 15 cfs. 15 cfs.
((24/24)*15)=15 cfs
East Lateral: Ran for 24 hrs at 12 cfs.12 cfs.
</t>
        </r>
      </text>
    </comment>
    <comment ref="AO45" authorId="0">
      <text>
        <r>
          <rPr>
            <b val="true"/>
            <sz val="8"/>
            <color rgb="FF000000"/>
            <rFont val="Tahoma"/>
            <family val="2"/>
          </rPr>
          <t xml:space="preserve">Eric Sprague:
</t>
        </r>
        <r>
          <rPr>
            <sz val="8"/>
            <color rgb="FF000000"/>
            <rFont val="Tahoma"/>
            <family val="2"/>
          </rPr>
          <t xml:space="preserve">MVIC Stock Run. West Lateral, East Lateral, U-Lateral, and Lone Pine all open. All closed by 15:30. MVIC will continue stock run week of 4-APR down the THC. 
West Lateral: Ran for 15.5 hrs at 15 cfs. 9.69 cfs.
((15.5/24)*15)=9.69 cfs
East Lateral: Ran for 15.5 hrs at 12 cfs.7.75 cfs.
</t>
        </r>
      </text>
    </comment>
  </commentList>
</comments>
</file>

<file path=xl/comments6.xml><?xml version="1.0" encoding="utf-8"?>
<comments xmlns="http://schemas.openxmlformats.org/spreadsheetml/2006/main" xmlns:xdr="http://schemas.openxmlformats.org/drawingml/2006/spreadsheetDrawing">
  <authors>
    <author> </author>
  </authors>
  <commentList>
    <comment ref="B35" authorId="0">
      <text>
        <r>
          <rPr>
            <b val="true"/>
            <sz val="9"/>
            <color rgb="FF000000"/>
            <rFont val="Tahoma"/>
            <family val="2"/>
          </rPr>
          <t xml:space="preserve">Eric Sprague:
</t>
        </r>
        <r>
          <rPr>
            <sz val="9"/>
            <color rgb="FF000000"/>
            <rFont val="Tahoma"/>
            <family val="2"/>
          </rPr>
          <t xml:space="preserve">21-APR-2016. McPhee elevation probe found to be incorrectly reading elevation. The probe was reading out elevations higher than reality, likely due to stretching as the probe is new. The probe was recalibrated, and values from 15-MAR-2016 through 21-APR-2016 were edited to attempt to represent the true elevation. The probe is being monitored daily to detect any more errors.</t>
        </r>
      </text>
    </comment>
    <comment ref="M18" authorId="0">
      <text>
        <r>
          <rPr>
            <b val="true"/>
            <sz val="9"/>
            <color rgb="FF000000"/>
            <rFont val="Tahoma"/>
            <family val="2"/>
          </rPr>
          <t xml:space="preserve">Eric Sprague:
</t>
        </r>
        <r>
          <rPr>
            <sz val="9"/>
            <color rgb="FF000000"/>
            <rFont val="Tahoma"/>
            <family val="2"/>
          </rPr>
          <t xml:space="preserve">MVIC running ~6.6 cfs down THC for stock run.</t>
        </r>
      </text>
    </comment>
    <comment ref="M19" authorId="0">
      <text>
        <r>
          <rPr>
            <b val="true"/>
            <sz val="9"/>
            <color rgb="FF000000"/>
            <rFont val="Tahoma"/>
            <family val="2"/>
          </rPr>
          <t xml:space="preserve">Eric Sprague:
</t>
        </r>
        <r>
          <rPr>
            <sz val="9"/>
            <color rgb="FF000000"/>
            <rFont val="Tahoma"/>
            <family val="2"/>
          </rPr>
          <t xml:space="preserve">MVIC running ~6.6 cfs down THC for stock run.</t>
        </r>
      </text>
    </comment>
    <comment ref="M20" authorId="0">
      <text>
        <r>
          <rPr>
            <b val="true"/>
            <sz val="9"/>
            <color rgb="FF000000"/>
            <rFont val="Tahoma"/>
            <family val="2"/>
          </rPr>
          <t xml:space="preserve">Eric Sprague:
</t>
        </r>
        <r>
          <rPr>
            <sz val="9"/>
            <color rgb="FF000000"/>
            <rFont val="Tahoma"/>
            <family val="2"/>
          </rPr>
          <t xml:space="preserve">MVIC running ~6.6 cfs down THC for stock run.</t>
        </r>
      </text>
    </comment>
    <comment ref="M21" authorId="0">
      <text>
        <r>
          <rPr>
            <b val="true"/>
            <sz val="9"/>
            <color rgb="FF000000"/>
            <rFont val="Tahoma"/>
            <family val="2"/>
          </rPr>
          <t xml:space="preserve">Eric Sprague:
</t>
        </r>
        <r>
          <rPr>
            <sz val="9"/>
            <color rgb="FF000000"/>
            <rFont val="Tahoma"/>
            <family val="2"/>
          </rPr>
          <t xml:space="preserve">MVIC running ~6.6 cfs down THC for stock run.</t>
        </r>
      </text>
    </comment>
    <comment ref="M22" authorId="0">
      <text>
        <r>
          <rPr>
            <b val="true"/>
            <sz val="9"/>
            <color rgb="FF000000"/>
            <rFont val="Tahoma"/>
            <family val="2"/>
          </rPr>
          <t xml:space="preserve">Eric Sprague:
</t>
        </r>
        <r>
          <rPr>
            <sz val="9"/>
            <color rgb="FF000000"/>
            <rFont val="Tahoma"/>
            <family val="2"/>
          </rPr>
          <t xml:space="preserve">MVIC running ~6.6 cfs down THC for stock run.</t>
        </r>
      </text>
    </comment>
    <comment ref="M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16" authorId="0">
      <text>
        <r>
          <rPr>
            <b val="true"/>
            <sz val="9"/>
            <color rgb="FF000000"/>
            <rFont val="Tahoma"/>
            <family val="2"/>
          </rPr>
          <t xml:space="preserve">Eric Sprague:
</t>
        </r>
        <r>
          <rPr>
            <sz val="9"/>
            <color rgb="FF000000"/>
            <rFont val="Tahoma"/>
            <family val="2"/>
          </rPr>
          <t xml:space="preserve">Begin filling THC and begin sending water down to the UFR.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W38" authorId="0">
      <text>
        <r>
          <rPr>
            <b val="true"/>
            <sz val="9"/>
            <color rgb="FF000000"/>
            <rFont val="Tahoma"/>
            <family val="2"/>
          </rPr>
          <t xml:space="preserve">Eric Sprague:
</t>
        </r>
        <r>
          <rPr>
            <sz val="9"/>
            <color rgb="FF000000"/>
            <rFont val="Tahoma"/>
            <family val="2"/>
          </rPr>
          <t xml:space="preserve">The DWR gage on the U-Lateral has been registering small flows for the entire month of April, however, MVIC has the canal shut down. This is likely an error in recording at the gage (maybe a voltage value issue), and so until the canal is running again, these phantom values will be zeroed. The issue is still bing looked into, and thus these values may be changed retroactively.</t>
        </r>
      </text>
    </comment>
    <comment ref="W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Y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AC15" authorId="0">
      <text>
        <r>
          <rPr>
            <b val="true"/>
            <sz val="8"/>
            <color rgb="FF000000"/>
            <rFont val="Tahoma"/>
            <family val="2"/>
          </rPr>
          <t xml:space="preserve">Eric Sprague:
</t>
        </r>
        <r>
          <rPr>
            <sz val="8"/>
            <color rgb="FF000000"/>
            <rFont val="Tahoma"/>
            <family val="2"/>
          </rPr>
          <t xml:space="preserve">Totten Exchange was completed earlier in the water year. Exhange water now incurs evap losses until MVI uses it.</t>
        </r>
      </text>
    </comment>
    <comment ref="AE25" authorId="0">
      <text>
        <r>
          <rPr>
            <b val="true"/>
            <sz val="9"/>
            <color rgb="FF000000"/>
            <rFont val="Tahoma"/>
            <family val="2"/>
          </rPr>
          <t xml:space="preserve">Eric Sprague:
</t>
        </r>
        <r>
          <rPr>
            <sz val="9"/>
            <color rgb="FF000000"/>
            <rFont val="Tahoma"/>
            <family val="2"/>
          </rPr>
          <t xml:space="preserve">Began filling the DCC.</t>
        </r>
      </text>
    </comment>
    <comment ref="AE39" authorId="0">
      <text>
        <r>
          <rPr>
            <b val="true"/>
            <sz val="9"/>
            <color rgb="FF000000"/>
            <rFont val="Tahoma"/>
            <family val="2"/>
          </rPr>
          <t xml:space="preserve">Eric Sprague:
</t>
        </r>
        <r>
          <rPr>
            <sz val="9"/>
            <color rgb="FF000000"/>
            <rFont val="Tahoma"/>
            <family val="2"/>
          </rPr>
          <t xml:space="preserve">There is very little use off the DCC, primarily off the Hovenweep Laterals. The control room is just maintaining the water level.</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Eric Sprague: 
</t>
        </r>
        <r>
          <rPr>
            <sz val="8"/>
            <color rgb="FF000000"/>
            <rFont val="Tahoma"/>
            <family val="2"/>
          </rPr>
          <t xml:space="preserve">Based on 15-MAR-2016 calcs Fish Pool is 31,798 AF. 29,300 AF for fishpool plus 2,498 AF for downstream senior water rights. Full supply, and 0% shortage.
</t>
        </r>
        <r>
          <rPr>
            <b val="true"/>
            <sz val="8"/>
            <color rgb="FF000000"/>
            <rFont val="Tahoma"/>
            <family val="2"/>
          </rPr>
          <t xml:space="preserve">
</t>
        </r>
      </text>
    </comment>
    <comment ref="AI8" authorId="0">
      <text>
        <r>
          <rPr>
            <b val="true"/>
            <sz val="9"/>
            <color rgb="FF000000"/>
            <rFont val="Tahoma"/>
            <family val="2"/>
          </rPr>
          <t xml:space="preserve">Eric Sprague:
</t>
        </r>
        <r>
          <rPr>
            <sz val="9"/>
            <color rgb="FF000000"/>
            <rFont val="Tahoma"/>
            <family val="2"/>
          </rPr>
          <t xml:space="preserve">Above amount converted to cfs.</t>
        </r>
      </text>
    </comment>
    <comment ref="AN18" authorId="0">
      <text>
        <r>
          <rPr>
            <b val="true"/>
            <sz val="9"/>
            <color rgb="FF000000"/>
            <rFont val="Tahoma"/>
            <family val="2"/>
          </rPr>
          <t xml:space="preserve">Eric Sprague:
</t>
        </r>
        <r>
          <rPr>
            <sz val="9"/>
            <color rgb="FF000000"/>
            <rFont val="Tahoma"/>
            <family val="2"/>
          </rPr>
          <t xml:space="preserve">4-APR-2016 at 6:51 AM. NARR at 71.25' or 18,844.54 AF.</t>
        </r>
      </text>
    </comment>
    <comment ref="AN25" authorId="0">
      <text>
        <r>
          <rPr>
            <b val="true"/>
            <sz val="9"/>
            <color rgb="FF000000"/>
            <rFont val="Tahoma"/>
            <family val="2"/>
          </rPr>
          <t xml:space="preserve">Eric Sprague:
</t>
        </r>
        <r>
          <rPr>
            <sz val="9"/>
            <color rgb="FF000000"/>
            <rFont val="Tahoma"/>
            <family val="2"/>
          </rPr>
          <t xml:space="preserve">11-APR-2016 at 6:58 AM. NARR still at ~71.25' or 18,844.54 AF.</t>
        </r>
      </text>
    </comment>
    <comment ref="AN39" authorId="0">
      <text>
        <r>
          <rPr>
            <b val="true"/>
            <sz val="9"/>
            <color rgb="FF000000"/>
            <rFont val="Tahoma"/>
            <family val="2"/>
          </rPr>
          <t xml:space="preserve">Eric Sprague:
</t>
        </r>
        <r>
          <rPr>
            <sz val="9"/>
            <color rgb="FF000000"/>
            <rFont val="Tahoma"/>
            <family val="2"/>
          </rPr>
          <t xml:space="preserve">25-APR-2016 at 6:50 AM. NARR still at ~71.25' or 18,844.54 AF.</t>
        </r>
      </text>
    </comment>
    <comment ref="AO18" authorId="0">
      <text>
        <r>
          <rPr>
            <b val="true"/>
            <sz val="8"/>
            <color rgb="FF000000"/>
            <rFont val="Tahoma"/>
            <family val="2"/>
          </rPr>
          <t xml:space="preserve">Eric Sprague:
</t>
        </r>
        <r>
          <rPr>
            <sz val="8"/>
            <color rgb="FF000000"/>
            <rFont val="Tahoma"/>
            <family val="2"/>
          </rPr>
          <t xml:space="preserve">MVIC Stock Run. MVIC began the stock run down THC. 65 AF total across Monday, Tuesday, Wednesday, Thursday, and closed Friday. Assume (65/1.9835)/5=6.6 cfs per day.
</t>
        </r>
      </text>
    </comment>
    <comment ref="AO19"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O20"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O21"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O22"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T7" authorId="0">
      <text>
        <r>
          <rPr>
            <b val="true"/>
            <sz val="8"/>
            <color rgb="FF000000"/>
            <rFont val="Tahoma"/>
            <family val="2"/>
          </rPr>
          <t xml:space="preserve">E. A. Birk:
</t>
        </r>
        <r>
          <rPr>
            <sz val="8"/>
            <color rgb="FF000000"/>
            <rFont val="Tahoma"/>
            <family val="2"/>
          </rPr>
          <t xml:space="preserve">Of the 800 Ac. Ft. of Fish &amp; Wildlife water 400 Ac. Ft. goes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B26" authorId="0">
      <text>
        <r>
          <rPr>
            <b val="true"/>
            <sz val="9"/>
            <color rgb="FF000000"/>
            <rFont val="Tahoma"/>
            <family val="2"/>
          </rPr>
          <t xml:space="preserve">Eric Sprague:
</t>
        </r>
        <r>
          <rPr>
            <sz val="9"/>
            <color rgb="FF000000"/>
            <rFont val="Tahoma"/>
            <family val="2"/>
          </rPr>
          <t xml:space="preserve">16-MAY-2016. McPhee elevation probe found to be incorrectly reading elevation. The probe was reading out elevations higher than reality, and the investigation is ongoing. The probe was recalibrated, and values from 2-MAY-2016 through 12-MAY-2016 were edited to attempt to represent the true elevation. The probe is being monitored daily to detect any more errors.</t>
        </r>
      </text>
    </comment>
    <comment ref="M16" authorId="0">
      <text>
        <r>
          <rPr>
            <b val="true"/>
            <sz val="9"/>
            <color rgb="FF000000"/>
            <rFont val="Tahoma"/>
            <family val="2"/>
          </rPr>
          <t xml:space="preserve">Eric Sprague:
</t>
        </r>
        <r>
          <rPr>
            <sz val="9"/>
            <color rgb="FF000000"/>
            <rFont val="Tahoma"/>
            <family val="2"/>
          </rPr>
          <t xml:space="preserve">3-MAY-2016. Due to the excess of rain, UFR shut down ~75% of their pivots, decreasing draw down the THC.</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16" authorId="0">
      <text>
        <r>
          <rPr>
            <b val="true"/>
            <sz val="9"/>
            <color rgb="FF000000"/>
            <rFont val="Tahoma"/>
            <family val="2"/>
          </rPr>
          <t xml:space="preserve">Eric Sprague:
</t>
        </r>
        <r>
          <rPr>
            <sz val="9"/>
            <color rgb="FF000000"/>
            <rFont val="Tahoma"/>
            <family val="2"/>
          </rPr>
          <t xml:space="preserve">3-MAY-2016. Due to the excess of rain, UFR shut down ~75% of their pivots. </t>
        </r>
      </text>
    </comment>
    <comment ref="O23" authorId="0">
      <text>
        <r>
          <rPr>
            <b val="true"/>
            <sz val="9"/>
            <color rgb="FF000000"/>
            <rFont val="Tahoma"/>
            <family val="2"/>
          </rPr>
          <t xml:space="preserve">Eric Sprague:
</t>
        </r>
        <r>
          <rPr>
            <sz val="9"/>
            <color rgb="FF000000"/>
            <rFont val="Tahoma"/>
            <family val="2"/>
          </rPr>
          <t xml:space="preserve">3-MAY-2016. Due to the excess of rain, UFR shut down some of their pivots. </t>
        </r>
      </text>
    </comment>
    <comment ref="P6" authorId="0">
      <text>
        <r>
          <rPr>
            <b val="true"/>
            <sz val="8"/>
            <color rgb="FF000000"/>
            <rFont val="Tahoma"/>
            <family val="2"/>
          </rPr>
          <t xml:space="preserve">Vernon Lamb:
</t>
        </r>
        <r>
          <rPr>
            <sz val="8"/>
            <color rgb="FF000000"/>
            <rFont val="Tahoma"/>
            <family val="2"/>
          </rPr>
          <t xml:space="preserve">5/19/15: Name change only. Was Questar Exploration &amp; Production Co. Now QEP Resources, Inc.</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37" authorId="0">
      <text>
        <r>
          <rPr>
            <b val="true"/>
            <sz val="8"/>
            <color rgb="FF000000"/>
            <rFont val="Tahoma"/>
            <family val="2"/>
          </rPr>
          <t xml:space="preserve">Eric Sprague:
</t>
        </r>
        <r>
          <rPr>
            <sz val="8"/>
            <color rgb="FF000000"/>
            <rFont val="Tahoma"/>
            <family val="2"/>
          </rPr>
          <t xml:space="preserve">MVIC began using Call Water.</t>
        </r>
      </text>
    </comment>
    <comment ref="AA37" authorId="0">
      <text>
        <r>
          <rPr>
            <b val="true"/>
            <sz val="8"/>
            <color rgb="FF000000"/>
            <rFont val="Tahoma"/>
            <family val="2"/>
          </rPr>
          <t xml:space="preserve">Eric Sprague:
</t>
        </r>
        <r>
          <rPr>
            <sz val="8"/>
            <color rgb="FF000000"/>
            <rFont val="Tahoma"/>
            <family val="2"/>
          </rPr>
          <t xml:space="preserve">This column activated today because MVI reached their maximum call water amount of 72,000 AF. This column is currently representing the MVIC call water being used (i.e. call water being diverted from storage in McPhee).</t>
        </r>
      </text>
    </comment>
    <comment ref="AB37" authorId="0">
      <text>
        <r>
          <rPr>
            <b val="true"/>
            <sz val="8"/>
            <color rgb="FF000000"/>
            <rFont val="Tahoma"/>
            <family val="2"/>
          </rPr>
          <t xml:space="preserve">Eric Sprague:
</t>
        </r>
        <r>
          <rPr>
            <sz val="8"/>
            <color rgb="FF000000"/>
            <rFont val="Tahoma"/>
            <family val="2"/>
          </rPr>
          <t xml:space="preserve">MVIC reached their 72,000 AF for Apr-June. Over the 24 hour period they went over their 72,000 by 911 AF. This was accounted for in column AP "MVI Stored" which shows a negative number for the day which, in turn, reduces MVIC's stored Call water. For functional purposes regarding the spill, this column will continue through the rest of the month, remaining at 72,000 AF.</t>
        </r>
      </text>
    </comment>
    <comment ref="AN16" authorId="0">
      <text>
        <r>
          <rPr>
            <b val="true"/>
            <sz val="9"/>
            <color rgb="FF000000"/>
            <rFont val="Tahoma"/>
            <family val="2"/>
          </rPr>
          <t xml:space="preserve">Eric Sprague:
</t>
        </r>
        <r>
          <rPr>
            <sz val="9"/>
            <color rgb="FF000000"/>
            <rFont val="Tahoma"/>
            <family val="2"/>
          </rPr>
          <t xml:space="preserve">2-MAY-2016 at 6:50 AM. NARR still at ~71.25' or 18,844.54 AF.</t>
        </r>
      </text>
    </comment>
    <comment ref="AN23" authorId="0">
      <text>
        <r>
          <rPr>
            <b val="true"/>
            <sz val="9"/>
            <color rgb="FF000000"/>
            <rFont val="Tahoma"/>
            <family val="2"/>
          </rPr>
          <t xml:space="preserve">Eric Sprague:
</t>
        </r>
        <r>
          <rPr>
            <sz val="9"/>
            <color rgb="FF000000"/>
            <rFont val="Tahoma"/>
            <family val="2"/>
          </rPr>
          <t xml:space="preserve">9-MAY-2016 at 6:40 AM. NARR still at ~71.25' or 18,844.54 AF.</t>
        </r>
      </text>
    </comment>
    <comment ref="AN30" authorId="0">
      <text>
        <r>
          <rPr>
            <b val="true"/>
            <sz val="9"/>
            <color rgb="FF000000"/>
            <rFont val="Tahoma"/>
            <family val="2"/>
          </rPr>
          <t xml:space="preserve">Eric Sprague:
</t>
        </r>
        <r>
          <rPr>
            <sz val="9"/>
            <color rgb="FF000000"/>
            <rFont val="Tahoma"/>
            <family val="2"/>
          </rPr>
          <t xml:space="preserve">16-MAY-2016 at 6:55 AM. NARR still at ~71.25' or 18,844.54 AF.</t>
        </r>
      </text>
    </comment>
    <comment ref="AN37" authorId="0">
      <text>
        <r>
          <rPr>
            <b val="true"/>
            <sz val="9"/>
            <color rgb="FF000000"/>
            <rFont val="Tahoma"/>
            <family val="2"/>
          </rPr>
          <t xml:space="preserve">Eric Sprague:
</t>
        </r>
        <r>
          <rPr>
            <sz val="9"/>
            <color rgb="FF000000"/>
            <rFont val="Tahoma"/>
            <family val="2"/>
          </rPr>
          <t xml:space="preserve">23-MAY-2016 at 6:55 AM. NARR still at ~71.25' or 18,844.54 AF.</t>
        </r>
      </text>
    </comment>
    <comment ref="AN45" authorId="0">
      <text>
        <r>
          <rPr>
            <b val="true"/>
            <sz val="9"/>
            <color rgb="FF000000"/>
            <rFont val="Tahoma"/>
            <family val="2"/>
          </rPr>
          <t xml:space="preserve">Eric Sprague:
</t>
        </r>
        <r>
          <rPr>
            <sz val="9"/>
            <color rgb="FF000000"/>
            <rFont val="Tahoma"/>
            <family val="2"/>
          </rPr>
          <t xml:space="preserve">31-MAY-2016 at 7:05 AM. NARR still at ~71.25' or 18,844.54 AF.</t>
        </r>
      </text>
    </comment>
    <comment ref="AP37" authorId="0">
      <text>
        <r>
          <rPr>
            <b val="true"/>
            <sz val="9"/>
            <color rgb="FF000000"/>
            <rFont val="Tahoma"/>
            <family val="2"/>
          </rPr>
          <t xml:space="preserve">Eric Sprague:
</t>
        </r>
        <r>
          <rPr>
            <sz val="9"/>
            <color rgb="FF000000"/>
            <rFont val="Tahoma"/>
            <family val="2"/>
          </rPr>
          <t xml:space="preserve">This number is negative today to balance the amount MVI wentover their 72,000 AF limit in this 24 hour period. Following today, MVI does not store more water in McPhee because they have reach their limit, and thus the column is zeroed for the rest of the month.</t>
        </r>
      </text>
    </comment>
    <comment ref="AS8" authorId="0">
      <text>
        <r>
          <rPr>
            <b val="true"/>
            <sz val="8"/>
            <color rgb="FF000000"/>
            <rFont val="Tahoma"/>
            <family val="2"/>
          </rPr>
          <t xml:space="preserve">Vernon Lamb:
</t>
        </r>
        <r>
          <rPr>
            <sz val="8"/>
            <color rgb="FF000000"/>
            <rFont val="Tahoma"/>
            <family val="2"/>
          </rPr>
          <t xml:space="preserve">1,535.7 AF is the 2015 U/S users release amount.</t>
        </r>
      </text>
    </comment>
    <comment ref="AT16" authorId="0">
      <text>
        <r>
          <rPr>
            <b val="true"/>
            <sz val="9"/>
            <color rgb="FF000000"/>
            <rFont val="Tahoma"/>
            <family val="2"/>
          </rPr>
          <t xml:space="preserve">Eric Sprague:
</t>
        </r>
        <r>
          <rPr>
            <sz val="9"/>
            <color rgb="FF000000"/>
            <rFont val="Tahoma"/>
            <family val="2"/>
          </rPr>
          <t xml:space="preserve">Began Totten Refresh Water through Rocky Ford #2 at ~2.2 cfs/day. </t>
        </r>
      </text>
    </comment>
    <comment ref="BA21" authorId="0">
      <text>
        <r>
          <rPr>
            <b val="true"/>
            <sz val="9"/>
            <color rgb="FF000000"/>
            <rFont val="Tahoma"/>
            <family val="2"/>
          </rPr>
          <t xml:space="preserve">Eric Sprague:
</t>
        </r>
        <r>
          <rPr>
            <sz val="9"/>
            <color rgb="FF000000"/>
            <rFont val="Tahoma"/>
            <family val="2"/>
          </rPr>
          <t xml:space="preserve">MVIC began releasing from Groundhog.</t>
        </r>
      </text>
    </comment>
  </commentList>
</comments>
</file>

<file path=xl/comments8.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A15" authorId="0">
      <text>
        <r>
          <rPr>
            <b val="true"/>
            <sz val="9"/>
            <color rgb="FF000000"/>
            <rFont val="Tahoma"/>
            <family val="2"/>
          </rPr>
          <t xml:space="preserve">Eric Sprague:
</t>
        </r>
        <r>
          <rPr>
            <sz val="9"/>
            <color rgb="FF000000"/>
            <rFont val="Tahoma"/>
            <family val="2"/>
          </rPr>
          <t xml:space="preserve">The spill started today. As a result, MVI's call water can now reduce below their stored 72,000 AF limit as the call water is spilled. This column switches over from recording call water diverted from storage to recording call water *spilled* from storage.</t>
        </r>
      </text>
    </comment>
    <comment ref="AA35" authorId="0">
      <text>
        <r>
          <rPr>
            <b val="true"/>
            <sz val="9"/>
            <color rgb="FF000000"/>
            <rFont val="Tahoma"/>
            <family val="2"/>
          </rPr>
          <t xml:space="preserve">Eric Sprague:
</t>
        </r>
        <r>
          <rPr>
            <sz val="9"/>
            <color rgb="FF000000"/>
            <rFont val="Tahoma"/>
            <family val="2"/>
          </rPr>
          <t xml:space="preserve">The spill ended on the twentieth, and so this column returns to recording MVI's diversion.</t>
        </r>
      </text>
    </comment>
    <comment ref="AB15" authorId="0">
      <text>
        <r>
          <rPr>
            <b val="true"/>
            <sz val="9"/>
            <color rgb="FF000000"/>
            <rFont val="Tahoma"/>
            <family val="2"/>
          </rPr>
          <t xml:space="preserve">Eric Sprague:
</t>
        </r>
        <r>
          <rPr>
            <sz val="9"/>
            <color rgb="FF000000"/>
            <rFont val="Tahoma"/>
            <family val="2"/>
          </rPr>
          <t xml:space="preserve">Due to the spill releasing call water, MVIC drops below their allocated 72,000, re-activating this column. This column shows their previous days total "DIV+CALL" </t>
        </r>
        <r>
          <rPr>
            <u val="single"/>
            <sz val="9"/>
            <color rgb="FF000000"/>
            <rFont val="Tahoma"/>
            <family val="2"/>
          </rPr>
          <t xml:space="preserve">minus</t>
        </r>
        <r>
          <rPr>
            <sz val="9"/>
            <color rgb="FF000000"/>
            <rFont val="Tahoma"/>
            <family val="2"/>
          </rPr>
          <t xml:space="preserve"> today's spilled call water </t>
        </r>
        <r>
          <rPr>
            <u val="single"/>
            <sz val="9"/>
            <color rgb="FF000000"/>
            <rFont val="Tahoma"/>
            <family val="2"/>
          </rPr>
          <t xml:space="preserve">plus</t>
        </r>
        <r>
          <rPr>
            <sz val="9"/>
            <color rgb="FF000000"/>
            <rFont val="Tahoma"/>
            <family val="2"/>
          </rPr>
          <t xml:space="preserve"> the portion of the Dolores River inflows above what MVIC is diverting up to their 795 cfs max diversion. 
</t>
        </r>
      </text>
    </comment>
    <comment ref="AJ15" authorId="0">
      <text>
        <r>
          <rPr>
            <b val="true"/>
            <sz val="9"/>
            <color rgb="FF000000"/>
            <rFont val="Tahoma"/>
            <family val="2"/>
          </rPr>
          <t xml:space="preserve">Eric Sprague:
</t>
        </r>
        <r>
          <rPr>
            <sz val="9"/>
            <color rgb="FF000000"/>
            <rFont val="Tahoma"/>
            <family val="2"/>
          </rPr>
          <t xml:space="preserve">Began ramping up for short spill.</t>
        </r>
      </text>
    </comment>
    <comment ref="AJ34" authorId="0">
      <text>
        <r>
          <rPr>
            <b val="true"/>
            <sz val="9"/>
            <color rgb="FF000000"/>
            <rFont val="Tahoma"/>
            <family val="2"/>
          </rPr>
          <t xml:space="preserve">Eric Sprague:
</t>
        </r>
        <r>
          <rPr>
            <sz val="9"/>
            <color rgb="FF000000"/>
            <rFont val="Tahoma"/>
            <family val="2"/>
          </rPr>
          <t xml:space="preserve">Final day of the spill. Release dropped to 75 cfs at 11:05 PM.</t>
        </r>
      </text>
    </comment>
    <comment ref="AN20" authorId="0">
      <text>
        <r>
          <rPr>
            <b val="true"/>
            <sz val="9"/>
            <color rgb="FF000000"/>
            <rFont val="Tahoma"/>
            <family val="2"/>
          </rPr>
          <t xml:space="preserve">Eric Sprague:
</t>
        </r>
        <r>
          <rPr>
            <sz val="9"/>
            <color rgb="FF000000"/>
            <rFont val="Tahoma"/>
            <family val="2"/>
          </rPr>
          <t xml:space="preserve">6-JUN-2016 at 7:05 AM. NARR full at ~71.5' or 18,959.90 AF.</t>
        </r>
      </text>
    </comment>
    <comment ref="AN27" authorId="0">
      <text>
        <r>
          <rPr>
            <b val="true"/>
            <sz val="9"/>
            <color rgb="FF000000"/>
            <rFont val="Tahoma"/>
            <family val="2"/>
          </rPr>
          <t xml:space="preserve">Eric Sprague:
</t>
        </r>
        <r>
          <rPr>
            <sz val="9"/>
            <color rgb="FF000000"/>
            <rFont val="Tahoma"/>
            <family val="2"/>
          </rPr>
          <t xml:space="preserve">13-JUN-2016 at 7:05 AM. NARR full at ~71.5' or 18,959.90 AF.</t>
        </r>
      </text>
    </comment>
    <comment ref="AN34" authorId="0">
      <text>
        <r>
          <rPr>
            <b val="true"/>
            <sz val="9"/>
            <color rgb="FF000000"/>
            <rFont val="Tahoma"/>
            <family val="2"/>
          </rPr>
          <t xml:space="preserve">Eric Sprague:
</t>
        </r>
        <r>
          <rPr>
            <sz val="9"/>
            <color rgb="FF000000"/>
            <rFont val="Tahoma"/>
            <family val="2"/>
          </rPr>
          <t xml:space="preserve">20-JUN-2016 at 7:05 AM. NARR full at ~71.5' or 18,959.90 AF.</t>
        </r>
      </text>
    </comment>
    <comment ref="AN44" authorId="0">
      <text>
        <r>
          <rPr>
            <b val="true"/>
            <sz val="9"/>
            <color rgb="FF000000"/>
            <rFont val="Tahoma"/>
            <family val="2"/>
          </rPr>
          <t xml:space="preserve">Eric Sprague:
</t>
        </r>
        <r>
          <rPr>
            <sz val="9"/>
            <color rgb="FF000000"/>
            <rFont val="Tahoma"/>
            <family val="2"/>
          </rPr>
          <t xml:space="preserve">30-JUN-2016 at 7:05 AM. NARR full at ~71.5' or 18,959.90 AF.</t>
        </r>
      </text>
    </comment>
    <comment ref="AP15" authorId="0">
      <text>
        <r>
          <rPr>
            <b val="true"/>
            <sz val="9"/>
            <color rgb="FF000000"/>
            <rFont val="Tahoma"/>
            <family val="2"/>
          </rPr>
          <t xml:space="preserve">Eric Sprague:
</t>
        </r>
        <r>
          <rPr>
            <sz val="9"/>
            <color rgb="FF000000"/>
            <rFont val="Tahoma"/>
            <family val="2"/>
          </rPr>
          <t xml:space="preserve">Due to the spill, MVIC's total "DIV+CALL" has dropped below 72,000 AF and so they can store water from their 795 cfs Dolores River inflow water right again, but not over their 72,000 AF.</t>
        </r>
      </text>
    </comment>
    <comment ref="AS8" authorId="0">
      <text>
        <r>
          <rPr>
            <b val="true"/>
            <sz val="8"/>
            <color rgb="FF000000"/>
            <rFont val="Tahoma"/>
            <family val="2"/>
          </rPr>
          <t xml:space="preserve">Eric Sprague:
</t>
        </r>
        <r>
          <rPr>
            <sz val="8"/>
            <color rgb="FF000000"/>
            <rFont val="Tahoma"/>
            <family val="2"/>
          </rPr>
          <t xml:space="preserve">1,524.4 AF is the 2016 U/S users release amount.</t>
        </r>
      </text>
    </comment>
    <comment ref="AT33" authorId="0">
      <text>
        <r>
          <rPr>
            <b val="true"/>
            <sz val="9"/>
            <color rgb="FF000000"/>
            <rFont val="Tahoma"/>
            <family val="2"/>
          </rPr>
          <t xml:space="preserve">Eric Sprague:
</t>
        </r>
        <r>
          <rPr>
            <sz val="9"/>
            <color rgb="FF000000"/>
            <rFont val="Tahoma"/>
            <family val="2"/>
          </rPr>
          <t xml:space="preserve">Shut down Totten Refresh.</t>
        </r>
      </text>
    </comment>
  </commentList>
</comments>
</file>

<file path=xl/comments9.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9"/>
            <color rgb="FF000000"/>
            <rFont val="Tahoma"/>
            <family val="2"/>
          </rPr>
          <t xml:space="preserve">Eric Sprague:
</t>
        </r>
        <r>
          <rPr>
            <sz val="9"/>
            <color rgb="FF000000"/>
            <rFont val="Tahoma"/>
            <family val="2"/>
          </rPr>
          <t xml:space="preserve">7-JUN-2016. UF&amp;R at full supply with 26,517 AF at 0% shortage and 2000 AF of lease water.</t>
        </r>
      </text>
    </comment>
    <comment ref="P33" authorId="0">
      <text>
        <r>
          <rPr>
            <b val="true"/>
            <sz val="9"/>
            <color rgb="FF000000"/>
            <rFont val="Tahoma"/>
            <family val="2"/>
          </rPr>
          <t xml:space="preserve">Eric Sprague:
</t>
        </r>
        <r>
          <rPr>
            <sz val="9"/>
            <color rgb="FF000000"/>
            <rFont val="Tahoma"/>
            <family val="2"/>
          </rPr>
          <t xml:space="preserve">Began releasing from Totten for QEP at roughly 5 cfs.</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15"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18" authorId="0">
      <text>
        <r>
          <rPr>
            <b val="true"/>
            <sz val="9"/>
            <color rgb="FF000000"/>
            <rFont val="Tahoma"/>
            <family val="2"/>
          </rPr>
          <t xml:space="preserve">Eric Sprague:
</t>
        </r>
        <r>
          <rPr>
            <sz val="9"/>
            <color rgb="FF000000"/>
            <rFont val="Tahoma"/>
            <family val="2"/>
          </rPr>
          <t xml:space="preserve">First Day this month that MVIs diversion has been greater than Dolores River Inflows. MVIC Begins using Call Water.</t>
        </r>
      </text>
    </comment>
    <comment ref="AD8" authorId="0">
      <text>
        <r>
          <rPr>
            <b val="true"/>
            <sz val="8"/>
            <color rgb="FF000000"/>
            <rFont val="Tahoma"/>
            <family val="2"/>
          </rPr>
          <t xml:space="preserve">Eric Sprague:
</t>
        </r>
        <r>
          <rPr>
            <sz val="8"/>
            <color rgb="FF000000"/>
            <rFont val="Tahoma"/>
            <family val="2"/>
          </rPr>
          <t xml:space="preserve">11-AUG-2016: MVIC Project Water amount calc'd on 2-AUG-2016 = 2,967 AF at 0% shortage.
</t>
        </r>
        <r>
          <rPr>
            <b val="true"/>
            <sz val="8"/>
            <color rgb="FF000000"/>
            <rFont val="Tahoma"/>
            <family val="2"/>
          </rPr>
          <t xml:space="preserve">
</t>
        </r>
        <r>
          <rPr>
            <sz val="8"/>
            <color rgb="FF000000"/>
            <rFont val="Tahoma"/>
            <family val="2"/>
          </rPr>
          <t xml:space="preserve">7-JUL-2016: MVIC Project Water amount calc'd on 7-JUL-2016 allocations totaling 2,544 AF at 0% shortage.
</t>
        </r>
      </text>
    </comment>
    <comment ref="AD12" authorId="0">
      <text>
        <r>
          <rPr>
            <b val="true"/>
            <sz val="9"/>
            <color rgb="FF000000"/>
            <rFont val="Tahoma"/>
            <family val="2"/>
          </rPr>
          <t xml:space="preserve">Vernon Lamb:
</t>
        </r>
        <r>
          <rPr>
            <sz val="9"/>
            <color rgb="FF000000"/>
            <rFont val="Tahoma"/>
            <family val="2"/>
          </rPr>
          <t xml:space="preserve">MVIC Project Water amount in cfs.</t>
        </r>
      </text>
    </comment>
    <comment ref="AI8" authorId="0">
      <text>
        <r>
          <rPr>
            <b val="true"/>
            <sz val="9"/>
            <color rgb="FF000000"/>
            <rFont val="Tahoma"/>
            <family val="2"/>
          </rPr>
          <t xml:space="preserve">Eric Sprague:
</t>
        </r>
        <r>
          <rPr>
            <sz val="9"/>
            <color rgb="FF000000"/>
            <rFont val="Tahoma"/>
            <family val="2"/>
          </rPr>
          <t xml:space="preserve">7-JUN-2016.  Fishpool full supply of 31,798 AF at 0% shortage. 23,871 AF remaining.</t>
        </r>
      </text>
    </comment>
    <comment ref="AN32" authorId="0">
      <text>
        <r>
          <rPr>
            <b val="true"/>
            <sz val="9"/>
            <color rgb="FF000000"/>
            <rFont val="Tahoma"/>
            <family val="2"/>
          </rPr>
          <t xml:space="preserve">Eric Sprague:
</t>
        </r>
        <r>
          <rPr>
            <sz val="9"/>
            <color rgb="FF000000"/>
            <rFont val="Tahoma"/>
            <family val="2"/>
          </rPr>
          <t xml:space="preserve">18-JUL-2016 at 7:00 AM. NARR at ~68.0' or 16,975.50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5-JUL-2016. 1,524.4 AF is the 2016 U/S users release amount.
The U/S Excahnge must reach this amount by for the end of the season.</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List>
</comments>
</file>

<file path=xl/comments10.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9"/>
            <color rgb="FF000000"/>
            <rFont val="Tahoma"/>
            <family val="2"/>
          </rPr>
          <t xml:space="preserve">Eric Sprague:
</t>
        </r>
        <r>
          <rPr>
            <sz val="9"/>
            <color rgb="FF000000"/>
            <rFont val="Tahoma"/>
            <family val="2"/>
          </rPr>
          <t xml:space="preserve">7-JUN-2016. UF&amp;R at full supply with 26,517 AF at 0% shortage and 2000 AF of lease water.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19"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20"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21"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22"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38"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0"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2"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3"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4"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AD8" authorId="0">
      <text>
        <r>
          <rPr>
            <b val="true"/>
            <sz val="8"/>
            <color rgb="FF000000"/>
            <rFont val="Tahoma"/>
            <family val="2"/>
          </rPr>
          <t xml:space="preserve">Eric Sprague:
</t>
        </r>
        <r>
          <rPr>
            <sz val="8"/>
            <color rgb="FF000000"/>
            <rFont val="Tahoma"/>
            <family val="2"/>
          </rPr>
          <t xml:space="preserve">7-JUL-2016: MVIC Project Water amount calc'd on 7-JUL-2016 allocations totaling 2,544 AF at 0% shortage.
</t>
        </r>
      </text>
    </comment>
    <comment ref="AI8" authorId="0">
      <text>
        <r>
          <rPr>
            <b val="true"/>
            <sz val="9"/>
            <color rgb="FF000000"/>
            <rFont val="Tahoma"/>
            <family val="2"/>
          </rPr>
          <t xml:space="preserve">Eric Sprague:
</t>
        </r>
        <r>
          <rPr>
            <sz val="9"/>
            <color rgb="FF000000"/>
            <rFont val="Tahoma"/>
            <family val="2"/>
          </rPr>
          <t xml:space="preserve">7-JUN-2016.  Fishpool full supply of 31,798 AF at 0% shortage. 23,871 AF remaining.</t>
        </r>
      </text>
    </comment>
    <comment ref="AN15" authorId="0">
      <text>
        <r>
          <rPr>
            <b val="true"/>
            <sz val="9"/>
            <color rgb="FF000000"/>
            <rFont val="Tahoma"/>
            <family val="2"/>
          </rPr>
          <t xml:space="preserve">Eric Sprague:
</t>
        </r>
        <r>
          <rPr>
            <sz val="9"/>
            <color rgb="FF000000"/>
            <rFont val="Tahoma"/>
            <family val="2"/>
          </rPr>
          <t xml:space="preserve">1-AUG-2016 at 7:00 AM. NARR at ~63.0' or 14,321.50 AF.</t>
        </r>
      </text>
    </comment>
    <comment ref="AN22" authorId="0">
      <text>
        <r>
          <rPr>
            <b val="true"/>
            <sz val="9"/>
            <color rgb="FF000000"/>
            <rFont val="Tahoma"/>
            <family val="2"/>
          </rPr>
          <t xml:space="preserve">Eric Sprague:
</t>
        </r>
        <r>
          <rPr>
            <sz val="9"/>
            <color rgb="FF000000"/>
            <rFont val="Tahoma"/>
            <family val="2"/>
          </rPr>
          <t xml:space="preserve">8-AUG-2016 at 7:00 AM. NARR at ~62.5' or 14,069.25 AF.</t>
        </r>
      </text>
    </comment>
    <comment ref="AN29" authorId="0">
      <text>
        <r>
          <rPr>
            <b val="true"/>
            <sz val="9"/>
            <color rgb="FF000000"/>
            <rFont val="Tahoma"/>
            <family val="2"/>
          </rPr>
          <t xml:space="preserve">Eric Sprague:
</t>
        </r>
        <r>
          <rPr>
            <sz val="9"/>
            <color rgb="FF000000"/>
            <rFont val="Tahoma"/>
            <family val="2"/>
          </rPr>
          <t xml:space="preserve">15-AUG-2016 at 7:00 AM. NARR at ~60.5' or 13,077.75 AF.</t>
        </r>
      </text>
    </comment>
    <comment ref="AN36" authorId="0">
      <text>
        <r>
          <rPr>
            <b val="true"/>
            <sz val="9"/>
            <color rgb="FF000000"/>
            <rFont val="Tahoma"/>
            <family val="2"/>
          </rPr>
          <t xml:space="preserve">Eric Sprague:
</t>
        </r>
        <r>
          <rPr>
            <sz val="9"/>
            <color rgb="FF000000"/>
            <rFont val="Tahoma"/>
            <family val="2"/>
          </rPr>
          <t xml:space="preserve">22-AUG-2016 at 7:00 AM. NARR at ~57.0' or 11,440.00 AF.</t>
        </r>
      </text>
    </comment>
    <comment ref="AN43" authorId="0">
      <text>
        <r>
          <rPr>
            <b val="true"/>
            <sz val="9"/>
            <color rgb="FF000000"/>
            <rFont val="Tahoma"/>
            <family val="2"/>
          </rPr>
          <t xml:space="preserve">Eric Sprague:
</t>
        </r>
        <r>
          <rPr>
            <sz val="9"/>
            <color rgb="FF000000"/>
            <rFont val="Tahoma"/>
            <family val="2"/>
          </rPr>
          <t xml:space="preserve">29-AUG-2016 at 7:00 AM. NARR at ~54.5' or 10,356.25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5-JUL-2016. 1,524.4 AF is the 2016 U/S users release amount.
The U/S Excahnge must reach this amount by for the end of the season.</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List>
</comments>
</file>

<file path=xl/comments11.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9"/>
            <color rgb="FF000000"/>
            <rFont val="Tahoma"/>
            <family val="2"/>
          </rPr>
          <t xml:space="preserve">Eric Sprague:
</t>
        </r>
        <r>
          <rPr>
            <sz val="9"/>
            <color rgb="FF000000"/>
            <rFont val="Tahoma"/>
            <family val="2"/>
          </rPr>
          <t xml:space="preserve">7-JUN-2016. UF&amp;R at full supply with 26,517 AF at 0% shortage and 2000 AF of lease water.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D8" authorId="0">
      <text>
        <r>
          <rPr>
            <b val="true"/>
            <sz val="8"/>
            <color rgb="FF000000"/>
            <rFont val="Tahoma"/>
            <family val="2"/>
          </rPr>
          <t xml:space="preserve">Eric Sprague:
</t>
        </r>
        <r>
          <rPr>
            <sz val="8"/>
            <color rgb="FF000000"/>
            <rFont val="Tahoma"/>
            <family val="2"/>
          </rPr>
          <t xml:space="preserve">7-JUL-2016: MVIC Project Water amount calc'd on 7-JUL-2016 allocations totaling 2,544 AF at 0% shortage.
</t>
        </r>
      </text>
    </comment>
    <comment ref="AE8" authorId="0">
      <text>
        <r>
          <rPr>
            <b val="true"/>
            <sz val="9"/>
            <color rgb="FF000000"/>
            <rFont val="Tahoma"/>
            <family val="2"/>
          </rPr>
          <t xml:space="preserve">Eric Sprague:
</t>
        </r>
        <r>
          <rPr>
            <sz val="9"/>
            <color rgb="FF000000"/>
            <rFont val="Tahoma"/>
            <family val="2"/>
          </rPr>
          <t xml:space="preserve">4 AUG, 2016. FSA Full Allocation. Class B not being used.
</t>
        </r>
      </text>
    </comment>
    <comment ref="AN20" authorId="0">
      <text>
        <r>
          <rPr>
            <b val="true"/>
            <sz val="9"/>
            <color rgb="FF000000"/>
            <rFont val="Tahoma"/>
            <family val="2"/>
          </rPr>
          <t xml:space="preserve">Eric Sprague:
</t>
        </r>
        <r>
          <rPr>
            <sz val="9"/>
            <color rgb="FF000000"/>
            <rFont val="Tahoma"/>
            <family val="2"/>
          </rPr>
          <t xml:space="preserve">6-SEP-2016 at 7:00 AM. NARR at ~51.0' or 8,959.50 AF.</t>
        </r>
      </text>
    </comment>
    <comment ref="AN29" authorId="0">
      <text>
        <r>
          <rPr>
            <b val="true"/>
            <sz val="9"/>
            <color rgb="FF000000"/>
            <rFont val="Tahoma"/>
            <family val="2"/>
          </rPr>
          <t xml:space="preserve">Eric Sprague:
</t>
        </r>
        <r>
          <rPr>
            <sz val="9"/>
            <color rgb="FF000000"/>
            <rFont val="Tahoma"/>
            <family val="2"/>
          </rPr>
          <t xml:space="preserve">15-SEP-2016 at 7:00 AM. NARR at ~50.0' or 8,585.50 AF.</t>
        </r>
      </text>
    </comment>
    <comment ref="AN33" authorId="0">
      <text>
        <r>
          <rPr>
            <b val="true"/>
            <sz val="9"/>
            <color rgb="FF000000"/>
            <rFont val="Tahoma"/>
            <family val="2"/>
          </rPr>
          <t xml:space="preserve">Eric Sprague:
</t>
        </r>
        <r>
          <rPr>
            <sz val="9"/>
            <color rgb="FF000000"/>
            <rFont val="Tahoma"/>
            <family val="2"/>
          </rPr>
          <t xml:space="preserve">19-SEP-2016 at 7:00 AM. NARR at ~50.0' or 8,585.50 AF.</t>
        </r>
      </text>
    </comment>
    <comment ref="AN40" authorId="0">
      <text>
        <r>
          <rPr>
            <b val="true"/>
            <sz val="9"/>
            <color rgb="FF000000"/>
            <rFont val="Tahoma"/>
            <family val="2"/>
          </rPr>
          <t xml:space="preserve">Eric Sprague:
</t>
        </r>
        <r>
          <rPr>
            <sz val="9"/>
            <color rgb="FF000000"/>
            <rFont val="Tahoma"/>
            <family val="2"/>
          </rPr>
          <t xml:space="preserve">26-SEP-2016 at 7:00 AM. NARR at ~50.0' or 8,585.50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contract,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5-JUL-2016. 1,524.4 AF is the 2016 U/S users release amount.
The U/S Excahnge must reach this amount by for the end of the season.</t>
        </r>
      </text>
    </comment>
  </commentList>
</comments>
</file>

<file path=xl/comments12.xml><?xml version="1.0" encoding="utf-8"?>
<comments xmlns="http://schemas.openxmlformats.org/spreadsheetml/2006/main" xmlns:xdr="http://schemas.openxmlformats.org/drawingml/2006/spreadsheetDrawing">
  <authors>
    <author> </author>
  </authors>
  <commentList>
    <comment ref="B20" authorId="0">
      <text>
        <r>
          <rPr>
            <b val="true"/>
            <sz val="9"/>
            <color rgb="FF000000"/>
            <rFont val="Tahoma"/>
            <family val="2"/>
          </rPr>
          <t xml:space="preserve">Eric Sprague:
</t>
        </r>
        <r>
          <rPr>
            <sz val="9"/>
            <color rgb="FF000000"/>
            <rFont val="Tahoma"/>
            <family val="2"/>
          </rPr>
          <t xml:space="preserve">On Thursday 6-OCT-2016, the McPhee Elevation at the dam was double-checked and the values automatically reported to the control room were found to be 0.12 ft off. This difference was repaired and values in this column are now correct.</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29" authorId="0">
      <text>
        <r>
          <rPr>
            <b val="true"/>
            <sz val="9"/>
            <color rgb="FF000000"/>
            <rFont val="Tahoma"/>
            <family val="2"/>
          </rPr>
          <t xml:space="preserve">Eric Sprague:
</t>
        </r>
        <r>
          <rPr>
            <sz val="9"/>
            <color rgb="FF000000"/>
            <rFont val="Tahoma"/>
            <family val="2"/>
          </rPr>
          <t xml:space="preserve">MVI is done for the season. Any left-over Stored Water reverts to the Project.</t>
        </r>
      </text>
    </comment>
    <comment ref="AN17" authorId="0">
      <text>
        <r>
          <rPr>
            <b val="true"/>
            <sz val="9"/>
            <color rgb="FF000000"/>
            <rFont val="Tahoma"/>
            <family val="2"/>
          </rPr>
          <t xml:space="preserve">Eric Sprague:
</t>
        </r>
        <r>
          <rPr>
            <sz val="9"/>
            <color rgb="FF000000"/>
            <rFont val="Tahoma"/>
            <family val="2"/>
          </rPr>
          <t xml:space="preserve">3-OCT-2016 at 7:00 AM. NARR at ~49.5' or 8,403.50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List>
</comments>
</file>

<file path=xl/sharedStrings.xml><?xml version="1.0" encoding="utf-8"?>
<sst xmlns="http://schemas.openxmlformats.org/spreadsheetml/2006/main" count="2324" uniqueCount="160">
  <si>
    <t xml:space="preserve">MCPHEE  RESERVOIR  INFLOW/OUTFLOW  TABULATION</t>
  </si>
  <si>
    <t xml:space="preserve">AF/cfs  CONVERT FACTOR</t>
  </si>
  <si>
    <t xml:space="preserve">NOVEMBER  "2015"</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</si>
  <si>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</si>
  <si>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</si>
  <si>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</si>
  <si>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</si>
  <si>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</si>
  <si>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</si>
  <si>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</si>
  <si>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</si>
  <si>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</si>
  <si>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</si>
  <si>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</si>
  <si>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</si>
  <si>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</si>
  <si>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</si>
  <si>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</si>
  <si>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</si>
  <si>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</si>
  <si>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</si>
  <si>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</si>
  <si>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</si>
  <si>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</si>
  <si>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</si>
  <si>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</si>
  <si>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</si>
  <si>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</si>
  <si>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</si>
  <si>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</si>
  <si>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</si>
  <si>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</si>
  <si>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</si>
  <si>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UF&amp;R</t>
  </si>
  <si>
    <t xml:space="preserve">RAIN</t>
  </si>
  <si>
    <t xml:space="preserve">MAX</t>
  </si>
  <si>
    <t xml:space="preserve">MIN</t>
  </si>
  <si>
    <t xml:space="preserve">GRNDHOG</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</si>
  <si>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</si>
  <si>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</si>
  <si>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</si>
  <si>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</si>
  <si>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</si>
  <si>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</si>
  <si>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</si>
  <si>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</si>
  <si>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</si>
  <si>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</si>
  <si>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</si>
  <si>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</si>
  <si>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</si>
  <si>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</si>
  <si>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</si>
  <si>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</si>
  <si>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</si>
  <si>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</si>
  <si>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</si>
  <si>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</si>
  <si>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</si>
  <si>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</si>
  <si>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</si>
  <si>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</si>
  <si>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</si>
  <si>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</si>
  <si>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</si>
  <si>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</si>
  <si>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</si>
  <si>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STOCK</t>
  </si>
  <si>
    <t xml:space="preserve">STORED</t>
  </si>
  <si>
    <t xml:space="preserve">CLASS</t>
  </si>
  <si>
    <t xml:space="preserve">USERS</t>
  </si>
  <si>
    <t xml:space="preserve">(FRESH</t>
  </si>
  <si>
    <t xml:space="preserve">LEASE</t>
  </si>
  <si>
    <t xml:space="preserve">TMP</t>
  </si>
  <si>
    <t xml:space="preserve">TUNNEL</t>
  </si>
  <si>
    <t xml:space="preserve">DISCHARGE</t>
  </si>
  <si>
    <t xml:space="preserve">CAPACITY</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</si>
  <si>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</si>
  <si>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</si>
  <si>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</si>
  <si>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</si>
  <si>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</si>
  <si>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</si>
  <si>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</si>
  <si>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</si>
  <si>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</si>
  <si>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Apr - Jun</t>
  </si>
  <si>
    <t xml:space="preserve">EVAP</t>
  </si>
  <si>
    <t xml:space="preserve">"B"</t>
  </si>
  <si>
    <t xml:space="preserve">EXCH</t>
  </si>
  <si>
    <t xml:space="preserve">WATER)</t>
  </si>
  <si>
    <t xml:space="preserve">Misc.</t>
  </si>
  <si>
    <t xml:space="preserve">USED</t>
  </si>
  <si>
    <t xml:space="preserve">OR </t>
  </si>
  <si>
    <t xml:space="preserve">(DIV+</t>
  </si>
  <si>
    <t xml:space="preserve">CALL)</t>
  </si>
  <si>
    <t xml:space="preserve">FP = 3960</t>
  </si>
  <si>
    <t xml:space="preserve">AC. Ft.</t>
  </si>
  <si>
    <t xml:space="preserve">AC FT</t>
  </si>
  <si>
    <t xml:space="preserve">AC.FT.</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</si>
  <si>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</si>
  <si>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</si>
  <si>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</si>
  <si>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</si>
  <si>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</si>
  <si>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</si>
  <si>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</si>
  <si>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</si>
  <si>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</si>
  <si>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</si>
  <si>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</si>
  <si>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</si>
  <si>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</si>
  <si>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"2015"</t>
  </si>
  <si>
    <t xml:space="preserve">       INFLOW</t>
  </si>
  <si>
    <t xml:space="preserve">DEC</t>
  </si>
  <si>
    <t xml:space="preserve">FILLL</t>
  </si>
  <si>
    <t xml:space="preserve"> </t>
  </si>
  <si>
    <t xml:space="preserve">                            JANUARY  "2016"</t>
  </si>
  <si>
    <t xml:space="preserve">JAN</t>
  </si>
  <si>
    <t xml:space="preserve">                           FEBRUARY  "2016"</t>
  </si>
  <si>
    <t xml:space="preserve">OUTFLOW</t>
  </si>
  <si>
    <t xml:space="preserve">FEB</t>
  </si>
  <si>
    <t xml:space="preserve">AVE</t>
  </si>
  <si>
    <t xml:space="preserve">MARCH  "2016"</t>
  </si>
  <si>
    <t xml:space="preserve">MAR</t>
  </si>
  <si>
    <t xml:space="preserve">APR  "2016"</t>
  </si>
  <si>
    <t xml:space="preserve">     INFLOW</t>
  </si>
  <si>
    <t xml:space="preserve">D/S SENIOR </t>
  </si>
  <si>
    <t xml:space="preserve">APR</t>
  </si>
  <si>
    <t xml:space="preserve">AVG</t>
  </si>
  <si>
    <t xml:space="preserve">                                  MAY  "2016"</t>
  </si>
  <si>
    <t xml:space="preserve">       D/S SENIOR</t>
  </si>
  <si>
    <t xml:space="preserve">FISH </t>
  </si>
  <si>
    <t xml:space="preserve">MAY</t>
  </si>
  <si>
    <t xml:space="preserve">QEP</t>
  </si>
  <si>
    <t xml:space="preserve">M - S</t>
  </si>
  <si>
    <t xml:space="preserve">JUNE  "2016"</t>
  </si>
  <si>
    <t xml:space="preserve">JUN</t>
  </si>
  <si>
    <t xml:space="preserve">.</t>
  </si>
  <si>
    <t xml:space="preserve">6/30 Call Water (AF)</t>
  </si>
  <si>
    <t xml:space="preserve">Call Water +MVI Irri Water Used (AF)</t>
  </si>
  <si>
    <t xml:space="preserve">(Call Water + MVI Irrig) - Nar Fill; in AF [Should =72K]</t>
  </si>
  <si>
    <t xml:space="preserve">JULY  "2016"</t>
  </si>
  <si>
    <t xml:space="preserve">         INFLOW</t>
  </si>
  <si>
    <t xml:space="preserve"> D/S SENIOR</t>
  </si>
  <si>
    <t xml:space="preserve">JUL</t>
  </si>
  <si>
    <t xml:space="preserve">AUGUST  "2016"</t>
  </si>
  <si>
    <t xml:space="preserve">AUG</t>
  </si>
  <si>
    <t xml:space="preserve">SEPTEMBER  "2016"</t>
  </si>
  <si>
    <t xml:space="preserve">SEPT</t>
  </si>
  <si>
    <t xml:space="preserve">c</t>
  </si>
  <si>
    <t xml:space="preserve">OCTOBER  "2016"</t>
  </si>
  <si>
    <t xml:space="preserve">D/S SENIOR</t>
  </si>
  <si>
    <t xml:space="preserve">OCT</t>
  </si>
  <si>
    <t xml:space="preserve">Carry-</t>
  </si>
  <si>
    <t xml:space="preserve">DTGH</t>
  </si>
  <si>
    <t xml:space="preserve">MPP</t>
  </si>
  <si>
    <t xml:space="preserve">BYPASS</t>
  </si>
  <si>
    <t xml:space="preserve">over</t>
  </si>
</sst>
</file>

<file path=xl/styles.xml><?xml version="1.0" encoding="utf-8"?>
<styleSheet xmlns="http://schemas.openxmlformats.org/spreadsheetml/2006/main">
  <numFmts count="22">
    <numFmt numFmtId="164" formatCode="General"/>
    <numFmt numFmtId="165" formatCode="#,##0.00"/>
    <numFmt numFmtId="166" formatCode="0%"/>
    <numFmt numFmtId="167" formatCode="#,##0"/>
    <numFmt numFmtId="168" formatCode="0.00_);\(0.00\)"/>
    <numFmt numFmtId="169" formatCode="0.0"/>
    <numFmt numFmtId="170" formatCode="0.00"/>
    <numFmt numFmtId="171" formatCode="0"/>
    <numFmt numFmtId="172" formatCode="#,##0.0"/>
    <numFmt numFmtId="173" formatCode="##0.0"/>
    <numFmt numFmtId="174" formatCode="0.0000"/>
    <numFmt numFmtId="175" formatCode="0.000"/>
    <numFmt numFmtId="176" formatCode="#,##0.0_);\(#,##0.0\)"/>
    <numFmt numFmtId="177" formatCode="[$-409]d\-mmm"/>
    <numFmt numFmtId="178" formatCode="0.0_);\(0.0\)"/>
    <numFmt numFmtId="179" formatCode="0_);\(0\)"/>
    <numFmt numFmtId="180" formatCode="@"/>
    <numFmt numFmtId="181" formatCode="[$-409]mmm\-yy"/>
    <numFmt numFmtId="182" formatCode="#,##0.0000"/>
    <numFmt numFmtId="183" formatCode="#,##0.000"/>
    <numFmt numFmtId="184" formatCode="0.00_);[RED]\(0.00\)"/>
    <numFmt numFmtId="185" formatCode="0_);[RED]\(0\)"/>
  </numFmts>
  <fonts count="21">
    <font>
      <sz val="8"/>
      <name val="LinePrinter"/>
      <family val="0"/>
    </font>
    <font>
      <sz val="10"/>
      <name val="Arial"/>
      <family val="0"/>
    </font>
    <font>
      <sz val="10"/>
      <name val="Arial"/>
      <family val="0"/>
    </font>
    <font>
      <sz val="10"/>
      <name val="Arial"/>
      <family val="0"/>
    </font>
    <font>
      <sz val="10"/>
      <name val="Arial"/>
      <family val="2"/>
    </font>
    <font>
      <sz val="11"/>
      <color rgb="FF000000"/>
      <name val="Calibri"/>
      <family val="2"/>
    </font>
    <font>
      <sz val="8"/>
      <name val="Arial Narrow"/>
      <family val="2"/>
    </font>
    <font>
      <b val="true"/>
      <i val="true"/>
      <sz val="12"/>
      <name val="Arial Narrow"/>
      <family val="2"/>
    </font>
    <font>
      <sz val="6"/>
      <name val="Arial Narrow"/>
      <family val="2"/>
    </font>
    <font>
      <b val="true"/>
      <sz val="8"/>
      <name val="Arial Narrow"/>
      <family val="2"/>
    </font>
    <font>
      <b val="true"/>
      <sz val="6"/>
      <name val="Arial Narrow"/>
      <family val="2"/>
    </font>
    <font>
      <sz val="6"/>
      <name val="LinePrinter"/>
      <family val="0"/>
    </font>
    <font>
      <b val="true"/>
      <sz val="9"/>
      <name val="Arial Narrow"/>
      <family val="2"/>
    </font>
    <font>
      <b val="true"/>
      <sz val="8"/>
      <color rgb="FF000000"/>
      <name val="Tahoma"/>
      <family val="2"/>
    </font>
    <font>
      <sz val="8"/>
      <color rgb="FF000000"/>
      <name val="Tahoma"/>
      <family val="2"/>
    </font>
    <font>
      <b val="true"/>
      <sz val="9"/>
      <color rgb="FF000000"/>
      <name val="Tahoma"/>
      <family val="2"/>
    </font>
    <font>
      <sz val="9"/>
      <color rgb="FF000000"/>
      <name val="Tahoma"/>
      <family val="2"/>
    </font>
    <font>
      <u val="single"/>
      <sz val="8"/>
      <color rgb="FF000000"/>
      <name val="Tahoma"/>
      <family val="2"/>
    </font>
    <font>
      <b val="true"/>
      <sz val="12"/>
      <name val="Arial Narrow"/>
      <family val="2"/>
    </font>
    <font>
      <u val="single"/>
      <sz val="9"/>
      <color rgb="FF000000"/>
      <name val="Tahoma"/>
      <family val="2"/>
    </font>
    <font>
      <sz val="8"/>
      <color rgb="FF000000"/>
      <name val="Arial Narrow"/>
      <family val="2"/>
    </font>
  </fonts>
  <fills count="3">
    <fill>
      <patternFill patternType="none"/>
    </fill>
    <fill>
      <patternFill patternType="gray125"/>
    </fill>
    <fill>
      <patternFill patternType="solid">
        <fgColor rgb="FF464648"/>
        <bgColor rgb="FF333300"/>
      </patternFill>
    </fill>
  </fills>
  <borders count="34">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medium">
        <color rgb="FFEEEEEC"/>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medium">
        <color rgb="FFEEEEEC"/>
      </right>
      <top/>
      <bottom style="thin">
        <color rgb="FFEEEEEC"/>
      </bottom>
      <diagonal/>
    </border>
    <border diagonalUp="false" diagonalDown="false">
      <left style="thick">
        <color rgb="FFEEEEEC"/>
      </left>
      <right/>
      <top/>
      <bottom style="thin">
        <color rgb="FFEEEEEC"/>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right style="medium">
        <color rgb="FFEEEEEC"/>
      </right>
      <top style="medium">
        <color rgb="FFEEEEEC"/>
      </top>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top style="hair">
        <color rgb="FFEEEEEC"/>
      </top>
      <bottom style="hair">
        <color rgb="FFEEEEEC"/>
      </bottom>
      <diagonal/>
    </border>
    <border diagonalUp="false" diagonalDown="false">
      <left/>
      <right style="hair">
        <color rgb="FFEEEEEC"/>
      </right>
      <top style="thin">
        <color rgb="FFEEEEEC"/>
      </top>
      <bottom style="thin">
        <color rgb="FFEEEEEC"/>
      </bottom>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false" applyProtection="false"/>
    <xf numFmtId="165" fontId="0" fillId="0" borderId="0" applyFont="true" applyBorder="false" applyAlignment="false" applyProtection="false"/>
    <xf numFmtId="165" fontId="0"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6" fontId="0" fillId="0" borderId="0" applyFont="true" applyBorder="false" applyAlignment="false" applyProtection="false"/>
    <xf numFmtId="166" fontId="0" fillId="0" borderId="0" applyFont="true" applyBorder="false" applyAlignment="false" applyProtection="false"/>
  </cellStyleXfs>
  <cellXfs count="67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26"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true" applyAlignment="true" applyProtection="false">
      <alignment horizontal="center"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71" fontId="6"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6" fillId="0" borderId="2"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center"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false" applyProtection="false">
      <alignment horizontal="general"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6" fillId="0" borderId="5"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right" vertical="bottom" textRotation="0" wrapText="false" indent="0" shrinkToFit="false"/>
      <protection locked="true" hidden="false"/>
    </xf>
    <xf numFmtId="171"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71" fontId="9" fillId="0" borderId="0" xfId="26"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center" vertical="bottom" textRotation="0" wrapText="false" indent="0" shrinkToFit="false"/>
      <protection locked="true" hidden="false"/>
    </xf>
    <xf numFmtId="171" fontId="6"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false" applyProtection="false">
      <alignment horizontal="general" vertical="bottom" textRotation="0" wrapText="false" indent="0" shrinkToFit="false"/>
      <protection locked="true" hidden="false"/>
    </xf>
    <xf numFmtId="164" fontId="6" fillId="0" borderId="0" xfId="26" applyFont="true" applyBorder="true" applyAlignment="false" applyProtection="false">
      <alignment horizontal="general" vertical="bottom" textRotation="0" wrapText="false" indent="0" shrinkToFit="false"/>
      <protection locked="true" hidden="false"/>
    </xf>
    <xf numFmtId="164" fontId="6" fillId="0" borderId="2" xfId="26"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8" fillId="0" borderId="7"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true" applyAlignment="true" applyProtection="false">
      <alignment horizontal="center" vertical="bottom" textRotation="0" wrapText="false" indent="0" shrinkToFit="false"/>
      <protection locked="true" hidden="false"/>
    </xf>
    <xf numFmtId="172" fontId="8" fillId="0" borderId="8"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left" vertical="bottom" textRotation="0" wrapText="false" indent="0" shrinkToFit="false"/>
      <protection locked="true" hidden="false"/>
    </xf>
    <xf numFmtId="172" fontId="10" fillId="0" borderId="9" xfId="0" applyFont="true" applyBorder="tru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7" fontId="8" fillId="0" borderId="7"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26"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true" applyAlignment="true" applyProtection="false">
      <alignment horizontal="center" vertical="bottom" textRotation="0" wrapText="false" indent="0" shrinkToFit="false"/>
      <protection locked="true" hidden="false"/>
    </xf>
    <xf numFmtId="169" fontId="8" fillId="0" borderId="10" xfId="0" applyFont="true" applyBorder="true" applyAlignment="true" applyProtection="false">
      <alignment horizontal="center" vertical="bottom" textRotation="0" wrapText="false" indent="0" shrinkToFit="false"/>
      <protection locked="true" hidden="false"/>
    </xf>
    <xf numFmtId="170" fontId="8" fillId="0" borderId="0" xfId="26" applyFont="true" applyBorder="true" applyAlignment="true" applyProtection="false">
      <alignment horizontal="center" vertical="bottom" textRotation="0" wrapText="false" indent="0" shrinkToFit="false"/>
      <protection locked="true" hidden="false"/>
    </xf>
    <xf numFmtId="164" fontId="8" fillId="0" borderId="8" xfId="26" applyFont="true" applyBorder="tru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2" fontId="8" fillId="0" borderId="11"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center" vertical="bottom" textRotation="0" wrapText="false" indent="0" shrinkToFit="false"/>
      <protection locked="true" hidden="false"/>
    </xf>
    <xf numFmtId="170" fontId="8" fillId="0" borderId="12" xfId="0" applyFont="true" applyBorder="true" applyAlignment="true" applyProtection="false">
      <alignment horizontal="center" vertical="bottom" textRotation="0" wrapText="false" indent="0" shrinkToFit="false"/>
      <protection locked="true" hidden="false"/>
    </xf>
    <xf numFmtId="172" fontId="8" fillId="0" borderId="12" xfId="0" applyFont="true" applyBorder="true" applyAlignment="true" applyProtection="false">
      <alignment horizontal="center" vertical="bottom" textRotation="0" wrapText="false" indent="0" shrinkToFit="false"/>
      <protection locked="true" hidden="false"/>
    </xf>
    <xf numFmtId="167" fontId="8" fillId="0" borderId="7" xfId="0"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true" applyProtection="false">
      <alignment horizontal="center" vertical="bottom" textRotation="0" wrapText="false" indent="0" shrinkToFit="false"/>
      <protection locked="true" hidden="false"/>
    </xf>
    <xf numFmtId="164" fontId="6" fillId="0" borderId="8" xfId="26" applyFont="true" applyBorder="true" applyAlignment="false" applyProtection="false">
      <alignment horizontal="general" vertical="bottom" textRotation="0" wrapText="false" indent="0" shrinkToFit="false"/>
      <protection locked="true" hidden="false"/>
    </xf>
    <xf numFmtId="176" fontId="6" fillId="0" borderId="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11" fillId="0" borderId="8"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center" vertical="bottom" textRotation="0" wrapText="false" indent="0" shrinkToFit="false"/>
      <protection locked="true" hidden="false"/>
    </xf>
    <xf numFmtId="167" fontId="8" fillId="0" borderId="12"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6" fillId="0" borderId="7"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7" fontId="6" fillId="0" borderId="8"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7" fontId="6" fillId="0" borderId="1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general" vertical="bottom" textRotation="0" wrapText="false" indent="0" shrinkToFit="false"/>
      <protection locked="true" hidden="false"/>
    </xf>
    <xf numFmtId="170" fontId="6" fillId="0" borderId="12"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right" vertical="bottom" textRotation="0" wrapText="false" indent="0" shrinkToFit="false"/>
      <protection locked="true" hidden="false"/>
    </xf>
    <xf numFmtId="167"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8" fontId="6" fillId="0" borderId="7"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false" applyProtection="false">
      <alignment horizontal="general" vertical="bottom" textRotation="0" wrapText="false" indent="0" shrinkToFit="false"/>
      <protection locked="true" hidden="false"/>
    </xf>
    <xf numFmtId="169" fontId="6" fillId="0" borderId="0" xfId="26"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6" fillId="0" borderId="7" xfId="26"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right" vertical="bottom" textRotation="0" wrapText="false" indent="0" shrinkToFit="false"/>
      <protection locked="true" hidden="false"/>
    </xf>
    <xf numFmtId="167" fontId="6" fillId="0" borderId="8" xfId="26"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6" fillId="2" borderId="13" xfId="0" applyFont="tru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false" applyProtection="false">
      <alignment horizontal="general" vertical="bottom" textRotation="0" wrapText="false" indent="0" shrinkToFit="false"/>
      <protection locked="true" hidden="false"/>
    </xf>
    <xf numFmtId="167" fontId="6" fillId="2" borderId="13"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false" applyProtection="false">
      <alignment horizontal="general" vertical="bottom" textRotation="0" wrapText="false" indent="0" shrinkToFit="false"/>
      <protection locked="true" hidden="false"/>
    </xf>
    <xf numFmtId="172" fontId="6" fillId="0" borderId="13" xfId="0" applyFont="true" applyBorder="true" applyAlignment="false" applyProtection="false">
      <alignment horizontal="general" vertical="bottom" textRotation="0" wrapText="false" indent="0" shrinkToFit="false"/>
      <protection locked="true" hidden="false"/>
    </xf>
    <xf numFmtId="173" fontId="6" fillId="0" borderId="13" xfId="0" applyFont="true" applyBorder="true" applyAlignment="false" applyProtection="false">
      <alignment horizontal="general" vertical="bottom" textRotation="0" wrapText="false" indent="0" shrinkToFit="false"/>
      <protection locked="true" hidden="false"/>
    </xf>
    <xf numFmtId="172" fontId="6" fillId="2" borderId="16" xfId="0" applyFont="true" applyBorder="true" applyAlignment="false" applyProtection="false">
      <alignment horizontal="general" vertical="bottom" textRotation="0" wrapText="false" indent="0" shrinkToFit="false"/>
      <protection locked="true" hidden="false"/>
    </xf>
    <xf numFmtId="170" fontId="6" fillId="2" borderId="13"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center" vertical="bottom" textRotation="0" wrapText="false" indent="0" shrinkToFit="false"/>
      <protection locked="true" hidden="false"/>
    </xf>
    <xf numFmtId="169" fontId="6" fillId="2" borderId="13" xfId="0" applyFont="true" applyBorder="true" applyAlignment="true" applyProtection="false">
      <alignment horizontal="right" vertical="bottom" textRotation="0" wrapText="false" indent="0" shrinkToFit="false"/>
      <protection locked="true" hidden="false"/>
    </xf>
    <xf numFmtId="167" fontId="6" fillId="2" borderId="13" xfId="0" applyFont="true" applyBorder="true" applyAlignment="true" applyProtection="false">
      <alignment horizontal="right" vertical="bottom" textRotation="0" wrapText="false" indent="0" shrinkToFit="false"/>
      <protection locked="true" hidden="false"/>
    </xf>
    <xf numFmtId="172" fontId="6" fillId="2" borderId="16" xfId="0" applyFont="true" applyBorder="true" applyAlignment="true" applyProtection="false">
      <alignment horizontal="right" vertical="bottom" textRotation="0" wrapText="false" indent="0" shrinkToFit="false"/>
      <protection locked="true" hidden="false"/>
    </xf>
    <xf numFmtId="172" fontId="6" fillId="2" borderId="17" xfId="0" applyFont="true" applyBorder="true" applyAlignment="true" applyProtection="false">
      <alignment horizontal="right" vertical="bottom" textRotation="0" wrapText="false" indent="0" shrinkToFit="false"/>
      <protection locked="true" hidden="false"/>
    </xf>
    <xf numFmtId="169" fontId="6" fillId="2" borderId="14"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true" applyProtection="false">
      <alignment horizontal="right" vertical="bottom" textRotation="0" wrapText="false" indent="0" shrinkToFit="false"/>
      <protection locked="true" hidden="false"/>
    </xf>
    <xf numFmtId="170" fontId="6" fillId="2" borderId="13" xfId="26" applyFont="true" applyBorder="true" applyAlignment="true" applyProtection="false">
      <alignment horizontal="center" vertical="bottom" textRotation="0" wrapText="false" indent="0" shrinkToFit="false"/>
      <protection locked="true" hidden="false"/>
    </xf>
    <xf numFmtId="168" fontId="6" fillId="2" borderId="14"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true" applyAlignment="false" applyProtection="false">
      <alignment horizontal="general" vertical="bottom" textRotation="0" wrapText="false" indent="0" shrinkToFit="false"/>
      <protection locked="true" hidden="false"/>
    </xf>
    <xf numFmtId="172" fontId="6" fillId="0" borderId="8"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6" fillId="0" borderId="11"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65" fontId="6" fillId="0" borderId="18"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26" applyFont="true" applyBorder="true" applyAlignment="true" applyProtection="false">
      <alignment horizontal="right" vertical="bottom" textRotation="0" wrapText="false" indent="0" shrinkToFit="false"/>
      <protection locked="true" hidden="false"/>
    </xf>
    <xf numFmtId="169" fontId="6" fillId="0" borderId="0" xfId="26"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72"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26" applyFont="true" applyBorder="true" applyAlignment="true" applyProtection="false">
      <alignment horizontal="right" vertical="bottom" textRotation="0" wrapText="false" indent="0" shrinkToFit="false"/>
      <protection locked="true" hidden="false"/>
    </xf>
    <xf numFmtId="168" fontId="6" fillId="0" borderId="19"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8"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false" applyProtection="false">
      <alignment horizontal="general" vertical="bottom" textRotation="0" wrapText="false" indent="0" shrinkToFit="false"/>
      <protection locked="true" hidden="false"/>
    </xf>
    <xf numFmtId="173" fontId="6" fillId="2" borderId="13"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center" vertical="bottom" textRotation="0" wrapText="false" indent="0" shrinkToFit="false"/>
      <protection locked="true" hidden="false"/>
    </xf>
    <xf numFmtId="172" fontId="6" fillId="0" borderId="20" xfId="0" applyFont="true" applyBorder="true" applyAlignment="true" applyProtection="false">
      <alignment horizontal="right" vertical="bottom" textRotation="0" wrapText="false" indent="0" shrinkToFit="false"/>
      <protection locked="true" hidden="false"/>
    </xf>
    <xf numFmtId="167" fontId="6" fillId="0" borderId="8"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9" fontId="6" fillId="0" borderId="18"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false" applyProtection="false">
      <alignment horizontal="general" vertical="bottom" textRotation="0" wrapText="false" indent="0" shrinkToFit="false"/>
      <protection locked="true" hidden="false"/>
    </xf>
    <xf numFmtId="167" fontId="6" fillId="0" borderId="21"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false" applyProtection="false">
      <alignment horizontal="general" vertical="bottom" textRotation="0" wrapText="false" indent="0" shrinkToFit="false"/>
      <protection locked="true" hidden="false"/>
    </xf>
    <xf numFmtId="167" fontId="6" fillId="2" borderId="16" xfId="0" applyFont="true" applyBorder="true" applyAlignment="false" applyProtection="false">
      <alignment horizontal="general" vertical="bottom" textRotation="0" wrapText="false" indent="0" shrinkToFit="false"/>
      <protection locked="true" hidden="false"/>
    </xf>
    <xf numFmtId="171" fontId="6" fillId="2" borderId="17" xfId="0" applyFont="true" applyBorder="true" applyAlignment="true" applyProtection="false">
      <alignment horizontal="center" vertical="bottom" textRotation="0" wrapText="false" indent="0" shrinkToFit="false"/>
      <protection locked="true" hidden="false"/>
    </xf>
    <xf numFmtId="167" fontId="6" fillId="2" borderId="16" xfId="0" applyFont="true" applyBorder="true" applyAlignment="true" applyProtection="false">
      <alignment horizontal="right" vertical="bottom" textRotation="0" wrapText="false" indent="0" shrinkToFit="false"/>
      <protection locked="true" hidden="false"/>
    </xf>
    <xf numFmtId="167" fontId="6" fillId="2" borderId="17"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true" applyProtection="false">
      <alignment horizontal="right" vertical="bottom" textRotation="0" wrapText="false" indent="0" shrinkToFit="false"/>
      <protection locked="true" hidden="false"/>
    </xf>
    <xf numFmtId="167" fontId="6" fillId="2" borderId="14" xfId="0" applyFont="true" applyBorder="true" applyAlignment="true" applyProtection="false">
      <alignment horizontal="right" vertical="bottom" textRotation="0" wrapText="false" indent="0" shrinkToFit="false"/>
      <protection locked="true" hidden="false"/>
    </xf>
    <xf numFmtId="170" fontId="6" fillId="0" borderId="0" xfId="26" applyFont="true" applyBorder="true" applyAlignment="true" applyProtection="false">
      <alignment horizontal="right" vertical="bottom" textRotation="0" wrapText="false" indent="0" shrinkToFit="false"/>
      <protection locked="true" hidden="false"/>
    </xf>
    <xf numFmtId="168" fontId="6" fillId="0" borderId="22"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false" applyProtection="false">
      <alignment horizontal="general" vertical="bottom" textRotation="0" wrapText="false" indent="0" shrinkToFit="false"/>
      <protection locked="true" hidden="false"/>
    </xf>
    <xf numFmtId="167" fontId="6" fillId="0" borderId="23" xfId="0" applyFont="true" applyBorder="true" applyAlignment="true" applyProtection="false">
      <alignment horizontal="right" vertical="bottom" textRotation="0" wrapText="false" indent="0" shrinkToFit="false"/>
      <protection locked="true" hidden="false"/>
    </xf>
    <xf numFmtId="171" fontId="6" fillId="0" borderId="24" xfId="0" applyFont="true" applyBorder="true" applyAlignment="true" applyProtection="false">
      <alignment horizontal="right" vertical="bottom" textRotation="0" wrapText="false" indent="0" shrinkToFit="false"/>
      <protection locked="true" hidden="false"/>
    </xf>
    <xf numFmtId="169" fontId="6" fillId="0" borderId="25" xfId="0" applyFont="true" applyBorder="true" applyAlignment="true" applyProtection="false">
      <alignment horizontal="right" vertical="bottom" textRotation="0" wrapText="false" indent="0" shrinkToFit="false"/>
      <protection locked="true" hidden="false"/>
    </xf>
    <xf numFmtId="169" fontId="6" fillId="2" borderId="13" xfId="0" applyFont="true" applyBorder="true" applyAlignment="false" applyProtection="false">
      <alignment horizontal="general" vertical="bottom" textRotation="0" wrapText="false" indent="0" shrinkToFit="false"/>
      <protection locked="true" hidden="false"/>
    </xf>
    <xf numFmtId="172" fontId="6" fillId="2" borderId="17" xfId="0" applyFont="true" applyBorder="true" applyAlignment="false" applyProtection="false">
      <alignment horizontal="general" vertical="bottom" textRotation="0" wrapText="false" indent="0" shrinkToFit="false"/>
      <protection locked="true" hidden="false"/>
    </xf>
    <xf numFmtId="169" fontId="6" fillId="2" borderId="14"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center" vertical="bottom" textRotation="0" wrapText="false" indent="0" shrinkToFit="false"/>
      <protection locked="true" hidden="false"/>
    </xf>
    <xf numFmtId="167" fontId="6" fillId="2" borderId="13"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19" applyFont="true" applyBorder="true" applyAlignment="true" applyProtection="tru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26" applyFont="true" applyBorder="true" applyAlignment="false" applyProtection="false">
      <alignment horizontal="general" vertical="bottom" textRotation="0" wrapText="false" indent="0" shrinkToFit="false"/>
      <protection locked="true" hidden="false"/>
    </xf>
    <xf numFmtId="164" fontId="8" fillId="0" borderId="0" xfId="26" applyFont="true" applyBorder="true" applyAlignment="false" applyProtection="false">
      <alignment horizontal="general" vertical="bottom" textRotation="0" wrapText="false" indent="0" shrinkToFit="false"/>
      <protection locked="true" hidden="false"/>
    </xf>
    <xf numFmtId="164" fontId="6" fillId="0" borderId="0" xfId="26" applyFont="true" applyBorder="true" applyAlignment="true" applyProtection="false">
      <alignment horizontal="general" vertical="bottom" textRotation="0" wrapText="false" indent="0" shrinkToFit="false"/>
      <protection locked="true" hidden="false"/>
    </xf>
    <xf numFmtId="171" fontId="6" fillId="0" borderId="0" xfId="26" applyFont="true" applyBorder="true" applyAlignment="false" applyProtection="false">
      <alignment horizontal="general" vertical="bottom" textRotation="0" wrapText="false" indent="0" shrinkToFit="false"/>
      <protection locked="true" hidden="false"/>
    </xf>
    <xf numFmtId="171" fontId="6" fillId="0" borderId="0" xfId="26" applyFont="true" applyBorder="true" applyAlignment="true" applyProtection="false">
      <alignment horizontal="center" vertical="bottom" textRotation="0" wrapText="false" indent="0" shrinkToFit="false"/>
      <protection locked="true" hidden="false"/>
    </xf>
    <xf numFmtId="164" fontId="0" fillId="0" borderId="0" xfId="26" applyFont="false" applyBorder="true" applyAlignment="false" applyProtection="false">
      <alignment horizontal="general" vertical="bottom" textRotation="0" wrapText="false" indent="0" shrinkToFit="false"/>
      <protection locked="true" hidden="false"/>
    </xf>
    <xf numFmtId="172" fontId="6" fillId="0" borderId="0" xfId="26" applyFont="true" applyBorder="true" applyAlignment="false" applyProtection="false">
      <alignment horizontal="general" vertical="bottom" textRotation="0" wrapText="false" indent="0" shrinkToFit="false"/>
      <protection locked="true" hidden="false"/>
    </xf>
    <xf numFmtId="173" fontId="6" fillId="0" borderId="0" xfId="26" applyFont="true" applyBorder="true" applyAlignment="false" applyProtection="false">
      <alignment horizontal="general" vertical="bottom" textRotation="0" wrapText="false" indent="0" shrinkToFit="false"/>
      <protection locked="true" hidden="false"/>
    </xf>
    <xf numFmtId="172" fontId="7" fillId="0" borderId="0" xfId="26" applyFont="true" applyBorder="true" applyAlignment="false" applyProtection="false">
      <alignment horizontal="general" vertical="bottom" textRotation="0" wrapText="false" indent="0" shrinkToFit="false"/>
      <protection locked="true" hidden="false"/>
    </xf>
    <xf numFmtId="172" fontId="8" fillId="0" borderId="0" xfId="26" applyFont="true" applyBorder="true" applyAlignment="false" applyProtection="false">
      <alignment horizontal="general" vertical="bottom" textRotation="0" wrapText="false" indent="0" shrinkToFit="false"/>
      <protection locked="true" hidden="false"/>
    </xf>
    <xf numFmtId="174" fontId="6" fillId="0" borderId="0" xfId="26" applyFont="true" applyBorder="true" applyAlignment="false" applyProtection="false">
      <alignment horizontal="general" vertical="bottom" textRotation="0" wrapText="false" indent="0" shrinkToFit="false"/>
      <protection locked="true" hidden="false"/>
    </xf>
    <xf numFmtId="172" fontId="7" fillId="0" borderId="0" xfId="26" applyFont="true" applyBorder="true" applyAlignment="true" applyProtection="false">
      <alignment horizontal="general" vertical="bottom" textRotation="0" wrapText="false" indent="0" shrinkToFit="false"/>
      <protection locked="true" hidden="false"/>
    </xf>
    <xf numFmtId="172" fontId="6" fillId="0" borderId="0" xfId="26" applyFont="true" applyBorder="true" applyAlignment="true" applyProtection="false">
      <alignment horizontal="center" vertical="bottom" textRotation="0" wrapText="false" indent="0" shrinkToFit="false"/>
      <protection locked="true" hidden="false"/>
    </xf>
    <xf numFmtId="169" fontId="6" fillId="0" borderId="0" xfId="26" applyFont="true" applyBorder="true" applyAlignment="true" applyProtection="false">
      <alignment horizontal="center" vertical="bottom" textRotation="0" wrapText="false" indent="0" shrinkToFit="false"/>
      <protection locked="true" hidden="false"/>
    </xf>
    <xf numFmtId="172" fontId="6" fillId="0" borderId="1" xfId="26" applyFont="true" applyBorder="true" applyAlignment="false" applyProtection="false">
      <alignment horizontal="general" vertical="bottom" textRotation="0" wrapText="false" indent="0" shrinkToFit="false"/>
      <protection locked="true" hidden="false"/>
    </xf>
    <xf numFmtId="167" fontId="6" fillId="0" borderId="1" xfId="26" applyFont="true" applyBorder="true" applyAlignment="false" applyProtection="false">
      <alignment horizontal="general" vertical="bottom" textRotation="0" wrapText="false" indent="0" shrinkToFit="false"/>
      <protection locked="true" hidden="false"/>
    </xf>
    <xf numFmtId="175" fontId="6" fillId="0" borderId="1" xfId="26" applyFont="true" applyBorder="true" applyAlignment="false" applyProtection="false">
      <alignment horizontal="general" vertical="bottom" textRotation="0" wrapText="false" indent="0" shrinkToFit="false"/>
      <protection locked="true" hidden="false"/>
    </xf>
    <xf numFmtId="173" fontId="6" fillId="0" borderId="1" xfId="26" applyFont="true" applyBorder="true" applyAlignment="false" applyProtection="false">
      <alignment horizontal="general" vertical="bottom" textRotation="0" wrapText="false" indent="0" shrinkToFit="false"/>
      <protection locked="true" hidden="false"/>
    </xf>
    <xf numFmtId="170" fontId="6" fillId="0" borderId="1" xfId="26" applyFont="true" applyBorder="true" applyAlignment="false" applyProtection="false">
      <alignment horizontal="general" vertical="bottom" textRotation="0" wrapText="false" indent="0" shrinkToFit="false"/>
      <protection locked="true" hidden="false"/>
    </xf>
    <xf numFmtId="169" fontId="6" fillId="0" borderId="1" xfId="26" applyFont="true" applyBorder="true" applyAlignment="false" applyProtection="false">
      <alignment horizontal="general" vertical="bottom" textRotation="0" wrapText="false" indent="0" shrinkToFit="false"/>
      <protection locked="true" hidden="false"/>
    </xf>
    <xf numFmtId="172" fontId="8" fillId="0" borderId="1" xfId="26" applyFont="true" applyBorder="true" applyAlignment="false" applyProtection="false">
      <alignment horizontal="general" vertical="bottom" textRotation="0" wrapText="false" indent="0" shrinkToFit="false"/>
      <protection locked="true" hidden="false"/>
    </xf>
    <xf numFmtId="164" fontId="6" fillId="0" borderId="1" xfId="26" applyFont="true" applyBorder="true" applyAlignment="false" applyProtection="false">
      <alignment horizontal="general" vertical="bottom" textRotation="0" wrapText="false" indent="0" shrinkToFit="false"/>
      <protection locked="true" hidden="false"/>
    </xf>
    <xf numFmtId="164" fontId="6" fillId="0" borderId="1" xfId="26" applyFont="true" applyBorder="true" applyAlignment="true" applyProtection="false">
      <alignment horizontal="general" vertical="bottom" textRotation="0" wrapText="false" indent="0" shrinkToFit="false"/>
      <protection locked="true" hidden="false"/>
    </xf>
    <xf numFmtId="168" fontId="6" fillId="0" borderId="1" xfId="26" applyFont="true" applyBorder="true" applyAlignment="false" applyProtection="false">
      <alignment horizontal="general" vertical="bottom" textRotation="0" wrapText="false" indent="0" shrinkToFit="false"/>
      <protection locked="true" hidden="false"/>
    </xf>
    <xf numFmtId="171" fontId="6" fillId="0" borderId="1" xfId="26" applyFont="true" applyBorder="true" applyAlignment="false" applyProtection="false">
      <alignment horizontal="general" vertical="bottom" textRotation="0" wrapText="false" indent="0" shrinkToFit="false"/>
      <protection locked="true" hidden="false"/>
    </xf>
    <xf numFmtId="171" fontId="6" fillId="0" borderId="1" xfId="26" applyFont="true" applyBorder="true" applyAlignment="true" applyProtection="false">
      <alignment horizontal="center" vertical="bottom" textRotation="0" wrapText="false" indent="0" shrinkToFit="false"/>
      <protection locked="true" hidden="false"/>
    </xf>
    <xf numFmtId="164" fontId="0" fillId="0" borderId="1" xfId="26" applyFont="false" applyBorder="true" applyAlignment="false" applyProtection="false">
      <alignment horizontal="general" vertical="bottom" textRotation="0" wrapText="false" indent="0" shrinkToFit="false"/>
      <protection locked="true" hidden="false"/>
    </xf>
    <xf numFmtId="171" fontId="6" fillId="0" borderId="2"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72" fontId="10" fillId="0" borderId="26" xfId="0" applyFont="true" applyBorder="true" applyAlignment="true" applyProtection="false">
      <alignment horizontal="center" vertical="bottom" textRotation="0" wrapText="false" indent="0" shrinkToFit="false"/>
      <protection locked="true" hidden="false"/>
    </xf>
    <xf numFmtId="171" fontId="8" fillId="0" borderId="8"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1" fillId="0" borderId="8"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6" fillId="0" borderId="7" xfId="26" applyFont="true" applyBorder="true" applyAlignment="true" applyProtection="false">
      <alignment horizontal="right" vertical="bottom" textRotation="0" wrapText="false" indent="0" shrinkToFit="false"/>
      <protection locked="true" hidden="false"/>
    </xf>
    <xf numFmtId="167" fontId="6" fillId="0" borderId="8" xfId="26" applyFont="true" applyBorder="true" applyAlignment="true" applyProtection="false">
      <alignment horizontal="right" vertical="bottom" textRotation="0" wrapText="false" indent="0" shrinkToFit="false"/>
      <protection locked="true" hidden="false"/>
    </xf>
    <xf numFmtId="171" fontId="6" fillId="0" borderId="0" xfId="26" applyFont="true" applyBorder="true" applyAlignment="true" applyProtection="false">
      <alignment horizontal="right" vertical="bottom" textRotation="0" wrapText="false" indent="0" shrinkToFit="false"/>
      <protection locked="true" hidden="false"/>
    </xf>
    <xf numFmtId="167" fontId="6" fillId="0" borderId="11" xfId="26" applyFont="true" applyBorder="true" applyAlignment="true" applyProtection="false">
      <alignment horizontal="right" vertical="bottom" textRotation="0" wrapText="false" indent="0" shrinkToFit="false"/>
      <protection locked="true" hidden="false"/>
    </xf>
    <xf numFmtId="170" fontId="6" fillId="0" borderId="12" xfId="26"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right" vertical="bottom" textRotation="0" wrapText="false" indent="0" shrinkToFit="false"/>
      <protection locked="true" hidden="false"/>
    </xf>
    <xf numFmtId="167" fontId="6" fillId="0" borderId="12" xfId="26" applyFont="true" applyBorder="true" applyAlignment="true" applyProtection="false">
      <alignment horizontal="right" vertical="bottom" textRotation="0" wrapText="false" indent="0" shrinkToFit="false"/>
      <protection locked="true" hidden="false"/>
    </xf>
    <xf numFmtId="167" fontId="8" fillId="0" borderId="0" xfId="26" applyFont="true" applyBorder="true" applyAlignment="true" applyProtection="false">
      <alignment horizontal="right" vertical="bottom" textRotation="0" wrapText="false" indent="0" shrinkToFit="false"/>
      <protection locked="true" hidden="false"/>
    </xf>
    <xf numFmtId="171" fontId="6" fillId="0" borderId="7" xfId="26" applyFont="true" applyBorder="true" applyAlignment="true" applyProtection="false">
      <alignment horizontal="right" vertical="bottom" textRotation="0" wrapText="false" indent="0" shrinkToFit="false"/>
      <protection locked="true" hidden="false"/>
    </xf>
    <xf numFmtId="164" fontId="6" fillId="0" borderId="0" xfId="26" applyFont="true" applyBorder="true" applyAlignment="true" applyProtection="false">
      <alignment horizontal="right" vertical="bottom" textRotation="0" wrapText="false" indent="0" shrinkToFit="false"/>
      <protection locked="true" hidden="false"/>
    </xf>
    <xf numFmtId="168" fontId="6" fillId="0" borderId="7" xfId="26" applyFont="true" applyBorder="true" applyAlignment="true" applyProtection="false">
      <alignment horizontal="right" vertical="bottom" textRotation="0" wrapText="false" indent="0" shrinkToFit="false"/>
      <protection locked="true" hidden="false"/>
    </xf>
    <xf numFmtId="171" fontId="6" fillId="0" borderId="8" xfId="26" applyFont="true" applyBorder="true" applyAlignment="true" applyProtection="false">
      <alignment horizontal="right"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7" fontId="0" fillId="0" borderId="0" xfId="26" applyFont="true" applyBorder="true" applyAlignment="true" applyProtection="false">
      <alignment horizontal="right" vertical="bottom" textRotation="0" wrapText="false" indent="0" shrinkToFit="false"/>
      <protection locked="true" hidden="false"/>
    </xf>
    <xf numFmtId="164" fontId="11" fillId="0" borderId="8" xfId="26" applyFont="true" applyBorder="true" applyAlignment="true" applyProtection="false">
      <alignment horizontal="center" vertical="bottom" textRotation="0" wrapText="false" indent="0" shrinkToFit="false"/>
      <protection locked="true" hidden="false"/>
    </xf>
    <xf numFmtId="167" fontId="8" fillId="0" borderId="0" xfId="26" applyFont="true" applyBorder="true" applyAlignment="false" applyProtection="false">
      <alignment horizontal="general" vertical="bottom" textRotation="0" wrapText="false" indent="0" shrinkToFit="false"/>
      <protection locked="true" hidden="false"/>
    </xf>
    <xf numFmtId="167" fontId="6" fillId="0" borderId="24" xfId="26" applyFont="true" applyBorder="true" applyAlignment="true" applyProtection="false">
      <alignment horizontal="right" vertical="bottom" textRotation="0" wrapText="false" indent="0" shrinkToFit="false"/>
      <protection locked="true" hidden="false"/>
    </xf>
    <xf numFmtId="170" fontId="6" fillId="0" borderId="21" xfId="26"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general" vertical="bottom" textRotation="0" wrapText="false" indent="0" shrinkToFit="false"/>
      <protection locked="true" hidden="false"/>
    </xf>
    <xf numFmtId="169" fontId="6" fillId="0" borderId="25" xfId="26" applyFont="true" applyBorder="true" applyAlignment="true" applyProtection="false">
      <alignment horizontal="right" vertical="bottom" textRotation="0" wrapText="false" indent="0" shrinkToFit="false"/>
      <protection locked="true" hidden="false"/>
    </xf>
    <xf numFmtId="167" fontId="11" fillId="0" borderId="8" xfId="26" applyFont="true" applyBorder="true" applyAlignment="true" applyProtection="false">
      <alignment horizontal="center" vertical="bottom" textRotation="0" wrapText="false" indent="0" shrinkToFit="false"/>
      <protection locked="true" hidden="false"/>
    </xf>
    <xf numFmtId="167" fontId="0" fillId="0" borderId="0" xfId="26" applyFont="false" applyBorder="true" applyAlignment="false" applyProtection="false">
      <alignment horizontal="general" vertical="bottom" textRotation="0" wrapText="false" indent="0" shrinkToFit="false"/>
      <protection locked="true" hidden="false"/>
    </xf>
    <xf numFmtId="172" fontId="6" fillId="2" borderId="13" xfId="26" applyFont="true" applyBorder="true" applyAlignment="false" applyProtection="false">
      <alignment horizontal="general" vertical="bottom" textRotation="0" wrapText="false" indent="0" shrinkToFit="false"/>
      <protection locked="true" hidden="false"/>
    </xf>
    <xf numFmtId="165" fontId="6" fillId="2" borderId="14" xfId="26" applyFont="true" applyBorder="true" applyAlignment="true" applyProtection="false">
      <alignment horizontal="right" vertical="bottom" textRotation="0" wrapText="false" indent="0" shrinkToFit="false"/>
      <protection locked="true" hidden="false"/>
    </xf>
    <xf numFmtId="167" fontId="6" fillId="2" borderId="13" xfId="26" applyFont="true" applyBorder="true" applyAlignment="true" applyProtection="false">
      <alignment horizontal="right" vertical="bottom" textRotation="0" wrapText="false" indent="0" shrinkToFit="false"/>
      <protection locked="true" hidden="false"/>
    </xf>
    <xf numFmtId="172" fontId="6" fillId="2" borderId="13" xfId="26" applyFont="true" applyBorder="true" applyAlignment="true" applyProtection="false">
      <alignment horizontal="right" vertical="bottom" textRotation="0" wrapText="false" indent="0" shrinkToFit="false"/>
      <protection locked="true" hidden="false"/>
    </xf>
    <xf numFmtId="172" fontId="6" fillId="2" borderId="15" xfId="26" applyFont="true" applyBorder="true" applyAlignment="true" applyProtection="false">
      <alignment horizontal="right" vertical="bottom" textRotation="0" wrapText="false" indent="0" shrinkToFit="false"/>
      <protection locked="true" hidden="false"/>
    </xf>
    <xf numFmtId="173" fontId="6" fillId="2" borderId="13" xfId="26" applyFont="true" applyBorder="true" applyAlignment="true" applyProtection="false">
      <alignment horizontal="right" vertical="bottom" textRotation="0" wrapText="false" indent="0" shrinkToFit="false"/>
      <protection locked="true" hidden="false"/>
    </xf>
    <xf numFmtId="172" fontId="6" fillId="2" borderId="16" xfId="26" applyFont="true" applyBorder="true" applyAlignment="true" applyProtection="false">
      <alignment horizontal="right" vertical="bottom" textRotation="0" wrapText="false" indent="0" shrinkToFit="false"/>
      <protection locked="true" hidden="false"/>
    </xf>
    <xf numFmtId="170" fontId="6" fillId="2" borderId="13" xfId="26" applyFont="true" applyBorder="true" applyAlignment="true" applyProtection="false">
      <alignment horizontal="right" vertical="bottom" textRotation="0" wrapText="false" indent="0" shrinkToFit="false"/>
      <protection locked="true" hidden="false"/>
    </xf>
    <xf numFmtId="170" fontId="6" fillId="2" borderId="17" xfId="26" applyFont="true" applyBorder="true" applyAlignment="true" applyProtection="false">
      <alignment horizontal="right" vertical="bottom" textRotation="0" wrapText="false" indent="0" shrinkToFit="false"/>
      <protection locked="true" hidden="false"/>
    </xf>
    <xf numFmtId="172" fontId="6" fillId="0" borderId="13" xfId="26" applyFont="true" applyBorder="true" applyAlignment="true" applyProtection="false">
      <alignment horizontal="right" vertical="bottom" textRotation="0" wrapText="false" indent="0" shrinkToFit="false"/>
      <protection locked="true" hidden="false"/>
    </xf>
    <xf numFmtId="169" fontId="6" fillId="2" borderId="13" xfId="26" applyFont="true" applyBorder="true" applyAlignment="true" applyProtection="false">
      <alignment horizontal="right" vertical="bottom" textRotation="0" wrapText="false" indent="0" shrinkToFit="false"/>
      <protection locked="true" hidden="false"/>
    </xf>
    <xf numFmtId="172" fontId="6" fillId="2" borderId="17" xfId="26" applyFont="true" applyBorder="true" applyAlignment="true" applyProtection="false">
      <alignment horizontal="right" vertical="bottom" textRotation="0" wrapText="false" indent="0" shrinkToFit="false"/>
      <protection locked="true" hidden="false"/>
    </xf>
    <xf numFmtId="171" fontId="6" fillId="0" borderId="14" xfId="26" applyFont="true" applyBorder="true" applyAlignment="true" applyProtection="false">
      <alignment horizontal="right" vertical="bottom" textRotation="0" wrapText="false" indent="0" shrinkToFit="false"/>
      <protection locked="true" hidden="false"/>
    </xf>
    <xf numFmtId="171" fontId="6" fillId="2" borderId="13" xfId="26" applyFont="true" applyBorder="true" applyAlignment="true" applyProtection="false">
      <alignment horizontal="right" vertical="bottom" textRotation="0" wrapText="false" indent="0" shrinkToFit="false"/>
      <protection locked="true" hidden="false"/>
    </xf>
    <xf numFmtId="171" fontId="6" fillId="2" borderId="13" xfId="26" applyFont="true" applyBorder="true" applyAlignment="true" applyProtection="false">
      <alignment horizontal="general" vertical="bottom" textRotation="0" wrapText="false" indent="0" shrinkToFit="false"/>
      <protection locked="true" hidden="false"/>
    </xf>
    <xf numFmtId="168" fontId="6" fillId="2" borderId="14" xfId="26" applyFont="true" applyBorder="true" applyAlignment="true" applyProtection="false">
      <alignment horizontal="right" vertical="bottom" textRotation="0" wrapText="false" indent="0" shrinkToFit="false"/>
      <protection locked="true" hidden="false"/>
    </xf>
    <xf numFmtId="172" fontId="6" fillId="0" borderId="8" xfId="26" applyFont="true" applyBorder="true" applyAlignment="true" applyProtection="false">
      <alignment horizontal="right" vertical="bottom" textRotation="0" wrapText="false" indent="0" shrinkToFit="false"/>
      <protection locked="true" hidden="false"/>
    </xf>
    <xf numFmtId="173" fontId="6" fillId="0" borderId="0" xfId="26" applyFont="true" applyBorder="true" applyAlignment="true" applyProtection="false">
      <alignment horizontal="right" vertical="bottom" textRotation="0" wrapText="false" indent="0" shrinkToFit="false"/>
      <protection locked="true" hidden="false"/>
    </xf>
    <xf numFmtId="172" fontId="6" fillId="0" borderId="11" xfId="26" applyFont="true" applyBorder="true" applyAlignment="true" applyProtection="false">
      <alignment horizontal="right" vertical="bottom" textRotation="0" wrapText="false" indent="0" shrinkToFit="false"/>
      <protection locked="true" hidden="false"/>
    </xf>
    <xf numFmtId="172" fontId="6" fillId="0" borderId="0" xfId="26" applyFont="true" applyBorder="true" applyAlignment="true" applyProtection="false">
      <alignment horizontal="right" vertical="bottom" textRotation="0" wrapText="false" indent="0" shrinkToFit="false"/>
      <protection locked="true" hidden="false"/>
    </xf>
    <xf numFmtId="172" fontId="6" fillId="0" borderId="12" xfId="26" applyFont="true" applyBorder="true" applyAlignment="true" applyProtection="false">
      <alignment horizontal="right"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4" fontId="0" fillId="0" borderId="8" xfId="26" applyFont="false" applyBorder="true" applyAlignment="false" applyProtection="false">
      <alignment horizontal="general" vertical="bottom" textRotation="0" wrapText="false" indent="0" shrinkToFit="false"/>
      <protection locked="true" hidden="false"/>
    </xf>
    <xf numFmtId="169" fontId="6" fillId="0" borderId="7" xfId="26" applyFont="true" applyBorder="true" applyAlignment="true" applyProtection="false">
      <alignment horizontal="right" vertical="bottom" textRotation="0" wrapText="false" indent="0" shrinkToFit="false"/>
      <protection locked="true" hidden="false"/>
    </xf>
    <xf numFmtId="164" fontId="6" fillId="0" borderId="8" xfId="26" applyFont="true" applyBorder="true" applyAlignment="true" applyProtection="false">
      <alignment horizontal="right" vertical="bottom" textRotation="0" wrapText="false" indent="0" shrinkToFit="false"/>
      <protection locked="true" hidden="false"/>
    </xf>
    <xf numFmtId="172" fontId="6" fillId="2" borderId="14" xfId="26" applyFont="true" applyBorder="true" applyAlignment="true" applyProtection="false">
      <alignment horizontal="right" vertical="bottom" textRotation="0" wrapText="false" indent="0" shrinkToFit="false"/>
      <protection locked="true" hidden="false"/>
    </xf>
    <xf numFmtId="169" fontId="6" fillId="0" borderId="10" xfId="26" applyFont="true" applyBorder="true" applyAlignment="true" applyProtection="false">
      <alignment horizontal="right" vertical="bottom" textRotation="0" wrapText="false" indent="0" shrinkToFit="false"/>
      <protection locked="true" hidden="false"/>
    </xf>
    <xf numFmtId="172" fontId="0" fillId="0" borderId="0" xfId="26" applyFont="false" applyBorder="true" applyAlignment="false" applyProtection="false">
      <alignment horizontal="general" vertical="bottom" textRotation="0" wrapText="false" indent="0" shrinkToFit="false"/>
      <protection locked="true" hidden="false"/>
    </xf>
    <xf numFmtId="167" fontId="6" fillId="2" borderId="15" xfId="26" applyFont="true" applyBorder="true" applyAlignment="true" applyProtection="false">
      <alignment horizontal="right" vertical="bottom" textRotation="0" wrapText="false" indent="0" shrinkToFit="false"/>
      <protection locked="true" hidden="false"/>
    </xf>
    <xf numFmtId="167" fontId="6" fillId="2" borderId="16" xfId="26" applyFont="true" applyBorder="true" applyAlignment="true" applyProtection="false">
      <alignment horizontal="right" vertical="bottom" textRotation="0" wrapText="false" indent="0" shrinkToFit="false"/>
      <protection locked="true" hidden="false"/>
    </xf>
    <xf numFmtId="167" fontId="6" fillId="2" borderId="17" xfId="26" applyFont="true" applyBorder="true" applyAlignment="true" applyProtection="false">
      <alignment horizontal="right" vertical="bottom" textRotation="0" wrapText="false" indent="0" shrinkToFit="false"/>
      <protection locked="true" hidden="false"/>
    </xf>
    <xf numFmtId="167" fontId="6" fillId="2" borderId="13" xfId="26" applyFont="true" applyBorder="true" applyAlignment="true" applyProtection="false">
      <alignment horizontal="general" vertical="bottom" textRotation="0" wrapText="false" indent="0" shrinkToFit="false"/>
      <protection locked="true" hidden="false"/>
    </xf>
    <xf numFmtId="167" fontId="6" fillId="2" borderId="14" xfId="26" applyFont="true" applyBorder="true" applyAlignment="true" applyProtection="false">
      <alignment horizontal="right" vertical="bottom" textRotation="0" wrapText="false" indent="0" shrinkToFit="false"/>
      <protection locked="true" hidden="false"/>
    </xf>
    <xf numFmtId="168" fontId="6" fillId="2" borderId="13" xfId="26" applyFont="true" applyBorder="true" applyAlignment="true" applyProtection="false">
      <alignment horizontal="right" vertical="bottom" textRotation="0" wrapText="false" indent="0" shrinkToFit="false"/>
      <protection locked="true" hidden="false"/>
    </xf>
    <xf numFmtId="168" fontId="6" fillId="2" borderId="13" xfId="26" applyFont="true" applyBorder="true" applyAlignment="true" applyProtection="false">
      <alignment horizontal="general" vertical="bottom" textRotation="0" wrapText="false" indent="0" shrinkToFit="false"/>
      <protection locked="true" hidden="false"/>
    </xf>
    <xf numFmtId="167" fontId="6" fillId="0" borderId="27" xfId="26" applyFont="true" applyBorder="true" applyAlignment="true" applyProtection="false">
      <alignment horizontal="right" vertical="bottom" textRotation="0" wrapText="false" indent="0" shrinkToFit="false"/>
      <protection locked="true" hidden="false"/>
    </xf>
    <xf numFmtId="167" fontId="6" fillId="0" borderId="21" xfId="26" applyFont="true" applyBorder="true" applyAlignment="true" applyProtection="false">
      <alignment horizontal="right" vertical="bottom" textRotation="0" wrapText="false" indent="0" shrinkToFit="false"/>
      <protection locked="true" hidden="false"/>
    </xf>
    <xf numFmtId="167" fontId="6" fillId="0" borderId="23" xfId="26" applyFont="true" applyBorder="true" applyAlignment="true" applyProtection="false">
      <alignment horizontal="right" vertical="bottom" textRotation="0" wrapText="false" indent="0" shrinkToFit="false"/>
      <protection locked="true" hidden="false"/>
    </xf>
    <xf numFmtId="172" fontId="6" fillId="2" borderId="13" xfId="26" applyFont="true" applyBorder="true" applyAlignment="true" applyProtection="false">
      <alignment horizontal="general" vertical="bottom" textRotation="0" wrapText="false" indent="0" shrinkToFit="false"/>
      <protection locked="true" hidden="false"/>
    </xf>
    <xf numFmtId="177" fontId="6" fillId="0" borderId="0" xfId="26" applyFont="true" applyBorder="true" applyAlignment="false" applyProtection="false">
      <alignment horizontal="general" vertical="bottom" textRotation="0" wrapText="false" indent="0" shrinkToFit="false"/>
      <protection locked="true" hidden="false"/>
    </xf>
    <xf numFmtId="165" fontId="6" fillId="0" borderId="0" xfId="26" applyFont="true" applyBorder="true" applyAlignment="false" applyProtection="false">
      <alignment horizontal="general" vertical="bottom" textRotation="0" wrapText="false" indent="0" shrinkToFit="false"/>
      <protection locked="true" hidden="false"/>
    </xf>
    <xf numFmtId="166" fontId="6" fillId="0" borderId="0" xfId="26" applyFont="true" applyBorder="true" applyAlignment="false" applyProtection="false">
      <alignment horizontal="general" vertical="bottom" textRotation="0" wrapText="false" indent="0" shrinkToFit="false"/>
      <protection locked="true" hidden="false"/>
    </xf>
    <xf numFmtId="171" fontId="6" fillId="0" borderId="7" xfId="26" applyFont="true" applyBorder="true" applyAlignment="true" applyProtection="false">
      <alignment horizontal="right" vertical="bottom" textRotation="0" wrapText="false" indent="0" shrinkToFit="false"/>
      <protection locked="true" hidden="false"/>
    </xf>
    <xf numFmtId="168" fontId="6" fillId="0" borderId="0" xfId="26" applyFont="true" applyBorder="true" applyAlignment="true" applyProtection="false">
      <alignment horizontal="right" vertical="bottom" textRotation="0" wrapText="false" indent="0" shrinkToFit="false"/>
      <protection locked="true" hidden="false"/>
    </xf>
    <xf numFmtId="164" fontId="0" fillId="0" borderId="0" xfId="26" applyFont="true" applyBorder="true" applyAlignment="true" applyProtection="false">
      <alignment horizontal="right" vertical="bottom" textRotation="0" wrapText="false" indent="0" shrinkToFit="false"/>
      <protection locked="true" hidden="false"/>
    </xf>
    <xf numFmtId="172" fontId="6" fillId="0" borderId="24" xfId="26" applyFont="true" applyBorder="true" applyAlignment="true" applyProtection="false">
      <alignment horizontal="right" vertical="bottom" textRotation="0" wrapText="false" indent="0" shrinkToFit="false"/>
      <protection locked="true" hidden="false"/>
    </xf>
    <xf numFmtId="165" fontId="6" fillId="0" borderId="24" xfId="26" applyFont="true" applyBorder="true" applyAlignment="true" applyProtection="false">
      <alignment horizontal="right" vertical="bottom" textRotation="0" wrapText="false" indent="0" shrinkToFit="false"/>
      <protection locked="true" hidden="false"/>
    </xf>
    <xf numFmtId="172" fontId="6" fillId="0" borderId="25" xfId="26" applyFont="true" applyBorder="true" applyAlignment="true" applyProtection="false">
      <alignment horizontal="right" vertical="bottom" textRotation="0" wrapText="false" indent="0" shrinkToFit="false"/>
      <protection locked="true" hidden="false"/>
    </xf>
    <xf numFmtId="171" fontId="6" fillId="2" borderId="14" xfId="26" applyFont="true" applyBorder="true" applyAlignment="true" applyProtection="false">
      <alignment horizontal="right" vertical="bottom" textRotation="0" wrapText="false" indent="0" shrinkToFit="false"/>
      <protection locked="true" hidden="false"/>
    </xf>
    <xf numFmtId="171" fontId="6" fillId="2" borderId="15" xfId="26" applyFont="true" applyBorder="true" applyAlignment="true" applyProtection="false">
      <alignment horizontal="right" vertical="bottom" textRotation="0" wrapText="false" indent="0" shrinkToFit="false"/>
      <protection locked="true" hidden="false"/>
    </xf>
    <xf numFmtId="173" fontId="6" fillId="0" borderId="0" xfId="26" applyFont="true" applyBorder="true" applyAlignment="true" applyProtection="false">
      <alignment horizontal="right" vertical="bottom" textRotation="0" wrapText="false" indent="0" shrinkToFit="false"/>
      <protection locked="true" hidden="false"/>
    </xf>
    <xf numFmtId="169" fontId="6" fillId="0" borderId="0" xfId="26" applyFont="true" applyBorder="true" applyAlignment="true" applyProtection="false">
      <alignment horizontal="right" vertical="bottom" textRotation="0" wrapText="false" indent="0" shrinkToFit="false"/>
      <protection locked="true" hidden="false"/>
    </xf>
    <xf numFmtId="171" fontId="6" fillId="0" borderId="12" xfId="26" applyFont="true" applyBorder="true" applyAlignment="true" applyProtection="false">
      <alignment horizontal="right" vertical="bottom" textRotation="0" wrapText="false" indent="0" shrinkToFit="false"/>
      <protection locked="true" hidden="false"/>
    </xf>
    <xf numFmtId="171" fontId="6" fillId="2" borderId="17" xfId="26" applyFont="true" applyBorder="true" applyAlignment="true" applyProtection="false">
      <alignment horizontal="right" vertical="bottom" textRotation="0" wrapText="false" indent="0" shrinkToFit="false"/>
      <protection locked="true" hidden="false"/>
    </xf>
    <xf numFmtId="171" fontId="6" fillId="0" borderId="21" xfId="26" applyFont="true" applyBorder="true" applyAlignment="true" applyProtection="false">
      <alignment horizontal="right" vertical="bottom" textRotation="0" wrapText="false" indent="0" shrinkToFit="false"/>
      <protection locked="true" hidden="false"/>
    </xf>
    <xf numFmtId="178" fontId="6" fillId="0" borderId="0" xfId="26" applyFont="true" applyBorder="true" applyAlignment="false" applyProtection="false">
      <alignment horizontal="general" vertical="bottom" textRotation="0" wrapText="false" indent="0" shrinkToFit="false"/>
      <protection locked="true" hidden="false"/>
    </xf>
    <xf numFmtId="164" fontId="6" fillId="0" borderId="0" xfId="26" applyFont="true" applyBorder="true" applyAlignment="true" applyProtection="false">
      <alignment horizontal="center" vertical="bottom" textRotation="0" wrapText="false" indent="0" shrinkToFit="false"/>
      <protection locked="true" hidden="false"/>
    </xf>
    <xf numFmtId="169" fontId="0" fillId="0" borderId="0" xfId="26" applyFont="false" applyBorder="true" applyAlignment="false" applyProtection="false">
      <alignment horizontal="general" vertical="bottom" textRotation="0" wrapText="false" indent="0" shrinkToFit="false"/>
      <protection locked="true" hidden="false"/>
    </xf>
    <xf numFmtId="171" fontId="8" fillId="0" borderId="0" xfId="26" applyFont="true" applyBorder="true" applyAlignment="false" applyProtection="false">
      <alignment horizontal="general" vertical="bottom" textRotation="0" wrapText="false" indent="0" shrinkToFit="false"/>
      <protection locked="true" hidden="false"/>
    </xf>
    <xf numFmtId="169" fontId="0" fillId="0" borderId="0" xfId="26" applyFont="true" applyBorder="true" applyAlignment="false" applyProtection="false">
      <alignment horizontal="general" vertical="bottom" textRotation="0" wrapText="false" indent="0" shrinkToFit="false"/>
      <protection locked="true" hidden="false"/>
    </xf>
    <xf numFmtId="172" fontId="7" fillId="0" borderId="0" xfId="26" applyFont="true" applyBorder="true" applyAlignment="true" applyProtection="false">
      <alignment horizontal="left" vertical="bottom" textRotation="0" wrapText="false" indent="0" shrinkToFit="false"/>
      <protection locked="true" hidden="false"/>
    </xf>
    <xf numFmtId="172" fontId="7" fillId="0" borderId="0" xfId="26" applyFont="true" applyBorder="true" applyAlignment="true" applyProtection="false">
      <alignment horizontal="center" vertical="bottom" textRotation="0" wrapText="false" indent="0" shrinkToFit="false"/>
      <protection locked="true" hidden="false"/>
    </xf>
    <xf numFmtId="170" fontId="6" fillId="0" borderId="0" xfId="26" applyFont="true" applyBorder="true" applyAlignment="true" applyProtection="false">
      <alignment horizontal="center" vertical="bottom" textRotation="0" wrapText="false" indent="0" shrinkToFit="false"/>
      <protection locked="true" hidden="false"/>
    </xf>
    <xf numFmtId="178" fontId="6" fillId="0" borderId="1" xfId="26" applyFont="true" applyBorder="true" applyAlignment="false" applyProtection="false">
      <alignment horizontal="general" vertical="bottom" textRotation="0" wrapText="false" indent="0" shrinkToFit="false"/>
      <protection locked="true" hidden="false"/>
    </xf>
    <xf numFmtId="171" fontId="8" fillId="0" borderId="1" xfId="26" applyFont="true" applyBorder="true" applyAlignment="false" applyProtection="false">
      <alignment horizontal="general" vertical="bottom" textRotation="0" wrapText="false" indent="0" shrinkToFit="false"/>
      <protection locked="true" hidden="false"/>
    </xf>
    <xf numFmtId="164" fontId="6" fillId="0" borderId="1" xfId="26"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9" fontId="11" fillId="0" borderId="10"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true" applyAlignment="true" applyProtection="false">
      <alignment horizontal="center" vertical="bottom" textRotation="0" wrapText="false" indent="0" shrinkToFit="false"/>
      <protection locked="true" hidden="false"/>
    </xf>
    <xf numFmtId="178" fontId="6" fillId="0" borderId="0" xfId="26" applyFont="true" applyBorder="true" applyAlignment="true" applyProtection="false">
      <alignment horizontal="right" vertical="bottom" textRotation="0" wrapText="false" indent="0" shrinkToFit="false"/>
      <protection locked="true" hidden="false"/>
    </xf>
    <xf numFmtId="164" fontId="8" fillId="0" borderId="0" xfId="26" applyFont="true" applyBorder="true" applyAlignment="true" applyProtection="false">
      <alignment horizontal="right" vertical="bottom" textRotation="0" wrapText="false" indent="0" shrinkToFit="false"/>
      <protection locked="true" hidden="false"/>
    </xf>
    <xf numFmtId="169" fontId="0" fillId="0" borderId="10" xfId="26" applyFont="false" applyBorder="true" applyAlignment="false" applyProtection="false">
      <alignment horizontal="general" vertical="bottom" textRotation="0" wrapText="false" indent="0" shrinkToFit="false"/>
      <protection locked="true" hidden="false"/>
    </xf>
    <xf numFmtId="164" fontId="11" fillId="0" borderId="0" xfId="26" applyFont="true" applyBorder="true" applyAlignment="true" applyProtection="false">
      <alignment horizontal="center" vertical="bottom" textRotation="0" wrapText="false" indent="0" shrinkToFit="false"/>
      <protection locked="true" hidden="false"/>
    </xf>
    <xf numFmtId="165" fontId="6" fillId="0" borderId="22" xfId="26" applyFont="true" applyBorder="true" applyAlignment="true" applyProtection="false">
      <alignment horizontal="right" vertical="bottom" textRotation="0" wrapText="false" indent="0" shrinkToFit="false"/>
      <protection locked="true" hidden="false"/>
    </xf>
    <xf numFmtId="167" fontId="6" fillId="0" borderId="24" xfId="26" applyFont="true" applyBorder="true" applyAlignment="true" applyProtection="false">
      <alignment horizontal="right" vertical="bottom" textRotation="0" wrapText="false" indent="0" shrinkToFit="false"/>
      <protection locked="true" hidden="false"/>
    </xf>
    <xf numFmtId="167" fontId="0" fillId="0" borderId="8" xfId="26" applyFont="false" applyBorder="true" applyAlignment="false" applyProtection="false">
      <alignment horizontal="general" vertical="bottom" textRotation="0" wrapText="false" indent="0" shrinkToFit="false"/>
      <protection locked="true" hidden="false"/>
    </xf>
    <xf numFmtId="178" fontId="6" fillId="0" borderId="13" xfId="26" applyFont="true" applyBorder="true" applyAlignment="true" applyProtection="false">
      <alignment horizontal="right" vertical="bottom" textRotation="0" wrapText="false" indent="0" shrinkToFit="false"/>
      <protection locked="true" hidden="false"/>
    </xf>
    <xf numFmtId="167" fontId="8" fillId="2" borderId="13" xfId="26" applyFont="true" applyBorder="true" applyAlignment="true" applyProtection="false">
      <alignment horizontal="right" vertical="bottom" textRotation="0" wrapText="false" indent="0" shrinkToFit="false"/>
      <protection locked="true" hidden="false"/>
    </xf>
    <xf numFmtId="171" fontId="8" fillId="2" borderId="13" xfId="26" applyFont="true" applyBorder="true" applyAlignment="true" applyProtection="false">
      <alignment horizontal="right" vertical="bottom" textRotation="0" wrapText="false" indent="0" shrinkToFit="false"/>
      <protection locked="true" hidden="false"/>
    </xf>
    <xf numFmtId="171" fontId="8" fillId="2" borderId="15" xfId="26" applyFont="true" applyBorder="true" applyAlignment="true" applyProtection="false">
      <alignment horizontal="right" vertical="bottom" textRotation="0" wrapText="false" indent="0" shrinkToFit="false"/>
      <protection locked="true" hidden="false"/>
    </xf>
    <xf numFmtId="171" fontId="6" fillId="0" borderId="8" xfId="26" applyFont="true" applyBorder="true" applyAlignment="true" applyProtection="false">
      <alignment horizontal="center" vertical="bottom" textRotation="0" wrapText="false" indent="0" shrinkToFit="false"/>
      <protection locked="true" hidden="false"/>
    </xf>
    <xf numFmtId="165" fontId="6" fillId="0" borderId="7" xfId="26"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right" vertical="bottom" textRotation="0" wrapText="false" indent="0" shrinkToFit="false"/>
      <protection locked="true" hidden="false"/>
    </xf>
    <xf numFmtId="178" fontId="6" fillId="0" borderId="0" xfId="26" applyFont="true" applyBorder="true" applyAlignment="true" applyProtection="false">
      <alignment horizontal="right" vertical="bottom" textRotation="0" wrapText="false" indent="0" shrinkToFit="false"/>
      <protection locked="true" hidden="false"/>
    </xf>
    <xf numFmtId="172" fontId="8" fillId="2" borderId="13" xfId="26" applyFont="true" applyBorder="true" applyAlignment="false" applyProtection="false">
      <alignment horizontal="general" vertical="bottom" textRotation="0" wrapText="false" indent="0" shrinkToFit="false"/>
      <protection locked="true" hidden="false"/>
    </xf>
    <xf numFmtId="172" fontId="8" fillId="2" borderId="13" xfId="26" applyFont="true" applyBorder="true" applyAlignment="true" applyProtection="false">
      <alignment horizontal="right" vertical="bottom" textRotation="0" wrapText="false" indent="0" shrinkToFit="false"/>
      <protection locked="true" hidden="false"/>
    </xf>
    <xf numFmtId="171" fontId="6" fillId="0" borderId="28" xfId="26" applyFont="true" applyBorder="true" applyAlignment="true" applyProtection="false">
      <alignment horizontal="right" vertical="bottom" textRotation="0" wrapText="false" indent="0" shrinkToFit="false"/>
      <protection locked="true" hidden="false"/>
    </xf>
    <xf numFmtId="169" fontId="6" fillId="0" borderId="20" xfId="26" applyFont="true" applyBorder="true" applyAlignment="true" applyProtection="false">
      <alignment horizontal="right" vertical="bottom" textRotation="0" wrapText="false" indent="0" shrinkToFit="false"/>
      <protection locked="true" hidden="false"/>
    </xf>
    <xf numFmtId="171" fontId="6" fillId="0" borderId="29" xfId="26" applyFont="true" applyBorder="true" applyAlignment="true" applyProtection="false">
      <alignment horizontal="right" vertical="bottom" textRotation="0" wrapText="false" indent="0" shrinkToFit="false"/>
      <protection locked="true" hidden="false"/>
    </xf>
    <xf numFmtId="171" fontId="6" fillId="0" borderId="10" xfId="26" applyFont="true" applyBorder="true" applyAlignment="true" applyProtection="false">
      <alignment horizontal="right" vertical="bottom" textRotation="0" wrapText="false" indent="0" shrinkToFit="false"/>
      <protection locked="true" hidden="false"/>
    </xf>
    <xf numFmtId="171" fontId="6" fillId="0" borderId="11" xfId="26" applyFont="true" applyBorder="true" applyAlignment="true" applyProtection="false">
      <alignment horizontal="right" vertical="bottom" textRotation="0" wrapText="false" indent="0" shrinkToFit="false"/>
      <protection locked="true" hidden="false"/>
    </xf>
    <xf numFmtId="169" fontId="6" fillId="0" borderId="12" xfId="26" applyFont="true" applyBorder="true" applyAlignment="true" applyProtection="false">
      <alignment horizontal="right" vertical="bottom" textRotation="0" wrapText="false" indent="0" shrinkToFit="false"/>
      <protection locked="true" hidden="false"/>
    </xf>
    <xf numFmtId="171" fontId="8" fillId="0" borderId="0" xfId="26" applyFont="true" applyBorder="true" applyAlignment="true" applyProtection="false">
      <alignment horizontal="right" vertical="bottom" textRotation="0" wrapText="false" indent="0" shrinkToFit="false"/>
      <protection locked="true" hidden="false"/>
    </xf>
    <xf numFmtId="171" fontId="6" fillId="2" borderId="16" xfId="26" applyFont="true" applyBorder="true" applyAlignment="true" applyProtection="false">
      <alignment horizontal="right" vertical="bottom" textRotation="0" wrapText="false" indent="0" shrinkToFit="false"/>
      <protection locked="true" hidden="false"/>
    </xf>
    <xf numFmtId="170" fontId="6" fillId="0" borderId="7" xfId="26" applyFont="true" applyBorder="true" applyAlignment="true" applyProtection="false">
      <alignment horizontal="right" vertical="bottom" textRotation="0" wrapText="false" indent="0" shrinkToFit="false"/>
      <protection locked="true" hidden="false"/>
    </xf>
    <xf numFmtId="171" fontId="6" fillId="0" borderId="23" xfId="26" applyFont="true" applyBorder="true" applyAlignment="true" applyProtection="false">
      <alignment horizontal="right" vertical="bottom" textRotation="0" wrapText="false" indent="0" shrinkToFit="false"/>
      <protection locked="true" hidden="false"/>
    </xf>
    <xf numFmtId="164" fontId="8" fillId="0" borderId="0" xfId="26" applyFont="true" applyBorder="true" applyAlignment="true" applyProtection="false">
      <alignment horizontal="left" vertical="bottom" textRotation="0" wrapText="false" indent="0" shrinkToFit="false"/>
      <protection locked="true" hidden="false"/>
    </xf>
    <xf numFmtId="178" fontId="6" fillId="2" borderId="13" xfId="26" applyFont="true" applyBorder="true" applyAlignment="true" applyProtection="false">
      <alignment horizontal="right" vertical="bottom" textRotation="0" wrapText="false" indent="0" shrinkToFit="false"/>
      <protection locked="true" hidden="false"/>
    </xf>
    <xf numFmtId="172" fontId="8" fillId="0" borderId="0" xfId="26" applyFont="true" applyBorder="true" applyAlignment="true" applyProtection="false">
      <alignment horizontal="center"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26" applyFont="true" applyBorder="true" applyAlignment="false" applyProtection="false">
      <alignment horizontal="general" vertical="bottom" textRotation="0" wrapText="false" indent="0" shrinkToFit="false"/>
      <protection locked="true" hidden="false"/>
    </xf>
    <xf numFmtId="170" fontId="6" fillId="0" borderId="1" xfId="26" applyFont="true" applyBorder="true" applyAlignment="true" applyProtection="false">
      <alignment horizontal="center" vertical="bottom" textRotation="0" wrapText="false" indent="0" shrinkToFit="false"/>
      <protection locked="true" hidden="false"/>
    </xf>
    <xf numFmtId="169" fontId="8" fillId="0" borderId="1" xfId="26"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70" fontId="8" fillId="0" borderId="12" xfId="0" applyFont="true" applyBorder="true" applyAlignment="true" applyProtection="false">
      <alignment horizontal="center" vertical="bottom" textRotation="0" wrapText="false" indent="0" shrinkToFit="false"/>
      <protection locked="true" hidden="false"/>
    </xf>
    <xf numFmtId="170" fontId="6" fillId="0" borderId="12" xfId="26" applyFont="true" applyBorder="true" applyAlignment="true" applyProtection="false">
      <alignment horizontal="center" vertical="bottom" textRotation="0" wrapText="false" indent="0" shrinkToFit="false"/>
      <protection locked="true" hidden="false"/>
    </xf>
    <xf numFmtId="169" fontId="8" fillId="0" borderId="0" xfId="26" applyFont="true" applyBorder="true" applyAlignment="true" applyProtection="false">
      <alignment horizontal="right" vertical="bottom" textRotation="0" wrapText="false" indent="0" shrinkToFit="false"/>
      <protection locked="true" hidden="false"/>
    </xf>
    <xf numFmtId="164" fontId="0" fillId="0" borderId="10" xfId="26" applyFont="false" applyBorder="true" applyAlignment="false" applyProtection="false">
      <alignment horizontal="general" vertical="bottom" textRotation="0" wrapText="false" indent="0" shrinkToFit="false"/>
      <protection locked="true" hidden="false"/>
    </xf>
    <xf numFmtId="179" fontId="6" fillId="0" borderId="0" xfId="26" applyFont="true" applyBorder="true" applyAlignment="true" applyProtection="false">
      <alignment horizontal="right" vertical="bottom" textRotation="0" wrapText="false" indent="0" shrinkToFit="false"/>
      <protection locked="true" hidden="false"/>
    </xf>
    <xf numFmtId="170" fontId="6" fillId="2" borderId="17" xfId="26" applyFont="true" applyBorder="true" applyAlignment="true" applyProtection="false">
      <alignment horizontal="center" vertical="bottom" textRotation="0" wrapText="false" indent="0" shrinkToFit="false"/>
      <protection locked="true" hidden="false"/>
    </xf>
    <xf numFmtId="171" fontId="6" fillId="2" borderId="13" xfId="26" applyFont="true" applyBorder="true" applyAlignment="true" applyProtection="false">
      <alignment horizontal="center" vertical="bottom" textRotation="0" wrapText="false" indent="0" shrinkToFit="false"/>
      <protection locked="true" hidden="false"/>
    </xf>
    <xf numFmtId="168" fontId="6" fillId="0" borderId="0" xfId="26" applyFont="true" applyBorder="true" applyAlignment="true" applyProtection="false">
      <alignment horizontal="right" vertical="bottom" textRotation="0" wrapText="false" indent="0" shrinkToFit="false"/>
      <protection locked="true" hidden="false"/>
    </xf>
    <xf numFmtId="165" fontId="6" fillId="0" borderId="0" xfId="26" applyFont="true" applyBorder="true" applyAlignment="true" applyProtection="false">
      <alignment horizontal="right" vertical="bottom" textRotation="0" wrapText="false" indent="0" shrinkToFit="false"/>
      <protection locked="true" hidden="false"/>
    </xf>
    <xf numFmtId="172" fontId="6" fillId="0" borderId="11" xfId="26" applyFont="true" applyBorder="true" applyAlignment="true" applyProtection="false">
      <alignment horizontal="right" vertical="bottom" textRotation="0" wrapText="false" indent="0" shrinkToFit="false"/>
      <protection locked="true" hidden="false"/>
    </xf>
    <xf numFmtId="167" fontId="6" fillId="0" borderId="10" xfId="26" applyFont="true" applyBorder="true" applyAlignment="true" applyProtection="false">
      <alignment horizontal="right" vertical="bottom" textRotation="0" wrapText="false" indent="0" shrinkToFit="false"/>
      <protection locked="true" hidden="false"/>
    </xf>
    <xf numFmtId="179" fontId="6" fillId="2" borderId="13" xfId="26" applyFont="true" applyBorder="true" applyAlignment="true" applyProtection="false">
      <alignment horizontal="right" vertical="bottom" textRotation="0" wrapText="false" indent="0" shrinkToFit="false"/>
      <protection locked="true" hidden="false"/>
    </xf>
    <xf numFmtId="169" fontId="6" fillId="2" borderId="17" xfId="26" applyFont="true" applyBorder="true" applyAlignment="true" applyProtection="false">
      <alignment horizontal="center" vertical="bottom" textRotation="0" wrapText="false" indent="0" shrinkToFit="false"/>
      <protection locked="true" hidden="false"/>
    </xf>
    <xf numFmtId="167" fontId="6" fillId="2" borderId="13" xfId="26" applyFont="true" applyBorder="true" applyAlignment="true" applyProtection="false">
      <alignment horizontal="center" vertical="bottom" textRotation="0" wrapText="false" indent="0" shrinkToFit="false"/>
      <protection locked="true" hidden="false"/>
    </xf>
    <xf numFmtId="169" fontId="6" fillId="0" borderId="12" xfId="26" applyFont="true" applyBorder="true" applyAlignment="true" applyProtection="false">
      <alignment horizontal="center" vertical="bottom" textRotation="0" wrapText="false" indent="0" shrinkToFit="false"/>
      <protection locked="true" hidden="false"/>
    </xf>
    <xf numFmtId="172" fontId="6" fillId="2" borderId="13" xfId="26"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80" fontId="18"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9" fontId="6" fillId="0" borderId="1" xfId="26" applyFont="true" applyBorder="true" applyAlignment="true" applyProtection="false">
      <alignment horizontal="center" vertical="bottom" textRotation="0" wrapText="false" indent="0" shrinkToFit="false"/>
      <protection locked="true" hidden="false"/>
    </xf>
    <xf numFmtId="169" fontId="8" fillId="0" borderId="4"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2" fontId="6" fillId="0" borderId="7" xfId="0" applyFont="true" applyBorder="true" applyAlignment="true" applyProtection="false">
      <alignment horizontal="right" vertical="bottom" textRotation="0" wrapText="false" indent="0" shrinkToFit="false"/>
      <protection locked="true" hidden="false"/>
    </xf>
    <xf numFmtId="170" fontId="6" fillId="0" borderId="12" xfId="0" applyFont="true" applyBorder="true" applyAlignment="true" applyProtection="false">
      <alignment horizontal="right" vertical="bottom" textRotation="0" wrapText="false" indent="0" shrinkToFit="false"/>
      <protection locked="true" hidden="false"/>
    </xf>
    <xf numFmtId="167" fontId="6" fillId="0" borderId="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right" vertical="bottom" textRotation="0" wrapText="false" indent="0" shrinkToFit="false"/>
      <protection locked="true" hidden="false"/>
    </xf>
    <xf numFmtId="167" fontId="6" fillId="0" borderId="27" xfId="0" applyFont="true" applyBorder="true" applyAlignment="true" applyProtection="false">
      <alignment horizontal="right" vertical="bottom" textRotation="0" wrapText="false" indent="0" shrinkToFit="false"/>
      <protection locked="true" hidden="false"/>
    </xf>
    <xf numFmtId="167" fontId="0" fillId="0" borderId="8" xfId="0" applyFont="fals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true" applyProtection="false">
      <alignment horizontal="right" vertical="bottom" textRotation="0" wrapText="false" indent="0" shrinkToFit="false"/>
      <protection locked="true" hidden="false"/>
    </xf>
    <xf numFmtId="170"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center" vertical="bottom" textRotation="0" wrapText="false" indent="0" shrinkToFit="false"/>
      <protection locked="true" hidden="false"/>
    </xf>
    <xf numFmtId="172" fontId="6" fillId="0" borderId="0" xfId="15" applyFont="true" applyBorder="true" applyAlignment="true" applyProtection="true">
      <alignment horizontal="right" vertical="bottom" textRotation="0" wrapText="false" indent="0" shrinkToFit="false"/>
      <protection locked="true" hidden="false"/>
    </xf>
    <xf numFmtId="172" fontId="6" fillId="0" borderId="0"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5" fontId="6" fillId="0" borderId="7"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true" applyAlignment="true" applyProtection="false">
      <alignment horizontal="right" vertical="bottom" textRotation="0" wrapText="false" indent="0" shrinkToFit="false"/>
      <protection locked="true" hidden="false"/>
    </xf>
    <xf numFmtId="172" fontId="6" fillId="0" borderId="8"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true" applyProtection="false">
      <alignment horizontal="right" vertical="bottom" textRotation="0" wrapText="false" indent="0" shrinkToFit="false"/>
      <protection locked="true" hidden="false"/>
    </xf>
    <xf numFmtId="171" fontId="6" fillId="0" borderId="18" xfId="0" applyFont="true" applyBorder="true" applyAlignment="true" applyProtection="false">
      <alignment horizontal="right" vertical="bottom" textRotation="0" wrapText="false" indent="0" shrinkToFit="false"/>
      <protection locked="true" hidden="false"/>
    </xf>
    <xf numFmtId="168" fontId="6" fillId="2" borderId="13" xfId="0" applyFont="true" applyBorder="true" applyAlignment="true" applyProtection="false">
      <alignment horizontal="right" vertical="bottom" textRotation="0" wrapText="false" indent="0" shrinkToFit="false"/>
      <protection locked="true" hidden="false"/>
    </xf>
    <xf numFmtId="172" fontId="6" fillId="0" borderId="22"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false" applyProtection="false">
      <alignment horizontal="general" vertical="bottom" textRotation="0" wrapText="false" indent="0" shrinkToFit="false"/>
      <protection locked="true" hidden="false"/>
    </xf>
    <xf numFmtId="169" fontId="8" fillId="2" borderId="13" xfId="0" applyFont="true" applyBorder="true" applyAlignment="false" applyProtection="false">
      <alignment horizontal="general" vertical="bottom" textRotation="0" wrapText="false" indent="0" shrinkToFit="false"/>
      <protection locked="true" hidden="false"/>
    </xf>
    <xf numFmtId="167" fontId="6" fillId="2" borderId="14"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false" applyProtection="false">
      <alignment horizontal="general" vertical="bottom" textRotation="0" wrapText="false" indent="0" shrinkToFit="false"/>
      <protection locked="true" hidden="false"/>
    </xf>
    <xf numFmtId="170" fontId="8" fillId="0" borderId="0" xfId="26" applyFont="true" applyBorder="true" applyAlignment="false" applyProtection="false">
      <alignment horizontal="general" vertical="bottom" textRotation="0" wrapText="false" indent="0" shrinkToFit="false"/>
      <protection locked="true" hidden="false"/>
    </xf>
    <xf numFmtId="165" fontId="6" fillId="0" borderId="0" xfId="26" applyFont="true" applyBorder="true" applyAlignment="true" applyProtection="false">
      <alignment horizontal="center" vertical="bottom" textRotation="0" wrapText="false" indent="0" shrinkToFit="false"/>
      <protection locked="true" hidden="false"/>
    </xf>
    <xf numFmtId="175" fontId="6" fillId="0" borderId="0" xfId="26" applyFont="true" applyBorder="true" applyAlignment="false" applyProtection="false">
      <alignment horizontal="general" vertical="bottom" textRotation="0" wrapText="false" indent="0" shrinkToFit="false"/>
      <protection locked="true" hidden="false"/>
    </xf>
    <xf numFmtId="172" fontId="6" fillId="0" borderId="4" xfId="26" applyFont="true" applyBorder="true" applyAlignment="false" applyProtection="false">
      <alignment horizontal="general" vertical="bottom" textRotation="0" wrapText="false" indent="0" shrinkToFit="false"/>
      <protection locked="true" hidden="false"/>
    </xf>
    <xf numFmtId="172" fontId="6" fillId="0" borderId="3" xfId="26" applyFont="true" applyBorder="true" applyAlignment="false" applyProtection="false">
      <alignment horizontal="general" vertical="bottom" textRotation="0" wrapText="false" indent="0" shrinkToFit="false"/>
      <protection locked="true" hidden="false"/>
    </xf>
    <xf numFmtId="167" fontId="6" fillId="0" borderId="4" xfId="26" applyFont="true" applyBorder="true" applyAlignment="false" applyProtection="false">
      <alignment horizontal="general" vertical="bottom" textRotation="0" wrapText="false" indent="0" shrinkToFit="false"/>
      <protection locked="true" hidden="false"/>
    </xf>
    <xf numFmtId="175" fontId="9" fillId="0" borderId="4" xfId="26" applyFont="true" applyBorder="true" applyAlignment="true" applyProtection="false">
      <alignment horizontal="center" vertical="bottom" textRotation="0" wrapText="false" indent="0" shrinkToFit="false"/>
      <protection locked="true" hidden="false"/>
    </xf>
    <xf numFmtId="169" fontId="6" fillId="0" borderId="4" xfId="26" applyFont="true" applyBorder="true" applyAlignment="false" applyProtection="false">
      <alignment horizontal="general" vertical="bottom" textRotation="0" wrapText="false" indent="0" shrinkToFit="false"/>
      <protection locked="true" hidden="false"/>
    </xf>
    <xf numFmtId="172" fontId="9" fillId="0" borderId="4" xfId="26" applyFont="true" applyBorder="true" applyAlignment="false" applyProtection="false">
      <alignment horizontal="general" vertical="bottom" textRotation="0" wrapText="false" indent="0" shrinkToFit="false"/>
      <protection locked="true" hidden="false"/>
    </xf>
    <xf numFmtId="172" fontId="6" fillId="0" borderId="5" xfId="26" applyFont="true" applyBorder="true" applyAlignment="false" applyProtection="false">
      <alignment horizontal="general" vertical="bottom" textRotation="0" wrapText="false" indent="0" shrinkToFit="false"/>
      <protection locked="true" hidden="false"/>
    </xf>
    <xf numFmtId="170" fontId="6" fillId="0" borderId="4" xfId="26" applyFont="true" applyBorder="true" applyAlignment="false" applyProtection="false">
      <alignment horizontal="general" vertical="bottom" textRotation="0" wrapText="false" indent="0" shrinkToFit="false"/>
      <protection locked="true" hidden="false"/>
    </xf>
    <xf numFmtId="165" fontId="6" fillId="0" borderId="4" xfId="26" applyFont="true" applyBorder="true" applyAlignment="false" applyProtection="false">
      <alignment horizontal="general" vertical="bottom" textRotation="0" wrapText="false" indent="0" shrinkToFit="false"/>
      <protection locked="true" hidden="false"/>
    </xf>
    <xf numFmtId="171" fontId="6" fillId="0" borderId="4" xfId="26" applyFont="true" applyBorder="true" applyAlignment="false" applyProtection="false">
      <alignment horizontal="general" vertical="bottom" textRotation="0" wrapText="false" indent="0" shrinkToFit="false"/>
      <protection locked="true" hidden="false"/>
    </xf>
    <xf numFmtId="169" fontId="8" fillId="0" borderId="4" xfId="26" applyFont="true" applyBorder="true" applyAlignment="false" applyProtection="false">
      <alignment horizontal="general" vertical="bottom" textRotation="0" wrapText="false" indent="0" shrinkToFit="false"/>
      <protection locked="true" hidden="false"/>
    </xf>
    <xf numFmtId="172" fontId="9" fillId="0" borderId="0" xfId="26" applyFont="true" applyBorder="true" applyAlignment="true" applyProtection="false">
      <alignment horizontal="center" vertical="bottom" textRotation="0" wrapText="false" indent="0" shrinkToFit="false"/>
      <protection locked="true" hidden="false"/>
    </xf>
    <xf numFmtId="169" fontId="6" fillId="0" borderId="4" xfId="0" applyFont="true" applyBorder="true" applyAlignment="true" applyProtection="false">
      <alignment horizontal="center" vertical="bottom" textRotation="0" wrapText="false" indent="0" shrinkToFit="false"/>
      <protection locked="true" hidden="false"/>
    </xf>
    <xf numFmtId="168" fontId="6" fillId="0" borderId="3" xfId="26" applyFont="true" applyBorder="true" applyAlignment="false" applyProtection="false">
      <alignment horizontal="general" vertical="bottom" textRotation="0" wrapText="false" indent="0" shrinkToFit="false"/>
      <protection locked="true" hidden="false"/>
    </xf>
    <xf numFmtId="171" fontId="9" fillId="0" borderId="4" xfId="26" applyFont="true" applyBorder="true" applyAlignment="true" applyProtection="false">
      <alignment horizontal="center" vertical="bottom" textRotation="0" wrapText="false" indent="0" shrinkToFit="false"/>
      <protection locked="true" hidden="false"/>
    </xf>
    <xf numFmtId="171" fontId="6" fillId="0" borderId="4" xfId="26" applyFont="true" applyBorder="true" applyAlignment="true" applyProtection="false">
      <alignment horizontal="center" vertical="bottom" textRotation="0" wrapText="false" indent="0" shrinkToFit="false"/>
      <protection locked="true" hidden="false"/>
    </xf>
    <xf numFmtId="164" fontId="6" fillId="0" borderId="6" xfId="26" applyFont="true" applyBorder="true" applyAlignment="false" applyProtection="false">
      <alignment horizontal="general" vertical="bottom" textRotation="0" wrapText="false" indent="0" shrinkToFit="false"/>
      <protection locked="true" hidden="false"/>
    </xf>
    <xf numFmtId="172" fontId="8" fillId="0" borderId="7" xfId="26" applyFont="true" applyBorder="true" applyAlignment="true" applyProtection="false">
      <alignment horizontal="center" vertical="bottom" textRotation="0" wrapText="false" indent="0" shrinkToFit="false"/>
      <protection locked="true" hidden="false"/>
    </xf>
    <xf numFmtId="167" fontId="8" fillId="0" borderId="0" xfId="26" applyFont="true" applyBorder="true" applyAlignment="true" applyProtection="false">
      <alignment horizontal="center" vertical="bottom" textRotation="0" wrapText="false" indent="0" shrinkToFit="false"/>
      <protection locked="true" hidden="false"/>
    </xf>
    <xf numFmtId="169" fontId="8" fillId="0" borderId="0" xfId="26" applyFont="true" applyBorder="true" applyAlignment="true" applyProtection="false">
      <alignment horizontal="center" vertical="bottom" textRotation="0" wrapText="false" indent="0" shrinkToFit="false"/>
      <protection locked="true" hidden="false"/>
    </xf>
    <xf numFmtId="172" fontId="10" fillId="0" borderId="9" xfId="26" applyFont="true" applyBorder="true" applyAlignment="true" applyProtection="false">
      <alignment horizontal="center" vertical="bottom" textRotation="0" wrapText="false" indent="0" shrinkToFit="false"/>
      <protection locked="true" hidden="false"/>
    </xf>
    <xf numFmtId="172" fontId="10" fillId="0" borderId="9" xfId="26" applyFont="true" applyBorder="true" applyAlignment="true" applyProtection="false">
      <alignment horizontal="left" vertical="bottom" textRotation="0" wrapText="false" indent="0" shrinkToFit="false"/>
      <protection locked="true" hidden="false"/>
    </xf>
    <xf numFmtId="172" fontId="10" fillId="0" borderId="9" xfId="26" applyFont="true" applyBorder="true" applyAlignment="true" applyProtection="false">
      <alignment horizontal="right" vertical="bottom" textRotation="0" wrapText="false" indent="0" shrinkToFit="false"/>
      <protection locked="true" hidden="false"/>
    </xf>
    <xf numFmtId="171" fontId="8" fillId="0" borderId="0" xfId="26" applyFont="true" applyBorder="true" applyAlignment="true" applyProtection="false">
      <alignment horizontal="center" vertical="bottom" textRotation="0" wrapText="false" indent="0" shrinkToFit="false"/>
      <protection locked="true" hidden="false"/>
    </xf>
    <xf numFmtId="168" fontId="8" fillId="0" borderId="7" xfId="26"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72" fontId="10" fillId="0" borderId="0" xfId="26" applyFont="true" applyBorder="true" applyAlignment="true" applyProtection="false">
      <alignment horizontal="center" vertical="bottom" textRotation="0" wrapText="false" indent="0" shrinkToFit="false"/>
      <protection locked="true" hidden="false"/>
    </xf>
    <xf numFmtId="172" fontId="8" fillId="0" borderId="11" xfId="26" applyFont="true" applyBorder="true" applyAlignment="true" applyProtection="false">
      <alignment horizontal="center" vertical="bottom" textRotation="0" wrapText="false" indent="0" shrinkToFit="false"/>
      <protection locked="true" hidden="false"/>
    </xf>
    <xf numFmtId="170" fontId="8" fillId="0" borderId="0" xfId="26" applyFont="true" applyBorder="true" applyAlignment="true" applyProtection="false">
      <alignment horizontal="center" vertical="bottom" textRotation="0" wrapText="false" indent="0" shrinkToFit="false"/>
      <protection locked="true" hidden="false"/>
    </xf>
    <xf numFmtId="170" fontId="8" fillId="0" borderId="12" xfId="26" applyFont="true" applyBorder="true" applyAlignment="true" applyProtection="false">
      <alignment horizontal="center" vertical="bottom" textRotation="0" wrapText="false" indent="0" shrinkToFit="false"/>
      <protection locked="true" hidden="false"/>
    </xf>
    <xf numFmtId="168" fontId="8" fillId="0" borderId="7" xfId="26" applyFont="true" applyBorder="true" applyAlignment="false" applyProtection="false">
      <alignment horizontal="general" vertical="bottom" textRotation="0" wrapText="false" indent="0" shrinkToFit="false"/>
      <protection locked="true" hidden="false"/>
    </xf>
    <xf numFmtId="172" fontId="8" fillId="0" borderId="12" xfId="26" applyFont="true" applyBorder="true" applyAlignment="true" applyProtection="false">
      <alignment horizontal="center" vertical="bottom" textRotation="0" wrapText="false" indent="0" shrinkToFit="false"/>
      <protection locked="true" hidden="false"/>
    </xf>
    <xf numFmtId="172" fontId="6" fillId="0" borderId="11" xfId="26" applyFont="true" applyBorder="true" applyAlignment="true" applyProtection="false">
      <alignment horizontal="center" vertical="bottom" textRotation="0" wrapText="false" indent="0" shrinkToFit="false"/>
      <protection locked="true" hidden="false"/>
    </xf>
    <xf numFmtId="172" fontId="6" fillId="0" borderId="12" xfId="26"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9" fontId="8" fillId="0" borderId="12" xfId="26" applyFont="true" applyBorder="true" applyAlignment="true" applyProtection="false">
      <alignment horizontal="center" vertical="bottom" textRotation="0" wrapText="false" indent="0" shrinkToFit="false"/>
      <protection locked="true" hidden="false"/>
    </xf>
    <xf numFmtId="169" fontId="8" fillId="0" borderId="11" xfId="26" applyFont="true" applyBorder="true" applyAlignment="true" applyProtection="false">
      <alignment horizontal="center" vertical="bottom" textRotation="0" wrapText="false" indent="0" shrinkToFit="false"/>
      <protection locked="true" hidden="false"/>
    </xf>
    <xf numFmtId="169" fontId="8" fillId="0" borderId="8" xfId="26" applyFont="true" applyBorder="true" applyAlignment="true" applyProtection="false">
      <alignment horizontal="center" vertical="bottom" textRotation="0" wrapText="false" indent="0" shrinkToFit="false"/>
      <protection locked="true" hidden="false"/>
    </xf>
    <xf numFmtId="165" fontId="8" fillId="0" borderId="0" xfId="26" applyFont="true" applyBorder="true" applyAlignment="true" applyProtection="false">
      <alignment horizontal="center" vertical="bottom" textRotation="0" wrapText="false" indent="0" shrinkToFit="false"/>
      <protection locked="true" hidden="false"/>
    </xf>
    <xf numFmtId="167" fontId="6" fillId="0" borderId="7" xfId="26" applyFont="true" applyBorder="true" applyAlignment="true" applyProtection="false">
      <alignment horizontal="right" vertical="bottom" textRotation="0" wrapText="false" indent="0" shrinkToFit="false"/>
      <protection locked="true" hidden="false"/>
    </xf>
    <xf numFmtId="167" fontId="6" fillId="0" borderId="10" xfId="26" applyFont="true" applyBorder="true" applyAlignment="false" applyProtection="false">
      <alignment horizontal="general" vertical="bottom" textRotation="0" wrapText="false" indent="0" shrinkToFit="false"/>
      <protection locked="true" hidden="false"/>
    </xf>
    <xf numFmtId="169" fontId="6" fillId="0" borderId="21" xfId="26" applyFont="true" applyBorder="true" applyAlignment="true" applyProtection="false">
      <alignment horizontal="right" vertical="bottom" textRotation="0" wrapText="false" indent="0" shrinkToFit="false"/>
      <protection locked="true" hidden="false"/>
    </xf>
    <xf numFmtId="167" fontId="6" fillId="0" borderId="22" xfId="26" applyFont="true" applyBorder="true" applyAlignment="true" applyProtection="false">
      <alignment horizontal="right" vertical="bottom" textRotation="0" wrapText="false" indent="0" shrinkToFit="false"/>
      <protection locked="true" hidden="false"/>
    </xf>
    <xf numFmtId="179" fontId="6" fillId="0" borderId="10" xfId="26" applyFont="true" applyBorder="true" applyAlignment="true" applyProtection="false">
      <alignment horizontal="right" vertical="bottom" textRotation="0" wrapText="false" indent="0" shrinkToFit="false"/>
      <protection locked="true" hidden="false"/>
    </xf>
    <xf numFmtId="165" fontId="6" fillId="2" borderId="13" xfId="26" applyFont="true" applyBorder="true" applyAlignment="true" applyProtection="false">
      <alignment horizontal="right" vertical="bottom" textRotation="0" wrapText="false" indent="0" shrinkToFit="false"/>
      <protection locked="true" hidden="false"/>
    </xf>
    <xf numFmtId="165" fontId="6" fillId="0" borderId="7" xfId="26" applyFont="true" applyBorder="true" applyAlignment="true" applyProtection="false">
      <alignment horizontal="right" vertical="bottom" textRotation="0" wrapText="false" indent="0" shrinkToFit="false"/>
      <protection locked="true" hidden="false"/>
    </xf>
    <xf numFmtId="164" fontId="6" fillId="0" borderId="0" xfId="26" applyFont="true" applyBorder="true" applyAlignment="false" applyProtection="false">
      <alignment horizontal="general" vertical="bottom" textRotation="0" wrapText="false" indent="0" shrinkToFit="false"/>
      <protection locked="true" hidden="false"/>
    </xf>
    <xf numFmtId="167" fontId="6" fillId="0" borderId="28" xfId="26" applyFont="true" applyBorder="true" applyAlignment="true" applyProtection="false">
      <alignment horizontal="right" vertical="bottom" textRotation="0" wrapText="false" indent="0" shrinkToFit="false"/>
      <protection locked="true" hidden="false"/>
    </xf>
    <xf numFmtId="167" fontId="6" fillId="0" borderId="20" xfId="26" applyFont="true" applyBorder="true" applyAlignment="true" applyProtection="false">
      <alignment horizontal="right" vertical="bottom" textRotation="0" wrapText="false" indent="0" shrinkToFit="false"/>
      <protection locked="true" hidden="false"/>
    </xf>
    <xf numFmtId="168" fontId="6" fillId="2" borderId="30" xfId="26" applyFont="true" applyBorder="true" applyAlignment="true" applyProtection="false">
      <alignment horizontal="right" vertical="bottom" textRotation="0" wrapText="false" indent="0" shrinkToFit="false"/>
      <protection locked="true" hidden="false"/>
    </xf>
    <xf numFmtId="172" fontId="6" fillId="2" borderId="18" xfId="26" applyFont="true" applyBorder="true" applyAlignment="true" applyProtection="false">
      <alignment horizontal="right" vertical="bottom" textRotation="0" wrapText="false" indent="0" shrinkToFit="false"/>
      <protection locked="true" hidden="false"/>
    </xf>
    <xf numFmtId="172" fontId="6" fillId="2" borderId="19" xfId="26" applyFont="true" applyBorder="true" applyAlignment="true" applyProtection="false">
      <alignment horizontal="right" vertical="bottom" textRotation="0" wrapText="false" indent="0" shrinkToFit="false"/>
      <protection locked="true" hidden="false"/>
    </xf>
    <xf numFmtId="169" fontId="6" fillId="2" borderId="18" xfId="26" applyFont="true" applyBorder="true" applyAlignment="true" applyProtection="false">
      <alignment horizontal="right" vertical="bottom" textRotation="0" wrapText="false" indent="0" shrinkToFit="false"/>
      <protection locked="true" hidden="false"/>
    </xf>
    <xf numFmtId="181" fontId="6" fillId="0" borderId="0" xfId="26" applyFont="true" applyBorder="true" applyAlignment="false" applyProtection="false">
      <alignment horizontal="general" vertical="bottom" textRotation="0" wrapText="false" indent="0" shrinkToFit="false"/>
      <protection locked="true" hidden="false"/>
    </xf>
    <xf numFmtId="170" fontId="6" fillId="0" borderId="18" xfId="26" applyFont="true" applyBorder="true" applyAlignment="false" applyProtection="false">
      <alignment horizontal="general" vertical="bottom" textRotation="0" wrapText="false" indent="0" shrinkToFit="false"/>
      <protection locked="true" hidden="false"/>
    </xf>
    <xf numFmtId="169" fontId="6" fillId="0" borderId="18" xfId="26" applyFont="true" applyBorder="true" applyAlignment="false" applyProtection="false">
      <alignment horizontal="general" vertical="bottom" textRotation="0" wrapText="false" indent="0" shrinkToFit="false"/>
      <protection locked="true" hidden="false"/>
    </xf>
    <xf numFmtId="167" fontId="6" fillId="0" borderId="0" xfId="26" applyFont="true" applyBorder="true" applyAlignment="false" applyProtection="false">
      <alignment horizontal="general" vertical="bottom" textRotation="0" wrapText="false" indent="0" shrinkToFit="false"/>
      <protection locked="true" hidden="false"/>
    </xf>
    <xf numFmtId="169" fontId="8" fillId="0" borderId="0" xfId="26" applyFont="true" applyBorder="true" applyAlignment="false" applyProtection="false">
      <alignment horizontal="general" vertical="bottom" textRotation="0" wrapText="false" indent="0" shrinkToFit="false"/>
      <protection locked="true" hidden="false"/>
    </xf>
    <xf numFmtId="166" fontId="9" fillId="0" borderId="0" xfId="26" applyFont="true" applyBorder="true" applyAlignment="false" applyProtection="false">
      <alignment horizontal="general" vertical="bottom" textRotation="0" wrapText="false" indent="0" shrinkToFit="false"/>
      <protection locked="true" hidden="false"/>
    </xf>
    <xf numFmtId="169" fontId="9" fillId="0" borderId="0" xfId="26" applyFont="true" applyBorder="true" applyAlignment="false" applyProtection="false">
      <alignment horizontal="general" vertical="bottom" textRotation="0" wrapText="false" indent="0" shrinkToFit="false"/>
      <protection locked="true" hidden="false"/>
    </xf>
    <xf numFmtId="167" fontId="9" fillId="0" borderId="0" xfId="26" applyFont="true" applyBorder="true" applyAlignment="false" applyProtection="false">
      <alignment horizontal="general" vertical="bottom" textRotation="0" wrapText="false" indent="0" shrinkToFit="false"/>
      <protection locked="true" hidden="false"/>
    </xf>
    <xf numFmtId="175" fontId="8" fillId="0" borderId="0" xfId="26"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2" fontId="8" fillId="0" borderId="4" xfId="26"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true" applyProtection="false">
      <alignment horizontal="center" vertical="bottom" textRotation="0" wrapText="false" indent="0" shrinkToFit="false"/>
      <protection locked="true" hidden="false"/>
    </xf>
    <xf numFmtId="170" fontId="6" fillId="0" borderId="0" xfId="26" applyFont="true" applyBorder="true" applyAlignment="false" applyProtection="false">
      <alignment horizontal="general" vertical="bottom" textRotation="0" wrapText="false" indent="0" shrinkToFit="false"/>
      <protection locked="true" hidden="false"/>
    </xf>
    <xf numFmtId="164" fontId="6" fillId="0" borderId="2" xfId="26" applyFont="true" applyBorder="true" applyAlignment="false" applyProtection="false">
      <alignment horizontal="general" vertical="bottom" textRotation="0" wrapText="false" indent="0" shrinkToFit="false"/>
      <protection locked="true" hidden="false"/>
    </xf>
    <xf numFmtId="172" fontId="10" fillId="0" borderId="26" xfId="26" applyFont="true" applyBorder="true" applyAlignment="true" applyProtection="false">
      <alignment horizontal="center" vertical="bottom" textRotation="0" wrapText="false" indent="0" shrinkToFit="false"/>
      <protection locked="true" hidden="false"/>
    </xf>
    <xf numFmtId="171" fontId="8" fillId="0" borderId="7" xfId="0" applyFont="true" applyBorder="true" applyAlignment="true" applyProtection="false">
      <alignment horizontal="center" vertical="bottom" textRotation="0" wrapText="false" indent="0" shrinkToFit="false"/>
      <protection locked="true" hidden="false"/>
    </xf>
    <xf numFmtId="164" fontId="0" fillId="0" borderId="8" xfId="26" applyFont="true" applyBorder="true" applyAlignment="true" applyProtection="false">
      <alignment horizontal="center" vertical="bottom" textRotation="0" wrapText="false" indent="0" shrinkToFit="false"/>
      <protection locked="true" hidden="false"/>
    </xf>
    <xf numFmtId="171" fontId="8" fillId="0" borderId="7" xfId="0" applyFont="true" applyBorder="true" applyAlignment="true" applyProtection="false">
      <alignment horizontal="center" vertical="bottom" textRotation="0" wrapText="false" indent="0" shrinkToFit="false"/>
      <protection locked="true" hidden="false"/>
    </xf>
    <xf numFmtId="172" fontId="8" fillId="0" borderId="8" xfId="26" applyFont="true" applyBorder="true" applyAlignment="true" applyProtection="false">
      <alignment horizontal="center" vertical="bottom" textRotation="0" wrapText="false" indent="0" shrinkToFit="false"/>
      <protection locked="true" hidden="false"/>
    </xf>
    <xf numFmtId="171" fontId="6" fillId="0" borderId="7" xfId="0" applyFont="true" applyBorder="true" applyAlignment="true" applyProtection="false">
      <alignment horizontal="right" vertical="bottom" textRotation="0" wrapText="false" indent="0" shrinkToFit="false"/>
      <protection locked="true" hidden="false"/>
    </xf>
    <xf numFmtId="169" fontId="6" fillId="0" borderId="8"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false" applyProtection="false">
      <alignment horizontal="general" vertical="bottom" textRotation="0" wrapText="false" indent="0" shrinkToFit="false"/>
      <protection locked="true" hidden="false"/>
    </xf>
    <xf numFmtId="169" fontId="6" fillId="0" borderId="12" xfId="0" applyFont="true" applyBorder="true" applyAlignment="true" applyProtection="false">
      <alignment horizontal="right" vertical="bottom" textRotation="0" wrapText="false" indent="0" shrinkToFit="false"/>
      <protection locked="true" hidden="false"/>
    </xf>
    <xf numFmtId="169" fontId="6" fillId="0" borderId="23" xfId="0" applyFont="true" applyBorder="true" applyAlignment="false" applyProtection="false">
      <alignment horizontal="general" vertical="bottom" textRotation="0" wrapText="false" indent="0" shrinkToFit="false"/>
      <protection locked="true" hidden="false"/>
    </xf>
    <xf numFmtId="167" fontId="6" fillId="0" borderId="10" xfId="0" applyFont="true" applyBorder="true" applyAlignment="true" applyProtection="false">
      <alignment horizontal="right" vertical="bottom" textRotation="0" wrapText="false" indent="0" shrinkToFit="false"/>
      <protection locked="true" hidden="false"/>
    </xf>
    <xf numFmtId="171" fontId="6" fillId="2" borderId="14" xfId="0" applyFont="true" applyBorder="true" applyAlignment="true" applyProtection="false">
      <alignment horizontal="right" vertical="bottom" textRotation="0" wrapText="false" indent="0" shrinkToFit="false"/>
      <protection locked="true" hidden="false"/>
    </xf>
    <xf numFmtId="167" fontId="6" fillId="2" borderId="31" xfId="0" applyFont="true" applyBorder="true" applyAlignment="true" applyProtection="false">
      <alignment horizontal="right" vertical="bottom" textRotation="0" wrapText="false" indent="0" shrinkToFit="false"/>
      <protection locked="true" hidden="false"/>
    </xf>
    <xf numFmtId="165" fontId="6" fillId="0" borderId="0" xfId="26" applyFont="true" applyBorder="true" applyAlignment="true" applyProtection="false">
      <alignment horizontal="right"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72" fontId="6" fillId="0" borderId="29" xfId="0" applyFont="true" applyBorder="true" applyAlignment="true" applyProtection="false">
      <alignment horizontal="right" vertical="bottom" textRotation="0" wrapText="false" indent="0" shrinkToFit="false"/>
      <protection locked="true" hidden="false"/>
    </xf>
    <xf numFmtId="171" fontId="6" fillId="0" borderId="0" xfId="26" applyFont="true" applyBorder="true" applyAlignment="true" applyProtection="false">
      <alignment horizontal="right" vertical="bottom" textRotation="0" wrapText="false" indent="0" shrinkToFit="false"/>
      <protection locked="true" hidden="false"/>
    </xf>
    <xf numFmtId="171" fontId="6" fillId="0" borderId="8" xfId="0" applyFont="true" applyBorder="true" applyAlignment="false" applyProtection="false">
      <alignment horizontal="general" vertical="bottom" textRotation="0" wrapText="false" indent="0" shrinkToFit="false"/>
      <protection locked="true" hidden="false"/>
    </xf>
    <xf numFmtId="171" fontId="6" fillId="0" borderId="8"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9" fontId="6" fillId="0" borderId="22" xfId="26" applyFont="true" applyBorder="true" applyAlignment="true" applyProtection="false">
      <alignment horizontal="right" vertical="bottom" textRotation="0" wrapText="false" indent="0" shrinkToFit="false"/>
      <protection locked="true" hidden="false"/>
    </xf>
    <xf numFmtId="167" fontId="6" fillId="0" borderId="25" xfId="0" applyFont="true" applyBorder="true" applyAlignment="true" applyProtection="false">
      <alignment horizontal="right" vertical="bottom" textRotation="0" wrapText="false" indent="0" shrinkToFit="false"/>
      <protection locked="true" hidden="false"/>
    </xf>
    <xf numFmtId="172" fontId="6" fillId="0" borderId="22" xfId="26" applyFont="true" applyBorder="true" applyAlignment="true" applyProtection="false">
      <alignment horizontal="right" vertical="bottom" textRotation="0" wrapText="false" indent="0" shrinkToFit="false"/>
      <protection locked="true" hidden="false"/>
    </xf>
    <xf numFmtId="172" fontId="6" fillId="2" borderId="18" xfId="0" applyFont="true" applyBorder="true" applyAlignment="true" applyProtection="false">
      <alignment horizontal="right" vertical="bottom" textRotation="0" wrapText="false" indent="0" shrinkToFit="false"/>
      <protection locked="true" hidden="false"/>
    </xf>
    <xf numFmtId="167" fontId="8" fillId="2" borderId="13" xfId="0" applyFont="true" applyBorder="true" applyAlignment="true" applyProtection="false">
      <alignment horizontal="right" vertical="bottom" textRotation="0" wrapText="false" indent="0" shrinkToFit="false"/>
      <protection locked="true" hidden="false"/>
    </xf>
    <xf numFmtId="167" fontId="8" fillId="0" borderId="18"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true" applyAlignment="false" applyProtection="false">
      <alignment horizontal="general"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15"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75" fontId="9" fillId="0" borderId="3" xfId="0" applyFont="true" applyBorder="true" applyAlignment="tru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general" vertical="bottom" textRotation="0" wrapText="false" indent="0" shrinkToFit="false"/>
      <protection locked="true" hidden="false"/>
    </xf>
    <xf numFmtId="175" fontId="9" fillId="0" borderId="2" xfId="0" applyFont="true" applyBorder="true" applyAlignment="tru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72" fontId="9" fillId="0" borderId="5" xfId="0" applyFont="true" applyBorder="true" applyAlignment="true" applyProtection="false">
      <alignment horizontal="general" vertical="bottom" textRotation="0" wrapText="false" indent="0" shrinkToFit="false"/>
      <protection locked="true" hidden="false"/>
    </xf>
    <xf numFmtId="172" fontId="9" fillId="0" borderId="2" xfId="0" applyFont="true" applyBorder="true" applyAlignment="true" applyProtection="false">
      <alignment horizontal="general" vertical="bottom" textRotation="0" wrapText="false" indent="0" shrinkToFit="false"/>
      <protection locked="true" hidden="false"/>
    </xf>
    <xf numFmtId="169" fontId="9" fillId="0" borderId="3" xfId="26" applyFont="true" applyBorder="true" applyAlignment="true" applyProtection="false">
      <alignment horizontal="general" vertical="bottom" textRotation="0" wrapText="false" indent="0" shrinkToFit="false"/>
      <protection locked="true" hidden="false"/>
    </xf>
    <xf numFmtId="169" fontId="9" fillId="0" borderId="4" xfId="26" applyFont="true" applyBorder="true" applyAlignment="true" applyProtection="false">
      <alignment horizontal="general" vertical="bottom" textRotation="0" wrapText="false" indent="0" shrinkToFit="false"/>
      <protection locked="true" hidden="false"/>
    </xf>
    <xf numFmtId="169" fontId="9" fillId="0" borderId="2" xfId="26" applyFont="true" applyBorder="true" applyAlignment="true" applyProtection="false">
      <alignment horizontal="general" vertical="bottom" textRotation="0" wrapText="false" indent="0" shrinkToFit="false"/>
      <protection locked="true" hidden="false"/>
    </xf>
    <xf numFmtId="171" fontId="9" fillId="0" borderId="3" xfId="0" applyFont="true" applyBorder="true" applyAlignment="tru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general" vertical="bottom" textRotation="0" wrapText="false" indent="0" shrinkToFit="false"/>
      <protection locked="true" hidden="false"/>
    </xf>
    <xf numFmtId="171" fontId="9"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26" applyFont="true" applyBorder="true" applyAlignment="true" applyProtection="false">
      <alignment horizontal="center"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72" fontId="6" fillId="0" borderId="12" xfId="0" applyFont="true" applyBorder="true" applyAlignment="true" applyProtection="false">
      <alignment horizontal="center" vertical="bottom" textRotation="0" wrapText="false" indent="0" shrinkToFit="false"/>
      <protection locked="true" hidden="false"/>
    </xf>
    <xf numFmtId="167" fontId="6" fillId="0" borderId="0" xfId="26" applyFont="true" applyBorder="true" applyAlignment="true" applyProtection="false">
      <alignment horizontal="center" vertical="bottom" textRotation="0" wrapText="false" indent="0" shrinkToFit="false"/>
      <protection locked="true" hidden="false"/>
    </xf>
    <xf numFmtId="171" fontId="6" fillId="0" borderId="0" xfId="26" applyFont="true" applyBorder="true" applyAlignment="true" applyProtection="false">
      <alignment horizontal="center" vertical="bottom" textRotation="0" wrapText="false" indent="0" shrinkToFit="false"/>
      <protection locked="true" hidden="false"/>
    </xf>
    <xf numFmtId="169" fontId="6" fillId="0" borderId="0" xfId="26" applyFont="true" applyBorder="true" applyAlignment="true" applyProtection="false">
      <alignment horizontal="center" vertical="bottom" textRotation="0" wrapText="false" indent="0" shrinkToFit="false"/>
      <protection locked="true" hidden="false"/>
    </xf>
    <xf numFmtId="171" fontId="0" fillId="0" borderId="0" xfId="26" applyFont="false" applyBorder="true" applyAlignment="false" applyProtection="false">
      <alignment horizontal="general" vertical="bottom" textRotation="0" wrapText="false" indent="0" shrinkToFit="false"/>
      <protection locked="true" hidden="false"/>
    </xf>
    <xf numFmtId="164" fontId="8" fillId="0" borderId="8" xfId="26" applyFont="true" applyBorder="true" applyAlignment="false" applyProtection="false">
      <alignment horizontal="general" vertical="bottom" textRotation="0" wrapText="false" indent="0" shrinkToFit="false"/>
      <protection locked="true" hidden="false"/>
    </xf>
    <xf numFmtId="168" fontId="8" fillId="0" borderId="0" xfId="26" applyFont="true" applyBorder="true" applyAlignment="false" applyProtection="false">
      <alignment horizontal="general" vertical="bottom" textRotation="0" wrapText="false" indent="0" shrinkToFit="false"/>
      <protection locked="true" hidden="false"/>
    </xf>
    <xf numFmtId="172" fontId="8" fillId="0" borderId="8" xfId="26" applyFont="true" applyBorder="true" applyAlignment="false" applyProtection="false">
      <alignment horizontal="general" vertical="bottom" textRotation="0" wrapText="false" indent="0" shrinkToFit="false"/>
      <protection locked="true" hidden="false"/>
    </xf>
    <xf numFmtId="167" fontId="8" fillId="0" borderId="23" xfId="26" applyFont="true" applyBorder="true" applyAlignment="false" applyProtection="false">
      <alignment horizontal="general" vertical="bottom" textRotation="0" wrapText="false" indent="0" shrinkToFit="false"/>
      <protection locked="true" hidden="false"/>
    </xf>
    <xf numFmtId="169" fontId="6" fillId="0" borderId="23" xfId="26" applyFont="true" applyBorder="true" applyAlignment="false" applyProtection="false">
      <alignment horizontal="general" vertical="bottom" textRotation="0" wrapText="false" indent="0" shrinkToFit="false"/>
      <protection locked="true" hidden="false"/>
    </xf>
    <xf numFmtId="170" fontId="6" fillId="2" borderId="14" xfId="26" applyFont="true" applyBorder="true" applyAlignment="true" applyProtection="false">
      <alignment horizontal="right" vertical="bottom" textRotation="0" wrapText="false" indent="0" shrinkToFit="false"/>
      <protection locked="true" hidden="false"/>
    </xf>
    <xf numFmtId="170" fontId="20" fillId="0" borderId="0" xfId="24"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32" xfId="26" applyFont="true" applyBorder="true" applyAlignment="true" applyProtection="false">
      <alignment horizontal="right" vertical="bottom" textRotation="0" wrapText="false" indent="0" shrinkToFit="false"/>
      <protection locked="true" hidden="false"/>
    </xf>
    <xf numFmtId="167" fontId="6" fillId="0" borderId="29" xfId="26" applyFont="true" applyBorder="true" applyAlignment="true" applyProtection="false">
      <alignment horizontal="right" vertical="bottom" textRotation="0" wrapText="false" indent="0" shrinkToFit="false"/>
      <protection locked="true" hidden="false"/>
    </xf>
    <xf numFmtId="172" fontId="6" fillId="2" borderId="14" xfId="26" applyFont="true" applyBorder="true" applyAlignment="false" applyProtection="false">
      <alignment horizontal="general" vertical="bottom" textRotation="0" wrapText="false" indent="0" shrinkToFit="false"/>
      <protection locked="true" hidden="false"/>
    </xf>
    <xf numFmtId="167" fontId="6" fillId="2" borderId="13" xfId="26" applyFont="true" applyBorder="true" applyAlignment="false" applyProtection="false">
      <alignment horizontal="general" vertical="bottom" textRotation="0" wrapText="false" indent="0" shrinkToFit="false"/>
      <protection locked="true" hidden="false"/>
    </xf>
    <xf numFmtId="172" fontId="6" fillId="2" borderId="15" xfId="26" applyFont="true" applyBorder="true" applyAlignment="false" applyProtection="false">
      <alignment horizontal="general" vertical="bottom" textRotation="0" wrapText="false" indent="0" shrinkToFit="false"/>
      <protection locked="true" hidden="false"/>
    </xf>
    <xf numFmtId="169" fontId="6" fillId="2" borderId="13" xfId="26" applyFont="true" applyBorder="true" applyAlignment="false" applyProtection="false">
      <alignment horizontal="general" vertical="bottom" textRotation="0" wrapText="false" indent="0" shrinkToFit="false"/>
      <protection locked="true" hidden="false"/>
    </xf>
    <xf numFmtId="172" fontId="6" fillId="2" borderId="16" xfId="26" applyFont="true" applyBorder="true" applyAlignment="false" applyProtection="false">
      <alignment horizontal="general" vertical="bottom" textRotation="0" wrapText="false" indent="0" shrinkToFit="false"/>
      <protection locked="true" hidden="false"/>
    </xf>
    <xf numFmtId="170" fontId="6" fillId="2" borderId="13" xfId="26" applyFont="true" applyBorder="true" applyAlignment="false" applyProtection="false">
      <alignment horizontal="general" vertical="bottom" textRotation="0" wrapText="false" indent="0" shrinkToFit="false"/>
      <protection locked="true" hidden="false"/>
    </xf>
    <xf numFmtId="170" fontId="6" fillId="2" borderId="17" xfId="26" applyFont="true" applyBorder="true" applyAlignment="false" applyProtection="false">
      <alignment horizontal="general" vertical="bottom" textRotation="0" wrapText="false" indent="0" shrinkToFit="false"/>
      <protection locked="true" hidden="false"/>
    </xf>
    <xf numFmtId="171" fontId="6" fillId="2" borderId="13" xfId="26" applyFont="true" applyBorder="true" applyAlignment="false" applyProtection="false">
      <alignment horizontal="general" vertical="bottom" textRotation="0" wrapText="false" indent="0" shrinkToFit="false"/>
      <protection locked="true" hidden="false"/>
    </xf>
    <xf numFmtId="164" fontId="8" fillId="0" borderId="0" xfId="26" applyFont="true" applyBorder="true" applyAlignment="false" applyProtection="false">
      <alignment horizontal="general" vertical="bottom" textRotation="0" wrapText="false" indent="0" shrinkToFit="false"/>
      <protection locked="true" hidden="false"/>
    </xf>
    <xf numFmtId="170" fontId="8" fillId="0" borderId="0" xfId="26" applyFont="true" applyBorder="true" applyAlignment="false" applyProtection="false">
      <alignment horizontal="general" vertical="bottom" textRotation="0" wrapText="false" indent="0" shrinkToFit="false"/>
      <protection locked="true" hidden="false"/>
    </xf>
    <xf numFmtId="167" fontId="6" fillId="0" borderId="1" xfId="26" applyFont="true" applyBorder="true" applyAlignment="false" applyProtection="false">
      <alignment horizontal="general" vertical="bottom" textRotation="0" wrapText="false" indent="0" shrinkToFit="false"/>
      <protection locked="true" hidden="false"/>
    </xf>
    <xf numFmtId="171" fontId="8" fillId="0" borderId="1" xfId="26" applyFont="true" applyBorder="true" applyAlignment="true" applyProtection="false">
      <alignment horizontal="center" vertical="bottom" textRotation="0" wrapText="false" indent="0" shrinkToFit="false"/>
      <protection locked="true" hidden="false"/>
    </xf>
    <xf numFmtId="170" fontId="8" fillId="0" borderId="1" xfId="26"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69" fontId="9" fillId="0" borderId="4" xfId="26"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72" fontId="8" fillId="0" borderId="0" xfId="26" applyFont="true" applyBorder="true" applyAlignment="true" applyProtection="false">
      <alignment horizontal="center" vertical="bottom" textRotation="0" wrapText="false" indent="0" shrinkToFit="false"/>
      <protection locked="true" hidden="false"/>
    </xf>
    <xf numFmtId="167" fontId="8" fillId="0" borderId="0" xfId="0" applyFont="true" applyBorder="true" applyAlignment="true" applyProtection="false">
      <alignment horizontal="center" vertical="bottom" textRotation="0" wrapText="false" indent="0" shrinkToFit="false"/>
      <protection locked="true" hidden="false"/>
    </xf>
    <xf numFmtId="172" fontId="6" fillId="0" borderId="7" xfId="26" applyFont="true" applyBorder="true" applyAlignment="false" applyProtection="false">
      <alignment horizontal="general" vertical="bottom" textRotation="0" wrapText="false" indent="0" shrinkToFit="false"/>
      <protection locked="true" hidden="false"/>
    </xf>
    <xf numFmtId="167" fontId="6" fillId="0" borderId="12" xfId="26" applyFont="true" applyBorder="true" applyAlignment="false" applyProtection="false">
      <alignment horizontal="general" vertical="bottom" textRotation="0" wrapText="false" indent="0" shrinkToFit="false"/>
      <protection locked="true" hidden="false"/>
    </xf>
    <xf numFmtId="170" fontId="6" fillId="0" borderId="12" xfId="26" applyFont="true" applyBorder="true" applyAlignment="false" applyProtection="false">
      <alignment horizontal="general" vertical="bottom" textRotation="0" wrapText="false" indent="0" shrinkToFit="false"/>
      <protection locked="true" hidden="false"/>
    </xf>
    <xf numFmtId="167" fontId="6" fillId="0" borderId="11" xfId="26" applyFont="true" applyBorder="true" applyAlignment="false" applyProtection="false">
      <alignment horizontal="general" vertical="bottom" textRotation="0" wrapText="false" indent="0" shrinkToFit="false"/>
      <protection locked="true" hidden="false"/>
    </xf>
    <xf numFmtId="171" fontId="6" fillId="0" borderId="7" xfId="26" applyFont="true" applyBorder="true" applyAlignment="true" applyProtection="false">
      <alignment horizontal="center" vertical="bottom" textRotation="0" wrapText="false" indent="0" shrinkToFit="false"/>
      <protection locked="true" hidden="false"/>
    </xf>
    <xf numFmtId="169" fontId="6" fillId="0" borderId="0" xfId="26" applyFont="true" applyBorder="true" applyAlignment="false" applyProtection="false">
      <alignment horizontal="general" vertical="bottom" textRotation="0" wrapText="false" indent="0" shrinkToFit="false"/>
      <protection locked="true" hidden="false"/>
    </xf>
    <xf numFmtId="168" fontId="6" fillId="0" borderId="7" xfId="26" applyFont="true" applyBorder="true" applyAlignment="false" applyProtection="false">
      <alignment horizontal="general" vertical="bottom" textRotation="0" wrapText="false" indent="0" shrinkToFit="false"/>
      <protection locked="true" hidden="false"/>
    </xf>
    <xf numFmtId="165" fontId="6" fillId="0" borderId="7" xfId="26" applyFont="true" applyBorder="true" applyAlignment="false" applyProtection="false">
      <alignment horizontal="general" vertical="bottom" textRotation="0" wrapText="false" indent="0" shrinkToFit="false"/>
      <protection locked="true" hidden="false"/>
    </xf>
    <xf numFmtId="167" fontId="6" fillId="0" borderId="21" xfId="26" applyFont="true" applyBorder="true" applyAlignment="false" applyProtection="false">
      <alignment horizontal="general" vertical="bottom" textRotation="0" wrapText="false" indent="0" shrinkToFit="false"/>
      <protection locked="true" hidden="false"/>
    </xf>
    <xf numFmtId="169" fontId="6" fillId="0" borderId="21" xfId="26" applyFont="true" applyBorder="true" applyAlignment="false" applyProtection="false">
      <alignment horizontal="general" vertical="bottom" textRotation="0" wrapText="false" indent="0" shrinkToFit="false"/>
      <protection locked="true" hidden="false"/>
    </xf>
    <xf numFmtId="171" fontId="6" fillId="0" borderId="7" xfId="26" applyFont="true" applyBorder="true" applyAlignment="false" applyProtection="false">
      <alignment horizontal="general" vertical="bottom" textRotation="0" wrapText="false" indent="0" shrinkToFit="false"/>
      <protection locked="true" hidden="false"/>
    </xf>
    <xf numFmtId="165" fontId="6" fillId="2" borderId="14" xfId="26" applyFont="true" applyBorder="true" applyAlignment="false" applyProtection="false">
      <alignment horizontal="general" vertical="bottom" textRotation="0" wrapText="false" indent="0" shrinkToFit="false"/>
      <protection locked="true" hidden="false"/>
    </xf>
    <xf numFmtId="173" fontId="6" fillId="2" borderId="13" xfId="26" applyFont="true" applyBorder="true" applyAlignment="false" applyProtection="false">
      <alignment horizontal="general" vertical="bottom" textRotation="0" wrapText="false" indent="0" shrinkToFit="false"/>
      <protection locked="true" hidden="false"/>
    </xf>
    <xf numFmtId="172" fontId="6" fillId="0" borderId="13" xfId="26" applyFont="true" applyBorder="true" applyAlignment="false" applyProtection="false">
      <alignment horizontal="general" vertical="bottom" textRotation="0" wrapText="false" indent="0" shrinkToFit="false"/>
      <protection locked="true" hidden="false"/>
    </xf>
    <xf numFmtId="171" fontId="6" fillId="2" borderId="14" xfId="26" applyFont="true" applyBorder="true" applyAlignment="true" applyProtection="false">
      <alignment horizontal="center" vertical="bottom" textRotation="0" wrapText="false" indent="0" shrinkToFit="false"/>
      <protection locked="true" hidden="false"/>
    </xf>
    <xf numFmtId="170" fontId="6" fillId="0" borderId="13" xfId="26" applyFont="true" applyBorder="true" applyAlignment="true" applyProtection="false">
      <alignment horizontal="center" vertical="bottom" textRotation="0" wrapText="false" indent="0" shrinkToFit="false"/>
      <protection locked="true" hidden="false"/>
    </xf>
    <xf numFmtId="169" fontId="6" fillId="2" borderId="13" xfId="26" applyFont="true" applyBorder="true" applyAlignment="true" applyProtection="false">
      <alignment horizontal="center" vertical="bottom" textRotation="0" wrapText="false" indent="0" shrinkToFit="false"/>
      <protection locked="true" hidden="false"/>
    </xf>
    <xf numFmtId="168" fontId="6" fillId="2" borderId="14" xfId="26" applyFont="true" applyBorder="true" applyAlignment="false" applyProtection="false">
      <alignment horizontal="general" vertical="bottom" textRotation="0" wrapText="false" indent="0" shrinkToFit="false"/>
      <protection locked="true" hidden="false"/>
    </xf>
    <xf numFmtId="172" fontId="6" fillId="0" borderId="8" xfId="26" applyFont="true" applyBorder="true" applyAlignment="false" applyProtection="false">
      <alignment horizontal="general" vertical="bottom" textRotation="0" wrapText="false" indent="0" shrinkToFit="false"/>
      <protection locked="true" hidden="false"/>
    </xf>
    <xf numFmtId="172" fontId="6" fillId="0" borderId="0" xfId="26" applyFont="true" applyBorder="true" applyAlignment="false" applyProtection="false">
      <alignment horizontal="general" vertical="bottom" textRotation="0" wrapText="false" indent="0" shrinkToFit="false"/>
      <protection locked="true" hidden="false"/>
    </xf>
    <xf numFmtId="172" fontId="6" fillId="0" borderId="11" xfId="26" applyFont="true" applyBorder="true" applyAlignment="false" applyProtection="false">
      <alignment horizontal="general" vertical="bottom" textRotation="0" wrapText="false" indent="0" shrinkToFit="false"/>
      <protection locked="true" hidden="false"/>
    </xf>
    <xf numFmtId="170" fontId="6" fillId="0" borderId="0" xfId="26" applyFont="true" applyBorder="true" applyAlignment="true" applyProtection="false">
      <alignment horizontal="right" vertical="bottom" textRotation="0" wrapText="false" indent="0" shrinkToFit="false"/>
      <protection locked="true" hidden="false"/>
    </xf>
    <xf numFmtId="168" fontId="6" fillId="0" borderId="7" xfId="26" applyFont="true" applyBorder="true" applyAlignment="false" applyProtection="false">
      <alignment horizontal="general" vertical="bottom" textRotation="0" wrapText="false" indent="0" shrinkToFit="false"/>
      <protection locked="true" hidden="false"/>
    </xf>
    <xf numFmtId="171" fontId="6" fillId="0" borderId="0" xfId="26" applyFont="true" applyBorder="true" applyAlignment="false" applyProtection="false">
      <alignment horizontal="general" vertical="bottom" textRotation="0" wrapText="false" indent="0" shrinkToFit="false"/>
      <protection locked="true" hidden="false"/>
    </xf>
    <xf numFmtId="172" fontId="6" fillId="0" borderId="8" xfId="26" applyFont="true" applyBorder="true" applyAlignment="false" applyProtection="false">
      <alignment horizontal="general" vertical="bottom" textRotation="0" wrapText="false" indent="0" shrinkToFit="false"/>
      <protection locked="true" hidden="false"/>
    </xf>
    <xf numFmtId="172" fontId="6" fillId="0" borderId="11" xfId="26" applyFont="true" applyBorder="true" applyAlignment="false" applyProtection="false">
      <alignment horizontal="general" vertical="bottom" textRotation="0" wrapText="false" indent="0" shrinkToFit="false"/>
      <protection locked="true" hidden="false"/>
    </xf>
    <xf numFmtId="173" fontId="6" fillId="0" borderId="0" xfId="26" applyFont="true" applyBorder="true" applyAlignment="false" applyProtection="false">
      <alignment horizontal="general" vertical="bottom" textRotation="0" wrapText="false" indent="0" shrinkToFit="false"/>
      <protection locked="true" hidden="false"/>
    </xf>
    <xf numFmtId="167" fontId="6" fillId="2" borderId="15" xfId="26" applyFont="true" applyBorder="true" applyAlignment="false" applyProtection="false">
      <alignment horizontal="general" vertical="bottom" textRotation="0" wrapText="false" indent="0" shrinkToFit="false"/>
      <protection locked="true" hidden="false"/>
    </xf>
    <xf numFmtId="167" fontId="6" fillId="2" borderId="16" xfId="26" applyFont="true" applyBorder="true" applyAlignment="false" applyProtection="false">
      <alignment horizontal="general" vertical="bottom" textRotation="0" wrapText="false" indent="0" shrinkToFit="false"/>
      <protection locked="true" hidden="false"/>
    </xf>
    <xf numFmtId="167" fontId="6" fillId="0" borderId="13" xfId="26" applyFont="true" applyBorder="true" applyAlignment="false" applyProtection="false">
      <alignment horizontal="general" vertical="bottom" textRotation="0" wrapText="false" indent="0" shrinkToFit="false"/>
      <protection locked="true" hidden="false"/>
    </xf>
    <xf numFmtId="167" fontId="6" fillId="2" borderId="17" xfId="26" applyFont="true" applyBorder="true" applyAlignment="false" applyProtection="false">
      <alignment horizontal="general" vertical="bottom" textRotation="0" wrapText="false" indent="0" shrinkToFit="false"/>
      <protection locked="true" hidden="false"/>
    </xf>
    <xf numFmtId="167" fontId="6" fillId="2" borderId="14" xfId="26" applyFont="true" applyBorder="true" applyAlignment="false" applyProtection="false">
      <alignment horizontal="general" vertical="bottom" textRotation="0" wrapText="false" indent="0" shrinkToFit="false"/>
      <protection locked="true" hidden="false"/>
    </xf>
    <xf numFmtId="170" fontId="6" fillId="0" borderId="13" xfId="26" applyFont="true" applyBorder="true" applyAlignment="true" applyProtection="false">
      <alignment horizontal="right" vertical="bottom" textRotation="0" wrapText="false" indent="0" shrinkToFit="false"/>
      <protection locked="true" hidden="false"/>
    </xf>
    <xf numFmtId="168" fontId="6" fillId="2" borderId="13" xfId="26" applyFont="true" applyBorder="true" applyAlignment="false" applyProtection="false">
      <alignment horizontal="general" vertical="bottom" textRotation="0" wrapText="false" indent="0" shrinkToFit="false"/>
      <protection locked="true" hidden="false"/>
    </xf>
    <xf numFmtId="170" fontId="6" fillId="0" borderId="13" xfId="26" applyFont="true" applyBorder="true" applyAlignment="false" applyProtection="false">
      <alignment horizontal="general" vertical="bottom" textRotation="0" wrapText="false" indent="0" shrinkToFit="false"/>
      <protection locked="true" hidden="false"/>
    </xf>
    <xf numFmtId="169" fontId="6" fillId="0" borderId="12" xfId="26" applyFont="true" applyBorder="true" applyAlignment="false" applyProtection="false">
      <alignment horizontal="general" vertical="bottom" textRotation="0" wrapText="false" indent="0" shrinkToFit="false"/>
      <protection locked="true" hidden="false"/>
    </xf>
    <xf numFmtId="167" fontId="6" fillId="0" borderId="29" xfId="26" applyFont="true" applyBorder="true" applyAlignment="false" applyProtection="false">
      <alignment horizontal="general" vertical="bottom" textRotation="0" wrapText="false" indent="0" shrinkToFit="false"/>
      <protection locked="true" hidden="false"/>
    </xf>
    <xf numFmtId="171" fontId="6" fillId="0" borderId="24" xfId="26" applyFont="true" applyBorder="true" applyAlignment="false" applyProtection="false">
      <alignment horizontal="general" vertical="bottom" textRotation="0" wrapText="false" indent="0" shrinkToFit="false"/>
      <protection locked="true" hidden="false"/>
    </xf>
    <xf numFmtId="167" fontId="6" fillId="0" borderId="23" xfId="26" applyFont="true" applyBorder="true" applyAlignment="false" applyProtection="false">
      <alignment horizontal="general" vertical="bottom" textRotation="0" wrapText="false" indent="0" shrinkToFit="false"/>
      <protection locked="true" hidden="false"/>
    </xf>
    <xf numFmtId="172" fontId="6" fillId="2" borderId="18" xfId="26" applyFont="true" applyBorder="true" applyAlignment="false" applyProtection="false">
      <alignment horizontal="general" vertical="bottom" textRotation="0" wrapText="false" indent="0" shrinkToFit="false"/>
      <protection locked="true" hidden="false"/>
    </xf>
    <xf numFmtId="170" fontId="6" fillId="2" borderId="33" xfId="26" applyFont="true" applyBorder="true" applyAlignment="false" applyProtection="false">
      <alignment horizontal="general" vertical="bottom" textRotation="0" wrapText="false" indent="0" shrinkToFit="false"/>
      <protection locked="true" hidden="false"/>
    </xf>
    <xf numFmtId="172" fontId="6" fillId="2" borderId="17" xfId="26" applyFont="true" applyBorder="true" applyAlignment="false" applyProtection="false">
      <alignment horizontal="general" vertical="bottom" textRotation="0" wrapText="false" indent="0" shrinkToFit="false"/>
      <protection locked="true" hidden="false"/>
    </xf>
    <xf numFmtId="172" fontId="9" fillId="0" borderId="0" xfId="26" applyFont="true" applyBorder="true" applyAlignment="false" applyProtection="false">
      <alignment horizontal="general" vertical="bottom" textRotation="0" wrapText="false" indent="0" shrinkToFit="false"/>
      <protection locked="true" hidden="false"/>
    </xf>
    <xf numFmtId="167" fontId="9" fillId="0" borderId="0" xfId="26" applyFont="true" applyBorder="true" applyAlignment="false" applyProtection="false">
      <alignment horizontal="general" vertical="bottom" textRotation="0" wrapText="false" indent="0" shrinkToFit="false"/>
      <protection locked="true" hidden="false"/>
    </xf>
    <xf numFmtId="171" fontId="8" fillId="0" borderId="0" xfId="26" applyFont="true" applyBorder="true" applyAlignment="true" applyProtection="false">
      <alignment horizontal="left" vertical="bottom" textRotation="0" wrapText="false" indent="0" shrinkToFit="false"/>
      <protection locked="true" hidden="false"/>
    </xf>
    <xf numFmtId="172" fontId="6" fillId="0" borderId="2" xfId="26" applyFont="true" applyBorder="true" applyAlignment="false" applyProtection="false">
      <alignment horizontal="general" vertical="bottom" textRotation="0" wrapText="false" indent="0" shrinkToFit="false"/>
      <protection locked="true" hidden="false"/>
    </xf>
    <xf numFmtId="170" fontId="9" fillId="0" borderId="0" xfId="26" applyFont="true" applyBorder="true" applyAlignment="true" applyProtection="false">
      <alignment horizontal="center" vertical="bottom" textRotation="0" wrapText="false" indent="0" shrinkToFit="false"/>
      <protection locked="true" hidden="false"/>
    </xf>
    <xf numFmtId="170" fontId="9" fillId="0" borderId="4" xfId="26" applyFont="true" applyBorder="true" applyAlignment="true" applyProtection="false">
      <alignment horizontal="center" vertical="bottom" textRotation="0" wrapText="false" indent="0" shrinkToFit="false"/>
      <protection locked="true" hidden="false"/>
    </xf>
    <xf numFmtId="169" fontId="6" fillId="0" borderId="4" xfId="26" applyFont="true" applyBorder="true" applyAlignment="true" applyProtection="false">
      <alignment horizontal="center" vertical="bottom" textRotation="0" wrapText="false" indent="0" shrinkToFit="false"/>
      <protection locked="true" hidden="false"/>
    </xf>
    <xf numFmtId="164" fontId="6" fillId="0" borderId="4" xfId="26" applyFont="true" applyBorder="true" applyAlignment="false" applyProtection="false">
      <alignment horizontal="general" vertical="bottom" textRotation="0" wrapText="false" indent="0" shrinkToFit="false"/>
      <protection locked="true" hidden="false"/>
    </xf>
    <xf numFmtId="171" fontId="8" fillId="0" borderId="11" xfId="26" applyFont="true" applyBorder="true" applyAlignment="true" applyProtection="false">
      <alignment horizontal="center" vertical="bottom" textRotation="0" wrapText="false" indent="0" shrinkToFit="false"/>
      <protection locked="true" hidden="false"/>
    </xf>
    <xf numFmtId="167" fontId="8" fillId="0" borderId="12" xfId="26" applyFont="true" applyBorder="true" applyAlignment="true" applyProtection="false">
      <alignment horizontal="center" vertical="bottom" textRotation="0" wrapText="false" indent="0" shrinkToFit="false"/>
      <protection locked="true" hidden="false"/>
    </xf>
    <xf numFmtId="182" fontId="6" fillId="0" borderId="0" xfId="26" applyFont="true" applyBorder="tru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8" fontId="6" fillId="0" borderId="7" xfId="26" applyFont="true" applyBorder="true" applyAlignment="true" applyProtection="false">
      <alignment horizontal="right" vertical="bottom" textRotation="0" wrapText="false" indent="0" shrinkToFit="false"/>
      <protection locked="true" hidden="false"/>
    </xf>
    <xf numFmtId="171" fontId="6" fillId="0" borderId="0" xfId="26" applyFont="true" applyBorder="true" applyAlignment="true" applyProtection="false">
      <alignment horizontal="left" vertical="bottom" textRotation="0" wrapText="false" indent="0" shrinkToFit="false"/>
      <protection locked="true" hidden="false"/>
    </xf>
    <xf numFmtId="183" fontId="6" fillId="0" borderId="0" xfId="26" applyFont="true" applyBorder="true" applyAlignment="false" applyProtection="false">
      <alignment horizontal="general" vertical="bottom" textRotation="0" wrapText="false" indent="0" shrinkToFit="false"/>
      <protection locked="true" hidden="false"/>
    </xf>
    <xf numFmtId="184" fontId="6" fillId="0" borderId="0" xfId="26" applyFont="true" applyBorder="true" applyAlignment="true" applyProtection="false">
      <alignment horizontal="center" vertical="bottom" textRotation="0" wrapText="false" indent="0" shrinkToFit="false"/>
      <protection locked="true" hidden="false"/>
    </xf>
    <xf numFmtId="184" fontId="6" fillId="0" borderId="1" xfId="26" applyFont="true" applyBorder="true" applyAlignment="true" applyProtection="false">
      <alignment horizontal="center" vertical="bottom" textRotation="0" wrapText="false" indent="0" shrinkToFit="false"/>
      <protection locked="true" hidden="false"/>
    </xf>
    <xf numFmtId="172" fontId="8" fillId="0" borderId="3" xfId="26" applyFont="true" applyBorder="true" applyAlignment="false" applyProtection="false">
      <alignment horizontal="general" vertical="bottom" textRotation="0" wrapText="false" indent="0" shrinkToFit="false"/>
      <protection locked="true" hidden="false"/>
    </xf>
    <xf numFmtId="170" fontId="10" fillId="0" borderId="0" xfId="26" applyFont="true" applyBorder="true" applyAlignment="true" applyProtection="false">
      <alignment horizontal="center" vertical="bottom" textRotation="0" wrapText="false" indent="0" shrinkToFit="false"/>
      <protection locked="true" hidden="false"/>
    </xf>
    <xf numFmtId="170" fontId="10" fillId="0" borderId="4" xfId="26" applyFont="true" applyBorder="true" applyAlignment="true" applyProtection="false">
      <alignment horizontal="center" vertical="bottom" textRotation="0" wrapText="false" indent="0" shrinkToFit="false"/>
      <protection locked="true" hidden="false"/>
    </xf>
    <xf numFmtId="169" fontId="8" fillId="0" borderId="4" xfId="26" applyFont="true" applyBorder="true" applyAlignment="true" applyProtection="false">
      <alignment horizontal="center" vertical="bottom" textRotation="0" wrapText="false" indent="0" shrinkToFit="false"/>
      <protection locked="true" hidden="false"/>
    </xf>
    <xf numFmtId="164" fontId="8" fillId="0" borderId="4" xfId="26" applyFont="true" applyBorder="true" applyAlignment="false" applyProtection="false">
      <alignment horizontal="general" vertical="bottom" textRotation="0" wrapText="false" indent="0" shrinkToFit="false"/>
      <protection locked="true" hidden="false"/>
    </xf>
    <xf numFmtId="171" fontId="8" fillId="0" borderId="4" xfId="26" applyFont="true" applyBorder="true" applyAlignment="false" applyProtection="false">
      <alignment horizontal="general" vertical="bottom" textRotation="0" wrapText="false" indent="0" shrinkToFit="false"/>
      <protection locked="true" hidden="false"/>
    </xf>
    <xf numFmtId="168" fontId="8" fillId="0" borderId="3" xfId="26" applyFont="true" applyBorder="true" applyAlignment="false" applyProtection="false">
      <alignment horizontal="general" vertical="bottom" textRotation="0" wrapText="false" indent="0" shrinkToFit="false"/>
      <protection locked="true" hidden="false"/>
    </xf>
    <xf numFmtId="171" fontId="10" fillId="0" borderId="4" xfId="26" applyFont="true" applyBorder="true" applyAlignment="true" applyProtection="false">
      <alignment horizontal="center" vertical="bottom" textRotation="0" wrapText="false" indent="0" shrinkToFit="false"/>
      <protection locked="true" hidden="false"/>
    </xf>
    <xf numFmtId="171" fontId="8" fillId="0" borderId="4" xfId="26"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12" xfId="26" applyFont="true" applyBorder="true" applyAlignment="true" applyProtection="false">
      <alignment horizontal="center" vertical="bottom" textRotation="0" wrapText="false" indent="0" shrinkToFit="false"/>
      <protection locked="true" hidden="false"/>
    </xf>
    <xf numFmtId="165" fontId="8" fillId="0" borderId="0"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right" vertical="bottom" textRotation="0" wrapText="false" indent="0" shrinkToFit="false"/>
      <protection locked="true" hidden="false"/>
    </xf>
    <xf numFmtId="185" fontId="6" fillId="0" borderId="0" xfId="26" applyFont="true" applyBorder="true" applyAlignment="true" applyProtection="false">
      <alignment horizontal="right" vertical="bottom" textRotation="0" wrapText="false" indent="0" shrinkToFit="false"/>
      <protection locked="true" hidden="false"/>
    </xf>
    <xf numFmtId="184" fontId="6" fillId="2" borderId="13" xfId="26" applyFont="true" applyBorder="true" applyAlignment="true" applyProtection="false">
      <alignment horizontal="right" vertical="bottom" textRotation="0" wrapText="false" indent="0" shrinkToFit="false"/>
      <protection locked="true" hidden="false"/>
    </xf>
    <xf numFmtId="184" fontId="6" fillId="0" borderId="0" xfId="26" applyFont="true" applyBorder="true" applyAlignment="true" applyProtection="false">
      <alignment horizontal="right" vertical="bottom" textRotation="0" wrapText="false" indent="0" shrinkToFit="false"/>
      <protection locked="true" hidden="false"/>
    </xf>
    <xf numFmtId="172" fontId="6" fillId="0" borderId="8" xfId="26" applyFont="true" applyBorder="true" applyAlignment="true" applyProtection="false">
      <alignment horizontal="right" vertical="bottom" textRotation="0" wrapText="false" indent="0" shrinkToFit="false"/>
      <protection locked="true" hidden="false"/>
    </xf>
    <xf numFmtId="184" fontId="6" fillId="0" borderId="0" xfId="26" applyFont="true" applyBorder="true" applyAlignment="true" applyProtection="false">
      <alignment horizontal="right" vertical="bottom" textRotation="0" wrapText="false" indent="0" shrinkToFit="false"/>
      <protection locked="true" hidden="false"/>
    </xf>
    <xf numFmtId="170" fontId="6" fillId="0" borderId="12" xfId="0"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72" fontId="6" fillId="0" borderId="12" xfId="0" applyFont="true" applyBorder="true" applyAlignment="true" applyProtection="false">
      <alignment horizontal="right" vertical="bottom" textRotation="0" wrapText="false" indent="0" shrinkToFit="false"/>
      <protection locked="true" hidden="false"/>
    </xf>
    <xf numFmtId="170" fontId="6" fillId="0" borderId="7" xfId="26" applyFont="true" applyBorder="true" applyAlignment="true" applyProtection="false">
      <alignment horizontal="right" vertical="bottom" textRotation="0" wrapText="false" indent="0" shrinkToFit="false"/>
      <protection locked="true" hidden="false"/>
    </xf>
    <xf numFmtId="164" fontId="0" fillId="0" borderId="8" xfId="26" applyFont="false" applyBorder="true" applyAlignment="false" applyProtection="false">
      <alignment horizontal="general"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4" fontId="6" fillId="0" borderId="8" xfId="26" applyFont="true" applyBorder="true" applyAlignment="false" applyProtection="false">
      <alignment horizontal="general" vertical="bottom" textRotation="0" wrapText="false" indent="0" shrinkToFit="false"/>
      <protection locked="true" hidden="false"/>
    </xf>
    <xf numFmtId="164" fontId="0" fillId="0" borderId="0" xfId="26" applyFont="false" applyBorder="true" applyAlignment="false" applyProtection="false">
      <alignment horizontal="general" vertical="bottom" textRotation="0" wrapText="false" indent="0" shrinkToFit="false"/>
      <protection locked="true" hidden="false"/>
    </xf>
    <xf numFmtId="169" fontId="6" fillId="0" borderId="11" xfId="0" applyFont="true" applyBorder="true" applyAlignment="true" applyProtection="false">
      <alignment horizontal="right" vertical="bottom" textRotation="0" wrapText="false" indent="0" shrinkToFit="false"/>
      <protection locked="true" hidden="false"/>
    </xf>
    <xf numFmtId="164" fontId="6" fillId="0" borderId="0" xfId="26" applyFont="true" applyBorder="true" applyAlignment="true" applyProtection="false">
      <alignment horizontal="right" vertical="bottom" textRotation="0" wrapText="false" indent="0" shrinkToFit="false"/>
      <protection locked="true" hidden="false"/>
    </xf>
    <xf numFmtId="165" fontId="0" fillId="0" borderId="0" xfId="26" applyFont="false" applyBorder="true" applyAlignment="false" applyProtection="false">
      <alignment horizontal="general" vertical="bottom" textRotation="0" wrapText="false" indent="0" shrinkToFit="false"/>
      <protection locked="true" hidden="false"/>
    </xf>
    <xf numFmtId="184" fontId="6" fillId="2" borderId="13" xfId="26" applyFont="true" applyBorder="true" applyAlignment="true" applyProtection="false">
      <alignment horizontal="center" vertical="bottom" textRotation="0" wrapText="false" indent="0" shrinkToFit="false"/>
      <protection locked="true" hidden="false"/>
    </xf>
    <xf numFmtId="172" fontId="6" fillId="2" borderId="30" xfId="26" applyFont="true" applyBorder="true" applyAlignment="false" applyProtection="false">
      <alignment horizontal="general" vertical="bottom" textRotation="0" wrapText="false" indent="0" shrinkToFit="false"/>
      <protection locked="true" hidden="false"/>
    </xf>
    <xf numFmtId="173" fontId="6" fillId="0" borderId="0" xfId="26"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70" fontId="8" fillId="0" borderId="0" xfId="15" applyFont="true" applyBorder="true" applyAlignment="true" applyProtection="true">
      <alignment horizontal="general" vertical="bottom" textRotation="0" wrapText="false" indent="0" shrinkToFit="false"/>
      <protection locked="true" hidden="false"/>
    </xf>
    <xf numFmtId="169" fontId="8" fillId="0" borderId="0" xfId="26" applyFont="true" applyBorder="true" applyAlignment="true" applyProtection="false">
      <alignment horizontal="left" vertical="bottom" textRotation="0" wrapText="false" indent="0" shrinkToFit="false"/>
      <protection locked="true" hidden="false"/>
    </xf>
    <xf numFmtId="167" fontId="8" fillId="0" borderId="0" xfId="15" applyFont="true" applyBorder="true" applyAlignment="true" applyProtection="tru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3" xfId="21"/>
    <cellStyle name="Normal 2" xfId="22"/>
    <cellStyle name="Normal 3" xfId="23"/>
    <cellStyle name="Normal 4" xfId="24"/>
    <cellStyle name="Normal 5" xfId="25"/>
    <cellStyle name="Normal_RIVER054" xfId="26"/>
    <cellStyle name="Percent 2" xfId="27"/>
    <cellStyle name="Percent 3" xfId="28"/>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6" width="5.16"/>
    <col collapsed="false" customWidth="true" hidden="false" outlineLevel="0" max="23" min="22" style="1" width="5.49"/>
    <col collapsed="false" customWidth="true" hidden="false" outlineLevel="0" max="24" min="24" style="2" width="6.32"/>
    <col collapsed="false" customWidth="true" hidden="false" outlineLevel="0" max="25" min="25" style="4" width="6.32"/>
    <col collapsed="false" customWidth="true" hidden="false" outlineLevel="0" max="26" min="26" style="1" width="5.49"/>
    <col collapsed="false" customWidth="true" hidden="false" outlineLevel="0" max="27" min="27" style="4" width="6.32"/>
    <col collapsed="false" customWidth="true" hidden="false" outlineLevel="0" max="28" min="28" style="1" width="5.49"/>
    <col collapsed="false" customWidth="true" hidden="false" outlineLevel="0" max="29" min="29" style="1" width="5.99"/>
    <col collapsed="false" customWidth="true" hidden="false" outlineLevel="0" max="31" min="30" style="1" width="5.49"/>
    <col collapsed="false" customWidth="true" hidden="false" outlineLevel="0" max="33" min="32" style="2" width="5.49"/>
    <col collapsed="false" customWidth="true" hidden="false" outlineLevel="0" max="34" min="34" style="2" width="6.32"/>
    <col collapsed="false" customWidth="true" hidden="false" outlineLevel="0" max="35" min="35" style="1" width="5.49"/>
    <col collapsed="false" customWidth="true" hidden="false" outlineLevel="0" max="37" min="36" style="1" width="6.32"/>
    <col collapsed="false" customWidth="true" hidden="false" outlineLevel="0" max="38" min="38" style="1" width="6.82"/>
    <col collapsed="false" customWidth="true" hidden="false" outlineLevel="0" max="39" min="39" style="3" width="6.82"/>
    <col collapsed="false" customWidth="true" hidden="false" outlineLevel="0" max="41" min="40" style="4" width="5.49"/>
    <col collapsed="false" customWidth="true" hidden="false" outlineLevel="0" max="42" min="42" style="1" width="6.32"/>
    <col collapsed="false" customWidth="true" hidden="false" outlineLevel="0" max="43" min="43" style="7" width="6.32"/>
    <col collapsed="false" customWidth="true" hidden="false" outlineLevel="0" max="44" min="44" style="7" width="5.49"/>
    <col collapsed="false" customWidth="true" hidden="false" outlineLevel="0" max="45" min="45" style="1" width="5.32"/>
    <col collapsed="false" customWidth="true" hidden="false" outlineLevel="0" max="46" min="46" style="1" width="5.82"/>
    <col collapsed="false" customWidth="true" hidden="false" outlineLevel="0" max="47" min="47" style="8" width="4.99"/>
    <col collapsed="false" customWidth="true" hidden="false" outlineLevel="0" max="48" min="48" style="3" width="5.32"/>
    <col collapsed="false" customWidth="true" hidden="false" outlineLevel="0" max="49" min="49" style="9" width="3.82"/>
    <col collapsed="false" customWidth="true" hidden="false" outlineLevel="0" max="51" min="50" style="10" width="3.82"/>
    <col collapsed="false" customWidth="true" hidden="false" outlineLevel="0" max="52" min="52" style="4" width="5.49"/>
  </cols>
  <sheetData>
    <row r="1" customFormat="false" ht="14.1" hidden="false" customHeight="true" outlineLevel="0" collapsed="false">
      <c r="A1" s="11"/>
      <c r="B1" s="11"/>
      <c r="D1" s="11"/>
      <c r="F1" s="11"/>
      <c r="G1" s="11"/>
      <c r="H1" s="12"/>
      <c r="I1" s="11"/>
      <c r="J1" s="11"/>
      <c r="K1" s="13" t="s">
        <v>0</v>
      </c>
      <c r="L1" s="11"/>
      <c r="M1" s="11"/>
      <c r="N1" s="11"/>
      <c r="O1" s="11"/>
      <c r="Q1" s="11"/>
      <c r="R1" s="11"/>
      <c r="S1" s="11"/>
      <c r="T1" s="11"/>
      <c r="V1" s="11"/>
      <c r="W1" s="11"/>
      <c r="Z1" s="11"/>
      <c r="AB1" s="11"/>
      <c r="AC1" s="11"/>
      <c r="AD1" s="11"/>
      <c r="AE1" s="11"/>
      <c r="AI1" s="11"/>
      <c r="AJ1" s="11"/>
      <c r="AK1" s="11"/>
      <c r="AL1" s="11"/>
      <c r="AM1" s="5"/>
    </row>
    <row r="2" customFormat="false" ht="14.1" hidden="false" customHeight="true" outlineLevel="0" collapsed="false">
      <c r="A2" s="14" t="s">
        <v>1</v>
      </c>
      <c r="B2" s="11"/>
      <c r="D2" s="15" t="n">
        <v>1.9835</v>
      </c>
      <c r="F2" s="11"/>
      <c r="G2" s="11"/>
      <c r="H2" s="12"/>
      <c r="I2" s="11"/>
      <c r="J2" s="11"/>
      <c r="K2" s="11"/>
      <c r="L2" s="16" t="s">
        <v>2</v>
      </c>
      <c r="M2" s="16"/>
      <c r="N2" s="16"/>
      <c r="O2" s="16"/>
      <c r="P2" s="16"/>
      <c r="Q2" s="16"/>
      <c r="R2" s="16"/>
      <c r="S2" s="16"/>
      <c r="T2" s="11"/>
      <c r="V2" s="11"/>
      <c r="W2" s="11"/>
      <c r="Z2" s="11"/>
      <c r="AB2" s="11"/>
      <c r="AC2" s="11"/>
      <c r="AD2" s="11"/>
      <c r="AE2" s="11"/>
      <c r="AI2" s="11"/>
      <c r="AJ2" s="11"/>
      <c r="AK2" s="11"/>
      <c r="AL2" s="11"/>
      <c r="AM2" s="5"/>
    </row>
    <row r="3" customFormat="false" ht="14.1" hidden="false" customHeight="true" outlineLevel="0" collapsed="false">
      <c r="A3" s="17"/>
      <c r="B3" s="17"/>
      <c r="C3" s="18"/>
      <c r="D3" s="19"/>
      <c r="E3" s="18"/>
      <c r="F3" s="17"/>
      <c r="G3" s="17"/>
      <c r="H3" s="20"/>
      <c r="I3" s="17"/>
      <c r="J3" s="17"/>
      <c r="K3" s="17"/>
      <c r="L3" s="17"/>
      <c r="M3" s="17"/>
      <c r="N3" s="17"/>
      <c r="O3" s="17"/>
      <c r="P3" s="21"/>
      <c r="Q3" s="17"/>
      <c r="R3" s="17"/>
      <c r="S3" s="17"/>
      <c r="T3" s="17"/>
      <c r="U3" s="22"/>
      <c r="V3" s="17"/>
      <c r="W3" s="17"/>
      <c r="X3" s="18"/>
      <c r="Y3" s="23"/>
      <c r="Z3" s="17"/>
      <c r="AA3" s="23"/>
      <c r="AB3" s="17"/>
      <c r="AC3" s="17"/>
      <c r="AD3" s="17"/>
      <c r="AE3" s="17"/>
      <c r="AF3" s="18"/>
      <c r="AG3" s="18"/>
      <c r="AH3" s="18"/>
      <c r="AI3" s="17"/>
      <c r="AJ3" s="17"/>
      <c r="AK3" s="17"/>
      <c r="AL3" s="17"/>
      <c r="AM3" s="21"/>
      <c r="AN3" s="23"/>
      <c r="AO3" s="23"/>
      <c r="AP3" s="24"/>
      <c r="AQ3" s="25"/>
      <c r="AR3" s="26"/>
      <c r="AS3" s="27"/>
      <c r="AV3" s="28"/>
      <c r="AW3" s="29"/>
      <c r="AX3" s="30"/>
      <c r="AY3" s="31"/>
      <c r="BA3" s="32"/>
      <c r="BB3" s="32"/>
    </row>
    <row r="4" s="1" customFormat="true" ht="14.1" hidden="false" customHeight="true" outlineLevel="0" collapsed="false">
      <c r="A4" s="33"/>
      <c r="B4" s="34"/>
      <c r="C4" s="35"/>
      <c r="D4" s="36" t="s">
        <v>3</v>
      </c>
      <c r="E4" s="35"/>
      <c r="F4" s="33"/>
      <c r="G4" s="37"/>
      <c r="H4" s="37"/>
      <c r="I4" s="38" t="s">
        <v>4</v>
      </c>
      <c r="J4" s="39"/>
      <c r="K4" s="39"/>
      <c r="L4" s="40"/>
      <c r="M4" s="39"/>
      <c r="N4" s="39"/>
      <c r="O4" s="39"/>
      <c r="P4" s="41"/>
      <c r="Q4" s="39"/>
      <c r="R4" s="39"/>
      <c r="S4" s="39"/>
      <c r="T4" s="39"/>
      <c r="U4" s="41"/>
      <c r="V4" s="39"/>
      <c r="W4" s="39"/>
      <c r="X4" s="42" t="s">
        <v>5</v>
      </c>
      <c r="Y4" s="42"/>
      <c r="Z4" s="43"/>
      <c r="AA4" s="42"/>
      <c r="AB4" s="43"/>
      <c r="AC4" s="43"/>
      <c r="AD4" s="44"/>
      <c r="AE4" s="39"/>
      <c r="AF4" s="39"/>
      <c r="AG4" s="39"/>
      <c r="AH4" s="35"/>
      <c r="AI4" s="39"/>
      <c r="AJ4" s="45"/>
      <c r="AK4" s="39"/>
      <c r="AL4" s="39"/>
      <c r="AM4" s="41"/>
      <c r="AN4" s="46"/>
      <c r="AO4" s="47"/>
      <c r="AP4" s="48" t="s">
        <v>6</v>
      </c>
      <c r="AQ4" s="49"/>
      <c r="AR4" s="50"/>
      <c r="AS4" s="51"/>
      <c r="AT4" s="52"/>
      <c r="AU4" s="53"/>
      <c r="AV4" s="54"/>
      <c r="AW4" s="55" t="s">
        <v>7</v>
      </c>
      <c r="AX4" s="56"/>
      <c r="AY4" s="56"/>
      <c r="AZ4" s="57"/>
      <c r="BA4" s="58"/>
      <c r="BB4" s="59"/>
    </row>
    <row r="5" customFormat="false" ht="12.95" hidden="false" customHeight="true" outlineLevel="0" collapsed="false">
      <c r="A5" s="60" t="s">
        <v>8</v>
      </c>
      <c r="B5" s="61" t="s">
        <v>9</v>
      </c>
      <c r="C5" s="62" t="s">
        <v>9</v>
      </c>
      <c r="D5" s="63" t="s">
        <v>10</v>
      </c>
      <c r="E5" s="62" t="s">
        <v>11</v>
      </c>
      <c r="F5" s="64" t="s">
        <v>12</v>
      </c>
      <c r="G5" s="65" t="s">
        <v>13</v>
      </c>
      <c r="H5" s="65" t="s">
        <v>14</v>
      </c>
      <c r="I5" s="60" t="s">
        <v>15</v>
      </c>
      <c r="J5" s="60" t="s">
        <v>16</v>
      </c>
      <c r="K5" s="60" t="s">
        <v>17</v>
      </c>
      <c r="L5" s="60" t="s">
        <v>16</v>
      </c>
      <c r="M5" s="66" t="s">
        <v>18</v>
      </c>
      <c r="N5" s="66"/>
      <c r="O5" s="66"/>
      <c r="P5" s="66"/>
      <c r="Q5" s="66"/>
      <c r="R5" s="66"/>
      <c r="S5" s="66"/>
      <c r="T5" s="66"/>
      <c r="U5" s="66"/>
      <c r="V5" s="60" t="s">
        <v>19</v>
      </c>
      <c r="W5" s="60" t="s">
        <v>20</v>
      </c>
      <c r="X5" s="60" t="s">
        <v>17</v>
      </c>
      <c r="Y5" s="60" t="s">
        <v>17</v>
      </c>
      <c r="Z5" s="67" t="s">
        <v>21</v>
      </c>
      <c r="AA5" s="60" t="s">
        <v>21</v>
      </c>
      <c r="AB5" s="67" t="s">
        <v>21</v>
      </c>
      <c r="AC5" s="68" t="s">
        <v>22</v>
      </c>
      <c r="AD5" s="69" t="s">
        <v>21</v>
      </c>
      <c r="AE5" s="60" t="s">
        <v>23</v>
      </c>
      <c r="AF5" s="70" t="s">
        <v>24</v>
      </c>
      <c r="AG5" s="71"/>
      <c r="AH5" s="60" t="s">
        <v>25</v>
      </c>
      <c r="AI5" s="72" t="s">
        <v>26</v>
      </c>
      <c r="AJ5" s="72" t="s">
        <v>27</v>
      </c>
      <c r="AK5" s="60" t="s">
        <v>15</v>
      </c>
      <c r="AL5" s="60" t="s">
        <v>16</v>
      </c>
      <c r="AM5" s="63" t="s">
        <v>17</v>
      </c>
      <c r="AN5" s="73" t="s">
        <v>28</v>
      </c>
      <c r="AO5" s="69" t="s">
        <v>21</v>
      </c>
      <c r="AP5" s="67" t="s">
        <v>29</v>
      </c>
      <c r="AQ5" s="74" t="s">
        <v>29</v>
      </c>
      <c r="AR5" s="69" t="s">
        <v>30</v>
      </c>
      <c r="AS5" s="75" t="s">
        <v>31</v>
      </c>
      <c r="AT5" s="75" t="s">
        <v>32</v>
      </c>
      <c r="AU5" s="76" t="s">
        <v>33</v>
      </c>
      <c r="AV5" s="77" t="s">
        <v>34</v>
      </c>
      <c r="AW5" s="78" t="s">
        <v>35</v>
      </c>
      <c r="AX5" s="78" t="s">
        <v>36</v>
      </c>
      <c r="AY5" s="78"/>
      <c r="AZ5" s="79" t="s">
        <v>17</v>
      </c>
      <c r="BA5" s="80" t="s">
        <v>37</v>
      </c>
      <c r="BB5" s="81" t="s">
        <v>37</v>
      </c>
    </row>
    <row r="6" customFormat="false" ht="12.95" hidden="false" customHeight="true" outlineLevel="0" collapsed="false">
      <c r="A6" s="82" t="s">
        <v>38</v>
      </c>
      <c r="B6" s="61" t="s">
        <v>39</v>
      </c>
      <c r="C6" s="62"/>
      <c r="D6" s="63" t="s">
        <v>40</v>
      </c>
      <c r="E6" s="62" t="s">
        <v>41</v>
      </c>
      <c r="F6" s="64" t="s">
        <v>42</v>
      </c>
      <c r="G6" s="65" t="s">
        <v>43</v>
      </c>
      <c r="H6" s="65" t="s">
        <v>44</v>
      </c>
      <c r="I6" s="60" t="s">
        <v>45</v>
      </c>
      <c r="J6" s="60" t="s">
        <v>45</v>
      </c>
      <c r="K6" s="60" t="s">
        <v>45</v>
      </c>
      <c r="L6" s="60" t="s">
        <v>46</v>
      </c>
      <c r="M6" s="83" t="s">
        <v>47</v>
      </c>
      <c r="N6" s="63" t="s">
        <v>48</v>
      </c>
      <c r="O6" s="84" t="s">
        <v>49</v>
      </c>
      <c r="P6" s="85" t="s">
        <v>50</v>
      </c>
      <c r="Q6" s="63" t="s">
        <v>51</v>
      </c>
      <c r="R6" s="63" t="s">
        <v>52</v>
      </c>
      <c r="S6" s="63"/>
      <c r="T6" s="63" t="s">
        <v>49</v>
      </c>
      <c r="U6" s="86" t="s">
        <v>53</v>
      </c>
      <c r="V6" s="60"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78"/>
      <c r="AZ6" s="79" t="s">
        <v>74</v>
      </c>
      <c r="BA6" s="80" t="s">
        <v>75</v>
      </c>
      <c r="BB6" s="81" t="s">
        <v>76</v>
      </c>
    </row>
    <row r="7" customFormat="false" ht="12.95" hidden="false" customHeight="true" outlineLevel="0" collapsed="false">
      <c r="A7" s="60"/>
      <c r="B7" s="61"/>
      <c r="C7" s="62"/>
      <c r="D7" s="63"/>
      <c r="E7" s="62"/>
      <c r="F7" s="64"/>
      <c r="G7" s="65"/>
      <c r="H7" s="65"/>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7"/>
      <c r="AD7" s="69"/>
      <c r="AE7" s="87"/>
      <c r="AF7" s="90" t="n">
        <v>1.7</v>
      </c>
      <c r="AG7" s="90" t="n">
        <v>1.3</v>
      </c>
      <c r="AH7" s="83"/>
      <c r="AJ7" s="72"/>
      <c r="AK7" s="60"/>
      <c r="AL7" s="60"/>
      <c r="AM7" s="63"/>
      <c r="AN7" s="88"/>
      <c r="AO7" s="69"/>
      <c r="AP7" s="67" t="s">
        <v>86</v>
      </c>
      <c r="AQ7" s="74" t="s">
        <v>87</v>
      </c>
      <c r="AR7" s="69" t="s">
        <v>88</v>
      </c>
      <c r="AS7" s="75" t="s">
        <v>89</v>
      </c>
      <c r="AT7" s="75" t="s">
        <v>90</v>
      </c>
      <c r="AU7" s="76" t="s">
        <v>81</v>
      </c>
      <c r="AV7" s="89"/>
      <c r="AW7" s="78"/>
      <c r="AX7" s="78"/>
      <c r="AY7" s="78"/>
      <c r="AZ7" s="79" t="s">
        <v>91</v>
      </c>
      <c r="BA7" s="8"/>
      <c r="BB7" s="91"/>
    </row>
    <row r="8" customFormat="false" ht="12.95" hidden="false" customHeight="true" outlineLevel="0" collapsed="false">
      <c r="A8" s="60"/>
      <c r="B8" s="61"/>
      <c r="C8" s="62"/>
      <c r="D8" s="63"/>
      <c r="E8" s="62"/>
      <c r="F8" s="64"/>
      <c r="G8" s="65"/>
      <c r="H8" s="65"/>
      <c r="I8" s="60"/>
      <c r="J8" s="60"/>
      <c r="K8" s="60"/>
      <c r="L8" s="87"/>
      <c r="M8" s="63"/>
      <c r="N8" s="63"/>
      <c r="O8" s="63"/>
      <c r="P8" s="85"/>
      <c r="Q8" s="63" t="s">
        <v>62</v>
      </c>
      <c r="R8" s="63" t="s">
        <v>62</v>
      </c>
      <c r="S8" s="63"/>
      <c r="T8" s="63"/>
      <c r="U8" s="86"/>
      <c r="V8" s="60"/>
      <c r="W8" s="60"/>
      <c r="X8" s="72" t="s">
        <v>92</v>
      </c>
      <c r="Y8" s="62" t="s">
        <v>81</v>
      </c>
      <c r="Z8" s="67"/>
      <c r="AA8" s="62" t="s">
        <v>93</v>
      </c>
      <c r="AB8" s="67" t="s">
        <v>94</v>
      </c>
      <c r="AC8" s="67"/>
      <c r="AD8" s="69"/>
      <c r="AE8" s="87"/>
      <c r="AF8" s="90"/>
      <c r="AG8" s="90"/>
      <c r="AH8" s="83"/>
      <c r="AJ8" s="72"/>
      <c r="AK8" s="60"/>
      <c r="AL8" s="60"/>
      <c r="AM8" s="63"/>
      <c r="AN8" s="88"/>
      <c r="AO8" s="69"/>
      <c r="AP8" s="67"/>
      <c r="AQ8" s="74"/>
      <c r="AR8" s="69"/>
      <c r="AS8" s="75"/>
      <c r="AT8" s="75"/>
      <c r="AU8" s="80"/>
      <c r="AV8" s="89"/>
      <c r="AW8" s="78"/>
      <c r="AX8" s="78"/>
      <c r="AY8" s="78"/>
      <c r="AZ8" s="79"/>
      <c r="BA8" s="8"/>
      <c r="BB8" s="91"/>
    </row>
    <row r="9" customFormat="false" ht="12.95" hidden="false" customHeight="true" outlineLevel="0" collapsed="false">
      <c r="A9" s="60"/>
      <c r="B9" s="61"/>
      <c r="C9" s="62"/>
      <c r="D9" s="63"/>
      <c r="E9" s="62"/>
      <c r="F9" s="64"/>
      <c r="G9" s="65"/>
      <c r="H9" s="65"/>
      <c r="I9" s="60"/>
      <c r="J9" s="60"/>
      <c r="K9" s="60"/>
      <c r="L9" s="87"/>
      <c r="M9" s="63"/>
      <c r="N9" s="63"/>
      <c r="O9" s="63"/>
      <c r="P9" s="85"/>
      <c r="Q9" s="63"/>
      <c r="R9" s="92" t="n">
        <v>4.2</v>
      </c>
      <c r="S9" s="63"/>
      <c r="T9" s="63"/>
      <c r="U9" s="86"/>
      <c r="V9" s="60"/>
      <c r="W9" s="60"/>
      <c r="X9" s="72"/>
      <c r="Y9" s="62" t="s">
        <v>92</v>
      </c>
      <c r="Z9" s="67"/>
      <c r="AA9" s="62" t="s">
        <v>92</v>
      </c>
      <c r="AB9" s="67" t="s">
        <v>95</v>
      </c>
      <c r="AC9" s="67"/>
      <c r="AD9" s="69"/>
      <c r="AE9" s="87"/>
      <c r="AF9" s="90"/>
      <c r="AG9" s="90"/>
      <c r="AH9" s="83"/>
      <c r="AI9" s="93"/>
      <c r="AJ9" s="72"/>
      <c r="AK9" s="60"/>
      <c r="AL9" s="60"/>
      <c r="AM9" s="63"/>
      <c r="AN9" s="88"/>
      <c r="AO9" s="69"/>
      <c r="AP9" s="67"/>
      <c r="AQ9" s="74"/>
      <c r="AR9" s="69"/>
      <c r="AS9" s="75"/>
      <c r="AT9" s="75"/>
      <c r="AU9" s="80"/>
      <c r="AV9" s="89"/>
      <c r="AW9" s="78"/>
      <c r="AX9" s="78"/>
      <c r="AY9" s="78"/>
      <c r="AZ9" s="79"/>
      <c r="BA9" s="8"/>
      <c r="BB9" s="94" t="s">
        <v>96</v>
      </c>
    </row>
    <row r="10" customFormat="false" ht="12.95" hidden="false" customHeight="true" outlineLevel="0" collapsed="false">
      <c r="A10" s="60"/>
      <c r="B10" s="61"/>
      <c r="C10" s="62" t="s">
        <v>97</v>
      </c>
      <c r="D10" s="63"/>
      <c r="E10" s="62" t="s">
        <v>98</v>
      </c>
      <c r="F10" s="64"/>
      <c r="G10" s="84" t="s">
        <v>42</v>
      </c>
      <c r="H10" s="84"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63" t="s">
        <v>42</v>
      </c>
      <c r="AD10" s="63" t="s">
        <v>42</v>
      </c>
      <c r="AE10" s="87" t="s">
        <v>42</v>
      </c>
      <c r="AF10" s="63" t="s">
        <v>42</v>
      </c>
      <c r="AG10" s="63" t="s">
        <v>42</v>
      </c>
      <c r="AH10" s="83" t="s">
        <v>42</v>
      </c>
      <c r="AI10" s="63" t="s">
        <v>42</v>
      </c>
      <c r="AJ10" s="63" t="s">
        <v>42</v>
      </c>
      <c r="AK10" s="63" t="s">
        <v>42</v>
      </c>
      <c r="AL10" s="63" t="s">
        <v>42</v>
      </c>
      <c r="AM10" s="64" t="s">
        <v>42</v>
      </c>
      <c r="AN10" s="69" t="s">
        <v>42</v>
      </c>
      <c r="AO10" s="69" t="s">
        <v>42</v>
      </c>
      <c r="AP10" s="69" t="s">
        <v>42</v>
      </c>
      <c r="AQ10" s="74" t="s">
        <v>99</v>
      </c>
      <c r="AR10" s="69" t="s">
        <v>42</v>
      </c>
      <c r="AS10" s="69" t="s">
        <v>42</v>
      </c>
      <c r="AT10" s="69" t="s">
        <v>42</v>
      </c>
      <c r="AU10" s="74" t="s">
        <v>42</v>
      </c>
      <c r="AV10" s="89"/>
      <c r="AW10" s="78"/>
      <c r="AX10" s="78"/>
      <c r="AY10" s="78"/>
      <c r="AZ10" s="79" t="s">
        <v>100</v>
      </c>
      <c r="BA10" s="80" t="s">
        <v>42</v>
      </c>
      <c r="BB10" s="81" t="s">
        <v>98</v>
      </c>
    </row>
    <row r="11" customFormat="false" ht="12.95" hidden="false" customHeight="true" outlineLevel="0" collapsed="false">
      <c r="A11" s="60"/>
      <c r="B11" s="61"/>
      <c r="C11" s="62"/>
      <c r="D11" s="63"/>
      <c r="E11" s="62"/>
      <c r="F11" s="64"/>
      <c r="G11" s="65"/>
      <c r="H11" s="65"/>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7"/>
      <c r="AD11" s="67"/>
      <c r="AE11" s="98"/>
      <c r="AF11" s="90"/>
      <c r="AG11" s="90"/>
      <c r="AH11" s="83"/>
      <c r="AI11" s="93"/>
      <c r="AJ11" s="99"/>
      <c r="AK11" s="60"/>
      <c r="AL11" s="60"/>
      <c r="AM11" s="63"/>
      <c r="AN11" s="88"/>
      <c r="AO11" s="69"/>
      <c r="AP11" s="67"/>
      <c r="AQ11" s="74"/>
      <c r="AR11" s="74"/>
      <c r="AS11" s="100"/>
      <c r="AT11" s="100"/>
      <c r="AU11" s="101"/>
      <c r="AV11" s="89"/>
      <c r="AW11" s="78"/>
      <c r="AX11" s="78"/>
      <c r="AY11" s="78"/>
      <c r="AZ11" s="79" t="s">
        <v>42</v>
      </c>
      <c r="BA11" s="8"/>
      <c r="BB11" s="91"/>
    </row>
    <row r="12" customFormat="false" ht="12.95" hidden="false" customHeight="true" outlineLevel="0" collapsed="false">
      <c r="A12" s="14" t="s">
        <v>102</v>
      </c>
      <c r="B12" s="102"/>
      <c r="C12" s="103"/>
      <c r="D12" s="103"/>
      <c r="E12" s="103"/>
      <c r="F12" s="104"/>
      <c r="G12" s="105"/>
      <c r="H12" s="106"/>
      <c r="I12" s="2"/>
      <c r="J12" s="2"/>
      <c r="K12" s="2"/>
      <c r="L12" s="2"/>
      <c r="M12" s="107"/>
      <c r="N12" s="103"/>
      <c r="O12" s="103"/>
      <c r="P12" s="108"/>
      <c r="Q12" s="109"/>
      <c r="R12" s="110"/>
      <c r="S12" s="109"/>
      <c r="T12" s="109"/>
      <c r="U12" s="111"/>
      <c r="V12" s="93"/>
      <c r="W12" s="93"/>
      <c r="X12" s="93"/>
      <c r="Y12" s="112"/>
      <c r="Z12" s="93"/>
      <c r="AA12" s="112"/>
      <c r="AB12" s="93"/>
      <c r="AC12" s="93"/>
      <c r="AD12" s="93"/>
      <c r="AE12" s="93"/>
      <c r="AF12" s="113"/>
      <c r="AG12" s="114"/>
      <c r="AH12" s="93"/>
      <c r="AI12" s="99"/>
      <c r="AJ12" s="99"/>
      <c r="AK12" s="93"/>
      <c r="AL12" s="93"/>
      <c r="AM12" s="93"/>
      <c r="AN12" s="115"/>
      <c r="AO12" s="112"/>
      <c r="AP12" s="116"/>
      <c r="AQ12" s="116"/>
      <c r="AR12" s="116"/>
      <c r="AS12" s="116"/>
      <c r="AV12" s="117"/>
      <c r="AW12" s="118"/>
      <c r="AX12" s="118"/>
      <c r="AY12" s="118"/>
      <c r="AZ12" s="119"/>
      <c r="BA12" s="120"/>
      <c r="BB12" s="91"/>
    </row>
    <row r="13" s="125" customFormat="true" ht="12.95" hidden="false" customHeight="true" outlineLevel="0" collapsed="false">
      <c r="A13" s="121" t="s">
        <v>103</v>
      </c>
      <c r="B13" s="122" t="n">
        <v>6888.51</v>
      </c>
      <c r="C13" s="123" t="n">
        <v>243168</v>
      </c>
      <c r="D13" s="103"/>
      <c r="E13" s="103"/>
      <c r="F13" s="104"/>
      <c r="G13" s="105"/>
      <c r="H13" s="106"/>
      <c r="I13" s="2"/>
      <c r="J13" s="2"/>
      <c r="K13" s="2"/>
      <c r="L13" s="2"/>
      <c r="M13" s="107"/>
      <c r="N13" s="103"/>
      <c r="O13" s="103"/>
      <c r="P13" s="108"/>
      <c r="Q13" s="109"/>
      <c r="R13" s="109"/>
      <c r="S13" s="109"/>
      <c r="T13" s="109"/>
      <c r="U13" s="111"/>
      <c r="V13" s="93"/>
      <c r="W13" s="93"/>
      <c r="X13" s="93"/>
      <c r="Y13" s="112"/>
      <c r="Z13" s="93"/>
      <c r="AA13" s="112"/>
      <c r="AB13" s="93"/>
      <c r="AC13" s="93"/>
      <c r="AD13" s="93"/>
      <c r="AE13" s="93"/>
      <c r="AF13" s="113"/>
      <c r="AG13" s="114"/>
      <c r="AH13" s="123"/>
      <c r="AI13" s="123" t="n">
        <v>5218.25787748929</v>
      </c>
      <c r="AJ13" s="123"/>
      <c r="AK13" s="93"/>
      <c r="AL13" s="93"/>
      <c r="AM13" s="93"/>
      <c r="AN13" s="115"/>
      <c r="AO13" s="112"/>
      <c r="AP13" s="93"/>
      <c r="AQ13" s="93"/>
      <c r="AR13" s="93"/>
      <c r="AS13" s="93"/>
      <c r="AT13" s="2"/>
      <c r="AU13" s="8"/>
      <c r="AV13" s="117"/>
      <c r="AW13" s="118"/>
      <c r="AX13" s="118"/>
      <c r="AY13" s="118"/>
      <c r="AZ13" s="119"/>
      <c r="BA13" s="120"/>
      <c r="BB13" s="124"/>
    </row>
    <row r="14" customFormat="false" ht="3" hidden="false" customHeight="true" outlineLevel="0" collapsed="false">
      <c r="A14" s="126"/>
      <c r="B14" s="127"/>
      <c r="C14" s="128"/>
      <c r="D14" s="126"/>
      <c r="E14" s="128"/>
      <c r="F14" s="129"/>
      <c r="G14" s="130"/>
      <c r="H14" s="131"/>
      <c r="I14" s="126"/>
      <c r="J14" s="126"/>
      <c r="K14" s="126"/>
      <c r="L14" s="126"/>
      <c r="M14" s="132"/>
      <c r="N14" s="126"/>
      <c r="O14" s="126"/>
      <c r="P14" s="133"/>
      <c r="Q14" s="134"/>
      <c r="R14" s="134"/>
      <c r="S14" s="134"/>
      <c r="T14" s="134"/>
      <c r="U14" s="135"/>
      <c r="V14" s="134"/>
      <c r="W14" s="134"/>
      <c r="X14" s="134"/>
      <c r="Y14" s="136"/>
      <c r="Z14" s="137"/>
      <c r="AA14" s="136"/>
      <c r="AB14" s="137"/>
      <c r="AC14" s="137"/>
      <c r="AD14" s="137"/>
      <c r="AE14" s="134"/>
      <c r="AF14" s="138"/>
      <c r="AG14" s="139"/>
      <c r="AH14" s="134"/>
      <c r="AI14" s="137"/>
      <c r="AJ14" s="137"/>
      <c r="AK14" s="134"/>
      <c r="AL14" s="134"/>
      <c r="AM14" s="134"/>
      <c r="AN14" s="140"/>
      <c r="AO14" s="136"/>
      <c r="AP14" s="141"/>
      <c r="AQ14" s="141"/>
      <c r="AR14" s="141"/>
      <c r="AS14" s="141"/>
      <c r="AT14" s="141"/>
      <c r="AU14" s="142"/>
      <c r="AV14" s="143"/>
      <c r="AW14" s="141"/>
      <c r="AX14" s="141"/>
      <c r="AY14" s="141"/>
      <c r="AZ14" s="141"/>
      <c r="BA14" s="141"/>
      <c r="BB14" s="141"/>
    </row>
    <row r="15" customFormat="false" ht="12.95" hidden="false" customHeight="true" outlineLevel="0" collapsed="false">
      <c r="A15" s="10" t="n">
        <v>1</v>
      </c>
      <c r="B15" s="144" t="n">
        <v>6888.49</v>
      </c>
      <c r="C15" s="103" t="n">
        <v>243069</v>
      </c>
      <c r="D15" s="145" t="n">
        <f aca="false">C15-C13</f>
        <v>-99</v>
      </c>
      <c r="E15" s="103" t="n">
        <f aca="false">C15-152000</f>
        <v>91069</v>
      </c>
      <c r="F15" s="146" t="n">
        <f aca="false">D15/$D$2</f>
        <v>-49.9117721199899</v>
      </c>
      <c r="G15" s="147" t="n">
        <v>91</v>
      </c>
      <c r="H15" s="148" t="n">
        <v>0</v>
      </c>
      <c r="I15" s="11" t="n">
        <f aca="false">G15+H15</f>
        <v>91</v>
      </c>
      <c r="J15" s="4" t="n">
        <f aca="false">IF(L15&gt;0,L15,0)</f>
        <v>0</v>
      </c>
      <c r="K15" s="11" t="n">
        <f aca="false">I15+J15</f>
        <v>91</v>
      </c>
      <c r="L15" s="11" t="n">
        <f aca="false">F15-(I15-AK15)</f>
        <v>-32.6417721199899</v>
      </c>
      <c r="M15" s="149" t="n">
        <v>7.57</v>
      </c>
      <c r="N15" s="150" t="n">
        <v>0</v>
      </c>
      <c r="O15" s="150" t="n">
        <f aca="false">0*1.05</f>
        <v>0</v>
      </c>
      <c r="P15" s="108" t="n">
        <v>0</v>
      </c>
      <c r="Q15" s="151" t="n">
        <f aca="false">1220300/325851/1.9835*1.02</f>
        <v>1.92581923492342</v>
      </c>
      <c r="R15" s="151" t="n">
        <f aca="false">IF(((2.5*1.04)-T15)&gt;=4.2,4.2,(2.5*1.04)-T15)</f>
        <v>1.9650176</v>
      </c>
      <c r="S15" s="152" t="n">
        <f aca="false">IF(((2.5*1.04)-T15)&gt;=4.2,((2.5*1.04)-T15)-4.2,0)</f>
        <v>0</v>
      </c>
      <c r="T15" s="153" t="n">
        <f aca="false">(0.576*1.06)*1.04</f>
        <v>0.6349824</v>
      </c>
      <c r="U15" s="111" t="n">
        <f aca="false">M15-(Q15+R15+S15+T15)</f>
        <v>3.04418076507658</v>
      </c>
      <c r="V15" s="154" t="n">
        <v>70.5</v>
      </c>
      <c r="W15" s="154" t="n">
        <v>0</v>
      </c>
      <c r="X15" s="155" t="n">
        <f aca="false">M15-N15-O15-P15-Q15-R15-S15-T15-U15+V15+W15-AU15+AR15</f>
        <v>70.5</v>
      </c>
      <c r="Y15" s="156" t="n">
        <f aca="false">X15-AO15</f>
        <v>70.5</v>
      </c>
      <c r="Z15" s="93"/>
      <c r="AA15" s="156"/>
      <c r="AB15" s="93"/>
      <c r="AC15" s="154"/>
      <c r="AD15" s="93"/>
      <c r="AE15" s="154" t="n">
        <v>0</v>
      </c>
      <c r="AF15" s="157"/>
      <c r="AG15" s="158"/>
      <c r="AH15" s="154" t="n">
        <v>30.2</v>
      </c>
      <c r="AI15" s="93" t="n">
        <f aca="false">AI13-AH15</f>
        <v>5188.05787748929</v>
      </c>
      <c r="AJ15" s="93"/>
      <c r="AK15" s="154" t="n">
        <f aca="false">N15+O15+P15+Q15+R15+S15+T15+U15+X15+AE15+AH15</f>
        <v>108.27</v>
      </c>
      <c r="AL15" s="154" t="n">
        <f aca="false">IF(L15&lt;0,L15*-1,0)</f>
        <v>32.6417721199899</v>
      </c>
      <c r="AM15" s="154" t="n">
        <f aca="false">AK15+AL15</f>
        <v>140.91177211999</v>
      </c>
      <c r="AN15" s="159" t="n">
        <f aca="false">V15</f>
        <v>70.5</v>
      </c>
      <c r="AO15" s="112"/>
      <c r="AP15" s="116"/>
      <c r="AQ15" s="116"/>
      <c r="AR15" s="116"/>
      <c r="AS15" s="116"/>
      <c r="AU15" s="5"/>
      <c r="AV15" s="160" t="n">
        <v>0</v>
      </c>
      <c r="AW15" s="118" t="n">
        <v>67</v>
      </c>
      <c r="AX15" s="118" t="n">
        <v>34</v>
      </c>
      <c r="AY15" s="118"/>
      <c r="AZ15" s="119" t="n">
        <f aca="false">SUM(N15,P15:U15)</f>
        <v>7.57</v>
      </c>
      <c r="BA15" s="0" t="n">
        <v>0.081</v>
      </c>
      <c r="BB15" s="161" t="n">
        <v>18583</v>
      </c>
    </row>
    <row r="16" customFormat="false" ht="12.95" hidden="false" customHeight="true" outlineLevel="0" collapsed="false">
      <c r="A16" s="10" t="n">
        <f aca="false">A15+1</f>
        <v>2</v>
      </c>
      <c r="B16" s="144" t="n">
        <v>6888.47</v>
      </c>
      <c r="C16" s="103" t="n">
        <v>243035</v>
      </c>
      <c r="D16" s="145" t="n">
        <f aca="false">C16-C15</f>
        <v>-34</v>
      </c>
      <c r="E16" s="103" t="n">
        <f aca="false">C16-152000</f>
        <v>91035</v>
      </c>
      <c r="F16" s="146" t="n">
        <f aca="false">D16/$D$2</f>
        <v>-17.1414166876733</v>
      </c>
      <c r="G16" s="147" t="n">
        <v>87</v>
      </c>
      <c r="H16" s="148" t="n">
        <v>0</v>
      </c>
      <c r="I16" s="11" t="n">
        <f aca="false">G16+H16</f>
        <v>87</v>
      </c>
      <c r="J16" s="4" t="n">
        <f aca="false">IF(L16&gt;0,L16,0)</f>
        <v>1.96858331232671</v>
      </c>
      <c r="K16" s="11" t="n">
        <f aca="false">I16+J16</f>
        <v>88.9685833123267</v>
      </c>
      <c r="L16" s="11" t="n">
        <f aca="false">F16-(I16-AK16)</f>
        <v>1.96858331232671</v>
      </c>
      <c r="M16" s="149" t="n">
        <v>5.51</v>
      </c>
      <c r="N16" s="150" t="n">
        <v>0</v>
      </c>
      <c r="O16" s="150" t="n">
        <f aca="false">0*1.05</f>
        <v>0</v>
      </c>
      <c r="P16" s="108" t="n">
        <v>0</v>
      </c>
      <c r="Q16" s="151" t="n">
        <f aca="false">968000/325851/1.9835*1.02</f>
        <v>1.52765141309995</v>
      </c>
      <c r="R16" s="151" t="n">
        <f aca="false">IF(((2.6*1.04)-T16)&gt;=4.2,4.2,(2.6*1.04)-T16)</f>
        <v>2.0690176</v>
      </c>
      <c r="S16" s="151" t="n">
        <f aca="false">IF(((2.6*1.04)-T16)&gt;=4.2,((2.6*1.04)-T16)-4.2,0)</f>
        <v>0</v>
      </c>
      <c r="T16" s="153" t="n">
        <f aca="false">(0.576*1.06)*1.04</f>
        <v>0.6349824</v>
      </c>
      <c r="U16" s="111" t="n">
        <f aca="false">M16-(Q16+R16+S16+T16)</f>
        <v>1.27834858690005</v>
      </c>
      <c r="V16" s="154" t="n">
        <v>70.5</v>
      </c>
      <c r="W16" s="154" t="n">
        <v>0</v>
      </c>
      <c r="X16" s="155" t="n">
        <f aca="false">M16-N16-O16-P16-Q16-R16-S16-T16-U16+V16+W16-AU16+AR16</f>
        <v>70.5</v>
      </c>
      <c r="Y16" s="156" t="n">
        <f aca="false">X16-AO16</f>
        <v>70.5</v>
      </c>
      <c r="Z16" s="93"/>
      <c r="AA16" s="156"/>
      <c r="AB16" s="93"/>
      <c r="AC16" s="154"/>
      <c r="AD16" s="93"/>
      <c r="AE16" s="154" t="n">
        <v>0</v>
      </c>
      <c r="AF16" s="157"/>
      <c r="AG16" s="158"/>
      <c r="AH16" s="154" t="n">
        <v>30.1</v>
      </c>
      <c r="AI16" s="93" t="n">
        <f aca="false">AI15-AH16</f>
        <v>5157.95787748929</v>
      </c>
      <c r="AJ16" s="93"/>
      <c r="AK16" s="154" t="n">
        <f aca="false">N16+O16+P16+Q16+R16+S16+T16+U16+X16+AE16+AH16</f>
        <v>106.11</v>
      </c>
      <c r="AL16" s="154" t="n">
        <f aca="false">IF(L16&lt;0,L16*-1,0)</f>
        <v>0</v>
      </c>
      <c r="AM16" s="154" t="n">
        <f aca="false">AK16+AL16</f>
        <v>106.11</v>
      </c>
      <c r="AN16" s="159" t="n">
        <f aca="false">V16</f>
        <v>70.5</v>
      </c>
      <c r="AO16" s="112"/>
      <c r="AP16" s="116"/>
      <c r="AQ16" s="116"/>
      <c r="AR16" s="116"/>
      <c r="AS16" s="116"/>
      <c r="AU16" s="5"/>
      <c r="AV16" s="117" t="n">
        <v>0</v>
      </c>
      <c r="AW16" s="118" t="n">
        <v>68</v>
      </c>
      <c r="AX16" s="118" t="n">
        <v>38</v>
      </c>
      <c r="AY16" s="118"/>
      <c r="AZ16" s="119" t="n">
        <f aca="false">SUM(N16,P16:U16)</f>
        <v>5.51</v>
      </c>
      <c r="BA16" s="0" t="n">
        <v>0.159</v>
      </c>
      <c r="BB16" s="161" t="n">
        <v>18573</v>
      </c>
    </row>
    <row r="17" customFormat="false" ht="12.95" hidden="false" customHeight="true" outlineLevel="0" collapsed="false">
      <c r="A17" s="10" t="n">
        <f aca="false">A16+1</f>
        <v>3</v>
      </c>
      <c r="B17" s="144" t="n">
        <v>6888.44</v>
      </c>
      <c r="C17" s="103" t="n">
        <v>242935</v>
      </c>
      <c r="D17" s="145" t="n">
        <f aca="false">C17-C16</f>
        <v>-100</v>
      </c>
      <c r="E17" s="103" t="n">
        <f aca="false">C17-152000</f>
        <v>90935</v>
      </c>
      <c r="F17" s="146" t="n">
        <f aca="false">D17/$D$2</f>
        <v>-50.4159314343332</v>
      </c>
      <c r="G17" s="147" t="n">
        <v>85</v>
      </c>
      <c r="H17" s="148" t="n">
        <v>0</v>
      </c>
      <c r="I17" s="11" t="n">
        <f aca="false">G17+H17</f>
        <v>85</v>
      </c>
      <c r="J17" s="4" t="n">
        <f aca="false">IF(L17&gt;0,L17,0)</f>
        <v>0</v>
      </c>
      <c r="K17" s="11" t="n">
        <f aca="false">I17+J17</f>
        <v>85</v>
      </c>
      <c r="L17" s="11" t="n">
        <f aca="false">F17-(I17-AK17)</f>
        <v>-31.6489314343332</v>
      </c>
      <c r="M17" s="149" t="n">
        <v>3.12</v>
      </c>
      <c r="N17" s="150" t="n">
        <v>0</v>
      </c>
      <c r="O17" s="150" t="n">
        <f aca="false">0*1.05</f>
        <v>0</v>
      </c>
      <c r="P17" s="108" t="n">
        <v>0</v>
      </c>
      <c r="Q17" s="151" t="n">
        <f aca="false">948200/325851/1.9835*1.02</f>
        <v>1.496403997832</v>
      </c>
      <c r="R17" s="151" t="n">
        <f aca="false">IF(((2.5*1.04)-T17)&gt;=4.2,4.2,(2.5*1.04)-T17)</f>
        <v>1.9650176</v>
      </c>
      <c r="S17" s="151" t="n">
        <f aca="false">IF(((2.5*1.04)-T17)&gt;=4.2,((2.5*1.04)-T17)-4.2,0)</f>
        <v>0</v>
      </c>
      <c r="T17" s="153" t="n">
        <f aca="false">(0.576*1.06)*1.04</f>
        <v>0.6349824</v>
      </c>
      <c r="U17" s="111" t="n">
        <f aca="false">M17-(Q17+R17+S17+T17)</f>
        <v>-0.976403997831999</v>
      </c>
      <c r="V17" s="154" t="n">
        <v>70.5</v>
      </c>
      <c r="W17" s="154" t="n">
        <v>0.047</v>
      </c>
      <c r="X17" s="155" t="n">
        <f aca="false">M17-N17-O17-P17-Q17-R17-S17-T17-U17+V17+W17-AU17+AR17</f>
        <v>70.547</v>
      </c>
      <c r="Y17" s="156" t="n">
        <f aca="false">X17-AO17</f>
        <v>70.547</v>
      </c>
      <c r="Z17" s="93"/>
      <c r="AA17" s="156"/>
      <c r="AB17" s="93"/>
      <c r="AC17" s="154"/>
      <c r="AD17" s="93"/>
      <c r="AE17" s="154" t="n">
        <v>0</v>
      </c>
      <c r="AF17" s="157"/>
      <c r="AG17" s="158"/>
      <c r="AH17" s="154" t="n">
        <v>30.1</v>
      </c>
      <c r="AI17" s="93" t="n">
        <f aca="false">AI16-AH17</f>
        <v>5127.85787748929</v>
      </c>
      <c r="AJ17" s="93"/>
      <c r="AK17" s="154" t="n">
        <f aca="false">N17+O17+P17+Q17+R17+S17+T17+U17+X17+AE17+AH17</f>
        <v>103.767</v>
      </c>
      <c r="AL17" s="154" t="n">
        <f aca="false">IF(L17&lt;0,L17*-1,0)</f>
        <v>31.6489314343332</v>
      </c>
      <c r="AM17" s="154" t="n">
        <f aca="false">AK17+AL17</f>
        <v>135.415931434333</v>
      </c>
      <c r="AN17" s="159" t="n">
        <f aca="false">V17</f>
        <v>70.5</v>
      </c>
      <c r="AO17" s="112"/>
      <c r="AP17" s="116"/>
      <c r="AQ17" s="116"/>
      <c r="AR17" s="116"/>
      <c r="AS17" s="116"/>
      <c r="AU17" s="5"/>
      <c r="AV17" s="117" t="n">
        <v>0.01</v>
      </c>
      <c r="AW17" s="118" t="n">
        <v>67</v>
      </c>
      <c r="AX17" s="118" t="n">
        <v>41</v>
      </c>
      <c r="AY17" s="118"/>
      <c r="AZ17" s="119" t="n">
        <f aca="false">SUM(N17,P17:U17)</f>
        <v>3.12</v>
      </c>
      <c r="BA17" s="0" t="n">
        <v>0.189</v>
      </c>
      <c r="BB17" s="161" t="n">
        <v>18583</v>
      </c>
    </row>
    <row r="18" customFormat="false" ht="12.95" hidden="false" customHeight="true" outlineLevel="0" collapsed="false">
      <c r="A18" s="10" t="n">
        <f aca="false">A17+1</f>
        <v>4</v>
      </c>
      <c r="B18" s="144" t="n">
        <v>6888.46</v>
      </c>
      <c r="C18" s="103" t="n">
        <v>243002</v>
      </c>
      <c r="D18" s="145" t="n">
        <f aca="false">C18-C17</f>
        <v>67</v>
      </c>
      <c r="E18" s="103" t="n">
        <f aca="false">C18-152000</f>
        <v>91002</v>
      </c>
      <c r="F18" s="146" t="n">
        <f aca="false">D18/$D$2</f>
        <v>33.7786740610033</v>
      </c>
      <c r="G18" s="147" t="n">
        <v>104</v>
      </c>
      <c r="H18" s="148" t="n">
        <v>0</v>
      </c>
      <c r="I18" s="11" t="n">
        <f aca="false">G18+H18</f>
        <v>104</v>
      </c>
      <c r="J18" s="4" t="n">
        <f aca="false">IF(L18&gt;0,L18,0)</f>
        <v>35.2486740610033</v>
      </c>
      <c r="K18" s="11" t="n">
        <f aca="false">I18+J18</f>
        <v>139.248674061003</v>
      </c>
      <c r="L18" s="11" t="n">
        <f aca="false">F18-(I18-AK18)</f>
        <v>35.2486740610033</v>
      </c>
      <c r="M18" s="149" t="n">
        <v>4.17</v>
      </c>
      <c r="N18" s="150" t="n">
        <v>0</v>
      </c>
      <c r="O18" s="150" t="n">
        <f aca="false">0*1.05</f>
        <v>0</v>
      </c>
      <c r="P18" s="108" t="n">
        <v>0</v>
      </c>
      <c r="Q18" s="151" t="n">
        <f aca="false">838000/325851/1.9835*1.02</f>
        <v>1.32249161588612</v>
      </c>
      <c r="R18" s="151" t="n">
        <f aca="false">IF(((2.4*1.04)-T18)&gt;=4.2,4.2,(2.4*1.04)-T18)</f>
        <v>1.8610176</v>
      </c>
      <c r="S18" s="151" t="n">
        <f aca="false">IF(((2.4*1.04)-T18)&gt;=4.2,((2.4*1.04)-T18)-4.2,0)</f>
        <v>0</v>
      </c>
      <c r="T18" s="153" t="n">
        <f aca="false">(0.576*1.06)*1.04</f>
        <v>0.6349824</v>
      </c>
      <c r="U18" s="111" t="n">
        <f aca="false">M18-(Q18+R18+S18+T18)</f>
        <v>0.351508384113884</v>
      </c>
      <c r="V18" s="154" t="n">
        <v>70.9</v>
      </c>
      <c r="W18" s="154" t="n">
        <v>0</v>
      </c>
      <c r="X18" s="155" t="n">
        <f aca="false">M18-N18-O18-P18-Q18-R18-S18-T18-U18+V18+W18-AU18+AR18</f>
        <v>70.9</v>
      </c>
      <c r="Y18" s="156" t="n">
        <f aca="false">X18-AO18</f>
        <v>70.9</v>
      </c>
      <c r="Z18" s="93"/>
      <c r="AA18" s="156"/>
      <c r="AB18" s="93"/>
      <c r="AC18" s="154"/>
      <c r="AD18" s="93"/>
      <c r="AE18" s="154" t="n">
        <v>0</v>
      </c>
      <c r="AF18" s="157"/>
      <c r="AG18" s="158"/>
      <c r="AH18" s="154" t="n">
        <v>30.4</v>
      </c>
      <c r="AI18" s="93" t="n">
        <f aca="false">AI17-AH18</f>
        <v>5097.45787748929</v>
      </c>
      <c r="AJ18" s="93"/>
      <c r="AK18" s="154" t="n">
        <f aca="false">N18+O18+P18+Q18+R18+S18+T18+U18+X18+AE18+AH18</f>
        <v>105.47</v>
      </c>
      <c r="AL18" s="154" t="n">
        <f aca="false">IF(L18&lt;0,L18*-1,0)</f>
        <v>0</v>
      </c>
      <c r="AM18" s="154" t="n">
        <f aca="false">AK18+AL18</f>
        <v>105.47</v>
      </c>
      <c r="AN18" s="159" t="n">
        <f aca="false">V18</f>
        <v>70.9</v>
      </c>
      <c r="AO18" s="112"/>
      <c r="AP18" s="116"/>
      <c r="AQ18" s="116"/>
      <c r="AR18" s="116"/>
      <c r="AS18" s="116"/>
      <c r="AU18" s="5"/>
      <c r="AV18" s="117" t="n">
        <v>0.41</v>
      </c>
      <c r="AW18" s="118" t="n">
        <v>49</v>
      </c>
      <c r="AX18" s="118" t="n">
        <v>30</v>
      </c>
      <c r="AY18" s="118"/>
      <c r="AZ18" s="119" t="n">
        <f aca="false">SUM(N18,P18:U18)</f>
        <v>4.17</v>
      </c>
      <c r="BA18" s="0" t="n">
        <v>0.191</v>
      </c>
      <c r="BB18" s="161" t="n">
        <v>18571</v>
      </c>
    </row>
    <row r="19" customFormat="false" ht="12.95" hidden="false" customHeight="true" outlineLevel="0" collapsed="false">
      <c r="A19" s="10" t="n">
        <f aca="false">A18+1</f>
        <v>5</v>
      </c>
      <c r="B19" s="144" t="n">
        <v>6888.46</v>
      </c>
      <c r="C19" s="103" t="n">
        <v>243002</v>
      </c>
      <c r="D19" s="145" t="n">
        <f aca="false">C19-C18</f>
        <v>0</v>
      </c>
      <c r="E19" s="103" t="n">
        <f aca="false">C19-152000</f>
        <v>91002</v>
      </c>
      <c r="F19" s="146" t="n">
        <f aca="false">D19/$D$2</f>
        <v>0</v>
      </c>
      <c r="G19" s="147" t="n">
        <v>99</v>
      </c>
      <c r="H19" s="148" t="n">
        <v>0</v>
      </c>
      <c r="I19" s="11" t="n">
        <f aca="false">G19+H19</f>
        <v>99</v>
      </c>
      <c r="J19" s="4" t="n">
        <f aca="false">IF(L19&gt;0,L19,0)</f>
        <v>23.22</v>
      </c>
      <c r="K19" s="11" t="n">
        <f aca="false">I19+J19</f>
        <v>122.22</v>
      </c>
      <c r="L19" s="11" t="n">
        <f aca="false">F19-(I19-AK19)</f>
        <v>23.22</v>
      </c>
      <c r="M19" s="149" t="n">
        <v>2.72</v>
      </c>
      <c r="N19" s="150" t="n">
        <v>0</v>
      </c>
      <c r="O19" s="150" t="n">
        <f aca="false">0*1.05</f>
        <v>0</v>
      </c>
      <c r="P19" s="108" t="n">
        <v>0</v>
      </c>
      <c r="Q19" s="151" t="n">
        <f aca="false">843700/325851/1.9835*1.02</f>
        <v>1.3314870839178</v>
      </c>
      <c r="R19" s="151" t="n">
        <f aca="false">IF(((1.9*1.04)-T19)&gt;=4.2,4.2,(1.9*1.04)-T19)</f>
        <v>1.3410176</v>
      </c>
      <c r="S19" s="151" t="n">
        <f aca="false">IF(((1.9*1.04)-T19)&gt;=4.2,((1.9*1.04)-T19)-4.2,0)</f>
        <v>0</v>
      </c>
      <c r="T19" s="153" t="n">
        <f aca="false">(0.576*1.06)*1.04</f>
        <v>0.6349824</v>
      </c>
      <c r="U19" s="111" t="n">
        <f aca="false">M19-(Q19+R19+S19+T19)</f>
        <v>-0.5874870839178</v>
      </c>
      <c r="V19" s="154" t="n">
        <v>89.4</v>
      </c>
      <c r="W19" s="154" t="n">
        <v>0</v>
      </c>
      <c r="X19" s="155" t="n">
        <f aca="false">M19-N19-O19-P19-Q19-R19-S19-T19-U19+V19+W19-AU19+AR19</f>
        <v>89.4</v>
      </c>
      <c r="Y19" s="156" t="n">
        <f aca="false">X19-AO19</f>
        <v>89.4</v>
      </c>
      <c r="Z19" s="93"/>
      <c r="AA19" s="156"/>
      <c r="AB19" s="93"/>
      <c r="AC19" s="154"/>
      <c r="AD19" s="93"/>
      <c r="AE19" s="154" t="n">
        <v>0</v>
      </c>
      <c r="AF19" s="157"/>
      <c r="AG19" s="158"/>
      <c r="AH19" s="154" t="n">
        <v>30.1</v>
      </c>
      <c r="AI19" s="93" t="n">
        <f aca="false">AI18-AH19</f>
        <v>5067.35787748929</v>
      </c>
      <c r="AJ19" s="93"/>
      <c r="AK19" s="154" t="n">
        <f aca="false">N19+O19+P19+Q19+R19+S19+T19+U19+X19+AE19+AH19</f>
        <v>122.22</v>
      </c>
      <c r="AL19" s="154" t="n">
        <f aca="false">IF(L19&lt;0,L19*-1,0)</f>
        <v>0</v>
      </c>
      <c r="AM19" s="154" t="n">
        <f aca="false">AK19+AL19</f>
        <v>122.22</v>
      </c>
      <c r="AN19" s="159" t="n">
        <f aca="false">V19</f>
        <v>89.4</v>
      </c>
      <c r="AO19" s="112"/>
      <c r="AP19" s="116"/>
      <c r="AQ19" s="116"/>
      <c r="AR19" s="116"/>
      <c r="AS19" s="116"/>
      <c r="AU19" s="5"/>
      <c r="AV19" s="117" t="n">
        <v>0.05</v>
      </c>
      <c r="AW19" s="118" t="n">
        <v>43</v>
      </c>
      <c r="AX19" s="118" t="n">
        <v>30</v>
      </c>
      <c r="AY19" s="118"/>
      <c r="AZ19" s="119" t="n">
        <f aca="false">SUM(N19,P19:U19)</f>
        <v>2.72</v>
      </c>
      <c r="BA19" s="0" t="n">
        <v>0.267</v>
      </c>
      <c r="BB19" s="161" t="n">
        <v>18677</v>
      </c>
    </row>
    <row r="20" customFormat="false" ht="12.95" hidden="false" customHeight="true" outlineLevel="0" collapsed="false">
      <c r="A20" s="10" t="n">
        <f aca="false">A19+1</f>
        <v>6</v>
      </c>
      <c r="B20" s="144" t="n">
        <v>6888.42</v>
      </c>
      <c r="C20" s="103" t="n">
        <v>242869</v>
      </c>
      <c r="D20" s="145" t="n">
        <f aca="false">C20-C19</f>
        <v>-133</v>
      </c>
      <c r="E20" s="103" t="n">
        <f aca="false">C20-152000</f>
        <v>90869</v>
      </c>
      <c r="F20" s="146" t="n">
        <f aca="false">D20/$D$2</f>
        <v>-67.0531888076632</v>
      </c>
      <c r="G20" s="147" t="n">
        <v>92</v>
      </c>
      <c r="H20" s="148" t="n">
        <v>0</v>
      </c>
      <c r="I20" s="11" t="n">
        <f aca="false">G20+H20</f>
        <v>92</v>
      </c>
      <c r="J20" s="4" t="n">
        <f aca="false">IF(L20&gt;0,L20,0)</f>
        <v>0</v>
      </c>
      <c r="K20" s="11" t="n">
        <f aca="false">I20+J20</f>
        <v>92</v>
      </c>
      <c r="L20" s="11" t="n">
        <f aca="false">F20-(I20-AK20)</f>
        <v>-26.3531888076632</v>
      </c>
      <c r="M20" s="149" t="n">
        <v>2.9</v>
      </c>
      <c r="N20" s="150" t="n">
        <v>0</v>
      </c>
      <c r="O20" s="150" t="n">
        <f aca="false">0*1.05</f>
        <v>0</v>
      </c>
      <c r="P20" s="108" t="n">
        <v>0</v>
      </c>
      <c r="Q20" s="151" t="n">
        <f aca="false">880900/325851/1.9835*1.02</f>
        <v>1.39019434896668</v>
      </c>
      <c r="R20" s="151" t="n">
        <f aca="false">IF(((2*1.04)-T20)&gt;=4.2,4.2,(2*1.04)-T20)</f>
        <v>1.50101952</v>
      </c>
      <c r="S20" s="151" t="n">
        <f aca="false">IF(((2*1.04)-T20)&gt;=4.2,((2*1.04)-T20)-4.2,0)</f>
        <v>0</v>
      </c>
      <c r="T20" s="153" t="n">
        <f aca="false">(0.5252*1.06)*1.04</f>
        <v>0.57898048</v>
      </c>
      <c r="U20" s="111" t="n">
        <f aca="false">M20-(Q20+R20+S20+T20)</f>
        <v>-0.570194348966683</v>
      </c>
      <c r="V20" s="154" t="n">
        <v>99.7</v>
      </c>
      <c r="W20" s="154" t="n">
        <v>0</v>
      </c>
      <c r="X20" s="155" t="n">
        <f aca="false">M20-N20-O20-P20-Q20-R20-S20-T20-U20+V20+W20-AU20+AR20</f>
        <v>99.7</v>
      </c>
      <c r="Y20" s="156" t="n">
        <f aca="false">X20-AO20</f>
        <v>99.7</v>
      </c>
      <c r="Z20" s="93"/>
      <c r="AA20" s="156"/>
      <c r="AB20" s="93"/>
      <c r="AC20" s="154"/>
      <c r="AD20" s="93"/>
      <c r="AE20" s="154" t="n">
        <v>0</v>
      </c>
      <c r="AF20" s="157"/>
      <c r="AG20" s="158"/>
      <c r="AH20" s="154" t="n">
        <v>30.1</v>
      </c>
      <c r="AI20" s="93" t="n">
        <f aca="false">AI19-AH20</f>
        <v>5037.25787748929</v>
      </c>
      <c r="AJ20" s="93"/>
      <c r="AK20" s="154" t="n">
        <f aca="false">N20+O20+P20+Q20+R20+S20+T20+U20+X20+AE20+AH20</f>
        <v>132.7</v>
      </c>
      <c r="AL20" s="154" t="n">
        <f aca="false">IF(L20&lt;0,L20*-1,0)</f>
        <v>26.3531888076632</v>
      </c>
      <c r="AM20" s="154" t="n">
        <f aca="false">AK20+AL20</f>
        <v>159.053188807663</v>
      </c>
      <c r="AN20" s="159" t="n">
        <f aca="false">V20</f>
        <v>99.7</v>
      </c>
      <c r="AO20" s="112"/>
      <c r="AP20" s="116"/>
      <c r="AQ20" s="116"/>
      <c r="AR20" s="116"/>
      <c r="AS20" s="116"/>
      <c r="AU20" s="5"/>
      <c r="AV20" s="117" t="n">
        <v>0</v>
      </c>
      <c r="AW20" s="118" t="n">
        <v>46</v>
      </c>
      <c r="AX20" s="118" t="n">
        <v>30</v>
      </c>
      <c r="AY20" s="118"/>
      <c r="AZ20" s="119" t="n">
        <f aca="false">SUM(N20,P20:U20)</f>
        <v>2.9</v>
      </c>
      <c r="BA20" s="0" t="n">
        <v>0.186</v>
      </c>
      <c r="BB20" s="161" t="n">
        <v>18645</v>
      </c>
    </row>
    <row r="21" customFormat="false" ht="12.75" hidden="false" customHeight="true" outlineLevel="0" collapsed="false">
      <c r="A21" s="10" t="n">
        <f aca="false">A20+1</f>
        <v>7</v>
      </c>
      <c r="B21" s="144" t="n">
        <v>6888.37</v>
      </c>
      <c r="C21" s="103" t="n">
        <v>242702</v>
      </c>
      <c r="D21" s="145" t="n">
        <f aca="false">C21-C20</f>
        <v>-167</v>
      </c>
      <c r="E21" s="103" t="n">
        <f aca="false">C21-152000</f>
        <v>90702</v>
      </c>
      <c r="F21" s="146" t="n">
        <f aca="false">D21/$D$2</f>
        <v>-84.1946054953365</v>
      </c>
      <c r="G21" s="147" t="n">
        <v>79</v>
      </c>
      <c r="H21" s="148" t="n">
        <v>0</v>
      </c>
      <c r="I21" s="11" t="n">
        <f aca="false">G21+H21</f>
        <v>79</v>
      </c>
      <c r="J21" s="4" t="n">
        <f aca="false">IF(L21&gt;0,L21,0)</f>
        <v>0</v>
      </c>
      <c r="K21" s="11" t="n">
        <f aca="false">I21+J21</f>
        <v>79</v>
      </c>
      <c r="L21" s="11" t="n">
        <f aca="false">F21-(I21-AK21)</f>
        <v>-29.7846054953365</v>
      </c>
      <c r="M21" s="149" t="n">
        <v>3.61</v>
      </c>
      <c r="N21" s="150" t="n">
        <v>0</v>
      </c>
      <c r="O21" s="150" t="n">
        <f aca="false">0*1.05</f>
        <v>0</v>
      </c>
      <c r="P21" s="108" t="n">
        <v>0</v>
      </c>
      <c r="Q21" s="151" t="n">
        <f aca="false">967500/325851/1.9835*1.02</f>
        <v>1.52686233695682</v>
      </c>
      <c r="R21" s="151" t="n">
        <f aca="false">IF(((1.7*1.04)-T21)&gt;=4.2,4.2,(1.7*1.04)-T21)</f>
        <v>1.18901952</v>
      </c>
      <c r="S21" s="151" t="n">
        <f aca="false">IF(((1.7*1.04)-T21)&gt;=4.2,((1.7*1.04)-T21)-4.2,0)</f>
        <v>0</v>
      </c>
      <c r="T21" s="153" t="n">
        <f aca="false">(0.5252*1.06)*1.04</f>
        <v>0.57898048</v>
      </c>
      <c r="U21" s="111" t="n">
        <f aca="false">M21-(Q21+R21+S21+T21)</f>
        <v>0.315137663043177</v>
      </c>
      <c r="V21" s="154" t="n">
        <v>99.7</v>
      </c>
      <c r="W21" s="154" t="n">
        <v>0</v>
      </c>
      <c r="X21" s="155" t="n">
        <f aca="false">M21-N21-O21-P21-Q21-R21-S21-T21-U21+V21+W21-AU21+AR21</f>
        <v>99.7</v>
      </c>
      <c r="Y21" s="156" t="n">
        <f aca="false">X21-AO21</f>
        <v>99.7</v>
      </c>
      <c r="Z21" s="93"/>
      <c r="AA21" s="156"/>
      <c r="AB21" s="93"/>
      <c r="AC21" s="154"/>
      <c r="AD21" s="93"/>
      <c r="AE21" s="154" t="n">
        <v>0</v>
      </c>
      <c r="AF21" s="157"/>
      <c r="AG21" s="158"/>
      <c r="AH21" s="154" t="n">
        <v>30.1</v>
      </c>
      <c r="AI21" s="93" t="n">
        <f aca="false">AI20-AH21</f>
        <v>5007.15787748929</v>
      </c>
      <c r="AJ21" s="93"/>
      <c r="AK21" s="154" t="n">
        <f aca="false">N21+O21+P21+Q21+R21+S21+T21+U21+X21+AE21+AH21</f>
        <v>133.41</v>
      </c>
      <c r="AL21" s="154" t="n">
        <f aca="false">IF(L21&lt;0,L21*-1,0)</f>
        <v>29.7846054953365</v>
      </c>
      <c r="AM21" s="154" t="n">
        <f aca="false">AK21+AL21</f>
        <v>163.194605495337</v>
      </c>
      <c r="AN21" s="159" t="n">
        <f aca="false">V21</f>
        <v>99.7</v>
      </c>
      <c r="AO21" s="112"/>
      <c r="AP21" s="116"/>
      <c r="AQ21" s="116"/>
      <c r="AR21" s="116"/>
      <c r="AS21" s="116"/>
      <c r="AU21" s="5"/>
      <c r="AV21" s="117" t="n">
        <v>0</v>
      </c>
      <c r="AW21" s="118" t="n">
        <v>48</v>
      </c>
      <c r="AX21" s="118" t="n">
        <v>29</v>
      </c>
      <c r="AY21" s="118"/>
      <c r="AZ21" s="119" t="n">
        <f aca="false">SUM(N21,P21:U21)</f>
        <v>3.61</v>
      </c>
      <c r="BA21" s="0" t="n">
        <v>0.291</v>
      </c>
      <c r="BB21" s="161" t="n">
        <v>18639</v>
      </c>
    </row>
    <row r="22" customFormat="false" ht="12.75" hidden="false" customHeight="true" outlineLevel="0" collapsed="false">
      <c r="A22" s="10" t="n">
        <f aca="false">A21+1</f>
        <v>8</v>
      </c>
      <c r="B22" s="144" t="n">
        <v>6888.32</v>
      </c>
      <c r="C22" s="103" t="n">
        <v>242535</v>
      </c>
      <c r="D22" s="145" t="n">
        <f aca="false">C22-C21</f>
        <v>-167</v>
      </c>
      <c r="E22" s="103" t="n">
        <f aca="false">C22-152000</f>
        <v>90535</v>
      </c>
      <c r="F22" s="146" t="n">
        <f aca="false">D22/$D$2</f>
        <v>-84.1946054953365</v>
      </c>
      <c r="G22" s="147" t="n">
        <v>73</v>
      </c>
      <c r="H22" s="148" t="n">
        <v>0</v>
      </c>
      <c r="I22" s="11" t="n">
        <f aca="false">G22+H22</f>
        <v>73</v>
      </c>
      <c r="J22" s="4" t="n">
        <f aca="false">IF(L22&gt;0,L22,0)</f>
        <v>0</v>
      </c>
      <c r="K22" s="11" t="n">
        <f aca="false">I22+J22</f>
        <v>73</v>
      </c>
      <c r="L22" s="11" t="n">
        <f aca="false">F22-(I22-AK22)</f>
        <v>-25.0846054953365</v>
      </c>
      <c r="M22" s="149" t="n">
        <v>2.31</v>
      </c>
      <c r="N22" s="150" t="n">
        <v>0</v>
      </c>
      <c r="O22" s="150" t="n">
        <f aca="false">0*1.05</f>
        <v>0</v>
      </c>
      <c r="P22" s="108" t="n">
        <v>0</v>
      </c>
      <c r="Q22" s="151" t="n">
        <f aca="false">977300/325851/1.9835*1.02</f>
        <v>1.54232822936217</v>
      </c>
      <c r="R22" s="151" t="n">
        <f aca="false">IF(((1.7*1.04)-T22)&gt;=4.2,4.2,(1.7*1.04)-T22)</f>
        <v>1.18901952</v>
      </c>
      <c r="S22" s="151" t="n">
        <f aca="false">IF(((1.7*1.04)-T22)&gt;=4.2,((1.7*1.04)-T22)-4.2,0)</f>
        <v>0</v>
      </c>
      <c r="T22" s="153" t="n">
        <f aca="false">(0.5252*1.06)*1.04</f>
        <v>0.57898048</v>
      </c>
      <c r="U22" s="111" t="n">
        <f aca="false">M22-(Q22+R22+S22+T22)</f>
        <v>-1.00032822936217</v>
      </c>
      <c r="V22" s="154" t="n">
        <v>99.7</v>
      </c>
      <c r="W22" s="154" t="n">
        <v>0</v>
      </c>
      <c r="X22" s="155" t="n">
        <f aca="false">M22-N22-O22-P22-Q22-R22-S22-T22-U22+V22+W22-AU22+AR22</f>
        <v>99.7</v>
      </c>
      <c r="Y22" s="156" t="n">
        <f aca="false">X22-AO22</f>
        <v>99.7</v>
      </c>
      <c r="Z22" s="93"/>
      <c r="AA22" s="156"/>
      <c r="AB22" s="93"/>
      <c r="AC22" s="154"/>
      <c r="AD22" s="93"/>
      <c r="AE22" s="154" t="n">
        <v>0</v>
      </c>
      <c r="AF22" s="157"/>
      <c r="AG22" s="158"/>
      <c r="AH22" s="154" t="n">
        <v>30.1</v>
      </c>
      <c r="AI22" s="93" t="n">
        <f aca="false">AI21-AH22</f>
        <v>4977.05787748929</v>
      </c>
      <c r="AJ22" s="93"/>
      <c r="AK22" s="154" t="n">
        <f aca="false">N22+O22+P22+Q22+R22+S22+T22+U22+X22+AE22+AH22</f>
        <v>132.11</v>
      </c>
      <c r="AL22" s="154" t="n">
        <f aca="false">IF(L22&lt;0,L22*-1,0)</f>
        <v>25.0846054953365</v>
      </c>
      <c r="AM22" s="154" t="n">
        <f aca="false">AK22+AL22</f>
        <v>157.194605495337</v>
      </c>
      <c r="AN22" s="159" t="n">
        <f aca="false">V22</f>
        <v>99.7</v>
      </c>
      <c r="AO22" s="112"/>
      <c r="AP22" s="116"/>
      <c r="AQ22" s="116"/>
      <c r="AR22" s="116"/>
      <c r="AS22" s="116"/>
      <c r="AU22" s="5"/>
      <c r="AV22" s="117" t="n">
        <v>0</v>
      </c>
      <c r="AW22" s="118" t="n">
        <v>53</v>
      </c>
      <c r="AX22" s="118" t="n">
        <v>25</v>
      </c>
      <c r="AY22" s="118"/>
      <c r="AZ22" s="119" t="n">
        <f aca="false">SUM(N22,P22:U22)</f>
        <v>2.31</v>
      </c>
      <c r="BA22" s="0" t="n">
        <v>0.11</v>
      </c>
      <c r="BB22" s="161" t="n">
        <v>18649</v>
      </c>
    </row>
    <row r="23" customFormat="false" ht="12.75" hidden="false" customHeight="true" outlineLevel="0" collapsed="false">
      <c r="A23" s="10" t="n">
        <f aca="false">A22+1</f>
        <v>9</v>
      </c>
      <c r="B23" s="144" t="n">
        <v>6888.29</v>
      </c>
      <c r="C23" s="103" t="n">
        <v>242435</v>
      </c>
      <c r="D23" s="145" t="n">
        <f aca="false">C23-C22</f>
        <v>-100</v>
      </c>
      <c r="E23" s="103" t="n">
        <f aca="false">C23-152000</f>
        <v>90435</v>
      </c>
      <c r="F23" s="146" t="n">
        <f aca="false">D23/$D$2</f>
        <v>-50.4159314343332</v>
      </c>
      <c r="G23" s="147" t="n">
        <v>80</v>
      </c>
      <c r="H23" s="148" t="n">
        <v>0</v>
      </c>
      <c r="I23" s="11" t="n">
        <f aca="false">G23+H23</f>
        <v>80</v>
      </c>
      <c r="J23" s="4" t="n">
        <f aca="false">IF(L23&gt;0,L23,0)</f>
        <v>2.66406856566677</v>
      </c>
      <c r="K23" s="11" t="n">
        <f aca="false">I23+J23</f>
        <v>82.6640685656668</v>
      </c>
      <c r="L23" s="11" t="n">
        <f aca="false">F23-(I23-AK23)</f>
        <v>2.66406856566677</v>
      </c>
      <c r="M23" s="149" t="n">
        <v>3.28</v>
      </c>
      <c r="N23" s="150" t="n">
        <v>0</v>
      </c>
      <c r="O23" s="150" t="n">
        <f aca="false">0*1.05</f>
        <v>0</v>
      </c>
      <c r="P23" s="108" t="n">
        <v>0</v>
      </c>
      <c r="Q23" s="151" t="n">
        <f aca="false">1069700/325851/1.9835*1.02</f>
        <v>1.68814950061262</v>
      </c>
      <c r="R23" s="151" t="n">
        <f aca="false">IF(((1.6*1.04)-T23)&gt;=4.2,4.2,(1.6*1.04)-T23)</f>
        <v>1.08501952</v>
      </c>
      <c r="S23" s="151" t="n">
        <f aca="false">IF(((1.6*1.04)-T23)&gt;=4.2,((1.6*1.04)-T23)-4.2,0)</f>
        <v>0</v>
      </c>
      <c r="T23" s="153" t="n">
        <f aca="false">(0.5252*1.06)*1.04</f>
        <v>0.57898048</v>
      </c>
      <c r="U23" s="111" t="n">
        <f aca="false">M23-(Q23+R23+S23+T23)</f>
        <v>-0.0721495006126243</v>
      </c>
      <c r="V23" s="154" t="n">
        <v>99.7</v>
      </c>
      <c r="W23" s="154" t="n">
        <v>0</v>
      </c>
      <c r="X23" s="155" t="n">
        <f aca="false">M23-N23-O23-P23-Q23-R23-S23-T23-U23+V23+W23-AU23+AR23</f>
        <v>99.7</v>
      </c>
      <c r="Y23" s="156" t="n">
        <f aca="false">X23-AO23</f>
        <v>99.7</v>
      </c>
      <c r="Z23" s="93"/>
      <c r="AA23" s="156"/>
      <c r="AB23" s="93"/>
      <c r="AC23" s="154"/>
      <c r="AD23" s="93"/>
      <c r="AE23" s="154" t="n">
        <v>0</v>
      </c>
      <c r="AF23" s="157"/>
      <c r="AG23" s="158"/>
      <c r="AH23" s="154" t="n">
        <v>30.1</v>
      </c>
      <c r="AI23" s="93" t="n">
        <f aca="false">AI22-AH23</f>
        <v>4946.95787748928</v>
      </c>
      <c r="AJ23" s="93"/>
      <c r="AK23" s="154" t="n">
        <f aca="false">N23+O23+P23+Q23+R23+S23+T23+U23+X23+AE23+AH23</f>
        <v>133.08</v>
      </c>
      <c r="AL23" s="154" t="n">
        <f aca="false">IF(L23&lt;0,L23*-1,0)</f>
        <v>0</v>
      </c>
      <c r="AM23" s="154" t="n">
        <f aca="false">AK23+AL23</f>
        <v>133.08</v>
      </c>
      <c r="AN23" s="159" t="n">
        <f aca="false">V23</f>
        <v>99.7</v>
      </c>
      <c r="AO23" s="112"/>
      <c r="AP23" s="116"/>
      <c r="AQ23" s="116"/>
      <c r="AR23" s="116"/>
      <c r="AS23" s="116"/>
      <c r="AU23" s="5"/>
      <c r="AV23" s="117" t="n">
        <v>0</v>
      </c>
      <c r="AW23" s="118" t="n">
        <v>59</v>
      </c>
      <c r="AX23" s="162" t="n">
        <v>25</v>
      </c>
      <c r="AY23" s="162"/>
      <c r="AZ23" s="119" t="n">
        <f aca="false">SUM(N23,P23:U23)</f>
        <v>3.28</v>
      </c>
      <c r="BA23" s="0" t="n">
        <v>0.005</v>
      </c>
      <c r="BB23" s="161" t="n">
        <v>18637</v>
      </c>
    </row>
    <row r="24" customFormat="false" ht="12.95" hidden="false" customHeight="true" outlineLevel="0" collapsed="false">
      <c r="A24" s="10" t="n">
        <f aca="false">A23+1</f>
        <v>10</v>
      </c>
      <c r="B24" s="144" t="n">
        <v>6888.26</v>
      </c>
      <c r="C24" s="103" t="n">
        <v>242335</v>
      </c>
      <c r="D24" s="145" t="n">
        <f aca="false">C24-C23</f>
        <v>-100</v>
      </c>
      <c r="E24" s="103" t="n">
        <f aca="false">C24-152000</f>
        <v>90335</v>
      </c>
      <c r="F24" s="146" t="n">
        <f aca="false">D24/$D$2</f>
        <v>-50.4159314343332</v>
      </c>
      <c r="G24" s="147" t="n">
        <v>86</v>
      </c>
      <c r="H24" s="148" t="n">
        <v>0</v>
      </c>
      <c r="I24" s="11" t="n">
        <f aca="false">G24+H24</f>
        <v>86</v>
      </c>
      <c r="J24" s="4" t="n">
        <f aca="false">IF(L24&gt;0,L24,0)</f>
        <v>0</v>
      </c>
      <c r="K24" s="11" t="n">
        <f aca="false">I24+J24</f>
        <v>86</v>
      </c>
      <c r="L24" s="11" t="n">
        <f aca="false">F24-(I24-AK24)</f>
        <v>-3.73593143433324</v>
      </c>
      <c r="M24" s="149" t="n">
        <v>2.68</v>
      </c>
      <c r="N24" s="150" t="n">
        <v>0</v>
      </c>
      <c r="O24" s="150" t="n">
        <f aca="false">0*1.05</f>
        <v>0</v>
      </c>
      <c r="P24" s="108" t="n">
        <v>0</v>
      </c>
      <c r="Q24" s="151" t="n">
        <f aca="false">838100/325851/1.9835*1.02</f>
        <v>1.32264943111474</v>
      </c>
      <c r="R24" s="151" t="n">
        <f aca="false">IF(((1.9*1.04)-T24)&gt;=4.2,4.2,(1.9*1.04)-T24)</f>
        <v>1.39701952</v>
      </c>
      <c r="S24" s="151" t="n">
        <f aca="false">IF(((1.9*1.04)-T24)&gt;=4.2,((1.9*1.04)-T24)-4.2,0)</f>
        <v>0</v>
      </c>
      <c r="T24" s="153" t="n">
        <f aca="false">(0.5252*1.06)*1.04</f>
        <v>0.57898048</v>
      </c>
      <c r="U24" s="111" t="n">
        <f aca="false">M24-(Q24+R24+S24+T24)</f>
        <v>-0.618649431114742</v>
      </c>
      <c r="V24" s="154" t="n">
        <v>99.7</v>
      </c>
      <c r="W24" s="154" t="n">
        <v>0</v>
      </c>
      <c r="X24" s="155" t="n">
        <f aca="false">M24-N24-O24-P24-Q24-R24-S24-T24-U24+V24+W24-AU24+AR24</f>
        <v>99.7</v>
      </c>
      <c r="Y24" s="156" t="n">
        <f aca="false">X24-AO24</f>
        <v>99.7</v>
      </c>
      <c r="Z24" s="93"/>
      <c r="AA24" s="156"/>
      <c r="AB24" s="93"/>
      <c r="AC24" s="154"/>
      <c r="AD24" s="93"/>
      <c r="AE24" s="154" t="n">
        <v>0</v>
      </c>
      <c r="AF24" s="157"/>
      <c r="AG24" s="158"/>
      <c r="AH24" s="154" t="n">
        <v>30.3</v>
      </c>
      <c r="AI24" s="93" t="n">
        <f aca="false">AI23-AH24</f>
        <v>4916.65787748928</v>
      </c>
      <c r="AJ24" s="93"/>
      <c r="AK24" s="154" t="n">
        <f aca="false">N24+O24+P24+Q24+R24+S24+T24+U24+X24+AE24+AH24</f>
        <v>132.68</v>
      </c>
      <c r="AL24" s="154" t="n">
        <f aca="false">IF(L24&lt;0,L24*-1,0)</f>
        <v>3.73593143433324</v>
      </c>
      <c r="AM24" s="154" t="n">
        <f aca="false">AK24+AL24</f>
        <v>136.415931434333</v>
      </c>
      <c r="AN24" s="159" t="n">
        <f aca="false">V24</f>
        <v>99.7</v>
      </c>
      <c r="AO24" s="112"/>
      <c r="AP24" s="116"/>
      <c r="AQ24" s="116"/>
      <c r="AR24" s="116"/>
      <c r="AS24" s="116"/>
      <c r="AU24" s="5"/>
      <c r="AV24" s="117" t="n">
        <v>0.087</v>
      </c>
      <c r="AW24" s="118" t="n">
        <v>57</v>
      </c>
      <c r="AX24" s="118" t="n">
        <v>27</v>
      </c>
      <c r="AY24" s="118"/>
      <c r="AZ24" s="119" t="n">
        <f aca="false">SUM(N24,P24:U24)</f>
        <v>2.68</v>
      </c>
      <c r="BA24" s="0" t="n">
        <v>0.111</v>
      </c>
      <c r="BB24" s="161" t="n">
        <v>18618</v>
      </c>
    </row>
    <row r="25" customFormat="false" ht="12.75" hidden="false" customHeight="true" outlineLevel="0" collapsed="false">
      <c r="A25" s="10" t="n">
        <f aca="false">A24+1</f>
        <v>11</v>
      </c>
      <c r="B25" s="144" t="n">
        <v>6888.26</v>
      </c>
      <c r="C25" s="103" t="n">
        <v>242335</v>
      </c>
      <c r="D25" s="145" t="n">
        <f aca="false">C25-C24</f>
        <v>0</v>
      </c>
      <c r="E25" s="103" t="n">
        <f aca="false">C25-152000</f>
        <v>90335</v>
      </c>
      <c r="F25" s="146" t="n">
        <f aca="false">D25/$D$2</f>
        <v>0</v>
      </c>
      <c r="G25" s="147" t="n">
        <v>88</v>
      </c>
      <c r="H25" s="148" t="n">
        <v>0</v>
      </c>
      <c r="I25" s="11" t="n">
        <f aca="false">G25+H25</f>
        <v>88</v>
      </c>
      <c r="J25" s="4" t="n">
        <f aca="false">IF(L25&gt;0,L25,0)</f>
        <v>45.46</v>
      </c>
      <c r="K25" s="11" t="n">
        <f aca="false">I25+J25</f>
        <v>133.46</v>
      </c>
      <c r="L25" s="11" t="n">
        <f aca="false">F25-(I25-AK25)</f>
        <v>45.46</v>
      </c>
      <c r="M25" s="149" t="n">
        <v>3.46</v>
      </c>
      <c r="N25" s="150" t="n">
        <v>0</v>
      </c>
      <c r="O25" s="150" t="n">
        <f aca="false">2.35*1.05</f>
        <v>2.4675</v>
      </c>
      <c r="P25" s="108" t="n">
        <v>0</v>
      </c>
      <c r="Q25" s="151" t="n">
        <f aca="false">1020500/325851/1.9835*1.02</f>
        <v>1.61050440812862</v>
      </c>
      <c r="R25" s="151" t="n">
        <f aca="false">IF(((2*1.04)-T25)&gt;=4.2,4.2,(2*1.04)-T25)</f>
        <v>1.50101952</v>
      </c>
      <c r="S25" s="151" t="n">
        <f aca="false">IF(((2*1.04)-T25)&gt;=4.2,((2*1.04)-T25)-4.2,0)</f>
        <v>0</v>
      </c>
      <c r="T25" s="153" t="n">
        <f aca="false">(0.5252*1.06)*1.04</f>
        <v>0.57898048</v>
      </c>
      <c r="U25" s="111" t="n">
        <f aca="false">M25-(Q25+R25+S25+T25)</f>
        <v>-0.230504408128618</v>
      </c>
      <c r="V25" s="154" t="n">
        <v>99.7</v>
      </c>
      <c r="W25" s="154" t="n">
        <v>0</v>
      </c>
      <c r="X25" s="155" t="n">
        <f aca="false">M25-N25-O25-P25-Q25-R25-S25-T25-U25+V25+W25-AU25+AR25</f>
        <v>97.2325</v>
      </c>
      <c r="Y25" s="156" t="n">
        <f aca="false">X25-AO25</f>
        <v>97.2325</v>
      </c>
      <c r="Z25" s="93"/>
      <c r="AA25" s="156"/>
      <c r="AB25" s="93"/>
      <c r="AC25" s="154"/>
      <c r="AD25" s="93"/>
      <c r="AE25" s="154" t="n">
        <v>0</v>
      </c>
      <c r="AF25" s="157"/>
      <c r="AG25" s="158"/>
      <c r="AH25" s="154" t="n">
        <v>30.3</v>
      </c>
      <c r="AI25" s="93" t="n">
        <f aca="false">AI24-AH25</f>
        <v>4886.35787748928</v>
      </c>
      <c r="AJ25" s="93"/>
      <c r="AK25" s="154" t="n">
        <f aca="false">N25+O25+P25+Q25+R25+S25+T25+U25+X25+AE25+AH25</f>
        <v>133.46</v>
      </c>
      <c r="AL25" s="154" t="n">
        <f aca="false">IF(L25&lt;0,L25*-1,0)</f>
        <v>0</v>
      </c>
      <c r="AM25" s="154" t="n">
        <f aca="false">AK25+AL25</f>
        <v>133.46</v>
      </c>
      <c r="AN25" s="159" t="n">
        <f aca="false">V25</f>
        <v>99.7</v>
      </c>
      <c r="AO25" s="112"/>
      <c r="AP25" s="116"/>
      <c r="AQ25" s="116"/>
      <c r="AR25" s="116"/>
      <c r="AS25" s="116"/>
      <c r="AU25" s="5"/>
      <c r="AV25" s="117" t="n">
        <v>0.203</v>
      </c>
      <c r="AW25" s="118" t="n">
        <v>42</v>
      </c>
      <c r="AX25" s="118" t="n">
        <v>21</v>
      </c>
      <c r="AY25" s="118"/>
      <c r="AZ25" s="119" t="n">
        <f aca="false">SUM(N25,P25:U25)</f>
        <v>3.46</v>
      </c>
      <c r="BA25" s="0" t="n">
        <v>0.157</v>
      </c>
      <c r="BB25" s="161" t="n">
        <v>18663</v>
      </c>
    </row>
    <row r="26" customFormat="false" ht="12.95" hidden="false" customHeight="true" outlineLevel="0" collapsed="false">
      <c r="A26" s="10" t="n">
        <f aca="false">A25+1</f>
        <v>12</v>
      </c>
      <c r="B26" s="144" t="n">
        <v>6888.18</v>
      </c>
      <c r="C26" s="103" t="n">
        <v>242069</v>
      </c>
      <c r="D26" s="145" t="n">
        <f aca="false">C26-C25</f>
        <v>-266</v>
      </c>
      <c r="E26" s="103" t="n">
        <f aca="false">C26-152000</f>
        <v>90069</v>
      </c>
      <c r="F26" s="146" t="n">
        <f aca="false">D26/$D$2</f>
        <v>-134.106377615326</v>
      </c>
      <c r="G26" s="147" t="n">
        <v>66</v>
      </c>
      <c r="H26" s="148" t="n">
        <v>0</v>
      </c>
      <c r="I26" s="11" t="n">
        <f aca="false">G26+H26</f>
        <v>66</v>
      </c>
      <c r="J26" s="4" t="n">
        <f aca="false">IF(L26&gt;0,L26,0)</f>
        <v>0</v>
      </c>
      <c r="K26" s="11" t="n">
        <f aca="false">I26+J26</f>
        <v>66</v>
      </c>
      <c r="L26" s="11" t="n">
        <f aca="false">F26-(I26-AK26)</f>
        <v>-67.2063776153264</v>
      </c>
      <c r="M26" s="149" t="n">
        <v>3</v>
      </c>
      <c r="N26" s="150" t="n">
        <v>0</v>
      </c>
      <c r="O26" s="150" t="n">
        <f aca="false">0*1.05</f>
        <v>0</v>
      </c>
      <c r="P26" s="108" t="n">
        <v>0</v>
      </c>
      <c r="Q26" s="151" t="n">
        <f aca="false">860100/325851/1.9835*1.02</f>
        <v>1.35736878141247</v>
      </c>
      <c r="R26" s="151" t="n">
        <f aca="false">IF(((2.2*1.04)-T26)&gt;=4.2,4.2,(2.2*1.04)-T26)</f>
        <v>1.70901952</v>
      </c>
      <c r="S26" s="151" t="n">
        <f aca="false">IF(((2.2*1.04)-T26)&gt;=4.2,((2.2*1.04)-T26)-4.2,0)</f>
        <v>0</v>
      </c>
      <c r="T26" s="153" t="n">
        <f aca="false">(0.5252*1.06)*1.04</f>
        <v>0.57898048</v>
      </c>
      <c r="U26" s="111" t="n">
        <f aca="false">M26-(Q26+R26+S26+T26)</f>
        <v>-0.645368781412468</v>
      </c>
      <c r="V26" s="154" t="n">
        <v>99.7</v>
      </c>
      <c r="W26" s="154" t="n">
        <v>0</v>
      </c>
      <c r="X26" s="155" t="n">
        <f aca="false">M26-N26-O26-P26-Q26-R26-S26-T26-U26+V26+W26-AU26+AR26</f>
        <v>99.7</v>
      </c>
      <c r="Y26" s="156" t="n">
        <f aca="false">X26-AO26</f>
        <v>99.7</v>
      </c>
      <c r="Z26" s="93"/>
      <c r="AA26" s="156"/>
      <c r="AB26" s="93"/>
      <c r="AC26" s="154"/>
      <c r="AD26" s="93"/>
      <c r="AE26" s="154" t="n">
        <v>0</v>
      </c>
      <c r="AF26" s="157"/>
      <c r="AG26" s="158"/>
      <c r="AH26" s="154" t="n">
        <v>30.2</v>
      </c>
      <c r="AI26" s="93" t="n">
        <f aca="false">AI25-AH26</f>
        <v>4856.15787748928</v>
      </c>
      <c r="AJ26" s="93"/>
      <c r="AK26" s="154" t="n">
        <f aca="false">N26+O26+P26+Q26+R26+S26+T26+U26+X26+AE26+AH26</f>
        <v>132.9</v>
      </c>
      <c r="AL26" s="154" t="n">
        <f aca="false">IF(L26&lt;0,L26*-1,0)</f>
        <v>67.2063776153264</v>
      </c>
      <c r="AM26" s="154" t="n">
        <f aca="false">AK26+AL26</f>
        <v>200.106377615326</v>
      </c>
      <c r="AN26" s="159" t="n">
        <f aca="false">V26</f>
        <v>99.7</v>
      </c>
      <c r="AO26" s="112"/>
      <c r="AP26" s="116"/>
      <c r="AQ26" s="116"/>
      <c r="AR26" s="116"/>
      <c r="AS26" s="116"/>
      <c r="AU26" s="5"/>
      <c r="AV26" s="117" t="n">
        <v>0.02</v>
      </c>
      <c r="AW26" s="118" t="n">
        <v>51</v>
      </c>
      <c r="AX26" s="118" t="n">
        <v>19</v>
      </c>
      <c r="AY26" s="118"/>
      <c r="AZ26" s="119" t="n">
        <f aca="false">SUM(N26,P26:U26)</f>
        <v>3</v>
      </c>
      <c r="BA26" s="0" t="n">
        <v>0.162</v>
      </c>
      <c r="BB26" s="161" t="n">
        <v>18665</v>
      </c>
    </row>
    <row r="27" customFormat="false" ht="12.95" hidden="false" customHeight="true" outlineLevel="0" collapsed="false">
      <c r="A27" s="10" t="n">
        <f aca="false">A26+1</f>
        <v>13</v>
      </c>
      <c r="B27" s="144" t="n">
        <v>6888.14</v>
      </c>
      <c r="C27" s="103" t="n">
        <v>241936</v>
      </c>
      <c r="D27" s="145" t="n">
        <f aca="false">C27-C26</f>
        <v>-133</v>
      </c>
      <c r="E27" s="103" t="n">
        <f aca="false">C27-152000</f>
        <v>89936</v>
      </c>
      <c r="F27" s="146" t="n">
        <f aca="false">D27/$D$2</f>
        <v>-67.0531888076632</v>
      </c>
      <c r="G27" s="147" t="n">
        <v>67</v>
      </c>
      <c r="H27" s="148" t="n">
        <v>0</v>
      </c>
      <c r="I27" s="11" t="n">
        <f aca="false">G27+H27</f>
        <v>67</v>
      </c>
      <c r="J27" s="4" t="n">
        <f aca="false">IF(L27&gt;0,L27,0)</f>
        <v>0</v>
      </c>
      <c r="K27" s="11" t="n">
        <f aca="false">I27+J27</f>
        <v>67</v>
      </c>
      <c r="L27" s="11" t="n">
        <f aca="false">F27-(I27-AK27)</f>
        <v>-0.423188807663223</v>
      </c>
      <c r="M27" s="149" t="n">
        <v>3.73</v>
      </c>
      <c r="N27" s="150" t="n">
        <v>0</v>
      </c>
      <c r="O27" s="150" t="n">
        <f aca="false">0*1.05</f>
        <v>0</v>
      </c>
      <c r="P27" s="108" t="n">
        <v>0</v>
      </c>
      <c r="Q27" s="151" t="n">
        <f aca="false">1111800/325851/1.9835*1.02</f>
        <v>1.75458971186418</v>
      </c>
      <c r="R27" s="151" t="n">
        <f aca="false">IF(((2.1*1.04)-T27)&gt;=4.2,4.2,(2.1*1.04)-T27)</f>
        <v>1.67832912</v>
      </c>
      <c r="S27" s="151" t="n">
        <f aca="false">IF(((2.1*1.04)-T27)&gt;=4.2,((2.1*1.04)-T27)-4.2,0)</f>
        <v>0</v>
      </c>
      <c r="T27" s="153" t="n">
        <f aca="false">(0.4587*1.06)*1.04</f>
        <v>0.50567088</v>
      </c>
      <c r="U27" s="111" t="n">
        <f aca="false">M27-(Q27+R27+S27+T27)</f>
        <v>-0.208589711864182</v>
      </c>
      <c r="V27" s="154" t="n">
        <v>99.7</v>
      </c>
      <c r="W27" s="154" t="n">
        <v>0</v>
      </c>
      <c r="X27" s="155" t="n">
        <f aca="false">M27-N27-O27-P27-Q27-R27-S27-T27-U27+V27+W27-AU27+AR27</f>
        <v>99.7</v>
      </c>
      <c r="Y27" s="156" t="n">
        <f aca="false">X27-AO27</f>
        <v>99.7</v>
      </c>
      <c r="Z27" s="93"/>
      <c r="AA27" s="156"/>
      <c r="AB27" s="93"/>
      <c r="AC27" s="154"/>
      <c r="AD27" s="93"/>
      <c r="AE27" s="154" t="n">
        <v>0</v>
      </c>
      <c r="AF27" s="157"/>
      <c r="AG27" s="158"/>
      <c r="AH27" s="154" t="n">
        <v>30.2</v>
      </c>
      <c r="AI27" s="93" t="n">
        <f aca="false">AI26-AH27</f>
        <v>4825.95787748928</v>
      </c>
      <c r="AJ27" s="93"/>
      <c r="AK27" s="154" t="n">
        <f aca="false">N27+O27+P27+Q27+R27+S27+T27+U27+X27+AE27+AH27</f>
        <v>133.63</v>
      </c>
      <c r="AL27" s="154" t="n">
        <f aca="false">IF(L27&lt;0,L27*-1,0)</f>
        <v>0.423188807663223</v>
      </c>
      <c r="AM27" s="154" t="n">
        <f aca="false">AK27+AL27</f>
        <v>134.053188807663</v>
      </c>
      <c r="AN27" s="159" t="n">
        <f aca="false">V27</f>
        <v>99.7</v>
      </c>
      <c r="AO27" s="112"/>
      <c r="AP27" s="116"/>
      <c r="AQ27" s="116"/>
      <c r="AR27" s="116"/>
      <c r="AS27" s="116"/>
      <c r="AU27" s="5"/>
      <c r="AV27" s="117" t="n">
        <v>0</v>
      </c>
      <c r="AW27" s="118" t="n">
        <v>58</v>
      </c>
      <c r="AX27" s="118" t="n">
        <v>26</v>
      </c>
      <c r="AY27" s="118"/>
      <c r="AZ27" s="119" t="n">
        <f aca="false">SUM(N27,P27:U27)</f>
        <v>3.73</v>
      </c>
      <c r="BA27" s="0" t="n">
        <v>0.187</v>
      </c>
      <c r="BB27" s="161" t="n">
        <v>18640</v>
      </c>
    </row>
    <row r="28" customFormat="false" ht="12.95" hidden="false" customHeight="true" outlineLevel="0" collapsed="false">
      <c r="A28" s="10" t="n">
        <f aca="false">A27+1</f>
        <v>14</v>
      </c>
      <c r="B28" s="144" t="n">
        <v>6888.08</v>
      </c>
      <c r="C28" s="103" t="n">
        <v>241736</v>
      </c>
      <c r="D28" s="145" t="n">
        <f aca="false">C28-C27</f>
        <v>-200</v>
      </c>
      <c r="E28" s="103" t="n">
        <f aca="false">C28-152000</f>
        <v>89736</v>
      </c>
      <c r="F28" s="146" t="n">
        <f aca="false">D28/$D$2</f>
        <v>-100.831862868667</v>
      </c>
      <c r="G28" s="147" t="n">
        <v>64</v>
      </c>
      <c r="H28" s="148" t="n">
        <v>0</v>
      </c>
      <c r="I28" s="11" t="n">
        <f aca="false">G28+H28</f>
        <v>64</v>
      </c>
      <c r="J28" s="4" t="n">
        <f aca="false">IF(L28&gt;0,L28,0)</f>
        <v>0</v>
      </c>
      <c r="K28" s="11" t="n">
        <f aca="false">I28+J28</f>
        <v>64</v>
      </c>
      <c r="L28" s="11" t="n">
        <f aca="false">F28-(I28-AK28)</f>
        <v>-32.2318628686665</v>
      </c>
      <c r="M28" s="149" t="n">
        <v>2.8</v>
      </c>
      <c r="N28" s="150" t="n">
        <v>0</v>
      </c>
      <c r="O28" s="150" t="n">
        <f aca="false">0*1.05</f>
        <v>0</v>
      </c>
      <c r="P28" s="108" t="n">
        <v>0</v>
      </c>
      <c r="Q28" s="151" t="n">
        <f aca="false">811400/325851/1.9835*1.02</f>
        <v>1.28051276507159</v>
      </c>
      <c r="R28" s="151" t="n">
        <f aca="false">IF(((2.2*1.04)-T28)&gt;=4.2,4.2,(2.2*1.04)-T28)</f>
        <v>1.78232912</v>
      </c>
      <c r="S28" s="151" t="n">
        <f aca="false">IF(((2.2*1.04)-T28)&gt;=4.2,((2.2*1.04)-T28)-4.2,0)</f>
        <v>0</v>
      </c>
      <c r="T28" s="153" t="n">
        <f aca="false">(0.4587*1.06)*1.04</f>
        <v>0.50567088</v>
      </c>
      <c r="U28" s="111" t="n">
        <f aca="false">M28-(Q28+R28+S28+T28)</f>
        <v>-0.768512765071593</v>
      </c>
      <c r="V28" s="154" t="n">
        <v>99.7</v>
      </c>
      <c r="W28" s="154" t="n">
        <v>0</v>
      </c>
      <c r="X28" s="155" t="n">
        <f aca="false">M28-N28-O28-P28-Q28-R28-S28-T28-U28+V28+W28-AU28+AR28</f>
        <v>99.7</v>
      </c>
      <c r="Y28" s="156" t="n">
        <f aca="false">X28-AO28</f>
        <v>99.7</v>
      </c>
      <c r="Z28" s="93"/>
      <c r="AA28" s="156"/>
      <c r="AB28" s="93"/>
      <c r="AC28" s="154"/>
      <c r="AD28" s="93"/>
      <c r="AE28" s="154" t="n">
        <v>0</v>
      </c>
      <c r="AF28" s="157"/>
      <c r="AG28" s="158"/>
      <c r="AH28" s="154" t="n">
        <v>30.1</v>
      </c>
      <c r="AI28" s="93" t="n">
        <f aca="false">AI27-AH28</f>
        <v>4795.85787748928</v>
      </c>
      <c r="AJ28" s="93"/>
      <c r="AK28" s="154" t="n">
        <f aca="false">N28+O28+P28+Q28+R28+S28+T28+U28+X28+AE28+AH28</f>
        <v>132.6</v>
      </c>
      <c r="AL28" s="154" t="n">
        <f aca="false">IF(L28&lt;0,L28*-1,0)</f>
        <v>32.2318628686665</v>
      </c>
      <c r="AM28" s="154" t="n">
        <f aca="false">AK28+AL28</f>
        <v>164.831862868667</v>
      </c>
      <c r="AN28" s="159" t="n">
        <f aca="false">V28</f>
        <v>99.7</v>
      </c>
      <c r="AO28" s="112"/>
      <c r="AP28" s="116"/>
      <c r="AQ28" s="116"/>
      <c r="AR28" s="116"/>
      <c r="AS28" s="116"/>
      <c r="AU28" s="5"/>
      <c r="AV28" s="117" t="n">
        <v>0</v>
      </c>
      <c r="AW28" s="118" t="n">
        <v>60</v>
      </c>
      <c r="AX28" s="118" t="n">
        <v>28</v>
      </c>
      <c r="AY28" s="118"/>
      <c r="AZ28" s="119" t="n">
        <f aca="false">SUM(N28,P28:U28)</f>
        <v>2.8</v>
      </c>
      <c r="BA28" s="0" t="n">
        <v>0.274</v>
      </c>
      <c r="BB28" s="161" t="n">
        <v>18638</v>
      </c>
    </row>
    <row r="29" customFormat="false" ht="12.95" hidden="false" customHeight="true" outlineLevel="0" collapsed="false">
      <c r="A29" s="10" t="n">
        <f aca="false">A28+1</f>
        <v>15</v>
      </c>
      <c r="B29" s="144" t="n">
        <v>6888.05</v>
      </c>
      <c r="C29" s="103" t="n">
        <v>241636</v>
      </c>
      <c r="D29" s="145" t="n">
        <f aca="false">C29-C28</f>
        <v>-100</v>
      </c>
      <c r="E29" s="103" t="n">
        <f aca="false">C29-152000</f>
        <v>89636</v>
      </c>
      <c r="F29" s="146" t="n">
        <f aca="false">D29/$D$2</f>
        <v>-50.4159314343332</v>
      </c>
      <c r="G29" s="147" t="n">
        <v>67</v>
      </c>
      <c r="H29" s="148" t="n">
        <v>0</v>
      </c>
      <c r="I29" s="11" t="n">
        <f aca="false">G29+H29</f>
        <v>67</v>
      </c>
      <c r="J29" s="4" t="n">
        <f aca="false">IF(L29&gt;0,L29,0)</f>
        <v>16.1740685656668</v>
      </c>
      <c r="K29" s="11" t="n">
        <f aca="false">I29+J29</f>
        <v>83.1740685656668</v>
      </c>
      <c r="L29" s="11" t="n">
        <f aca="false">F29-(I29-AK29)</f>
        <v>16.1740685656668</v>
      </c>
      <c r="M29" s="149" t="n">
        <v>3.79</v>
      </c>
      <c r="N29" s="150" t="n">
        <v>0</v>
      </c>
      <c r="O29" s="150" t="n">
        <f aca="false">0*1.05</f>
        <v>0</v>
      </c>
      <c r="P29" s="108" t="n">
        <v>0</v>
      </c>
      <c r="Q29" s="151" t="n">
        <f aca="false">1092100/325851/1.9835*1.02</f>
        <v>1.72350011182485</v>
      </c>
      <c r="R29" s="151" t="n">
        <f aca="false">IF(((2.1*1.04)-T29)&gt;=4.2,4.2,(2.1*1.04)-T29)</f>
        <v>1.67832912</v>
      </c>
      <c r="S29" s="151" t="n">
        <f aca="false">IF(((2.1*1.04)-T29)&gt;=4.2,((2.1*1.04)-T29)-4.2,0)</f>
        <v>0</v>
      </c>
      <c r="T29" s="153" t="n">
        <f aca="false">(0.4587*1.06)*1.04</f>
        <v>0.50567088</v>
      </c>
      <c r="U29" s="111" t="n">
        <f aca="false">M29-(Q29+R29+S29+T29)</f>
        <v>-0.117500111824854</v>
      </c>
      <c r="V29" s="154" t="n">
        <v>99.7</v>
      </c>
      <c r="W29" s="154" t="n">
        <v>0</v>
      </c>
      <c r="X29" s="155" t="n">
        <f aca="false">M29-N29-O29-P29-Q29-R29-S29-T29-U29+V29+W29-AU29+AR29</f>
        <v>99.7</v>
      </c>
      <c r="Y29" s="156" t="n">
        <f aca="false">X29-AO29</f>
        <v>99.7</v>
      </c>
      <c r="Z29" s="93"/>
      <c r="AA29" s="156"/>
      <c r="AB29" s="93"/>
      <c r="AC29" s="154"/>
      <c r="AD29" s="93"/>
      <c r="AE29" s="154" t="n">
        <v>0</v>
      </c>
      <c r="AF29" s="157"/>
      <c r="AG29" s="158"/>
      <c r="AH29" s="154" t="n">
        <v>30.1</v>
      </c>
      <c r="AI29" s="93" t="n">
        <f aca="false">AI28-AH29</f>
        <v>4765.75787748928</v>
      </c>
      <c r="AJ29" s="93"/>
      <c r="AK29" s="154" t="n">
        <f aca="false">N29+O29+P29+Q29+R29+S29+T29+U29+X29+AE29+AH29</f>
        <v>133.59</v>
      </c>
      <c r="AL29" s="154" t="n">
        <f aca="false">IF(L29&lt;0,L29*-1,0)</f>
        <v>0</v>
      </c>
      <c r="AM29" s="154" t="n">
        <f aca="false">AK29+AL29</f>
        <v>133.59</v>
      </c>
      <c r="AN29" s="159" t="n">
        <f aca="false">V29</f>
        <v>99.7</v>
      </c>
      <c r="AO29" s="112"/>
      <c r="AP29" s="116"/>
      <c r="AQ29" s="116"/>
      <c r="AR29" s="116"/>
      <c r="AS29" s="116"/>
      <c r="AU29" s="5"/>
      <c r="AV29" s="117" t="n">
        <v>0.27</v>
      </c>
      <c r="AW29" s="118" t="n">
        <v>56</v>
      </c>
      <c r="AX29" s="118" t="n">
        <v>29</v>
      </c>
      <c r="AY29" s="118"/>
      <c r="AZ29" s="119" t="n">
        <f aca="false">SUM(N29,P29:U29)</f>
        <v>3.79</v>
      </c>
      <c r="BA29" s="0" t="n">
        <v>0.296</v>
      </c>
      <c r="BB29" s="161" t="n">
        <v>18639</v>
      </c>
    </row>
    <row r="30" customFormat="false" ht="12.95" hidden="false" customHeight="true" outlineLevel="0" collapsed="false">
      <c r="A30" s="10" t="n">
        <f aca="false">A29+1</f>
        <v>16</v>
      </c>
      <c r="B30" s="144" t="n">
        <v>6888.08</v>
      </c>
      <c r="C30" s="103" t="n">
        <v>241736</v>
      </c>
      <c r="D30" s="145" t="n">
        <f aca="false">C30-C29</f>
        <v>100</v>
      </c>
      <c r="E30" s="103" t="n">
        <f aca="false">C30-152000</f>
        <v>89736</v>
      </c>
      <c r="F30" s="146" t="n">
        <f aca="false">D30/$D$2</f>
        <v>50.4159314343332</v>
      </c>
      <c r="G30" s="147" t="n">
        <v>66</v>
      </c>
      <c r="H30" s="148" t="n">
        <v>0</v>
      </c>
      <c r="I30" s="11" t="n">
        <f aca="false">G30+H30</f>
        <v>66</v>
      </c>
      <c r="J30" s="4" t="n">
        <f aca="false">IF(L30&gt;0,L30,0)</f>
        <v>117.565931434333</v>
      </c>
      <c r="K30" s="11" t="n">
        <f aca="false">I30+J30</f>
        <v>183.565931434333</v>
      </c>
      <c r="L30" s="11" t="n">
        <f aca="false">F30-(I30-AK30)</f>
        <v>117.565931434333</v>
      </c>
      <c r="M30" s="149" t="n">
        <v>3.05</v>
      </c>
      <c r="N30" s="150" t="n">
        <v>0</v>
      </c>
      <c r="O30" s="150" t="n">
        <f aca="false">0*1.05</f>
        <v>0</v>
      </c>
      <c r="P30" s="108" t="n">
        <v>0</v>
      </c>
      <c r="Q30" s="151" t="n">
        <f aca="false">906600/325851/1.9835*1.02</f>
        <v>1.43075286272357</v>
      </c>
      <c r="R30" s="151" t="n">
        <f aca="false">IF(((1.6*1.04)-T30)&gt;=4.2,4.2,(1.6*1.04)-T30)</f>
        <v>1.15832912</v>
      </c>
      <c r="S30" s="151" t="n">
        <f aca="false">IF(((1.6*1.04)-T30)&gt;=4.2,((1.6*1.04)-T30)-4.2,0)</f>
        <v>0</v>
      </c>
      <c r="T30" s="153" t="n">
        <f aca="false">(0.4587*1.06)*1.04</f>
        <v>0.50567088</v>
      </c>
      <c r="U30" s="111" t="n">
        <f aca="false">M30-(Q30+R30+S30+T30)</f>
        <v>-0.0447528627235716</v>
      </c>
      <c r="V30" s="154" t="n">
        <v>99.7</v>
      </c>
      <c r="W30" s="154" t="n">
        <v>0</v>
      </c>
      <c r="X30" s="155" t="n">
        <f aca="false">M30-N30-O30-P30-Q30-R30-S30-T30-U30+V30+W30-AU30+AR30</f>
        <v>99.7</v>
      </c>
      <c r="Y30" s="156" t="n">
        <f aca="false">X30-AO30</f>
        <v>99.7</v>
      </c>
      <c r="Z30" s="93"/>
      <c r="AA30" s="156"/>
      <c r="AB30" s="93"/>
      <c r="AC30" s="154"/>
      <c r="AD30" s="93"/>
      <c r="AE30" s="154" t="n">
        <v>0</v>
      </c>
      <c r="AF30" s="157"/>
      <c r="AG30" s="158"/>
      <c r="AH30" s="154" t="n">
        <v>30.4</v>
      </c>
      <c r="AI30" s="93" t="n">
        <f aca="false">AI29-AH30</f>
        <v>4735.35787748928</v>
      </c>
      <c r="AJ30" s="93"/>
      <c r="AK30" s="154" t="n">
        <f aca="false">N30+O30+P30+Q30+R30+S30+T30+U30+X30+AE30+AH30</f>
        <v>133.15</v>
      </c>
      <c r="AL30" s="154" t="n">
        <f aca="false">IF(L30&lt;0,L30*-1,0)</f>
        <v>0</v>
      </c>
      <c r="AM30" s="154" t="n">
        <f aca="false">AK30+AL30</f>
        <v>133.15</v>
      </c>
      <c r="AN30" s="159" t="n">
        <f aca="false">V30</f>
        <v>99.7</v>
      </c>
      <c r="AO30" s="112"/>
      <c r="AP30" s="116"/>
      <c r="AQ30" s="116"/>
      <c r="AR30" s="116"/>
      <c r="AS30" s="116"/>
      <c r="AU30" s="5"/>
      <c r="AV30" s="117" t="n">
        <v>0.945</v>
      </c>
      <c r="AW30" s="118" t="n">
        <v>41</v>
      </c>
      <c r="AX30" s="118" t="n">
        <v>26</v>
      </c>
      <c r="AY30" s="118"/>
      <c r="AZ30" s="119" t="n">
        <f aca="false">SUM(N30,P30:U30)</f>
        <v>3.05</v>
      </c>
      <c r="BA30" s="0" t="n">
        <v>0.237</v>
      </c>
      <c r="BB30" s="161" t="n">
        <v>18681</v>
      </c>
    </row>
    <row r="31" customFormat="false" ht="12.95" hidden="false" customHeight="true" outlineLevel="0" collapsed="false">
      <c r="A31" s="10" t="n">
        <f aca="false">A30+1</f>
        <v>17</v>
      </c>
      <c r="B31" s="144" t="n">
        <v>6888.02</v>
      </c>
      <c r="C31" s="103" t="n">
        <v>241536</v>
      </c>
      <c r="D31" s="145" t="n">
        <f aca="false">C31-C30</f>
        <v>-200</v>
      </c>
      <c r="E31" s="103" t="n">
        <f aca="false">C31-152000</f>
        <v>89536</v>
      </c>
      <c r="F31" s="146" t="n">
        <f aca="false">D31/$D$2</f>
        <v>-100.831862868667</v>
      </c>
      <c r="G31" s="147" t="n">
        <v>70</v>
      </c>
      <c r="H31" s="148" t="n">
        <v>0</v>
      </c>
      <c r="I31" s="11" t="n">
        <f aca="false">G31+H31</f>
        <v>70</v>
      </c>
      <c r="J31" s="4" t="n">
        <f aca="false">IF(L31&gt;0,L31,0)</f>
        <v>0</v>
      </c>
      <c r="K31" s="11" t="n">
        <f aca="false">I31+J31</f>
        <v>70</v>
      </c>
      <c r="L31" s="11" t="n">
        <f aca="false">F31-(I31-AK31)</f>
        <v>-38.4518628686665</v>
      </c>
      <c r="M31" s="149" t="n">
        <v>2.58</v>
      </c>
      <c r="N31" s="150" t="n">
        <v>0</v>
      </c>
      <c r="O31" s="150" t="n">
        <f aca="false">0*1.05</f>
        <v>0</v>
      </c>
      <c r="P31" s="108" t="n">
        <v>0</v>
      </c>
      <c r="Q31" s="151" t="n">
        <f aca="false">1046600/325851/1.9835*1.02</f>
        <v>1.65169418280001</v>
      </c>
      <c r="R31" s="151" t="n">
        <f aca="false">IF(((2.2*1.04)-T31)&gt;=4.2,4.2,(2.2*1.04)-T31)</f>
        <v>1.78232912</v>
      </c>
      <c r="S31" s="151" t="n">
        <f aca="false">IF(((2.2*1.04)-T31)&gt;=4.2,((2.2*1.04)-T31)-4.2,0)</f>
        <v>0</v>
      </c>
      <c r="T31" s="153" t="n">
        <f aca="false">(0.4587*1.06)*1.04</f>
        <v>0.50567088</v>
      </c>
      <c r="U31" s="111" t="n">
        <f aca="false">M31-(Q31+R31+S31+T31)</f>
        <v>-1.35969418280001</v>
      </c>
      <c r="V31" s="154" t="n">
        <v>99.7</v>
      </c>
      <c r="W31" s="154" t="n">
        <v>0</v>
      </c>
      <c r="X31" s="155" t="n">
        <f aca="false">M31-N31-O31-P31-Q31-R31-S31-T31-U31+V31+W31-AU31+AR31</f>
        <v>99.7</v>
      </c>
      <c r="Y31" s="156" t="n">
        <f aca="false">X31-AO31</f>
        <v>99.7</v>
      </c>
      <c r="Z31" s="93"/>
      <c r="AA31" s="156"/>
      <c r="AB31" s="93"/>
      <c r="AC31" s="154"/>
      <c r="AD31" s="93"/>
      <c r="AE31" s="154" t="n">
        <v>0</v>
      </c>
      <c r="AF31" s="157"/>
      <c r="AG31" s="158"/>
      <c r="AH31" s="154" t="n">
        <v>30.1</v>
      </c>
      <c r="AI31" s="93" t="n">
        <f aca="false">AI30-AH31</f>
        <v>4705.25787748928</v>
      </c>
      <c r="AJ31" s="93"/>
      <c r="AK31" s="154" t="n">
        <f aca="false">N31+O31+P31+Q31+R31+S31+T31+U31+X31+AE31+AH31</f>
        <v>132.38</v>
      </c>
      <c r="AL31" s="154" t="n">
        <f aca="false">IF(L31&lt;0,L31*-1,0)</f>
        <v>38.4518628686665</v>
      </c>
      <c r="AM31" s="154" t="n">
        <f aca="false">AK31+AL31</f>
        <v>170.831862868667</v>
      </c>
      <c r="AN31" s="159" t="n">
        <f aca="false">V31</f>
        <v>99.7</v>
      </c>
      <c r="AO31" s="112"/>
      <c r="AP31" s="116"/>
      <c r="AQ31" s="116"/>
      <c r="AR31" s="116"/>
      <c r="AS31" s="116"/>
      <c r="AU31" s="5"/>
      <c r="AV31" s="117" t="n">
        <v>0</v>
      </c>
      <c r="AW31" s="118" t="n">
        <v>34</v>
      </c>
      <c r="AX31" s="118" t="n">
        <v>21</v>
      </c>
      <c r="AY31" s="118"/>
      <c r="AZ31" s="119" t="n">
        <f aca="false">SUM(N31,P31:U31)</f>
        <v>2.58</v>
      </c>
      <c r="BA31" s="0" t="n">
        <v>0.172</v>
      </c>
      <c r="BB31" s="161" t="n">
        <v>18713</v>
      </c>
    </row>
    <row r="32" customFormat="false" ht="12.95" hidden="false" customHeight="true" outlineLevel="0" collapsed="false">
      <c r="A32" s="10" t="n">
        <f aca="false">A31+1</f>
        <v>18</v>
      </c>
      <c r="B32" s="144" t="n">
        <v>6888.02</v>
      </c>
      <c r="C32" s="103" t="n">
        <v>241536</v>
      </c>
      <c r="D32" s="145" t="n">
        <f aca="false">C32-C31</f>
        <v>0</v>
      </c>
      <c r="E32" s="103" t="n">
        <f aca="false">C32-152000</f>
        <v>89536</v>
      </c>
      <c r="F32" s="146" t="n">
        <f aca="false">D32/$D$2</f>
        <v>0</v>
      </c>
      <c r="G32" s="147" t="n">
        <v>77.3</v>
      </c>
      <c r="H32" s="148" t="n">
        <v>0</v>
      </c>
      <c r="I32" s="11" t="n">
        <f aca="false">G32+H32</f>
        <v>77.3</v>
      </c>
      <c r="J32" s="4" t="n">
        <f aca="false">IF(L32&gt;0,L32,0)</f>
        <v>0.0100000000000051</v>
      </c>
      <c r="K32" s="11" t="n">
        <f aca="false">I32+J32</f>
        <v>77.31</v>
      </c>
      <c r="L32" s="11" t="n">
        <f aca="false">F32-(I32-AK32)</f>
        <v>0.0100000000000051</v>
      </c>
      <c r="M32" s="149" t="n">
        <v>4.01</v>
      </c>
      <c r="N32" s="150" t="n">
        <v>0</v>
      </c>
      <c r="O32" s="150" t="n">
        <f aca="false">0*1.05</f>
        <v>0</v>
      </c>
      <c r="P32" s="108" t="n">
        <v>0</v>
      </c>
      <c r="Q32" s="151" t="n">
        <f aca="false">1088400/325851/1.9835*1.02</f>
        <v>1.71766094836569</v>
      </c>
      <c r="R32" s="151" t="n">
        <f aca="false">IF(((2.2*1.04)-T32)&gt;=4.2,4.2,(2.2*1.04)-T32)</f>
        <v>1.78232912</v>
      </c>
      <c r="S32" s="151" t="n">
        <f aca="false">IF(((2.2*1.04)-T32)&gt;=4.2,((2.2*1.04)-T32)-4.2,0)</f>
        <v>0</v>
      </c>
      <c r="T32" s="153" t="n">
        <f aca="false">(0.4587*1.06)*1.04</f>
        <v>0.50567088</v>
      </c>
      <c r="U32" s="111" t="n">
        <f aca="false">M32-(Q32+R32+S32+T32)</f>
        <v>0.00433905163430826</v>
      </c>
      <c r="V32" s="154" t="n">
        <v>43.2</v>
      </c>
      <c r="W32" s="154" t="n">
        <v>0</v>
      </c>
      <c r="X32" s="155" t="n">
        <f aca="false">M32-N32-O32-P32-Q32-R32-S32-T32-U32+V32+W32-AU32+AR32</f>
        <v>43.2</v>
      </c>
      <c r="Y32" s="156" t="n">
        <f aca="false">X32-AO32</f>
        <v>43.2</v>
      </c>
      <c r="Z32" s="93"/>
      <c r="AA32" s="156"/>
      <c r="AB32" s="93"/>
      <c r="AC32" s="154"/>
      <c r="AD32" s="93"/>
      <c r="AE32" s="154" t="n">
        <v>0</v>
      </c>
      <c r="AF32" s="157"/>
      <c r="AG32" s="158"/>
      <c r="AH32" s="154" t="n">
        <v>30.1</v>
      </c>
      <c r="AI32" s="93" t="n">
        <f aca="false">AI31-AH32</f>
        <v>4675.15787748928</v>
      </c>
      <c r="AJ32" s="93"/>
      <c r="AK32" s="154" t="n">
        <f aca="false">N32+O32+P32+Q32+R32+S32+T32+U32+X32+AE32+AH32</f>
        <v>77.31</v>
      </c>
      <c r="AL32" s="154" t="n">
        <f aca="false">IF(L32&lt;0,L32*-1,0)</f>
        <v>0</v>
      </c>
      <c r="AM32" s="154" t="n">
        <f aca="false">AK32+AL32</f>
        <v>77.31</v>
      </c>
      <c r="AN32" s="159" t="n">
        <f aca="false">V32</f>
        <v>43.2</v>
      </c>
      <c r="AO32" s="112"/>
      <c r="AP32" s="116"/>
      <c r="AQ32" s="116"/>
      <c r="AR32" s="116"/>
      <c r="AS32" s="116"/>
      <c r="AU32" s="5"/>
      <c r="AV32" s="117" t="n">
        <v>0</v>
      </c>
      <c r="AW32" s="118" t="n">
        <v>48</v>
      </c>
      <c r="AX32" s="118" t="n">
        <v>19</v>
      </c>
      <c r="AY32" s="118"/>
      <c r="AZ32" s="119" t="n">
        <f aca="false">SUM(N32,P32:U32)</f>
        <v>4.01</v>
      </c>
      <c r="BA32" s="0" t="n">
        <v>0.164</v>
      </c>
      <c r="BB32" s="161" t="n">
        <v>18715</v>
      </c>
    </row>
    <row r="33" customFormat="false" ht="12.95" hidden="false" customHeight="true" outlineLevel="0" collapsed="false">
      <c r="A33" s="10" t="n">
        <f aca="false">A32+1</f>
        <v>19</v>
      </c>
      <c r="B33" s="144" t="n">
        <v>6888.02</v>
      </c>
      <c r="C33" s="103" t="n">
        <v>241536</v>
      </c>
      <c r="D33" s="145" t="n">
        <f aca="false">C33-C32</f>
        <v>0</v>
      </c>
      <c r="E33" s="103" t="n">
        <f aca="false">C33-152000</f>
        <v>89536</v>
      </c>
      <c r="F33" s="146" t="n">
        <f aca="false">D33/$D$2</f>
        <v>0</v>
      </c>
      <c r="G33" s="147" t="n">
        <v>33.68</v>
      </c>
      <c r="H33" s="148" t="n">
        <v>0</v>
      </c>
      <c r="I33" s="11" t="n">
        <f aca="false">G33+H33</f>
        <v>33.68</v>
      </c>
      <c r="J33" s="4" t="n">
        <f aca="false">IF(L33&gt;0,L33,0)</f>
        <v>0</v>
      </c>
      <c r="K33" s="11" t="n">
        <f aca="false">I33+J33</f>
        <v>33.68</v>
      </c>
      <c r="L33" s="11" t="n">
        <f aca="false">F33-(I33-AK33)</f>
        <v>0</v>
      </c>
      <c r="M33" s="149" t="n">
        <v>3.58</v>
      </c>
      <c r="N33" s="150" t="n">
        <v>0</v>
      </c>
      <c r="O33" s="150" t="n">
        <f aca="false">0*1.05</f>
        <v>0</v>
      </c>
      <c r="P33" s="108" t="n">
        <v>0</v>
      </c>
      <c r="Q33" s="151" t="n">
        <f aca="false">989300/325851/1.9835*1.02</f>
        <v>1.5612660567973</v>
      </c>
      <c r="R33" s="151" t="n">
        <f aca="false">IF(((1.9*1.04)-T33)&gt;=4.2,4.2,(1.9*1.04)-T33)</f>
        <v>1.47032912</v>
      </c>
      <c r="S33" s="151" t="n">
        <f aca="false">IF(((1.9*1.04)-T33)&gt;=4.2,((1.9*1.04)-T33)-4.2,0)</f>
        <v>0</v>
      </c>
      <c r="T33" s="153" t="n">
        <f aca="false">(0.4587*1.06)*1.04</f>
        <v>0.50567088</v>
      </c>
      <c r="U33" s="111" t="n">
        <f aca="false">M33-(Q33+R33+S33+T33)</f>
        <v>0.0427339432027027</v>
      </c>
      <c r="V33" s="154" t="n">
        <v>0</v>
      </c>
      <c r="W33" s="154" t="n">
        <v>0</v>
      </c>
      <c r="X33" s="155" t="n">
        <f aca="false">M33-N33-O33-P33-Q33-R33-S33-T33-U33+V33+W33-AU33+AR33</f>
        <v>4.44089209850063E-016</v>
      </c>
      <c r="Y33" s="156" t="n">
        <f aca="false">X33-AO33</f>
        <v>4.44089209850063E-016</v>
      </c>
      <c r="Z33" s="93"/>
      <c r="AA33" s="156"/>
      <c r="AB33" s="93"/>
      <c r="AC33" s="154"/>
      <c r="AD33" s="93"/>
      <c r="AE33" s="154" t="n">
        <v>0</v>
      </c>
      <c r="AF33" s="157"/>
      <c r="AG33" s="158"/>
      <c r="AH33" s="154" t="n">
        <v>30.1</v>
      </c>
      <c r="AI33" s="93" t="n">
        <f aca="false">AI32-AH33</f>
        <v>4645.05787748928</v>
      </c>
      <c r="AJ33" s="93"/>
      <c r="AK33" s="154" t="n">
        <f aca="false">N33+O33+P33+Q33+R33+S33+T33+U33+X33+AE33+AH33</f>
        <v>33.68</v>
      </c>
      <c r="AL33" s="154" t="n">
        <f aca="false">IF(L33&lt;0,L33*-1,0)</f>
        <v>0</v>
      </c>
      <c r="AM33" s="154" t="n">
        <f aca="false">AK33+AL33</f>
        <v>33.68</v>
      </c>
      <c r="AN33" s="159" t="n">
        <f aca="false">V33</f>
        <v>0</v>
      </c>
      <c r="AO33" s="112"/>
      <c r="AP33" s="116"/>
      <c r="AQ33" s="116"/>
      <c r="AR33" s="116"/>
      <c r="AS33" s="116"/>
      <c r="AU33" s="5"/>
      <c r="AV33" s="117" t="n">
        <v>0</v>
      </c>
      <c r="AW33" s="118" t="n">
        <v>55</v>
      </c>
      <c r="AX33" s="118" t="n">
        <v>27</v>
      </c>
      <c r="AY33" s="118"/>
      <c r="AZ33" s="119" t="n">
        <f aca="false">SUM(N33,P33:U33)</f>
        <v>3.58</v>
      </c>
      <c r="BA33" s="0" t="n">
        <v>0.162</v>
      </c>
      <c r="BB33" s="161" t="n">
        <v>18725</v>
      </c>
    </row>
    <row r="34" customFormat="false" ht="12.95" hidden="false" customHeight="true" outlineLevel="0" collapsed="false">
      <c r="A34" s="10" t="n">
        <f aca="false">A33+1</f>
        <v>20</v>
      </c>
      <c r="B34" s="144" t="n">
        <v>6888.07</v>
      </c>
      <c r="C34" s="103" t="n">
        <v>241702</v>
      </c>
      <c r="D34" s="145" t="n">
        <f aca="false">C34-C33</f>
        <v>166</v>
      </c>
      <c r="E34" s="103" t="n">
        <f aca="false">C34-152000</f>
        <v>89702</v>
      </c>
      <c r="F34" s="146" t="n">
        <f aca="false">D34/$D$2</f>
        <v>83.6904461809932</v>
      </c>
      <c r="G34" s="147" t="n">
        <v>116.340446180993</v>
      </c>
      <c r="H34" s="148" t="n">
        <v>0</v>
      </c>
      <c r="I34" s="11" t="n">
        <f aca="false">G34+H34</f>
        <v>116.340446180993</v>
      </c>
      <c r="J34" s="4" t="n">
        <f aca="false">IF(L34&gt;0,L34,0)</f>
        <v>0</v>
      </c>
      <c r="K34" s="11" t="n">
        <f aca="false">I34+J34</f>
        <v>116.340446180993</v>
      </c>
      <c r="L34" s="11" t="n">
        <f aca="false">F34-(I34-AK34)</f>
        <v>0</v>
      </c>
      <c r="M34" s="149" t="n">
        <v>2.55</v>
      </c>
      <c r="N34" s="150" t="n">
        <v>0</v>
      </c>
      <c r="O34" s="150" t="n">
        <f aca="false">0*1.05</f>
        <v>0</v>
      </c>
      <c r="P34" s="108" t="n">
        <v>0</v>
      </c>
      <c r="Q34" s="151" t="n">
        <f aca="false">856700/325851/1.9835*1.02</f>
        <v>1.35200306363918</v>
      </c>
      <c r="R34" s="151" t="n">
        <f aca="false">IF(((2*1.04)-T34)&gt;=4.2,4.2,(2*1.04)-T34)</f>
        <v>1.58546336</v>
      </c>
      <c r="S34" s="151" t="n">
        <f aca="false">IF(((2*1.04)-T34)&gt;=4.2,((2*1.04)-T34)-4.2,0)</f>
        <v>0</v>
      </c>
      <c r="T34" s="153" t="n">
        <f aca="false">(0.4486*1.06)*1.04</f>
        <v>0.49453664</v>
      </c>
      <c r="U34" s="111" t="n">
        <f aca="false">M34-(Q34+R34+S34+T34)</f>
        <v>-0.882003063639183</v>
      </c>
      <c r="V34" s="154" t="n">
        <v>0</v>
      </c>
      <c r="W34" s="154" t="n">
        <v>0</v>
      </c>
      <c r="X34" s="155" t="n">
        <f aca="false">M34-N34-O34-P34-Q34-R34-S34-T34-U34+V34+W34-AU34+AR34</f>
        <v>0</v>
      </c>
      <c r="Y34" s="156" t="n">
        <f aca="false">X34-AO34</f>
        <v>0</v>
      </c>
      <c r="Z34" s="93"/>
      <c r="AA34" s="156"/>
      <c r="AB34" s="93"/>
      <c r="AC34" s="154"/>
      <c r="AD34" s="93"/>
      <c r="AE34" s="154" t="n">
        <v>0</v>
      </c>
      <c r="AF34" s="157"/>
      <c r="AG34" s="158"/>
      <c r="AH34" s="154" t="n">
        <v>30.1</v>
      </c>
      <c r="AI34" s="93" t="n">
        <f aca="false">AI33-AH34</f>
        <v>4614.95787748928</v>
      </c>
      <c r="AJ34" s="93"/>
      <c r="AK34" s="154" t="n">
        <f aca="false">N34+O34+P34+Q34+R34+S34+T34+U34+X34+AE34+AH34</f>
        <v>32.65</v>
      </c>
      <c r="AL34" s="154" t="n">
        <f aca="false">IF(L34&lt;0,L34*-1,0)</f>
        <v>0</v>
      </c>
      <c r="AM34" s="154" t="n">
        <f aca="false">AK34+AL34</f>
        <v>32.65</v>
      </c>
      <c r="AN34" s="159" t="n">
        <f aca="false">V34</f>
        <v>0</v>
      </c>
      <c r="AO34" s="112"/>
      <c r="AP34" s="116"/>
      <c r="AQ34" s="116"/>
      <c r="AR34" s="116"/>
      <c r="AS34" s="116"/>
      <c r="AU34" s="5"/>
      <c r="AV34" s="117" t="n">
        <v>0</v>
      </c>
      <c r="AW34" s="118" t="n">
        <v>55</v>
      </c>
      <c r="AX34" s="118" t="n">
        <v>27</v>
      </c>
      <c r="AY34" s="118"/>
      <c r="AZ34" s="119" t="n">
        <f aca="false">SUM(N34,P34:U34)</f>
        <v>2.55</v>
      </c>
      <c r="BA34" s="0" t="n">
        <v>0.165</v>
      </c>
      <c r="BB34" s="161" t="n">
        <v>18718</v>
      </c>
    </row>
    <row r="35" customFormat="false" ht="12.95" hidden="false" customHeight="true" outlineLevel="0" collapsed="false">
      <c r="A35" s="10" t="n">
        <f aca="false">A34+1</f>
        <v>21</v>
      </c>
      <c r="B35" s="144" t="n">
        <v>6888.11</v>
      </c>
      <c r="C35" s="103" t="n">
        <v>241836</v>
      </c>
      <c r="D35" s="145" t="n">
        <f aca="false">C35-C34</f>
        <v>134</v>
      </c>
      <c r="E35" s="103" t="n">
        <f aca="false">C35-152000</f>
        <v>89836</v>
      </c>
      <c r="F35" s="146" t="n">
        <f aca="false">D35/$D$2</f>
        <v>67.5573481220066</v>
      </c>
      <c r="G35" s="147" t="n">
        <v>101.087348122007</v>
      </c>
      <c r="H35" s="148" t="n">
        <v>0</v>
      </c>
      <c r="I35" s="11" t="n">
        <f aca="false">G35+H35</f>
        <v>101.087348122007</v>
      </c>
      <c r="J35" s="4" t="n">
        <f aca="false">IF(L35&gt;0,L35,0)</f>
        <v>0</v>
      </c>
      <c r="K35" s="11" t="n">
        <f aca="false">I35+J35</f>
        <v>101.087348122007</v>
      </c>
      <c r="L35" s="11" t="n">
        <f aca="false">F35-(I35-AK35)</f>
        <v>0</v>
      </c>
      <c r="M35" s="149" t="n">
        <v>3.43</v>
      </c>
      <c r="N35" s="150" t="n">
        <v>0</v>
      </c>
      <c r="O35" s="150" t="n">
        <f aca="false">0*1.05</f>
        <v>0</v>
      </c>
      <c r="P35" s="108" t="n">
        <v>0</v>
      </c>
      <c r="Q35" s="151" t="n">
        <f aca="false">1018090/325851/1.9835*1.02</f>
        <v>1.60670106111873</v>
      </c>
      <c r="R35" s="151" t="n">
        <f aca="false">IF(((2*1.04)-T35)&gt;=4.2,4.2,(2*1.04)-T35)</f>
        <v>1.58546336</v>
      </c>
      <c r="S35" s="151" t="n">
        <f aca="false">IF(((2*1.04)-T35)&gt;=4.2,((2*1.04)-T35)-4.2,0)</f>
        <v>0</v>
      </c>
      <c r="T35" s="153" t="n">
        <f aca="false">(0.4486*1.06)*1.04</f>
        <v>0.49453664</v>
      </c>
      <c r="U35" s="111" t="n">
        <f aca="false">M35-(Q35+R35+S35+T35)</f>
        <v>-0.256701061118731</v>
      </c>
      <c r="V35" s="154" t="n">
        <v>0</v>
      </c>
      <c r="W35" s="154" t="n">
        <v>0</v>
      </c>
      <c r="X35" s="155" t="n">
        <f aca="false">M35-N35-O35-P35-Q35-R35-S35-T35-U35+V35+W35-AU35+AR35</f>
        <v>0</v>
      </c>
      <c r="Y35" s="156" t="n">
        <f aca="false">X35-AO35</f>
        <v>0</v>
      </c>
      <c r="Z35" s="93"/>
      <c r="AA35" s="156"/>
      <c r="AB35" s="93"/>
      <c r="AC35" s="154"/>
      <c r="AD35" s="93"/>
      <c r="AE35" s="154" t="n">
        <v>0</v>
      </c>
      <c r="AF35" s="157"/>
      <c r="AG35" s="158"/>
      <c r="AH35" s="154" t="n">
        <v>30.1</v>
      </c>
      <c r="AI35" s="93" t="n">
        <f aca="false">AI34-AH35</f>
        <v>4584.85787748928</v>
      </c>
      <c r="AJ35" s="93"/>
      <c r="AK35" s="154" t="n">
        <f aca="false">N35+O35+P35+Q35+R35+S35+T35+U35+X35+AE35+AH35</f>
        <v>33.53</v>
      </c>
      <c r="AL35" s="154" t="n">
        <f aca="false">IF(L35&lt;0,L35*-1,0)</f>
        <v>0</v>
      </c>
      <c r="AM35" s="154" t="n">
        <f aca="false">AK35+AL35</f>
        <v>33.53</v>
      </c>
      <c r="AN35" s="159" t="n">
        <f aca="false">V35</f>
        <v>0</v>
      </c>
      <c r="AO35" s="112"/>
      <c r="AP35" s="116"/>
      <c r="AQ35" s="116"/>
      <c r="AR35" s="116"/>
      <c r="AS35" s="116"/>
      <c r="AU35" s="5"/>
      <c r="AV35" s="117" t="n">
        <v>0</v>
      </c>
      <c r="AW35" s="118" t="n">
        <v>52</v>
      </c>
      <c r="AX35" s="118" t="n">
        <v>21</v>
      </c>
      <c r="AY35" s="118"/>
      <c r="AZ35" s="119" t="n">
        <f aca="false">SUM(N35,P35:U35)</f>
        <v>3.43</v>
      </c>
      <c r="BA35" s="0" t="n">
        <v>0.162</v>
      </c>
      <c r="BB35" s="161" t="n">
        <v>18697</v>
      </c>
    </row>
    <row r="36" customFormat="false" ht="12.95" hidden="false" customHeight="true" outlineLevel="0" collapsed="false">
      <c r="A36" s="10" t="n">
        <f aca="false">A35+1</f>
        <v>22</v>
      </c>
      <c r="B36" s="144" t="n">
        <v>6888.09</v>
      </c>
      <c r="C36" s="103" t="n">
        <v>241769</v>
      </c>
      <c r="D36" s="145" t="n">
        <f aca="false">C36-C35</f>
        <v>-67</v>
      </c>
      <c r="E36" s="103" t="n">
        <f aca="false">C36-152000</f>
        <v>89769</v>
      </c>
      <c r="F36" s="146" t="n">
        <f aca="false">D36/$D$2</f>
        <v>-33.7786740610033</v>
      </c>
      <c r="G36" s="147" t="n">
        <v>0</v>
      </c>
      <c r="H36" s="148" t="n">
        <v>0</v>
      </c>
      <c r="I36" s="11" t="n">
        <f aca="false">G36+H36</f>
        <v>0</v>
      </c>
      <c r="J36" s="4" t="n">
        <f aca="false">IF(L36&gt;0,L36,0)</f>
        <v>0</v>
      </c>
      <c r="K36" s="11" t="n">
        <f aca="false">I36+J36</f>
        <v>0</v>
      </c>
      <c r="L36" s="11" t="n">
        <f aca="false">F36-(I36-AK36)</f>
        <v>-0.428674061003278</v>
      </c>
      <c r="M36" s="149" t="n">
        <v>3.25</v>
      </c>
      <c r="N36" s="150" t="n">
        <v>0</v>
      </c>
      <c r="O36" s="150" t="n">
        <f aca="false">0*1.05</f>
        <v>0</v>
      </c>
      <c r="P36" s="108" t="n">
        <v>0</v>
      </c>
      <c r="Q36" s="151" t="n">
        <f aca="false">1036310/325851/1.9835*1.02</f>
        <v>1.63545499577439</v>
      </c>
      <c r="R36" s="151" t="n">
        <f aca="false">IF(((1.9*1.04)-T36)&gt;=4.2,4.2,(1.9*1.04)-T36)</f>
        <v>1.48146336</v>
      </c>
      <c r="S36" s="151" t="n">
        <f aca="false">IF(((1.9*1.04)-T36)&gt;=4.2,((1.9*1.04)-T36)-4.2,0)</f>
        <v>0</v>
      </c>
      <c r="T36" s="153" t="n">
        <f aca="false">(0.4486*1.06)*1.04</f>
        <v>0.49453664</v>
      </c>
      <c r="U36" s="111" t="n">
        <f aca="false">M36-(Q36+R36+S36+T36)</f>
        <v>-0.361454995774393</v>
      </c>
      <c r="V36" s="154" t="n">
        <v>0</v>
      </c>
      <c r="W36" s="154" t="n">
        <v>0</v>
      </c>
      <c r="X36" s="155" t="n">
        <f aca="false">M36-N36-O36-P36-Q36-R36-S36-T36-U36+V36+W36-AU36+AR36</f>
        <v>0</v>
      </c>
      <c r="Y36" s="156" t="n">
        <f aca="false">X36-AO36</f>
        <v>0</v>
      </c>
      <c r="Z36" s="93"/>
      <c r="AA36" s="156"/>
      <c r="AB36" s="93"/>
      <c r="AC36" s="163" t="n">
        <v>0</v>
      </c>
      <c r="AD36" s="93"/>
      <c r="AE36" s="154" t="n">
        <v>0</v>
      </c>
      <c r="AF36" s="157"/>
      <c r="AG36" s="158"/>
      <c r="AH36" s="154" t="n">
        <v>30.1</v>
      </c>
      <c r="AI36" s="93" t="n">
        <f aca="false">AI35-AH36</f>
        <v>4554.75787748928</v>
      </c>
      <c r="AJ36" s="93"/>
      <c r="AK36" s="154" t="n">
        <f aca="false">N36+O36+P36+Q36+R36+S36+T36+U36+X36+AE36+AH36</f>
        <v>33.35</v>
      </c>
      <c r="AL36" s="154" t="n">
        <f aca="false">IF(L36&lt;0,L36*-1,0)</f>
        <v>0.428674061003278</v>
      </c>
      <c r="AM36" s="154" t="n">
        <f aca="false">AK36+AL36</f>
        <v>33.7786740610033</v>
      </c>
      <c r="AN36" s="159" t="n">
        <f aca="false">V36</f>
        <v>0</v>
      </c>
      <c r="AO36" s="112"/>
      <c r="AP36" s="116"/>
      <c r="AQ36" s="116"/>
      <c r="AR36" s="116"/>
      <c r="AS36" s="116"/>
      <c r="AU36" s="5"/>
      <c r="AV36" s="117" t="n">
        <v>0</v>
      </c>
      <c r="AW36" s="118" t="n">
        <v>52</v>
      </c>
      <c r="AX36" s="118" t="n">
        <v>21</v>
      </c>
      <c r="AY36" s="118"/>
      <c r="AZ36" s="119" t="n">
        <f aca="false">SUM(N36,P36:U36)</f>
        <v>3.25</v>
      </c>
      <c r="BA36" s="0" t="n">
        <v>0.162</v>
      </c>
      <c r="BB36" s="161" t="n">
        <v>18694</v>
      </c>
    </row>
    <row r="37" customFormat="false" ht="12.95" hidden="false" customHeight="true" outlineLevel="0" collapsed="false">
      <c r="A37" s="10" t="n">
        <f aca="false">A36+1</f>
        <v>23</v>
      </c>
      <c r="B37" s="144" t="n">
        <v>6888.11</v>
      </c>
      <c r="C37" s="103" t="n">
        <v>241836</v>
      </c>
      <c r="D37" s="145" t="n">
        <f aca="false">C37-C36</f>
        <v>67</v>
      </c>
      <c r="E37" s="103" t="n">
        <f aca="false">C37-152000</f>
        <v>89836</v>
      </c>
      <c r="F37" s="146" t="n">
        <f aca="false">D37/$D$2</f>
        <v>33.7786740610033</v>
      </c>
      <c r="G37" s="147" t="n">
        <v>67.1</v>
      </c>
      <c r="H37" s="148" t="n">
        <v>0</v>
      </c>
      <c r="I37" s="11" t="n">
        <f aca="false">G37+H37</f>
        <v>67.1</v>
      </c>
      <c r="J37" s="4" t="n">
        <f aca="false">IF(L37&gt;0,L37,0)</f>
        <v>0</v>
      </c>
      <c r="K37" s="11" t="n">
        <f aca="false">I37+J37</f>
        <v>67.1</v>
      </c>
      <c r="L37" s="11" t="n">
        <f aca="false">F37-(I37-AK37)</f>
        <v>-0.00132593899671463</v>
      </c>
      <c r="M37" s="149" t="n">
        <v>3.22</v>
      </c>
      <c r="N37" s="150" t="n">
        <v>0</v>
      </c>
      <c r="O37" s="150" t="n">
        <f aca="false">0*1.05</f>
        <v>0</v>
      </c>
      <c r="P37" s="108" t="n">
        <v>0</v>
      </c>
      <c r="Q37" s="151" t="n">
        <f aca="false">957800/325851/1.9835*1.02</f>
        <v>1.5115542597801</v>
      </c>
      <c r="R37" s="151" t="n">
        <f aca="false">IF(((1.9*1.04)-T37)&gt;=4.2,4.2,(1.9*1.04)-T37)</f>
        <v>1.48146336</v>
      </c>
      <c r="S37" s="151" t="n">
        <f aca="false">IF(((1.9*1.04)-T37)&gt;=4.2,((1.9*1.04)-T37)-4.2,0)</f>
        <v>0</v>
      </c>
      <c r="T37" s="153" t="n">
        <f aca="false">(0.4486*1.06)*1.04</f>
        <v>0.49453664</v>
      </c>
      <c r="U37" s="111" t="n">
        <f aca="false">M37-(Q37+R37+S37+T37)</f>
        <v>-0.267554259780097</v>
      </c>
      <c r="V37" s="154" t="n">
        <v>0</v>
      </c>
      <c r="W37" s="154" t="n">
        <v>0</v>
      </c>
      <c r="X37" s="155" t="n">
        <f aca="false">M37-N37-O37-P37-Q37-R37-S37-T37-U37+V37+W37-AU37+AR37</f>
        <v>0</v>
      </c>
      <c r="Y37" s="156" t="n">
        <f aca="false">X37-AO37</f>
        <v>0</v>
      </c>
      <c r="Z37" s="93"/>
      <c r="AA37" s="156"/>
      <c r="AB37" s="93"/>
      <c r="AC37" s="154" t="n">
        <v>61.1069823802199</v>
      </c>
      <c r="AD37" s="93"/>
      <c r="AE37" s="154" t="n">
        <v>0</v>
      </c>
      <c r="AF37" s="157"/>
      <c r="AG37" s="158"/>
      <c r="AH37" s="154" t="n">
        <v>30.1</v>
      </c>
      <c r="AI37" s="93" t="n">
        <f aca="false">AI36-AH37</f>
        <v>4524.65787748928</v>
      </c>
      <c r="AJ37" s="93"/>
      <c r="AK37" s="154" t="n">
        <f aca="false">N37+O37+P37+Q37+R37+S37+T37+U37+X37+AE37+AH37</f>
        <v>33.32</v>
      </c>
      <c r="AL37" s="154" t="n">
        <f aca="false">IF(L37&lt;0,L37*-1,0)</f>
        <v>0.00132593899671463</v>
      </c>
      <c r="AM37" s="154" t="n">
        <f aca="false">AK37+AL37</f>
        <v>33.3213259389967</v>
      </c>
      <c r="AN37" s="159" t="n">
        <f aca="false">V37</f>
        <v>0</v>
      </c>
      <c r="AO37" s="112"/>
      <c r="AP37" s="116"/>
      <c r="AQ37" s="116"/>
      <c r="AR37" s="116"/>
      <c r="AS37" s="116"/>
      <c r="AU37" s="5"/>
      <c r="AV37" s="117" t="n">
        <v>0</v>
      </c>
      <c r="AW37" s="118" t="n">
        <v>58</v>
      </c>
      <c r="AX37" s="162" t="n">
        <v>21</v>
      </c>
      <c r="AY37" s="162"/>
      <c r="AZ37" s="119" t="n">
        <f aca="false">SUM(N37,P37:U37)</f>
        <v>3.22</v>
      </c>
      <c r="BA37" s="0" t="n">
        <v>0.162</v>
      </c>
      <c r="BB37" s="161" t="n">
        <v>18711</v>
      </c>
    </row>
    <row r="38" customFormat="false" ht="12.95" hidden="false" customHeight="true" outlineLevel="0" collapsed="false">
      <c r="A38" s="10" t="n">
        <f aca="false">A37+1</f>
        <v>24</v>
      </c>
      <c r="B38" s="144" t="n">
        <v>6888.13</v>
      </c>
      <c r="C38" s="103" t="n">
        <v>241902</v>
      </c>
      <c r="D38" s="145" t="n">
        <f aca="false">C38-C37</f>
        <v>66</v>
      </c>
      <c r="E38" s="103" t="n">
        <f aca="false">C38-152000</f>
        <v>89902</v>
      </c>
      <c r="F38" s="146" t="n">
        <f aca="false">D38/$D$2</f>
        <v>33.2745147466599</v>
      </c>
      <c r="G38" s="147" t="n">
        <v>66.83451474666</v>
      </c>
      <c r="H38" s="147" t="n">
        <v>0</v>
      </c>
      <c r="I38" s="11" t="n">
        <f aca="false">G38+H38</f>
        <v>66.83451474666</v>
      </c>
      <c r="J38" s="4" t="n">
        <f aca="false">IF(L38&gt;0,L38,0)</f>
        <v>0</v>
      </c>
      <c r="K38" s="11" t="n">
        <f aca="false">I38+J38</f>
        <v>66.83451474666</v>
      </c>
      <c r="L38" s="11" t="n">
        <f aca="false">F38-(I38-AK38)</f>
        <v>0</v>
      </c>
      <c r="M38" s="149" t="n">
        <v>3.46</v>
      </c>
      <c r="N38" s="150" t="n">
        <v>0</v>
      </c>
      <c r="O38" s="150" t="n">
        <f aca="false">0*1.05</f>
        <v>0</v>
      </c>
      <c r="P38" s="108" t="n">
        <v>0</v>
      </c>
      <c r="Q38" s="151" t="n">
        <f aca="false">1001100/325851/1.9835*1.02</f>
        <v>1.57988825377517</v>
      </c>
      <c r="R38" s="151" t="n">
        <f aca="false">IF(((1.9*1.04)-T38)&gt;=4.2,4.2,(1.9*1.04)-T38)</f>
        <v>1.48146336</v>
      </c>
      <c r="S38" s="151" t="n">
        <f aca="false">IF(((1.9*1.04)-T38)&gt;=4.2,((1.9*1.04)-T38)-4.2,0)</f>
        <v>0</v>
      </c>
      <c r="T38" s="153" t="n">
        <f aca="false">(0.4486*1.06)*1.04</f>
        <v>0.49453664</v>
      </c>
      <c r="U38" s="111" t="n">
        <f aca="false">M38-(Q38+R38+S38+T38)</f>
        <v>-0.0958882537751684</v>
      </c>
      <c r="V38" s="154" t="n">
        <v>0</v>
      </c>
      <c r="W38" s="154" t="n">
        <v>0</v>
      </c>
      <c r="X38" s="155" t="n">
        <f aca="false">M38-N38-O38-P38-Q38-R38-S38-T38-U38+V38+W38-AU38+AR38</f>
        <v>0</v>
      </c>
      <c r="Y38" s="156" t="n">
        <f aca="false">X38-AO38</f>
        <v>0</v>
      </c>
      <c r="Z38" s="93"/>
      <c r="AA38" s="156"/>
      <c r="AB38" s="93"/>
      <c r="AC38" s="154" t="n">
        <v>0</v>
      </c>
      <c r="AD38" s="93"/>
      <c r="AE38" s="154" t="n">
        <v>0</v>
      </c>
      <c r="AF38" s="157"/>
      <c r="AG38" s="158"/>
      <c r="AH38" s="154" t="n">
        <v>30.1</v>
      </c>
      <c r="AI38" s="93" t="n">
        <f aca="false">AI37-AH38</f>
        <v>4494.55787748928</v>
      </c>
      <c r="AJ38" s="93"/>
      <c r="AK38" s="154" t="n">
        <f aca="false">N38+O38+P38+Q38+R38+S38+T38+U38+X38+AE38+AH38</f>
        <v>33.56</v>
      </c>
      <c r="AL38" s="154" t="n">
        <f aca="false">IF(L38&lt;0,L38*-1,0)</f>
        <v>0</v>
      </c>
      <c r="AM38" s="154" t="n">
        <f aca="false">AK38+AL38</f>
        <v>33.56</v>
      </c>
      <c r="AN38" s="159" t="n">
        <f aca="false">V38</f>
        <v>0</v>
      </c>
      <c r="AO38" s="112"/>
      <c r="AP38" s="116"/>
      <c r="AQ38" s="116"/>
      <c r="AR38" s="116"/>
      <c r="AS38" s="116"/>
      <c r="AU38" s="5"/>
      <c r="AV38" s="117" t="n">
        <v>0</v>
      </c>
      <c r="AW38" s="118" t="n">
        <v>56</v>
      </c>
      <c r="AX38" s="162" t="n">
        <v>29</v>
      </c>
      <c r="AY38" s="162"/>
      <c r="AZ38" s="119" t="n">
        <f aca="false">SUM(N38,P38:U38)</f>
        <v>3.46</v>
      </c>
      <c r="BA38" s="0" t="n">
        <v>0.162</v>
      </c>
      <c r="BB38" s="161" t="n">
        <v>18718</v>
      </c>
    </row>
    <row r="39" customFormat="false" ht="12.95" hidden="false" customHeight="true" outlineLevel="0" collapsed="false">
      <c r="A39" s="10" t="n">
        <f aca="false">A38+1</f>
        <v>25</v>
      </c>
      <c r="B39" s="144" t="n">
        <v>6888.16</v>
      </c>
      <c r="C39" s="103" t="n">
        <v>242002</v>
      </c>
      <c r="D39" s="145" t="n">
        <f aca="false">C39-C38</f>
        <v>100</v>
      </c>
      <c r="E39" s="103" t="n">
        <f aca="false">C39-152000</f>
        <v>90002</v>
      </c>
      <c r="F39" s="146" t="n">
        <f aca="false">D39/$D$2</f>
        <v>50.4159314343332</v>
      </c>
      <c r="G39" s="147" t="n">
        <v>83.3059314343332</v>
      </c>
      <c r="H39" s="148" t="n">
        <v>0</v>
      </c>
      <c r="I39" s="11" t="n">
        <f aca="false">G39+H39</f>
        <v>83.3059314343332</v>
      </c>
      <c r="J39" s="4" t="n">
        <f aca="false">IF(L39&gt;0,L39,0)</f>
        <v>0</v>
      </c>
      <c r="K39" s="11" t="n">
        <f aca="false">I39+J39</f>
        <v>83.3059314343332</v>
      </c>
      <c r="L39" s="11" t="n">
        <f aca="false">F39-(I39-AK39)</f>
        <v>0</v>
      </c>
      <c r="M39" s="149" t="n">
        <v>2.79</v>
      </c>
      <c r="N39" s="150" t="n">
        <v>0</v>
      </c>
      <c r="O39" s="150" t="n">
        <f aca="false">0*1.05</f>
        <v>0</v>
      </c>
      <c r="P39" s="108" t="n">
        <v>0</v>
      </c>
      <c r="Q39" s="151" t="n">
        <f aca="false">988600/325851/1.9835*1.02</f>
        <v>1.56016135019691</v>
      </c>
      <c r="R39" s="151" t="n">
        <f aca="false">IF(((1.9*1.04)-T39)&gt;=4.2,4.2,(1.9*1.04)-T39)</f>
        <v>1.48146336</v>
      </c>
      <c r="S39" s="151" t="n">
        <f aca="false">IF(((1.9*1.04)-T39)&gt;=4.2,((1.9*1.04)-T39)-4.2,0)</f>
        <v>0</v>
      </c>
      <c r="T39" s="153" t="n">
        <f aca="false">(0.4486*1.06)*1.04</f>
        <v>0.49453664</v>
      </c>
      <c r="U39" s="111" t="n">
        <f aca="false">M39-(Q39+R39+S39+T39)</f>
        <v>-0.746161350196914</v>
      </c>
      <c r="V39" s="154" t="n">
        <v>0</v>
      </c>
      <c r="W39" s="154" t="n">
        <v>0</v>
      </c>
      <c r="X39" s="155" t="n">
        <f aca="false">M39-N39-O39-P39-Q39-R39-S39-T39-U39+V39+W39-AU39+AR39</f>
        <v>0</v>
      </c>
      <c r="Y39" s="156" t="n">
        <f aca="false">X39-AO39</f>
        <v>0</v>
      </c>
      <c r="Z39" s="93"/>
      <c r="AA39" s="156"/>
      <c r="AB39" s="93"/>
      <c r="AC39" s="154" t="n">
        <v>77.2643067241363</v>
      </c>
      <c r="AD39" s="93"/>
      <c r="AE39" s="154" t="n">
        <v>0</v>
      </c>
      <c r="AF39" s="157"/>
      <c r="AG39" s="158"/>
      <c r="AH39" s="154" t="n">
        <v>30.1</v>
      </c>
      <c r="AI39" s="93" t="n">
        <f aca="false">AI38-AH39</f>
        <v>4464.45787748928</v>
      </c>
      <c r="AJ39" s="93"/>
      <c r="AK39" s="154" t="n">
        <f aca="false">N39+O39+P39+Q39+R39+S39+T39+U39+X39+AE39+AH39</f>
        <v>32.89</v>
      </c>
      <c r="AL39" s="154" t="n">
        <f aca="false">IF(L39&lt;0,L39*-1,0)</f>
        <v>0</v>
      </c>
      <c r="AM39" s="154" t="n">
        <f aca="false">AK39+AL39</f>
        <v>32.89</v>
      </c>
      <c r="AN39" s="159" t="n">
        <f aca="false">V39</f>
        <v>0</v>
      </c>
      <c r="AO39" s="112"/>
      <c r="AP39" s="116"/>
      <c r="AQ39" s="116"/>
      <c r="AR39" s="116"/>
      <c r="AS39" s="116"/>
      <c r="AU39" s="5"/>
      <c r="AV39" s="117" t="n">
        <v>0</v>
      </c>
      <c r="AW39" s="118" t="n">
        <v>53</v>
      </c>
      <c r="AX39" s="162" t="n">
        <v>34</v>
      </c>
      <c r="AY39" s="162"/>
      <c r="AZ39" s="119" t="n">
        <f aca="false">SUM(N39,P39:U39)</f>
        <v>2.79</v>
      </c>
      <c r="BA39" s="0" t="n">
        <v>0.164</v>
      </c>
      <c r="BB39" s="161" t="n">
        <v>18760</v>
      </c>
    </row>
    <row r="40" customFormat="false" ht="12.95" hidden="false" customHeight="true" outlineLevel="0" collapsed="false">
      <c r="A40" s="10" t="n">
        <f aca="false">A39+1</f>
        <v>26</v>
      </c>
      <c r="B40" s="144" t="n">
        <v>6888.17</v>
      </c>
      <c r="C40" s="103" t="n">
        <v>242036</v>
      </c>
      <c r="D40" s="145" t="n">
        <f aca="false">C40-C39</f>
        <v>34</v>
      </c>
      <c r="E40" s="103" t="n">
        <f aca="false">C40-152000</f>
        <v>90036</v>
      </c>
      <c r="F40" s="146" t="n">
        <f aca="false">D40/$D$2</f>
        <v>17.1414166876733</v>
      </c>
      <c r="G40" s="147" t="n">
        <v>51.1214166876733</v>
      </c>
      <c r="H40" s="148" t="n">
        <v>0</v>
      </c>
      <c r="I40" s="11" t="n">
        <f aca="false">G40+H40</f>
        <v>51.1214166876733</v>
      </c>
      <c r="J40" s="4" t="n">
        <f aca="false">IF(L40&gt;0,L40,0)</f>
        <v>0</v>
      </c>
      <c r="K40" s="11" t="n">
        <f aca="false">I40+J40</f>
        <v>51.1214166876733</v>
      </c>
      <c r="L40" s="11" t="n">
        <f aca="false">F40-(I40-AK40)</f>
        <v>0</v>
      </c>
      <c r="M40" s="149" t="n">
        <v>3.88</v>
      </c>
      <c r="N40" s="150" t="n">
        <v>0</v>
      </c>
      <c r="O40" s="150" t="n">
        <f aca="false">0*1.05</f>
        <v>0</v>
      </c>
      <c r="P40" s="108" t="n">
        <v>0</v>
      </c>
      <c r="Q40" s="151" t="n">
        <f aca="false">903900/325851/1.9835*1.02</f>
        <v>1.42649185155067</v>
      </c>
      <c r="R40" s="151" t="n">
        <f aca="false">IF(((2*1.04)-T40)&gt;=4.2,4.2,(2*1.04)-T40)</f>
        <v>1.58546336</v>
      </c>
      <c r="S40" s="151" t="n">
        <f aca="false">IF(((2*1.04)-T40)&gt;=4.2,((2*1.04)-T40)-4.2,0)</f>
        <v>0</v>
      </c>
      <c r="T40" s="153" t="n">
        <f aca="false">(0.4486*1.06)*1.04</f>
        <v>0.49453664</v>
      </c>
      <c r="U40" s="111" t="n">
        <f aca="false">M40-(Q40+R40+S40+T40)</f>
        <v>0.373508148449331</v>
      </c>
      <c r="V40" s="154" t="n">
        <v>0</v>
      </c>
      <c r="W40" s="154" t="n">
        <v>0</v>
      </c>
      <c r="X40" s="155" t="n">
        <f aca="false">M40-N40-O40-P40-Q40-R40-S40-T40-U40+V40+W40-AU40+AR40</f>
        <v>0</v>
      </c>
      <c r="Y40" s="156" t="n">
        <f aca="false">X40-AO40</f>
        <v>0</v>
      </c>
      <c r="Z40" s="93"/>
      <c r="AA40" s="156"/>
      <c r="AB40" s="93"/>
      <c r="AC40" s="154" t="n">
        <v>45.1094614761226</v>
      </c>
      <c r="AD40" s="93"/>
      <c r="AE40" s="154" t="n">
        <v>0</v>
      </c>
      <c r="AF40" s="157"/>
      <c r="AG40" s="158"/>
      <c r="AH40" s="154" t="n">
        <v>30.1</v>
      </c>
      <c r="AI40" s="93" t="n">
        <f aca="false">AI39-AH40</f>
        <v>4434.35787748928</v>
      </c>
      <c r="AJ40" s="93"/>
      <c r="AK40" s="154" t="n">
        <f aca="false">N40+O40+P40+Q40+R40+S40+T40+U40+X40+AE40+AH40</f>
        <v>33.98</v>
      </c>
      <c r="AL40" s="154" t="n">
        <f aca="false">IF(L40&lt;0,L40*-1,0)</f>
        <v>0</v>
      </c>
      <c r="AM40" s="154" t="n">
        <f aca="false">AK40+AL40</f>
        <v>33.98</v>
      </c>
      <c r="AN40" s="159" t="n">
        <f aca="false">V40</f>
        <v>0</v>
      </c>
      <c r="AO40" s="112"/>
      <c r="AP40" s="116"/>
      <c r="AQ40" s="116"/>
      <c r="AR40" s="116"/>
      <c r="AS40" s="116"/>
      <c r="AU40" s="5"/>
      <c r="AV40" s="117" t="n">
        <v>0</v>
      </c>
      <c r="AW40" s="118" t="n">
        <v>49</v>
      </c>
      <c r="AX40" s="118" t="n">
        <v>29</v>
      </c>
      <c r="AY40" s="118"/>
      <c r="AZ40" s="119" t="n">
        <f aca="false">SUM(N40,P40:U40)</f>
        <v>3.88</v>
      </c>
      <c r="BA40" s="0" t="n">
        <v>0.162</v>
      </c>
      <c r="BB40" s="161" t="n">
        <v>18729</v>
      </c>
    </row>
    <row r="41" customFormat="false" ht="12.95" hidden="false" customHeight="true" outlineLevel="0" collapsed="false">
      <c r="A41" s="10" t="n">
        <f aca="false">A40+1</f>
        <v>27</v>
      </c>
      <c r="B41" s="144" t="n">
        <v>6888.22</v>
      </c>
      <c r="C41" s="103" t="n">
        <v>242202</v>
      </c>
      <c r="D41" s="145" t="n">
        <f aca="false">C41-C40</f>
        <v>166</v>
      </c>
      <c r="E41" s="103" t="n">
        <f aca="false">C41-152000</f>
        <v>90202</v>
      </c>
      <c r="F41" s="146" t="n">
        <f aca="false">D41/$D$2</f>
        <v>83.6904461809932</v>
      </c>
      <c r="G41" s="11" t="n">
        <v>117.690446180993</v>
      </c>
      <c r="H41" s="12" t="n">
        <v>0</v>
      </c>
      <c r="I41" s="11" t="n">
        <f aca="false">G41+H41</f>
        <v>117.690446180993</v>
      </c>
      <c r="J41" s="4" t="n">
        <f aca="false">IF(L41&gt;0,L41,0)</f>
        <v>0</v>
      </c>
      <c r="K41" s="11" t="n">
        <f aca="false">I41+J41</f>
        <v>117.690446180993</v>
      </c>
      <c r="L41" s="11" t="n">
        <f aca="false">F41-(I41-AK41)</f>
        <v>0</v>
      </c>
      <c r="M41" s="149" t="n">
        <v>3.9</v>
      </c>
      <c r="N41" s="150" t="n">
        <v>0</v>
      </c>
      <c r="O41" s="150" t="n">
        <f aca="false">0*1.05</f>
        <v>0</v>
      </c>
      <c r="P41" s="108" t="n">
        <v>0</v>
      </c>
      <c r="Q41" s="151" t="n">
        <f aca="false">967700/325851/1.9835*1.02</f>
        <v>1.52717796741407</v>
      </c>
      <c r="R41" s="151" t="n">
        <f aca="false">IF(((1.9*1.04)-T41)&gt;=4.2,4.2,(1.9*1.04)-T41)</f>
        <v>1.4843296</v>
      </c>
      <c r="S41" s="151" t="n">
        <f aca="false">IF(((1.9*1.04)-T41)&gt;=4.2,((1.9*1.04)-T41)-4.2,0)</f>
        <v>0</v>
      </c>
      <c r="T41" s="153" t="n">
        <f aca="false">(0.446*1.06)*1.04</f>
        <v>0.4916704</v>
      </c>
      <c r="U41" s="111" t="n">
        <f aca="false">M41-(Q41+R41+S41+T41)</f>
        <v>0.396822032585925</v>
      </c>
      <c r="V41" s="154" t="n">
        <v>0</v>
      </c>
      <c r="W41" s="154" t="n">
        <v>0</v>
      </c>
      <c r="X41" s="155" t="n">
        <f aca="false">M41-N41-O41-P41-Q41-R41-S41-T41-U41+V41+W41-AU41+AR41</f>
        <v>0</v>
      </c>
      <c r="Y41" s="156" t="n">
        <f aca="false">X41-AO41</f>
        <v>0</v>
      </c>
      <c r="Z41" s="93"/>
      <c r="AA41" s="156"/>
      <c r="AB41" s="93"/>
      <c r="AC41" s="154" t="n">
        <v>111.678938613579</v>
      </c>
      <c r="AD41" s="93"/>
      <c r="AE41" s="154" t="n">
        <v>0</v>
      </c>
      <c r="AF41" s="157"/>
      <c r="AG41" s="158"/>
      <c r="AH41" s="154" t="n">
        <v>30.1</v>
      </c>
      <c r="AI41" s="93" t="n">
        <f aca="false">AI40-AH41</f>
        <v>4404.25787748928</v>
      </c>
      <c r="AJ41" s="93"/>
      <c r="AK41" s="154" t="n">
        <f aca="false">N41+O41+P41+Q41+R41+S41+T41+U41+X41+AE41+AH41</f>
        <v>34</v>
      </c>
      <c r="AL41" s="154" t="n">
        <f aca="false">IF(L41&lt;0,L41*-1,0)</f>
        <v>0</v>
      </c>
      <c r="AM41" s="154" t="n">
        <f aca="false">AK41+AL41</f>
        <v>34</v>
      </c>
      <c r="AN41" s="159" t="n">
        <f aca="false">V41</f>
        <v>0</v>
      </c>
      <c r="AO41" s="112"/>
      <c r="AP41" s="116"/>
      <c r="AQ41" s="116"/>
      <c r="AR41" s="116"/>
      <c r="AS41" s="116"/>
      <c r="AU41" s="5"/>
      <c r="AV41" s="117" t="n">
        <v>0.04</v>
      </c>
      <c r="AW41" s="118" t="n">
        <v>52</v>
      </c>
      <c r="AX41" s="118" t="n">
        <v>23</v>
      </c>
      <c r="AY41" s="118"/>
      <c r="AZ41" s="119" t="n">
        <f aca="false">SUM(N41,P41:U41)</f>
        <v>3.9</v>
      </c>
      <c r="BA41" s="0" t="n">
        <v>0.162</v>
      </c>
      <c r="BB41" s="161" t="n">
        <v>18716</v>
      </c>
    </row>
    <row r="42" customFormat="false" ht="12.95" hidden="false" customHeight="true" outlineLevel="0" collapsed="false">
      <c r="A42" s="10" t="n">
        <f aca="false">A41+1</f>
        <v>28</v>
      </c>
      <c r="B42" s="144" t="n">
        <v>6888.23</v>
      </c>
      <c r="C42" s="103" t="n">
        <v>242236</v>
      </c>
      <c r="D42" s="145" t="n">
        <f aca="false">C42-C41</f>
        <v>34</v>
      </c>
      <c r="E42" s="103" t="n">
        <f aca="false">C42-152000</f>
        <v>90236</v>
      </c>
      <c r="F42" s="146" t="n">
        <f aca="false">D42/$D$2</f>
        <v>17.1414166876733</v>
      </c>
      <c r="G42" s="11" t="n">
        <v>50.1214166876733</v>
      </c>
      <c r="H42" s="12" t="n">
        <v>0</v>
      </c>
      <c r="I42" s="11" t="n">
        <f aca="false">G42+H42</f>
        <v>50.1214166876733</v>
      </c>
      <c r="J42" s="4" t="n">
        <f aca="false">IF(L42&gt;0,L42,0)</f>
        <v>0</v>
      </c>
      <c r="K42" s="11" t="n">
        <f aca="false">I42+J42</f>
        <v>50.1214166876733</v>
      </c>
      <c r="L42" s="11" t="n">
        <f aca="false">F42-(I42-AK42)</f>
        <v>0</v>
      </c>
      <c r="M42" s="149" t="n">
        <v>2.78</v>
      </c>
      <c r="N42" s="150" t="n">
        <v>0</v>
      </c>
      <c r="O42" s="150" t="n">
        <f aca="false">0*1.05</f>
        <v>0</v>
      </c>
      <c r="P42" s="108" t="n">
        <v>0</v>
      </c>
      <c r="Q42" s="151" t="n">
        <f aca="false">1010300/325851/1.9835*1.02</f>
        <v>1.59440725480876</v>
      </c>
      <c r="R42" s="151" t="n">
        <f aca="false">IF(((1.9*1.04)-T42)&gt;=4.2,4.2,(1.9*1.04)-T42)</f>
        <v>1.4843296</v>
      </c>
      <c r="S42" s="151" t="n">
        <f aca="false">IF(((1.9*1.04)-T42)&gt;=4.2,((1.9*1.04)-T42)-4.2,0)</f>
        <v>0</v>
      </c>
      <c r="T42" s="153" t="n">
        <f aca="false">(0.446*1.06)*1.04</f>
        <v>0.4916704</v>
      </c>
      <c r="U42" s="111" t="n">
        <f aca="false">M42-(Q42+R42+S42+T42)</f>
        <v>-0.790407254808763</v>
      </c>
      <c r="V42" s="154" t="n">
        <v>0</v>
      </c>
      <c r="W42" s="154" t="n">
        <v>0</v>
      </c>
      <c r="X42" s="155" t="n">
        <f aca="false">M42-N42-O42-P42-Q42-R42-S42-T42-U42+V42+W42-AU42+AR42</f>
        <v>0</v>
      </c>
      <c r="Y42" s="156" t="n">
        <f aca="false">X42-AO42</f>
        <v>0</v>
      </c>
      <c r="Z42" s="93"/>
      <c r="AA42" s="156"/>
      <c r="AB42" s="93"/>
      <c r="AC42" s="154" t="n">
        <v>44.0426798328645</v>
      </c>
      <c r="AD42" s="93"/>
      <c r="AE42" s="154" t="n">
        <v>0</v>
      </c>
      <c r="AF42" s="157"/>
      <c r="AG42" s="158"/>
      <c r="AH42" s="154" t="n">
        <v>30.2</v>
      </c>
      <c r="AI42" s="93" t="n">
        <f aca="false">AI41-AH42</f>
        <v>4374.05787748928</v>
      </c>
      <c r="AJ42" s="93"/>
      <c r="AK42" s="154" t="n">
        <f aca="false">N42+O42+P42+Q42+R42+S42+T42+U42+X42+AE42+AH42</f>
        <v>32.98</v>
      </c>
      <c r="AL42" s="154" t="n">
        <f aca="false">IF(L42&lt;0,L42*-1,0)</f>
        <v>0</v>
      </c>
      <c r="AM42" s="154" t="n">
        <f aca="false">AK42+AL42</f>
        <v>32.98</v>
      </c>
      <c r="AN42" s="159" t="n">
        <f aca="false">V42</f>
        <v>0</v>
      </c>
      <c r="AO42" s="112"/>
      <c r="AP42" s="116"/>
      <c r="AQ42" s="116"/>
      <c r="AR42" s="116"/>
      <c r="AS42" s="116"/>
      <c r="AU42" s="5"/>
      <c r="AV42" s="117" t="n">
        <v>0</v>
      </c>
      <c r="AW42" s="118" t="n">
        <v>44</v>
      </c>
      <c r="AX42" s="118" t="n">
        <v>20</v>
      </c>
      <c r="AY42" s="118"/>
      <c r="AZ42" s="119" t="n">
        <f aca="false">SUM(N42,P42:U42)</f>
        <v>2.78</v>
      </c>
      <c r="BA42" s="0" t="n">
        <v>0.162</v>
      </c>
      <c r="BB42" s="161" t="n">
        <v>18736</v>
      </c>
    </row>
    <row r="43" customFormat="false" ht="12.95" hidden="false" customHeight="true" outlineLevel="0" collapsed="false">
      <c r="A43" s="10" t="n">
        <f aca="false">A42+1</f>
        <v>29</v>
      </c>
      <c r="B43" s="144" t="n">
        <v>6888.27</v>
      </c>
      <c r="C43" s="103" t="n">
        <v>242369</v>
      </c>
      <c r="D43" s="145" t="n">
        <f aca="false">C43-C42</f>
        <v>133</v>
      </c>
      <c r="E43" s="103" t="n">
        <f aca="false">C43-152000</f>
        <v>90369</v>
      </c>
      <c r="F43" s="146" t="n">
        <f aca="false">D43/$D$2</f>
        <v>67.0531888076632</v>
      </c>
      <c r="G43" s="11" t="n">
        <v>101.333188807663</v>
      </c>
      <c r="H43" s="12" t="n">
        <v>0</v>
      </c>
      <c r="I43" s="11" t="n">
        <f aca="false">G43+H43</f>
        <v>101.333188807663</v>
      </c>
      <c r="J43" s="4" t="n">
        <f aca="false">IF(L43&gt;0,L43,0)</f>
        <v>0</v>
      </c>
      <c r="K43" s="11" t="n">
        <f aca="false">I43+J43</f>
        <v>101.333188807663</v>
      </c>
      <c r="L43" s="11" t="n">
        <f aca="false">F43-(I43-AK43)</f>
        <v>0</v>
      </c>
      <c r="M43" s="149" t="n">
        <v>4.08</v>
      </c>
      <c r="N43" s="150" t="n">
        <v>0</v>
      </c>
      <c r="O43" s="150" t="n">
        <f aca="false">0*1.05</f>
        <v>0</v>
      </c>
      <c r="P43" s="108" t="n">
        <v>0</v>
      </c>
      <c r="Q43" s="151" t="n">
        <f aca="false">992800/325851/1.9835*1.02</f>
        <v>1.56678958979921</v>
      </c>
      <c r="R43" s="151" t="n">
        <f aca="false">IF(((2*1.04)-T43)&gt;=4.2,4.2,(2*1.04)-T43)</f>
        <v>1.5883296</v>
      </c>
      <c r="S43" s="151" t="n">
        <f aca="false">IF(((2*1.04)-T43)&gt;=4.2,((2*1.04)-T43)-4.2,0)</f>
        <v>0</v>
      </c>
      <c r="T43" s="153" t="n">
        <f aca="false">(0.446*1.06)*1.04</f>
        <v>0.4916704</v>
      </c>
      <c r="U43" s="111" t="n">
        <f aca="false">M43-(Q43+R43+S43+T43)</f>
        <v>0.433210410200792</v>
      </c>
      <c r="V43" s="154" t="n">
        <v>0</v>
      </c>
      <c r="W43" s="154" t="n">
        <v>0</v>
      </c>
      <c r="X43" s="155" t="n">
        <f aca="false">M43-N43-O43-P43-Q43-R43-S43-T43-U43+V43+W43-AU43+AR43</f>
        <v>0</v>
      </c>
      <c r="Y43" s="156" t="n">
        <f aca="false">X43-AO43</f>
        <v>0</v>
      </c>
      <c r="Z43" s="93"/>
      <c r="AA43" s="156"/>
      <c r="AB43" s="93"/>
      <c r="AC43" s="154" t="n">
        <v>95.1780696178638</v>
      </c>
      <c r="AD43" s="93"/>
      <c r="AE43" s="154" t="n">
        <v>0</v>
      </c>
      <c r="AF43" s="157"/>
      <c r="AG43" s="158"/>
      <c r="AH43" s="154" t="n">
        <v>30.2</v>
      </c>
      <c r="AI43" s="93" t="n">
        <f aca="false">AI42-AH43</f>
        <v>4343.85787748928</v>
      </c>
      <c r="AJ43" s="93"/>
      <c r="AK43" s="154" t="n">
        <f aca="false">N43+O43+P43+Q43+R43+S43+T43+U43+X43+AE43+AH43</f>
        <v>34.28</v>
      </c>
      <c r="AL43" s="154" t="n">
        <f aca="false">IF(L43&lt;0,L43*-1,0)</f>
        <v>0</v>
      </c>
      <c r="AM43" s="154" t="n">
        <f aca="false">AK43+AL43</f>
        <v>34.28</v>
      </c>
      <c r="AN43" s="159" t="n">
        <f aca="false">V43</f>
        <v>0</v>
      </c>
      <c r="AO43" s="112"/>
      <c r="AP43" s="116"/>
      <c r="AQ43" s="116"/>
      <c r="AR43" s="116"/>
      <c r="AS43" s="116"/>
      <c r="AU43" s="5"/>
      <c r="AV43" s="117" t="n">
        <v>0</v>
      </c>
      <c r="AW43" s="118" t="n">
        <v>39</v>
      </c>
      <c r="AX43" s="118" t="n">
        <v>21</v>
      </c>
      <c r="AY43" s="118"/>
      <c r="AZ43" s="119" t="n">
        <f aca="false">SUM(N43,P43:U43)</f>
        <v>4.08</v>
      </c>
      <c r="BA43" s="0" t="n">
        <v>0.162</v>
      </c>
      <c r="BB43" s="161" t="n">
        <v>18733</v>
      </c>
    </row>
    <row r="44" customFormat="false" ht="12.95" hidden="false" customHeight="true" outlineLevel="0" collapsed="false">
      <c r="A44" s="10" t="n">
        <v>30</v>
      </c>
      <c r="B44" s="144" t="n">
        <v>6888.27</v>
      </c>
      <c r="C44" s="103" t="n">
        <v>242369</v>
      </c>
      <c r="D44" s="145" t="n">
        <f aca="false">C44-C43</f>
        <v>0</v>
      </c>
      <c r="E44" s="103" t="n">
        <f aca="false">C44-152000</f>
        <v>90369</v>
      </c>
      <c r="F44" s="146" t="n">
        <f aca="false">D44/$D$2</f>
        <v>0</v>
      </c>
      <c r="G44" s="11" t="n">
        <v>33.84</v>
      </c>
      <c r="H44" s="12" t="n">
        <v>0</v>
      </c>
      <c r="I44" s="11" t="n">
        <f aca="false">G44+H44</f>
        <v>33.84</v>
      </c>
      <c r="J44" s="4" t="n">
        <f aca="false">IF(L44&gt;0,L44,0)</f>
        <v>0</v>
      </c>
      <c r="K44" s="11" t="n">
        <f aca="false">I44+J44</f>
        <v>33.84</v>
      </c>
      <c r="L44" s="11" t="n">
        <f aca="false">F44-(I44-AK44)</f>
        <v>0</v>
      </c>
      <c r="M44" s="149" t="n">
        <v>3.34</v>
      </c>
      <c r="N44" s="150" t="n">
        <v>0</v>
      </c>
      <c r="O44" s="150" t="n">
        <f aca="false">0*1.05</f>
        <v>0</v>
      </c>
      <c r="P44" s="108" t="n">
        <v>0</v>
      </c>
      <c r="Q44" s="151" t="n">
        <f aca="false">814700/325851/1.9835*1.02</f>
        <v>1.28572066761625</v>
      </c>
      <c r="R44" s="151" t="n">
        <f aca="false">IF(((1.9*1.04)-T44)&gt;=4.2,4.2,(1.9*1.04)-T44)</f>
        <v>1.4843296</v>
      </c>
      <c r="S44" s="151" t="n">
        <f aca="false">IF(((1.9*1.04)-T44)&gt;=4.2,((1.9*1.04)-T44)-4.2,0)</f>
        <v>0</v>
      </c>
      <c r="T44" s="153" t="n">
        <f aca="false">(0.446*1.06)*1.04</f>
        <v>0.4916704</v>
      </c>
      <c r="U44" s="111" t="n">
        <f aca="false">M44-(Q44+R44+S44+T44)</f>
        <v>0.0782793323837487</v>
      </c>
      <c r="V44" s="154" t="n">
        <v>0</v>
      </c>
      <c r="W44" s="154" t="n">
        <v>0</v>
      </c>
      <c r="X44" s="155" t="n">
        <f aca="false">M44-N44-O44-P44-Q44-R44-S44-T44-U44+V44+W44-AU44+AR44</f>
        <v>-3.88578058618805E-016</v>
      </c>
      <c r="Y44" s="156" t="n">
        <f aca="false">X44-AO44</f>
        <v>-3.88578058618805E-016</v>
      </c>
      <c r="Z44" s="93"/>
      <c r="AA44" s="156"/>
      <c r="AB44" s="93"/>
      <c r="AC44" s="154" t="n">
        <v>28.0699497323838</v>
      </c>
      <c r="AD44" s="93"/>
      <c r="AE44" s="154" t="n">
        <v>0</v>
      </c>
      <c r="AF44" s="157"/>
      <c r="AG44" s="158"/>
      <c r="AH44" s="154" t="n">
        <v>30.5</v>
      </c>
      <c r="AI44" s="93" t="n">
        <f aca="false">AI43-AH44</f>
        <v>4313.35787748928</v>
      </c>
      <c r="AJ44" s="93"/>
      <c r="AK44" s="154" t="n">
        <f aca="false">N44+O44+P44+Q44+R44+S44+T44+U44+X44+AE44+AH44</f>
        <v>33.84</v>
      </c>
      <c r="AL44" s="154" t="n">
        <f aca="false">IF(L44&lt;0,L44*-1,0)</f>
        <v>0</v>
      </c>
      <c r="AM44" s="164" t="n">
        <f aca="false">AK44+AL44</f>
        <v>33.84</v>
      </c>
      <c r="AN44" s="159" t="n">
        <f aca="false">V44</f>
        <v>0</v>
      </c>
      <c r="AO44" s="112"/>
      <c r="AP44" s="116"/>
      <c r="AQ44" s="116"/>
      <c r="AR44" s="116"/>
      <c r="AS44" s="116"/>
      <c r="AU44" s="5"/>
      <c r="AV44" s="117" t="n">
        <v>0</v>
      </c>
      <c r="AW44" s="118" t="n">
        <v>41</v>
      </c>
      <c r="AX44" s="118" t="n">
        <v>9</v>
      </c>
      <c r="AY44" s="118"/>
      <c r="AZ44" s="119" t="n">
        <f aca="false">SUM(N44,P44:U44)</f>
        <v>3.34</v>
      </c>
      <c r="BA44" s="0" t="n">
        <v>0.162</v>
      </c>
      <c r="BB44" s="161" t="n">
        <v>18730</v>
      </c>
    </row>
    <row r="45" customFormat="false" ht="3" hidden="false" customHeight="true" outlineLevel="0" collapsed="false">
      <c r="A45" s="126"/>
      <c r="B45" s="165"/>
      <c r="C45" s="128"/>
      <c r="D45" s="126"/>
      <c r="E45" s="128"/>
      <c r="F45" s="129"/>
      <c r="G45" s="126"/>
      <c r="H45" s="166"/>
      <c r="I45" s="126"/>
      <c r="J45" s="126"/>
      <c r="K45" s="126"/>
      <c r="L45" s="126"/>
      <c r="M45" s="132"/>
      <c r="N45" s="126"/>
      <c r="O45" s="126"/>
      <c r="P45" s="133"/>
      <c r="Q45" s="134"/>
      <c r="R45" s="134"/>
      <c r="S45" s="134"/>
      <c r="T45" s="134"/>
      <c r="U45" s="135"/>
      <c r="V45" s="134"/>
      <c r="W45" s="134"/>
      <c r="X45" s="134"/>
      <c r="Y45" s="141"/>
      <c r="Z45" s="137"/>
      <c r="AA45" s="141"/>
      <c r="AB45" s="137"/>
      <c r="AC45" s="137"/>
      <c r="AD45" s="137"/>
      <c r="AE45" s="134"/>
      <c r="AF45" s="138"/>
      <c r="AG45" s="139"/>
      <c r="AH45" s="134"/>
      <c r="AI45" s="134"/>
      <c r="AJ45" s="134"/>
      <c r="AK45" s="134"/>
      <c r="AL45" s="134"/>
      <c r="AM45" s="167"/>
      <c r="AN45" s="136"/>
      <c r="AO45" s="136"/>
      <c r="AP45" s="141"/>
      <c r="AQ45" s="141"/>
      <c r="AR45" s="141"/>
      <c r="AS45" s="141"/>
      <c r="AT45" s="141"/>
      <c r="AU45" s="142"/>
      <c r="AV45" s="143"/>
      <c r="AW45" s="141" t="n">
        <v>4</v>
      </c>
      <c r="AX45" s="141"/>
      <c r="AY45" s="141"/>
      <c r="AZ45" s="141"/>
      <c r="BA45" s="141"/>
      <c r="BB45" s="141"/>
    </row>
    <row r="46" customFormat="false" ht="12.95" hidden="false" customHeight="true" outlineLevel="0" collapsed="false">
      <c r="A46" s="11" t="s">
        <v>104</v>
      </c>
      <c r="B46" s="102"/>
      <c r="C46" s="103"/>
      <c r="D46" s="103"/>
      <c r="E46" s="103"/>
      <c r="F46" s="104" t="n">
        <f aca="false">SUM(F15:F44)</f>
        <v>-402.823292160323</v>
      </c>
      <c r="G46" s="2" t="n">
        <f aca="false">SUM(G15:G44)</f>
        <v>2263.754708848</v>
      </c>
      <c r="H46" s="2" t="n">
        <f aca="false">SUM(H15:H44)</f>
        <v>0</v>
      </c>
      <c r="I46" s="2" t="n">
        <f aca="false">SUM(I15:I44)</f>
        <v>2263.754708848</v>
      </c>
      <c r="J46" s="2" t="n">
        <f aca="false">SUM(J15:J44)</f>
        <v>242.311325938997</v>
      </c>
      <c r="K46" s="2" t="n">
        <f aca="false">SUM(K15:K44)</f>
        <v>2506.06603478699</v>
      </c>
      <c r="L46" s="2" t="n">
        <f aca="false">SUM(L15:L44)</f>
        <v>-45.6810010083185</v>
      </c>
      <c r="M46" s="107" t="n">
        <f aca="false">SUM(M15:M44)</f>
        <v>104.55</v>
      </c>
      <c r="N46" s="103" t="n">
        <f aca="false">SUM(N15:N44)</f>
        <v>0</v>
      </c>
      <c r="O46" s="168" t="n">
        <f aca="false">SUM(O15:O44)</f>
        <v>2.4675</v>
      </c>
      <c r="P46" s="109" t="n">
        <f aca="false">SUM(P15:P44)</f>
        <v>0</v>
      </c>
      <c r="Q46" s="109" t="n">
        <f aca="false">SUM(Q15:Q44)</f>
        <v>45.8082373371341</v>
      </c>
      <c r="R46" s="109" t="n">
        <f aca="false">SUM(R15:R44)</f>
        <v>46.8280904</v>
      </c>
      <c r="S46" s="109" t="n">
        <f aca="false">SUM(S15:S44)</f>
        <v>0</v>
      </c>
      <c r="T46" s="109" t="n">
        <f aca="false">SUM(T15:T44)</f>
        <v>16.1959096</v>
      </c>
      <c r="U46" s="169" t="n">
        <f aca="false">SUM(U15:U44)</f>
        <v>-4.28223733713408</v>
      </c>
      <c r="V46" s="93" t="n">
        <f aca="false">SUM(V15:V44)</f>
        <v>1611.4</v>
      </c>
      <c r="W46" s="93" t="n">
        <f aca="false">SUM(W15:W44)</f>
        <v>0.047</v>
      </c>
      <c r="X46" s="93" t="n">
        <f aca="false">SUM(X15:X44)</f>
        <v>1608.9795</v>
      </c>
      <c r="Y46" s="93" t="n">
        <f aca="false">SUM(Y15:Y44)</f>
        <v>1608.9795</v>
      </c>
      <c r="Z46" s="93"/>
      <c r="AA46" s="93"/>
      <c r="AB46" s="93"/>
      <c r="AC46" s="93" t="n">
        <f aca="false">SUM(AC15:AC44)</f>
        <v>462.45038837717</v>
      </c>
      <c r="AD46" s="93"/>
      <c r="AE46" s="170" t="n">
        <f aca="false">SUM(AE15:AE44)</f>
        <v>0</v>
      </c>
      <c r="AF46" s="154" t="n">
        <f aca="false">SUM(AF15:AF44)</f>
        <v>0</v>
      </c>
      <c r="AG46" s="170" t="n">
        <f aca="false">SUM(AG15:AG44)</f>
        <v>0</v>
      </c>
      <c r="AH46" s="93" t="n">
        <f aca="false">SUM(AH15:AH44)</f>
        <v>904.9</v>
      </c>
      <c r="AI46" s="93"/>
      <c r="AJ46" s="93" t="n">
        <f aca="false">SUM(AJ15:AJ44)</f>
        <v>0</v>
      </c>
      <c r="AK46" s="93" t="n">
        <f aca="false">SUM(AK15:AK44)</f>
        <v>2620.897</v>
      </c>
      <c r="AL46" s="93" t="n">
        <f aca="false">SUM(AL15:AL44)</f>
        <v>287.992326947315</v>
      </c>
      <c r="AM46" s="171" t="n">
        <f aca="false">SUM(AM15:AM44)</f>
        <v>2908.88932694732</v>
      </c>
      <c r="AN46" s="172" t="n">
        <f aca="false">SUM(AN15:AN44)</f>
        <v>1611.4</v>
      </c>
      <c r="AO46" s="112" t="n">
        <f aca="false">SUM(AO15:AO44)</f>
        <v>0</v>
      </c>
      <c r="AP46" s="116"/>
      <c r="AQ46" s="116"/>
      <c r="AR46" s="116"/>
      <c r="AS46" s="116"/>
      <c r="AU46" s="173" t="n">
        <f aca="false">SUM(AU15:AU44)</f>
        <v>0</v>
      </c>
      <c r="AV46" s="160" t="n">
        <f aca="false">SUM(AV15:AV44)</f>
        <v>2.035</v>
      </c>
      <c r="AW46" s="118" t="n">
        <f aca="false">AVERAGE(AW15:AW44)</f>
        <v>51.7666666666667</v>
      </c>
      <c r="AX46" s="118" t="n">
        <f aca="false">AVERAGE(AX15:AX44)</f>
        <v>26</v>
      </c>
      <c r="AY46" s="174" t="s">
        <v>105</v>
      </c>
      <c r="AZ46" s="175" t="n">
        <f aca="false">SUM(AZ15:AZ44)</f>
        <v>104.55</v>
      </c>
      <c r="BA46" s="176" t="n">
        <f aca="false">SUM(BA14:BA44)</f>
        <v>5.188</v>
      </c>
      <c r="BB46" s="161"/>
    </row>
    <row r="47" customFormat="false" ht="12.95" hidden="false" customHeight="true" outlineLevel="0" collapsed="false">
      <c r="A47" s="11" t="s">
        <v>106</v>
      </c>
      <c r="B47" s="102"/>
      <c r="C47" s="103"/>
      <c r="D47" s="103" t="n">
        <f aca="false">SUM(D15:D44)</f>
        <v>-799</v>
      </c>
      <c r="E47" s="103"/>
      <c r="F47" s="104" t="n">
        <f aca="false">F46*$D$2</f>
        <v>-799</v>
      </c>
      <c r="G47" s="2" t="n">
        <f aca="false">G46*$D$2</f>
        <v>4490.157465</v>
      </c>
      <c r="H47" s="2" t="n">
        <f aca="false">H46*$D$2</f>
        <v>0</v>
      </c>
      <c r="I47" s="2" t="n">
        <f aca="false">I46*$D$2</f>
        <v>4490.157465</v>
      </c>
      <c r="J47" s="2" t="n">
        <f aca="false">J46*$D$2</f>
        <v>480.624515</v>
      </c>
      <c r="K47" s="2" t="n">
        <f aca="false">K46*$D$2</f>
        <v>4970.78198</v>
      </c>
      <c r="L47" s="2" t="n">
        <f aca="false">L46*$D$2</f>
        <v>-90.6082654999997</v>
      </c>
      <c r="M47" s="107" t="n">
        <f aca="false">M46*$D$2</f>
        <v>207.374925</v>
      </c>
      <c r="N47" s="103" t="n">
        <f aca="false">N46*$D$2</f>
        <v>0</v>
      </c>
      <c r="O47" s="103" t="n">
        <f aca="false">O46*$D$2</f>
        <v>4.89428625</v>
      </c>
      <c r="P47" s="109" t="n">
        <f aca="false">P46*$D$2</f>
        <v>0</v>
      </c>
      <c r="Q47" s="109" t="n">
        <f aca="false">Q46*$D$2</f>
        <v>90.8606387582054</v>
      </c>
      <c r="R47" s="109" t="n">
        <f aca="false">R46*$D$2</f>
        <v>92.8835173084</v>
      </c>
      <c r="S47" s="109" t="n">
        <f aca="false">S46*$D$2</f>
        <v>0</v>
      </c>
      <c r="T47" s="109" t="n">
        <f aca="false">T46*$D$2</f>
        <v>32.1245866916</v>
      </c>
      <c r="U47" s="169" t="n">
        <f aca="false">U46*$D$2</f>
        <v>-8.49381775820544</v>
      </c>
      <c r="V47" s="93" t="n">
        <f aca="false">V46*$D$2</f>
        <v>3196.2119</v>
      </c>
      <c r="W47" s="93" t="n">
        <f aca="false">W46*$D$2</f>
        <v>0.0932245</v>
      </c>
      <c r="X47" s="93" t="n">
        <f aca="false">X46*$D$2</f>
        <v>3191.41083825</v>
      </c>
      <c r="Y47" s="93" t="n">
        <f aca="false">Y46*$D$2</f>
        <v>3191.41083825</v>
      </c>
      <c r="Z47" s="93"/>
      <c r="AA47" s="93"/>
      <c r="AB47" s="93"/>
      <c r="AC47" s="93" t="n">
        <f aca="false">AC46*$D$2</f>
        <v>917.270345346117</v>
      </c>
      <c r="AD47" s="93"/>
      <c r="AE47" s="177" t="n">
        <f aca="false">AE46*$D$2</f>
        <v>0</v>
      </c>
      <c r="AF47" s="93" t="n">
        <f aca="false">AF46*$D$2</f>
        <v>0</v>
      </c>
      <c r="AG47" s="177" t="n">
        <f aca="false">AG46*$D$2</f>
        <v>0</v>
      </c>
      <c r="AH47" s="93" t="n">
        <f aca="false">AH46*$D$2</f>
        <v>1794.86915</v>
      </c>
      <c r="AI47" s="93"/>
      <c r="AJ47" s="93" t="n">
        <f aca="false">AJ46*$D$2</f>
        <v>0</v>
      </c>
      <c r="AK47" s="93" t="n">
        <f aca="false">AK46*$D$2</f>
        <v>5198.5491995</v>
      </c>
      <c r="AL47" s="93" t="n">
        <f aca="false">AL46*$D$2</f>
        <v>571.2327805</v>
      </c>
      <c r="AM47" s="171" t="n">
        <f aca="false">AM46*$D$2</f>
        <v>5769.78198</v>
      </c>
      <c r="AN47" s="172" t="n">
        <f aca="false">AN46*$D$2</f>
        <v>3196.2119</v>
      </c>
      <c r="AO47" s="112" t="n">
        <f aca="false">AO46*$D$2</f>
        <v>0</v>
      </c>
      <c r="AP47" s="116"/>
      <c r="AQ47" s="116"/>
      <c r="AR47" s="116"/>
      <c r="AS47" s="116"/>
      <c r="AU47" s="172" t="n">
        <f aca="false">AU46*$D$2</f>
        <v>0</v>
      </c>
      <c r="AV47" s="117"/>
      <c r="AW47" s="118" t="n">
        <f aca="false">MAX(AW15:AW44)</f>
        <v>68</v>
      </c>
      <c r="AX47" s="118" t="n">
        <f aca="false">MAX(AX15:AX44)</f>
        <v>41</v>
      </c>
      <c r="AY47" s="178" t="s">
        <v>107</v>
      </c>
      <c r="AZ47" s="175" t="n">
        <f aca="false">AZ46*$D$2</f>
        <v>207.374925</v>
      </c>
      <c r="BA47" s="176" t="n">
        <f aca="false">BA46*$D$2</f>
        <v>10.290398</v>
      </c>
      <c r="BB47" s="161"/>
    </row>
    <row r="48" customFormat="false" ht="3" hidden="false" customHeight="true" outlineLevel="0" collapsed="false">
      <c r="A48" s="126"/>
      <c r="B48" s="165"/>
      <c r="C48" s="128"/>
      <c r="D48" s="128"/>
      <c r="E48" s="128"/>
      <c r="F48" s="179"/>
      <c r="G48" s="128"/>
      <c r="H48" s="128"/>
      <c r="I48" s="128"/>
      <c r="J48" s="128"/>
      <c r="K48" s="128"/>
      <c r="L48" s="128"/>
      <c r="M48" s="180"/>
      <c r="N48" s="128"/>
      <c r="O48" s="128"/>
      <c r="P48" s="133"/>
      <c r="Q48" s="137"/>
      <c r="R48" s="137"/>
      <c r="S48" s="137"/>
      <c r="T48" s="137"/>
      <c r="U48" s="181"/>
      <c r="V48" s="137"/>
      <c r="W48" s="137"/>
      <c r="X48" s="137"/>
      <c r="Y48" s="137"/>
      <c r="Z48" s="137"/>
      <c r="AA48" s="137"/>
      <c r="AB48" s="137"/>
      <c r="AC48" s="137"/>
      <c r="AD48" s="137"/>
      <c r="AE48" s="137"/>
      <c r="AF48" s="182"/>
      <c r="AG48" s="183"/>
      <c r="AH48" s="137"/>
      <c r="AI48" s="134"/>
      <c r="AJ48" s="137"/>
      <c r="AK48" s="137"/>
      <c r="AL48" s="137"/>
      <c r="AM48" s="184"/>
      <c r="AN48" s="136"/>
      <c r="AO48" s="136"/>
      <c r="AP48" s="137"/>
      <c r="AQ48" s="137"/>
      <c r="AR48" s="137"/>
      <c r="AS48" s="137"/>
      <c r="AT48" s="137"/>
      <c r="AU48" s="142"/>
      <c r="AV48" s="185"/>
      <c r="AW48" s="141"/>
      <c r="AX48" s="137"/>
      <c r="AY48" s="137"/>
      <c r="AZ48" s="137"/>
      <c r="BA48" s="137"/>
      <c r="BB48" s="137"/>
    </row>
    <row r="49" customFormat="false" ht="12.95" hidden="false" customHeight="true" outlineLevel="0" collapsed="false">
      <c r="A49" s="11" t="s">
        <v>108</v>
      </c>
      <c r="B49" s="102"/>
      <c r="C49" s="103"/>
      <c r="D49" s="103"/>
      <c r="E49" s="103"/>
      <c r="F49" s="104"/>
      <c r="G49" s="2"/>
      <c r="H49" s="9"/>
      <c r="I49" s="2"/>
      <c r="J49" s="2"/>
      <c r="K49" s="2"/>
      <c r="L49" s="2"/>
      <c r="M49" s="107"/>
      <c r="N49" s="103"/>
      <c r="O49" s="103"/>
      <c r="P49" s="108"/>
      <c r="Q49" s="109"/>
      <c r="R49" s="109"/>
      <c r="S49" s="109"/>
      <c r="T49" s="109"/>
      <c r="U49" s="169"/>
      <c r="V49" s="93"/>
      <c r="W49" s="93"/>
      <c r="X49" s="93"/>
      <c r="Y49" s="93"/>
      <c r="Z49" s="93"/>
      <c r="AA49" s="93"/>
      <c r="AB49" s="93"/>
      <c r="AC49" s="93"/>
      <c r="AD49" s="93"/>
      <c r="AE49" s="93"/>
      <c r="AF49" s="113"/>
      <c r="AG49" s="114"/>
      <c r="AH49" s="93"/>
      <c r="AI49" s="93"/>
      <c r="AJ49" s="93"/>
      <c r="AK49" s="93"/>
      <c r="AL49" s="93"/>
      <c r="AM49" s="171"/>
      <c r="AN49" s="112"/>
      <c r="AO49" s="112"/>
      <c r="AP49" s="116"/>
      <c r="AQ49" s="116"/>
      <c r="AR49" s="116"/>
      <c r="AS49" s="116"/>
      <c r="AU49" s="5"/>
      <c r="AV49" s="117"/>
      <c r="AW49" s="118" t="n">
        <f aca="false">MIN(AW15:AW44)</f>
        <v>34</v>
      </c>
      <c r="AX49" s="118" t="n">
        <f aca="false">MIN(AX15:AX44)</f>
        <v>9</v>
      </c>
      <c r="AY49" s="178" t="s">
        <v>109</v>
      </c>
      <c r="AZ49" s="175"/>
      <c r="BA49" s="176"/>
      <c r="BB49" s="161"/>
    </row>
    <row r="50" customFormat="false" ht="12.95" hidden="false" customHeight="true" outlineLevel="0" collapsed="false">
      <c r="A50" s="11" t="s">
        <v>110</v>
      </c>
      <c r="B50" s="102"/>
      <c r="C50" s="103"/>
      <c r="D50" s="103"/>
      <c r="E50" s="103"/>
      <c r="F50" s="104"/>
      <c r="G50" s="2"/>
      <c r="H50" s="9"/>
      <c r="I50" s="2"/>
      <c r="J50" s="2"/>
      <c r="K50" s="2"/>
      <c r="L50" s="2"/>
      <c r="M50" s="107"/>
      <c r="N50" s="103"/>
      <c r="O50" s="103"/>
      <c r="P50" s="108"/>
      <c r="Q50" s="109"/>
      <c r="R50" s="109"/>
      <c r="S50" s="109"/>
      <c r="T50" s="109"/>
      <c r="U50" s="169"/>
      <c r="V50" s="93"/>
      <c r="W50" s="93"/>
      <c r="X50" s="93"/>
      <c r="Y50" s="93"/>
      <c r="Z50" s="93"/>
      <c r="AA50" s="93"/>
      <c r="AB50" s="93"/>
      <c r="AC50" s="93"/>
      <c r="AD50" s="93"/>
      <c r="AE50" s="93"/>
      <c r="AF50" s="113"/>
      <c r="AG50" s="114"/>
      <c r="AH50" s="93"/>
      <c r="AI50" s="93"/>
      <c r="AJ50" s="93"/>
      <c r="AK50" s="93"/>
      <c r="AL50" s="93"/>
      <c r="AM50" s="171"/>
      <c r="AN50" s="112"/>
      <c r="AO50" s="112"/>
      <c r="AP50" s="116"/>
      <c r="AQ50" s="116"/>
      <c r="AR50" s="116"/>
      <c r="AS50" s="116"/>
      <c r="AU50" s="186"/>
      <c r="AV50" s="187"/>
      <c r="AW50" s="118"/>
      <c r="AX50" s="118"/>
      <c r="AY50" s="118"/>
      <c r="AZ50" s="175"/>
      <c r="BA50" s="176"/>
      <c r="BB50" s="161"/>
    </row>
    <row r="51" customFormat="false" ht="3" hidden="false" customHeight="true" outlineLevel="0" collapsed="false">
      <c r="A51" s="126"/>
      <c r="B51" s="165"/>
      <c r="C51" s="128"/>
      <c r="D51" s="128"/>
      <c r="E51" s="128"/>
      <c r="F51" s="179"/>
      <c r="G51" s="128"/>
      <c r="H51" s="188"/>
      <c r="I51" s="128"/>
      <c r="J51" s="128"/>
      <c r="K51" s="128"/>
      <c r="L51" s="128"/>
      <c r="M51" s="180"/>
      <c r="N51" s="128"/>
      <c r="O51" s="128"/>
      <c r="P51" s="133"/>
      <c r="Q51" s="137"/>
      <c r="R51" s="137"/>
      <c r="S51" s="137"/>
      <c r="T51" s="137"/>
      <c r="U51" s="181"/>
      <c r="V51" s="137"/>
      <c r="W51" s="137"/>
      <c r="X51" s="137"/>
      <c r="Y51" s="137"/>
      <c r="Z51" s="137"/>
      <c r="AA51" s="137"/>
      <c r="AB51" s="137"/>
      <c r="AC51" s="137"/>
      <c r="AD51" s="137"/>
      <c r="AE51" s="137"/>
      <c r="AF51" s="182"/>
      <c r="AG51" s="183"/>
      <c r="AH51" s="137"/>
      <c r="AI51" s="137"/>
      <c r="AJ51" s="137"/>
      <c r="AK51" s="137"/>
      <c r="AL51" s="137"/>
      <c r="AM51" s="184"/>
      <c r="AN51" s="136"/>
      <c r="AO51" s="136"/>
      <c r="AP51" s="137"/>
      <c r="AQ51" s="137"/>
      <c r="AR51" s="137"/>
      <c r="AS51" s="137"/>
      <c r="AT51" s="137"/>
      <c r="AU51" s="142"/>
      <c r="AV51" s="143"/>
      <c r="AW51" s="141"/>
      <c r="AX51" s="137"/>
      <c r="AY51" s="137"/>
      <c r="AZ51" s="137"/>
      <c r="BA51" s="137"/>
      <c r="BB51" s="137"/>
    </row>
    <row r="52" customFormat="false" ht="12.95" hidden="false" customHeight="true" outlineLevel="0" collapsed="false">
      <c r="A52" s="11" t="s">
        <v>111</v>
      </c>
      <c r="B52" s="102"/>
      <c r="C52" s="103"/>
      <c r="D52" s="103"/>
      <c r="E52" s="103"/>
      <c r="F52" s="104" t="n">
        <f aca="false">F13+F46</f>
        <v>-402.823292160323</v>
      </c>
      <c r="G52" s="2" t="n">
        <f aca="false">G13+G46</f>
        <v>2263.754708848</v>
      </c>
      <c r="H52" s="9" t="n">
        <f aca="false">H13+H46</f>
        <v>0</v>
      </c>
      <c r="I52" s="2" t="n">
        <f aca="false">I13+I46</f>
        <v>2263.754708848</v>
      </c>
      <c r="J52" s="2" t="n">
        <f aca="false">J13+J46</f>
        <v>242.311325938997</v>
      </c>
      <c r="K52" s="2" t="n">
        <f aca="false">K13+K46</f>
        <v>2506.06603478699</v>
      </c>
      <c r="L52" s="2" t="n">
        <f aca="false">L13+L46</f>
        <v>-45.6810010083185</v>
      </c>
      <c r="M52" s="107" t="n">
        <f aca="false">M13+M46</f>
        <v>104.55</v>
      </c>
      <c r="N52" s="103" t="n">
        <f aca="false">N13+N46</f>
        <v>0</v>
      </c>
      <c r="O52" s="103" t="n">
        <f aca="false">O13+O46</f>
        <v>2.4675</v>
      </c>
      <c r="P52" s="109" t="n">
        <f aca="false">P13+P46</f>
        <v>0</v>
      </c>
      <c r="Q52" s="109" t="n">
        <f aca="false">Q13+Q46</f>
        <v>45.8082373371341</v>
      </c>
      <c r="R52" s="109" t="n">
        <f aca="false">R13+R46</f>
        <v>46.8280904</v>
      </c>
      <c r="S52" s="109" t="n">
        <f aca="false">S13+S46</f>
        <v>0</v>
      </c>
      <c r="T52" s="109" t="n">
        <f aca="false">T13+T46</f>
        <v>16.1959096</v>
      </c>
      <c r="U52" s="169" t="n">
        <f aca="false">U13+U46</f>
        <v>-4.28223733713408</v>
      </c>
      <c r="V52" s="93" t="n">
        <f aca="false">V13+V46</f>
        <v>1611.4</v>
      </c>
      <c r="W52" s="93" t="n">
        <f aca="false">W13+W46</f>
        <v>0.047</v>
      </c>
      <c r="X52" s="93" t="n">
        <f aca="false">X13+X46</f>
        <v>1608.9795</v>
      </c>
      <c r="Y52" s="93" t="n">
        <f aca="false">Y13+Y46</f>
        <v>1608.9795</v>
      </c>
      <c r="Z52" s="93"/>
      <c r="AA52" s="93"/>
      <c r="AB52" s="93"/>
      <c r="AC52" s="93" t="n">
        <f aca="false">AC13+AC46</f>
        <v>462.45038837717</v>
      </c>
      <c r="AD52" s="93"/>
      <c r="AE52" s="170" t="n">
        <f aca="false">AE13+AE46</f>
        <v>0</v>
      </c>
      <c r="AF52" s="154" t="n">
        <f aca="false">AF13+AF46</f>
        <v>0</v>
      </c>
      <c r="AG52" s="170" t="n">
        <f aca="false">AG13+AG46</f>
        <v>0</v>
      </c>
      <c r="AH52" s="93" t="n">
        <f aca="false">AH13+AH46</f>
        <v>904.9</v>
      </c>
      <c r="AI52" s="93" t="n">
        <f aca="false">AI44</f>
        <v>4313.35787748928</v>
      </c>
      <c r="AJ52" s="93" t="n">
        <f aca="false">AJ13+AJ46</f>
        <v>0</v>
      </c>
      <c r="AK52" s="93" t="n">
        <f aca="false">AK13+AK46</f>
        <v>2620.897</v>
      </c>
      <c r="AL52" s="93" t="n">
        <f aca="false">AL13+AL46</f>
        <v>287.992326947315</v>
      </c>
      <c r="AM52" s="171" t="n">
        <f aca="false">AM13+AM46</f>
        <v>2908.88932694732</v>
      </c>
      <c r="AN52" s="172" t="n">
        <f aca="false">AN13+AN46</f>
        <v>1611.4</v>
      </c>
      <c r="AO52" s="112" t="n">
        <f aca="false">AO13+AO46</f>
        <v>0</v>
      </c>
      <c r="AP52" s="116"/>
      <c r="AQ52" s="116"/>
      <c r="AR52" s="116"/>
      <c r="AS52" s="116"/>
      <c r="AU52" s="5"/>
      <c r="AV52" s="117" t="n">
        <f aca="false">AV13+AV46</f>
        <v>2.035</v>
      </c>
      <c r="AW52" s="118"/>
      <c r="AX52" s="118"/>
      <c r="AY52" s="118"/>
      <c r="AZ52" s="175" t="n">
        <f aca="false">AZ13+AZ46</f>
        <v>104.55</v>
      </c>
      <c r="BA52" s="176" t="n">
        <f aca="false">BA13+BA46</f>
        <v>5.188</v>
      </c>
      <c r="BB52" s="161"/>
    </row>
    <row r="53" customFormat="false" ht="12.95" hidden="false" customHeight="true" outlineLevel="0" collapsed="false">
      <c r="A53" s="11" t="s">
        <v>112</v>
      </c>
      <c r="B53" s="102"/>
      <c r="C53" s="103"/>
      <c r="D53" s="103" t="n">
        <f aca="false">D13+D47</f>
        <v>-799</v>
      </c>
      <c r="E53" s="103" t="n">
        <f aca="false">E44</f>
        <v>90369</v>
      </c>
      <c r="F53" s="104" t="n">
        <f aca="false">F52*$D$2</f>
        <v>-799</v>
      </c>
      <c r="G53" s="2" t="n">
        <f aca="false">G52*$D$2</f>
        <v>4490.157465</v>
      </c>
      <c r="H53" s="9" t="n">
        <f aca="false">H52*$D$2</f>
        <v>0</v>
      </c>
      <c r="I53" s="2" t="n">
        <f aca="false">I52*$D$2</f>
        <v>4490.157465</v>
      </c>
      <c r="J53" s="2" t="n">
        <f aca="false">J52*$D$2</f>
        <v>480.624515</v>
      </c>
      <c r="K53" s="2" t="n">
        <f aca="false">K52*$D$2</f>
        <v>4970.78198</v>
      </c>
      <c r="L53" s="2" t="n">
        <f aca="false">L52*$D$2</f>
        <v>-90.6082654999997</v>
      </c>
      <c r="M53" s="107" t="n">
        <f aca="false">M52*$D$2</f>
        <v>207.374925</v>
      </c>
      <c r="N53" s="103" t="n">
        <f aca="false">N52*$D$2</f>
        <v>0</v>
      </c>
      <c r="O53" s="103" t="n">
        <f aca="false">O52*$D$2</f>
        <v>4.89428625</v>
      </c>
      <c r="P53" s="109" t="n">
        <f aca="false">P52*$D$2</f>
        <v>0</v>
      </c>
      <c r="Q53" s="109" t="n">
        <f aca="false">Q52*$D$2</f>
        <v>90.8606387582054</v>
      </c>
      <c r="R53" s="109" t="n">
        <f aca="false">R52*$D$2</f>
        <v>92.8835173084</v>
      </c>
      <c r="S53" s="109" t="n">
        <f aca="false">S52*$D$2</f>
        <v>0</v>
      </c>
      <c r="T53" s="109" t="n">
        <f aca="false">T52*$D$2</f>
        <v>32.1245866916</v>
      </c>
      <c r="U53" s="169" t="n">
        <f aca="false">U52*$D$2</f>
        <v>-8.49381775820544</v>
      </c>
      <c r="V53" s="93" t="n">
        <f aca="false">V52*$D$2</f>
        <v>3196.2119</v>
      </c>
      <c r="W53" s="93" t="n">
        <f aca="false">W52*$D$2</f>
        <v>0.0932245</v>
      </c>
      <c r="X53" s="93" t="n">
        <f aca="false">X52*$D$2</f>
        <v>3191.41083825</v>
      </c>
      <c r="Y53" s="93" t="n">
        <f aca="false">Y52*$D$2</f>
        <v>3191.41083825</v>
      </c>
      <c r="Z53" s="93"/>
      <c r="AA53" s="93"/>
      <c r="AB53" s="93"/>
      <c r="AC53" s="93" t="n">
        <f aca="false">AC52*$D$2</f>
        <v>917.270345346117</v>
      </c>
      <c r="AD53" s="93"/>
      <c r="AE53" s="177" t="n">
        <f aca="false">AE52*$D$2</f>
        <v>0</v>
      </c>
      <c r="AF53" s="93" t="n">
        <f aca="false">AF52*$D$2</f>
        <v>0</v>
      </c>
      <c r="AG53" s="177" t="n">
        <f aca="false">AG52*$D$2</f>
        <v>0</v>
      </c>
      <c r="AH53" s="93" t="n">
        <f aca="false">AH52*$D$2</f>
        <v>1794.86915</v>
      </c>
      <c r="AI53" s="93" t="n">
        <f aca="false">AI52*$D$2</f>
        <v>8555.54534999999</v>
      </c>
      <c r="AJ53" s="93" t="n">
        <f aca="false">AJ52*$D$2</f>
        <v>0</v>
      </c>
      <c r="AK53" s="93" t="n">
        <f aca="false">AK52*$D$2</f>
        <v>5198.5491995</v>
      </c>
      <c r="AL53" s="93" t="n">
        <f aca="false">AL52*$D$2</f>
        <v>571.2327805</v>
      </c>
      <c r="AM53" s="189" t="n">
        <f aca="false">AM52*$D$2</f>
        <v>5769.78198</v>
      </c>
      <c r="AN53" s="172" t="n">
        <f aca="false">AN52*$D$2</f>
        <v>3196.2119</v>
      </c>
      <c r="AO53" s="112" t="n">
        <f aca="false">AO52*$D$2</f>
        <v>0</v>
      </c>
      <c r="AP53" s="116"/>
      <c r="AQ53" s="116"/>
      <c r="AR53" s="116"/>
      <c r="AS53" s="116"/>
      <c r="AV53" s="117"/>
      <c r="AW53" s="118"/>
      <c r="AX53" s="190"/>
      <c r="AY53" s="190"/>
      <c r="AZ53" s="191" t="n">
        <f aca="false">AZ52*$D$2</f>
        <v>207.374925</v>
      </c>
      <c r="BA53" s="176" t="n">
        <f aca="false">BA52*$D$2</f>
        <v>10.290398</v>
      </c>
      <c r="BB53" s="161"/>
    </row>
    <row r="54" customFormat="false" ht="3" hidden="false" customHeight="true" outlineLevel="0" collapsed="false">
      <c r="A54" s="126"/>
      <c r="B54" s="165"/>
      <c r="C54" s="128"/>
      <c r="D54" s="126"/>
      <c r="E54" s="128"/>
      <c r="F54" s="129"/>
      <c r="G54" s="126"/>
      <c r="H54" s="166"/>
      <c r="I54" s="126"/>
      <c r="J54" s="126"/>
      <c r="K54" s="126"/>
      <c r="L54" s="126"/>
      <c r="M54" s="132"/>
      <c r="N54" s="126"/>
      <c r="O54" s="126"/>
      <c r="P54" s="133"/>
      <c r="Q54" s="126"/>
      <c r="R54" s="126"/>
      <c r="S54" s="126"/>
      <c r="T54" s="126"/>
      <c r="U54" s="135"/>
      <c r="V54" s="126"/>
      <c r="W54" s="126"/>
      <c r="X54" s="126"/>
      <c r="Y54" s="192"/>
      <c r="Z54" s="128"/>
      <c r="AA54" s="192"/>
      <c r="AB54" s="128"/>
      <c r="AC54" s="128"/>
      <c r="AD54" s="128"/>
      <c r="AE54" s="126"/>
      <c r="AF54" s="132"/>
      <c r="AG54" s="193"/>
      <c r="AH54" s="126"/>
      <c r="AI54" s="128"/>
      <c r="AJ54" s="128"/>
      <c r="AK54" s="126"/>
      <c r="AL54" s="126"/>
      <c r="AM54" s="126"/>
      <c r="AN54" s="194"/>
      <c r="AO54" s="192"/>
      <c r="AP54" s="126"/>
      <c r="AQ54" s="195"/>
      <c r="AR54" s="195"/>
      <c r="AS54" s="196"/>
      <c r="AT54" s="196"/>
      <c r="AU54" s="142"/>
      <c r="AV54" s="126"/>
      <c r="AW54" s="188"/>
      <c r="AX54" s="126"/>
      <c r="AY54" s="126"/>
      <c r="AZ54" s="126"/>
      <c r="BA54" s="126"/>
      <c r="BB54" s="126"/>
    </row>
    <row r="55" customFormat="false" ht="14.1" hidden="false" customHeight="true" outlineLevel="0" collapsed="false">
      <c r="A55" s="197"/>
      <c r="B55" s="198"/>
      <c r="D55" s="11"/>
      <c r="F55" s="11"/>
      <c r="G55" s="11"/>
      <c r="I55" s="11"/>
      <c r="J55" s="11"/>
      <c r="K55" s="11"/>
      <c r="L55" s="11"/>
      <c r="M55" s="11"/>
      <c r="N55" s="11"/>
      <c r="O55" s="11"/>
      <c r="Q55" s="11"/>
      <c r="R55" s="11"/>
      <c r="S55" s="11"/>
      <c r="T55" s="11"/>
      <c r="V55" s="11"/>
      <c r="W55" s="11"/>
      <c r="X55" s="11"/>
      <c r="Z55" s="2"/>
      <c r="AB55" s="2"/>
      <c r="AC55" s="2"/>
      <c r="AD55" s="2"/>
      <c r="AE55" s="11"/>
      <c r="AF55" s="11"/>
      <c r="AG55" s="11"/>
      <c r="AH55" s="11"/>
      <c r="AI55" s="2"/>
      <c r="AJ55" s="2"/>
      <c r="AK55" s="11"/>
      <c r="AL55" s="11"/>
      <c r="AN55" s="199"/>
      <c r="AO55" s="199"/>
      <c r="AU55" s="6"/>
      <c r="AX55" s="9"/>
      <c r="AY55" s="9"/>
    </row>
    <row r="56" customFormat="false" ht="11.1" hidden="false" customHeight="true" outlineLevel="0" collapsed="false">
      <c r="A56" s="11"/>
      <c r="B56" s="200"/>
      <c r="F56" s="11"/>
      <c r="G56" s="11"/>
      <c r="I56" s="12"/>
      <c r="J56" s="11"/>
      <c r="K56" s="201"/>
      <c r="L56" s="11"/>
      <c r="M56" s="11"/>
      <c r="N56" s="11"/>
      <c r="O56" s="11"/>
      <c r="Q56" s="11"/>
      <c r="R56" s="11"/>
      <c r="S56" s="11"/>
      <c r="T56" s="11"/>
      <c r="V56" s="11"/>
      <c r="W56" s="11"/>
      <c r="X56" s="11"/>
      <c r="Z56" s="2"/>
      <c r="AB56" s="2"/>
      <c r="AC56" s="2"/>
      <c r="AD56" s="2"/>
      <c r="AE56" s="11"/>
      <c r="AF56" s="11"/>
      <c r="AG56" s="11"/>
      <c r="AH56" s="11"/>
      <c r="AI56" s="2"/>
      <c r="AJ56" s="2"/>
      <c r="AK56" s="11"/>
      <c r="AL56" s="11"/>
      <c r="AN56" s="199"/>
      <c r="AO56" s="199"/>
      <c r="AU56" s="5"/>
      <c r="AX56" s="9"/>
      <c r="AY56" s="9"/>
    </row>
    <row r="57" customFormat="false" ht="11.1" hidden="false" customHeight="true" outlineLevel="0" collapsed="false">
      <c r="D57" s="2"/>
      <c r="S57" s="4"/>
      <c r="T57" s="4"/>
      <c r="X57" s="1"/>
      <c r="Z57" s="2"/>
      <c r="AB57" s="2"/>
      <c r="AC57" s="2"/>
      <c r="AD57" s="2"/>
      <c r="AF57" s="1"/>
      <c r="AG57" s="1"/>
      <c r="AH57" s="1"/>
      <c r="AI57" s="2"/>
      <c r="AJ57" s="2"/>
      <c r="AN57" s="199"/>
      <c r="AO57" s="199"/>
      <c r="AX57" s="9"/>
      <c r="AY57" s="9"/>
    </row>
    <row r="58" customFormat="false" ht="11.1" hidden="false" customHeight="true" outlineLevel="0" collapsed="false">
      <c r="B58" s="5"/>
      <c r="D58" s="2"/>
      <c r="S58" s="4"/>
      <c r="T58" s="4"/>
      <c r="X58" s="1"/>
      <c r="Z58" s="2"/>
      <c r="AB58" s="2"/>
      <c r="AC58" s="2"/>
      <c r="AD58" s="2"/>
      <c r="AF58" s="1"/>
      <c r="AG58" s="1"/>
      <c r="AH58" s="1"/>
      <c r="AI58" s="2"/>
      <c r="AJ58" s="2"/>
      <c r="AN58" s="199"/>
      <c r="AO58" s="199"/>
      <c r="AX58" s="9"/>
      <c r="AY58" s="9"/>
    </row>
    <row r="59" customFormat="false" ht="11.1" hidden="false" customHeight="true" outlineLevel="0" collapsed="false">
      <c r="G59" s="202"/>
    </row>
  </sheetData>
  <mergeCells count="2">
    <mergeCell ref="L2:S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03"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99"/>
    <col collapsed="false" customWidth="true" hidden="false" outlineLevel="0" max="23" min="22" style="58" width="5.49"/>
    <col collapsed="false" customWidth="true" hidden="false" outlineLevel="0" max="25" min="24" style="176" width="6.32"/>
    <col collapsed="false" customWidth="true" hidden="false" outlineLevel="0" max="26" min="26" style="120" width="5.49"/>
    <col collapsed="false" customWidth="true" hidden="false" outlineLevel="0" max="27" min="27" style="176" width="6.32"/>
    <col collapsed="false" customWidth="true" hidden="false" outlineLevel="0" max="28" min="28" style="120" width="5.49"/>
    <col collapsed="false" customWidth="true" hidden="false" outlineLevel="0" max="29" min="29" style="120" width="5.99"/>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58" width="5.49"/>
    <col collapsed="false" customWidth="true" hidden="false" outlineLevel="0" max="41" min="41" style="120" width="5.49"/>
    <col collapsed="false" customWidth="true" hidden="false" outlineLevel="0" max="42" min="42" style="58" width="6.32"/>
    <col collapsed="false" customWidth="true" hidden="false" outlineLevel="0" max="43" min="43" style="205" width="6.32"/>
    <col collapsed="false" customWidth="true" hidden="false" outlineLevel="0" max="44" min="44" style="205" width="5.49"/>
    <col collapsed="false" customWidth="true" hidden="false" outlineLevel="0" max="45" min="45" style="205" width="5.32"/>
    <col collapsed="false" customWidth="true" hidden="false" outlineLevel="0" max="46" min="46" style="205" width="5.82"/>
    <col collapsed="false" customWidth="true" hidden="false" outlineLevel="0" max="47" min="47" style="58" width="4.99"/>
    <col collapsed="false" customWidth="true" hidden="false" outlineLevel="0" max="48" min="48" style="203" width="5.32"/>
    <col collapsed="false" customWidth="true" hidden="false" outlineLevel="0" max="49" min="49" style="206" width="3.82"/>
    <col collapsed="false" customWidth="true" hidden="false" outlineLevel="0" max="51" min="50" style="207" width="3.82"/>
    <col collapsed="false" customWidth="true" hidden="false" outlineLevel="0" max="52" min="52" style="204" width="5.49"/>
    <col collapsed="false" customWidth="false" hidden="false" outlineLevel="0" max="257" min="53" style="208" width="9.32"/>
  </cols>
  <sheetData>
    <row r="1" customFormat="false" ht="14.1" hidden="false" customHeight="true" outlineLevel="0" collapsed="false">
      <c r="A1" s="209"/>
      <c r="B1" s="209"/>
      <c r="D1" s="209"/>
      <c r="F1" s="209"/>
      <c r="G1" s="209"/>
      <c r="H1" s="210"/>
      <c r="I1" s="209"/>
      <c r="J1" s="209"/>
      <c r="K1" s="211" t="s">
        <v>0</v>
      </c>
      <c r="L1" s="209"/>
      <c r="M1" s="209"/>
      <c r="N1" s="209"/>
      <c r="O1" s="209"/>
      <c r="Q1" s="209"/>
      <c r="R1" s="209"/>
      <c r="S1" s="209"/>
      <c r="T1" s="209"/>
      <c r="V1" s="209"/>
      <c r="W1" s="209"/>
      <c r="AD1" s="209"/>
      <c r="AE1" s="209"/>
      <c r="AF1" s="209"/>
      <c r="AG1" s="209"/>
      <c r="AI1" s="209"/>
      <c r="AJ1" s="212"/>
      <c r="AK1" s="209"/>
      <c r="AL1" s="209"/>
    </row>
    <row r="2" customFormat="false" ht="14.1" hidden="false" customHeight="true" outlineLevel="0" collapsed="false">
      <c r="A2" s="212" t="s">
        <v>1</v>
      </c>
      <c r="B2" s="209"/>
      <c r="D2" s="213" t="n">
        <v>1.9835</v>
      </c>
      <c r="F2" s="209"/>
      <c r="G2" s="209"/>
      <c r="H2" s="210"/>
      <c r="I2" s="209"/>
      <c r="J2" s="209"/>
      <c r="K2" s="214" t="s">
        <v>113</v>
      </c>
      <c r="L2" s="214"/>
      <c r="M2" s="214"/>
      <c r="N2" s="214"/>
      <c r="O2" s="214"/>
      <c r="P2" s="214"/>
      <c r="Q2" s="214"/>
      <c r="R2" s="214"/>
      <c r="S2" s="214"/>
      <c r="T2" s="214"/>
      <c r="U2" s="214"/>
      <c r="V2" s="214"/>
      <c r="W2" s="215"/>
      <c r="X2" s="97"/>
      <c r="Y2" s="97"/>
      <c r="Z2" s="216"/>
      <c r="AA2" s="97"/>
      <c r="AB2" s="216"/>
      <c r="AC2" s="216"/>
      <c r="AD2" s="215"/>
      <c r="AE2" s="209"/>
      <c r="AF2" s="209"/>
      <c r="AG2" s="209"/>
      <c r="AI2" s="209"/>
      <c r="AJ2" s="212"/>
      <c r="AK2" s="209"/>
      <c r="AL2" s="209"/>
    </row>
    <row r="3" customFormat="false" ht="14.1" hidden="false" customHeight="true" outlineLevel="0" collapsed="false">
      <c r="A3" s="217"/>
      <c r="B3" s="217"/>
      <c r="C3" s="218"/>
      <c r="D3" s="219"/>
      <c r="E3" s="218"/>
      <c r="F3" s="217"/>
      <c r="G3" s="217"/>
      <c r="H3" s="220"/>
      <c r="I3" s="217"/>
      <c r="J3" s="217"/>
      <c r="K3" s="217"/>
      <c r="L3" s="217"/>
      <c r="M3" s="217"/>
      <c r="N3" s="217"/>
      <c r="O3" s="217"/>
      <c r="P3" s="221"/>
      <c r="Q3" s="217"/>
      <c r="R3" s="217"/>
      <c r="S3" s="217"/>
      <c r="T3" s="217"/>
      <c r="U3" s="221"/>
      <c r="V3" s="217"/>
      <c r="W3" s="217"/>
      <c r="X3" s="218"/>
      <c r="Y3" s="218"/>
      <c r="Z3" s="222"/>
      <c r="AA3" s="218"/>
      <c r="AB3" s="222"/>
      <c r="AC3" s="222"/>
      <c r="AD3" s="217"/>
      <c r="AE3" s="217"/>
      <c r="AF3" s="217"/>
      <c r="AG3" s="217"/>
      <c r="AH3" s="218"/>
      <c r="AI3" s="217"/>
      <c r="AJ3" s="223"/>
      <c r="AK3" s="217"/>
      <c r="AL3" s="217"/>
      <c r="AM3" s="221"/>
      <c r="AN3" s="224"/>
      <c r="AO3" s="222"/>
      <c r="AP3" s="224"/>
      <c r="AQ3" s="225"/>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5</v>
      </c>
      <c r="Y4" s="42"/>
      <c r="Z4" s="43"/>
      <c r="AA4" s="42"/>
      <c r="AB4" s="43"/>
      <c r="AC4" s="43"/>
      <c r="AD4" s="44"/>
      <c r="AE4" s="39"/>
      <c r="AF4" s="39"/>
      <c r="AG4" s="39"/>
      <c r="AH4" s="35"/>
      <c r="AI4" s="39"/>
      <c r="AJ4" s="45"/>
      <c r="AK4" s="39"/>
      <c r="AL4" s="39"/>
      <c r="AM4" s="41"/>
      <c r="AN4" s="46"/>
      <c r="AO4" s="47"/>
      <c r="AP4" s="48" t="s">
        <v>6</v>
      </c>
      <c r="AQ4" s="49"/>
      <c r="AR4" s="50"/>
      <c r="AS4" s="51"/>
      <c r="AT4" s="52"/>
      <c r="AU4" s="52"/>
      <c r="AV4" s="54"/>
      <c r="AW4" s="55" t="s">
        <v>7</v>
      </c>
      <c r="AX4" s="56"/>
      <c r="AY4" s="230"/>
      <c r="AZ4" s="231"/>
      <c r="BA4" s="75"/>
      <c r="BB4" s="232"/>
    </row>
    <row r="5" customFormat="false" ht="12.95" hidden="false" customHeight="true" outlineLevel="0" collapsed="false">
      <c r="A5" s="60" t="s">
        <v>8</v>
      </c>
      <c r="B5" s="61" t="s">
        <v>9</v>
      </c>
      <c r="C5" s="62" t="s">
        <v>9</v>
      </c>
      <c r="D5" s="63" t="s">
        <v>10</v>
      </c>
      <c r="E5" s="62" t="s">
        <v>11</v>
      </c>
      <c r="F5" s="64" t="s">
        <v>12</v>
      </c>
      <c r="G5" s="65" t="s">
        <v>13</v>
      </c>
      <c r="H5" s="60" t="s">
        <v>14</v>
      </c>
      <c r="I5" s="60" t="s">
        <v>15</v>
      </c>
      <c r="J5" s="60" t="s">
        <v>16</v>
      </c>
      <c r="K5" s="60" t="s">
        <v>17</v>
      </c>
      <c r="L5" s="87" t="s">
        <v>16</v>
      </c>
      <c r="M5" s="233" t="s">
        <v>18</v>
      </c>
      <c r="N5" s="233"/>
      <c r="O5" s="233"/>
      <c r="P5" s="233"/>
      <c r="Q5" s="233"/>
      <c r="R5" s="233"/>
      <c r="S5" s="233"/>
      <c r="T5" s="233"/>
      <c r="U5" s="233"/>
      <c r="V5" s="65" t="s">
        <v>19</v>
      </c>
      <c r="W5" s="60" t="s">
        <v>20</v>
      </c>
      <c r="X5" s="60" t="s">
        <v>17</v>
      </c>
      <c r="Y5" s="60" t="s">
        <v>17</v>
      </c>
      <c r="Z5" s="67" t="s">
        <v>21</v>
      </c>
      <c r="AA5" s="60" t="s">
        <v>21</v>
      </c>
      <c r="AB5" s="67" t="s">
        <v>21</v>
      </c>
      <c r="AC5" s="67" t="s">
        <v>22</v>
      </c>
      <c r="AD5" s="69" t="s">
        <v>21</v>
      </c>
      <c r="AE5" s="60" t="s">
        <v>23</v>
      </c>
      <c r="AF5" s="70" t="s">
        <v>24</v>
      </c>
      <c r="AG5" s="71"/>
      <c r="AH5" s="60" t="s">
        <v>25</v>
      </c>
      <c r="AI5" s="72" t="s">
        <v>26</v>
      </c>
      <c r="AJ5" s="72" t="s">
        <v>27</v>
      </c>
      <c r="AK5" s="60" t="s">
        <v>15</v>
      </c>
      <c r="AL5" s="60" t="s">
        <v>16</v>
      </c>
      <c r="AM5" s="63" t="s">
        <v>17</v>
      </c>
      <c r="AN5" s="73" t="s">
        <v>28</v>
      </c>
      <c r="AO5" s="69" t="s">
        <v>21</v>
      </c>
      <c r="AP5" s="67" t="s">
        <v>29</v>
      </c>
      <c r="AQ5" s="74" t="s">
        <v>29</v>
      </c>
      <c r="AR5" s="69" t="s">
        <v>30</v>
      </c>
      <c r="AS5" s="75" t="s">
        <v>31</v>
      </c>
      <c r="AT5" s="75" t="s">
        <v>32</v>
      </c>
      <c r="AU5" s="76" t="s">
        <v>33</v>
      </c>
      <c r="AV5" s="77" t="s">
        <v>34</v>
      </c>
      <c r="AW5" s="78" t="s">
        <v>35</v>
      </c>
      <c r="AX5" s="78" t="s">
        <v>36</v>
      </c>
      <c r="AY5" s="234"/>
      <c r="AZ5" s="235"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115</v>
      </c>
      <c r="B6" s="61" t="s">
        <v>39</v>
      </c>
      <c r="C6" s="62"/>
      <c r="D6" s="63" t="s">
        <v>40</v>
      </c>
      <c r="E6" s="62" t="s">
        <v>41</v>
      </c>
      <c r="F6" s="64" t="s">
        <v>42</v>
      </c>
      <c r="G6" s="60" t="s">
        <v>43</v>
      </c>
      <c r="H6" s="60" t="s">
        <v>44</v>
      </c>
      <c r="I6" s="60" t="s">
        <v>45</v>
      </c>
      <c r="J6" s="60" t="s">
        <v>45</v>
      </c>
      <c r="K6" s="60" t="s">
        <v>45</v>
      </c>
      <c r="L6" s="87" t="s">
        <v>46</v>
      </c>
      <c r="M6" s="63" t="s">
        <v>47</v>
      </c>
      <c r="N6" s="63" t="s">
        <v>48</v>
      </c>
      <c r="O6" s="84" t="s">
        <v>49</v>
      </c>
      <c r="P6" s="85" t="s">
        <v>50</v>
      </c>
      <c r="Q6" s="63" t="s">
        <v>51</v>
      </c>
      <c r="R6" s="63" t="s">
        <v>52</v>
      </c>
      <c r="S6" s="63"/>
      <c r="T6" s="63" t="s">
        <v>49</v>
      </c>
      <c r="U6" s="86" t="s">
        <v>53</v>
      </c>
      <c r="V6" s="65"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72"/>
      <c r="AK6" s="60" t="s">
        <v>65</v>
      </c>
      <c r="AL6" s="60" t="s">
        <v>65</v>
      </c>
      <c r="AM6" s="63" t="s">
        <v>65</v>
      </c>
      <c r="AN6" s="73" t="s">
        <v>116</v>
      </c>
      <c r="AO6" s="69" t="s">
        <v>67</v>
      </c>
      <c r="AP6" s="67" t="s">
        <v>68</v>
      </c>
      <c r="AQ6" s="74" t="s">
        <v>68</v>
      </c>
      <c r="AR6" s="69" t="s">
        <v>69</v>
      </c>
      <c r="AS6" s="75" t="s">
        <v>70</v>
      </c>
      <c r="AT6" s="75" t="s">
        <v>71</v>
      </c>
      <c r="AU6" s="76" t="s">
        <v>72</v>
      </c>
      <c r="AV6" s="89"/>
      <c r="AW6" s="78" t="s">
        <v>73</v>
      </c>
      <c r="AX6" s="78" t="s">
        <v>73</v>
      </c>
      <c r="AY6" s="234"/>
      <c r="AZ6" s="235"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5"/>
      <c r="W7" s="60"/>
      <c r="X7" s="72" t="s">
        <v>81</v>
      </c>
      <c r="Y7" s="62" t="s">
        <v>82</v>
      </c>
      <c r="Z7" s="67" t="s">
        <v>83</v>
      </c>
      <c r="AA7" s="60" t="s">
        <v>84</v>
      </c>
      <c r="AB7" s="67" t="s">
        <v>85</v>
      </c>
      <c r="AC7" s="67"/>
      <c r="AD7" s="69"/>
      <c r="AE7" s="87"/>
      <c r="AF7" s="90" t="n">
        <v>1.7</v>
      </c>
      <c r="AG7" s="90" t="n">
        <v>1.3</v>
      </c>
      <c r="AH7" s="83"/>
      <c r="AI7" s="93"/>
      <c r="AJ7" s="72"/>
      <c r="AK7" s="60"/>
      <c r="AL7" s="60"/>
      <c r="AM7" s="63"/>
      <c r="AN7" s="73"/>
      <c r="AO7" s="69"/>
      <c r="AP7" s="67" t="s">
        <v>86</v>
      </c>
      <c r="AQ7" s="74" t="s">
        <v>87</v>
      </c>
      <c r="AR7" s="69" t="s">
        <v>88</v>
      </c>
      <c r="AS7" s="75" t="s">
        <v>89</v>
      </c>
      <c r="AT7" s="75" t="s">
        <v>90</v>
      </c>
      <c r="AU7" s="76" t="s">
        <v>81</v>
      </c>
      <c r="AV7" s="89"/>
      <c r="AW7" s="78"/>
      <c r="AX7" s="78"/>
      <c r="AY7" s="234"/>
      <c r="AZ7" s="235"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5"/>
      <c r="W8" s="60"/>
      <c r="X8" s="72" t="s">
        <v>92</v>
      </c>
      <c r="Y8" s="62" t="s">
        <v>81</v>
      </c>
      <c r="Z8" s="67"/>
      <c r="AA8" s="62" t="s">
        <v>93</v>
      </c>
      <c r="AB8" s="67" t="s">
        <v>94</v>
      </c>
      <c r="AC8" s="67"/>
      <c r="AD8" s="69"/>
      <c r="AE8" s="87"/>
      <c r="AF8" s="90"/>
      <c r="AG8" s="90"/>
      <c r="AH8" s="83"/>
      <c r="AI8" s="93"/>
      <c r="AJ8" s="72"/>
      <c r="AK8" s="60"/>
      <c r="AL8" s="60"/>
      <c r="AM8" s="63"/>
      <c r="AN8" s="73"/>
      <c r="AO8" s="69"/>
      <c r="AP8" s="67"/>
      <c r="AQ8" s="74"/>
      <c r="AR8" s="69"/>
      <c r="AS8" s="75"/>
      <c r="AT8" s="75"/>
      <c r="AU8" s="76"/>
      <c r="AV8" s="89"/>
      <c r="AW8" s="78"/>
      <c r="AX8" s="78"/>
      <c r="AY8" s="234"/>
      <c r="AZ8" s="235"/>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5"/>
      <c r="W9" s="60"/>
      <c r="X9" s="72"/>
      <c r="Y9" s="62" t="s">
        <v>92</v>
      </c>
      <c r="Z9" s="67"/>
      <c r="AA9" s="62" t="s">
        <v>92</v>
      </c>
      <c r="AB9" s="67" t="s">
        <v>95</v>
      </c>
      <c r="AC9" s="67"/>
      <c r="AD9" s="69"/>
      <c r="AE9" s="87"/>
      <c r="AF9" s="90"/>
      <c r="AG9" s="90"/>
      <c r="AH9" s="83"/>
      <c r="AI9" s="93"/>
      <c r="AJ9" s="72"/>
      <c r="AK9" s="60"/>
      <c r="AL9" s="60"/>
      <c r="AM9" s="63"/>
      <c r="AN9" s="73"/>
      <c r="AO9" s="69"/>
      <c r="AP9" s="67"/>
      <c r="AQ9" s="74"/>
      <c r="AR9" s="69"/>
      <c r="AS9" s="75"/>
      <c r="AT9" s="75"/>
      <c r="AU9" s="76"/>
      <c r="AV9" s="89"/>
      <c r="AW9" s="78"/>
      <c r="AX9" s="78"/>
      <c r="AY9" s="234"/>
      <c r="AZ9" s="235"/>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84" t="s">
        <v>42</v>
      </c>
      <c r="W10" s="63" t="s">
        <v>42</v>
      </c>
      <c r="X10" s="62" t="n">
        <v>153400</v>
      </c>
      <c r="Y10" s="62" t="n">
        <v>150400</v>
      </c>
      <c r="Z10" s="63"/>
      <c r="AA10" s="62"/>
      <c r="AB10" s="62" t="n">
        <v>72000</v>
      </c>
      <c r="AC10" s="63" t="s">
        <v>42</v>
      </c>
      <c r="AD10" s="63" t="s">
        <v>42</v>
      </c>
      <c r="AE10" s="87" t="s">
        <v>42</v>
      </c>
      <c r="AF10" s="63" t="s">
        <v>42</v>
      </c>
      <c r="AG10" s="63" t="s">
        <v>42</v>
      </c>
      <c r="AH10" s="83" t="s">
        <v>42</v>
      </c>
      <c r="AI10" s="63" t="s">
        <v>42</v>
      </c>
      <c r="AJ10" s="63" t="s">
        <v>42</v>
      </c>
      <c r="AK10" s="63" t="s">
        <v>42</v>
      </c>
      <c r="AL10" s="63" t="s">
        <v>42</v>
      </c>
      <c r="AM10" s="64" t="s">
        <v>42</v>
      </c>
      <c r="AN10" s="238" t="s">
        <v>42</v>
      </c>
      <c r="AO10" s="69" t="s">
        <v>42</v>
      </c>
      <c r="AP10" s="69" t="s">
        <v>42</v>
      </c>
      <c r="AQ10" s="74" t="s">
        <v>99</v>
      </c>
      <c r="AR10" s="69" t="s">
        <v>42</v>
      </c>
      <c r="AS10" s="69" t="s">
        <v>42</v>
      </c>
      <c r="AT10" s="69" t="s">
        <v>42</v>
      </c>
      <c r="AU10" s="69" t="s">
        <v>42</v>
      </c>
      <c r="AV10" s="89"/>
      <c r="AW10" s="78"/>
      <c r="AX10" s="78"/>
      <c r="AY10" s="234"/>
      <c r="AZ10" s="235"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5"/>
      <c r="W11" s="60"/>
      <c r="X11" s="63" t="s">
        <v>42</v>
      </c>
      <c r="Y11" s="63" t="s">
        <v>42</v>
      </c>
      <c r="Z11" s="63" t="s">
        <v>42</v>
      </c>
      <c r="AA11" s="62" t="s">
        <v>42</v>
      </c>
      <c r="AB11" s="97" t="s">
        <v>101</v>
      </c>
      <c r="AC11" s="67"/>
      <c r="AD11" s="67"/>
      <c r="AE11" s="98"/>
      <c r="AF11" s="90"/>
      <c r="AG11" s="90"/>
      <c r="AH11" s="83"/>
      <c r="AI11" s="93"/>
      <c r="AJ11" s="99"/>
      <c r="AK11" s="60"/>
      <c r="AL11" s="60"/>
      <c r="AM11" s="63"/>
      <c r="AN11" s="73"/>
      <c r="AO11" s="69"/>
      <c r="AP11" s="67"/>
      <c r="AQ11" s="74"/>
      <c r="AR11" s="74"/>
      <c r="AS11" s="100"/>
      <c r="AT11" s="100"/>
      <c r="AU11" s="100"/>
      <c r="AV11" s="89"/>
      <c r="AW11" s="78"/>
      <c r="AX11" s="78"/>
      <c r="AY11" s="234"/>
      <c r="AZ11" s="235"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241"/>
      <c r="I12" s="123"/>
      <c r="J12" s="123"/>
      <c r="K12" s="123"/>
      <c r="L12" s="123"/>
      <c r="M12" s="242"/>
      <c r="N12" s="123"/>
      <c r="O12" s="123"/>
      <c r="P12" s="186"/>
      <c r="Q12" s="123"/>
      <c r="R12" s="123"/>
      <c r="S12" s="123"/>
      <c r="T12" s="123"/>
      <c r="U12" s="243"/>
      <c r="V12" s="244"/>
      <c r="W12" s="123"/>
      <c r="X12" s="123"/>
      <c r="Y12" s="123"/>
      <c r="Z12" s="156"/>
      <c r="AA12" s="123"/>
      <c r="AB12" s="156"/>
      <c r="AC12" s="156"/>
      <c r="AD12" s="123"/>
      <c r="AE12" s="123"/>
      <c r="AF12" s="242"/>
      <c r="AG12" s="245"/>
      <c r="AH12" s="123"/>
      <c r="AI12" s="123"/>
      <c r="AJ12" s="246"/>
      <c r="AK12" s="123"/>
      <c r="AL12" s="123"/>
      <c r="AM12" s="123"/>
      <c r="AN12" s="247"/>
      <c r="AO12" s="156"/>
      <c r="AP12" s="248"/>
      <c r="AV12" s="249"/>
      <c r="AW12" s="241"/>
      <c r="AX12" s="241"/>
      <c r="AY12" s="250"/>
      <c r="AZ12" s="251"/>
      <c r="BA12" s="252"/>
      <c r="BB12" s="253"/>
    </row>
    <row r="13" s="260" customFormat="true" ht="12.95" hidden="false" customHeight="true" outlineLevel="0" collapsed="false">
      <c r="A13" s="254" t="s">
        <v>103</v>
      </c>
      <c r="B13" s="122" t="n">
        <f aca="false">NOV!B44</f>
        <v>6888.27</v>
      </c>
      <c r="C13" s="123" t="n">
        <f aca="false">NOV!C44</f>
        <v>242369</v>
      </c>
      <c r="D13" s="123" t="n">
        <f aca="false">NOV!D53</f>
        <v>-799</v>
      </c>
      <c r="E13" s="123" t="n">
        <f aca="false">NOV!E53</f>
        <v>90369</v>
      </c>
      <c r="F13" s="240" t="n">
        <f aca="false">NOV!F52</f>
        <v>-402.823292160323</v>
      </c>
      <c r="G13" s="123" t="n">
        <f aca="false">NOV!G52</f>
        <v>2263.754708848</v>
      </c>
      <c r="H13" s="241" t="n">
        <f aca="false">NOV!H52</f>
        <v>0</v>
      </c>
      <c r="I13" s="123" t="n">
        <f aca="false">NOV!I52</f>
        <v>2263.754708848</v>
      </c>
      <c r="J13" s="123" t="n">
        <f aca="false">NOV!J52</f>
        <v>242.311325938997</v>
      </c>
      <c r="K13" s="123" t="n">
        <f aca="false">NOV!K52</f>
        <v>2506.06603478699</v>
      </c>
      <c r="L13" s="123" t="n">
        <f aca="false">NOV!L52</f>
        <v>-45.6810010083185</v>
      </c>
      <c r="M13" s="242" t="n">
        <f aca="false">NOV!M52</f>
        <v>104.55</v>
      </c>
      <c r="N13" s="123" t="n">
        <f aca="false">NOV!N52</f>
        <v>0</v>
      </c>
      <c r="O13" s="123" t="n">
        <f aca="false">NOV!O52</f>
        <v>2.4675</v>
      </c>
      <c r="P13" s="123" t="n">
        <f aca="false">NOV!P52</f>
        <v>0</v>
      </c>
      <c r="Q13" s="123" t="n">
        <f aca="false">NOV!Q52</f>
        <v>45.8082373371341</v>
      </c>
      <c r="R13" s="123" t="n">
        <f aca="false">NOV!R52</f>
        <v>46.8280904</v>
      </c>
      <c r="S13" s="255" t="n">
        <f aca="false">NOV!S52</f>
        <v>0</v>
      </c>
      <c r="T13" s="255" t="n">
        <f aca="false">NOV!T52</f>
        <v>16.1959096</v>
      </c>
      <c r="U13" s="256" t="n">
        <f aca="false">NOV!U52</f>
        <v>-4.28223733713408</v>
      </c>
      <c r="V13" s="244" t="n">
        <f aca="false">NOV!V52</f>
        <v>1611.4</v>
      </c>
      <c r="W13" s="123" t="n">
        <f aca="false">NOV!W52</f>
        <v>0.047</v>
      </c>
      <c r="X13" s="123" t="n">
        <f aca="false">NOV!X52</f>
        <v>1608.9795</v>
      </c>
      <c r="Y13" s="123" t="n">
        <f aca="false">NOV!Y52</f>
        <v>1608.9795</v>
      </c>
      <c r="Z13" s="156"/>
      <c r="AA13" s="123"/>
      <c r="AB13" s="156"/>
      <c r="AC13" s="123" t="n">
        <f aca="false">NOV!AC52</f>
        <v>462.45038837717</v>
      </c>
      <c r="AD13" s="123"/>
      <c r="AE13" s="123"/>
      <c r="AF13" s="242"/>
      <c r="AG13" s="245"/>
      <c r="AH13" s="123" t="n">
        <f aca="false">NOV!AH52</f>
        <v>904.9</v>
      </c>
      <c r="AI13" s="123" t="n">
        <f aca="false">NOV!AI52</f>
        <v>4313.35787748928</v>
      </c>
      <c r="AJ13" s="123"/>
      <c r="AK13" s="123" t="n">
        <f aca="false">NOV!AK52</f>
        <v>2620.897</v>
      </c>
      <c r="AL13" s="123" t="n">
        <f aca="false">NOV!AL52</f>
        <v>287.992326947315</v>
      </c>
      <c r="AM13" s="123" t="n">
        <f aca="false">NOV!AM52</f>
        <v>2908.88932694732</v>
      </c>
      <c r="AN13" s="247" t="n">
        <f aca="false">NOV!AN52</f>
        <v>1611.4</v>
      </c>
      <c r="AO13" s="156" t="n">
        <f aca="false">NOV!AO52</f>
        <v>0</v>
      </c>
      <c r="AP13" s="123"/>
      <c r="AQ13" s="257"/>
      <c r="AR13" s="257"/>
      <c r="AS13" s="257"/>
      <c r="AT13" s="257"/>
      <c r="AU13" s="176"/>
      <c r="AV13" s="249" t="n">
        <f aca="false">NOV!AV52</f>
        <v>2.035</v>
      </c>
      <c r="AW13" s="241"/>
      <c r="AX13" s="241"/>
      <c r="AY13" s="250"/>
      <c r="AZ13" s="258" t="n">
        <f aca="false">NOV!AZ52</f>
        <v>104.55</v>
      </c>
      <c r="BA13" s="252" t="n">
        <f aca="false">NOV!BA52</f>
        <v>5.188</v>
      </c>
      <c r="BB13" s="259"/>
    </row>
    <row r="14" customFormat="false" ht="3" hidden="false" customHeight="true" outlineLevel="0" collapsed="false">
      <c r="A14" s="261"/>
      <c r="B14" s="262"/>
      <c r="C14" s="263"/>
      <c r="D14" s="264"/>
      <c r="E14" s="263"/>
      <c r="F14" s="265"/>
      <c r="G14" s="264"/>
      <c r="H14" s="266"/>
      <c r="I14" s="264"/>
      <c r="J14" s="264"/>
      <c r="K14" s="264"/>
      <c r="L14" s="264"/>
      <c r="M14" s="267"/>
      <c r="N14" s="264"/>
      <c r="O14" s="264"/>
      <c r="P14" s="268"/>
      <c r="Q14" s="264"/>
      <c r="R14" s="264"/>
      <c r="S14" s="264"/>
      <c r="T14" s="264"/>
      <c r="U14" s="269"/>
      <c r="V14" s="270"/>
      <c r="W14" s="264"/>
      <c r="X14" s="264"/>
      <c r="Y14" s="264"/>
      <c r="Z14" s="271"/>
      <c r="AA14" s="264"/>
      <c r="AB14" s="271"/>
      <c r="AC14" s="271"/>
      <c r="AD14" s="263"/>
      <c r="AE14" s="264"/>
      <c r="AF14" s="267"/>
      <c r="AG14" s="272"/>
      <c r="AH14" s="264"/>
      <c r="AI14" s="263"/>
      <c r="AJ14" s="263"/>
      <c r="AK14" s="264"/>
      <c r="AL14" s="264"/>
      <c r="AM14" s="264"/>
      <c r="AN14" s="273"/>
      <c r="AO14" s="271"/>
      <c r="AP14" s="274"/>
      <c r="AQ14" s="275"/>
      <c r="AR14" s="275"/>
      <c r="AS14" s="275"/>
      <c r="AT14" s="275"/>
      <c r="AU14" s="274"/>
      <c r="AV14" s="276"/>
      <c r="AW14" s="274"/>
      <c r="AX14" s="274"/>
      <c r="AY14" s="274"/>
      <c r="AZ14" s="274"/>
      <c r="BA14" s="274"/>
      <c r="BB14" s="274"/>
    </row>
    <row r="15" customFormat="false" ht="12.95" hidden="false" customHeight="true" outlineLevel="0" collapsed="false">
      <c r="A15" s="207" t="n">
        <v>1</v>
      </c>
      <c r="B15" s="122" t="n">
        <v>6888.27</v>
      </c>
      <c r="C15" s="123" t="n">
        <v>242369</v>
      </c>
      <c r="D15" s="241" t="n">
        <f aca="false">C15-C13</f>
        <v>0</v>
      </c>
      <c r="E15" s="123" t="n">
        <f aca="false">C15-152000</f>
        <v>90369</v>
      </c>
      <c r="F15" s="277" t="n">
        <f aca="false">D15/$D$2</f>
        <v>0</v>
      </c>
      <c r="G15" s="155" t="n">
        <v>33.85</v>
      </c>
      <c r="H15" s="278" t="n">
        <v>0</v>
      </c>
      <c r="I15" s="155" t="n">
        <f aca="false">G15+H15</f>
        <v>33.85</v>
      </c>
      <c r="J15" s="156" t="n">
        <f aca="false">IF(L15&gt;0,L15,0)</f>
        <v>0</v>
      </c>
      <c r="K15" s="155" t="n">
        <f aca="false">I15+J15</f>
        <v>33.85</v>
      </c>
      <c r="L15" s="155" t="n">
        <f aca="false">F15-(I15-AK15)</f>
        <v>0</v>
      </c>
      <c r="M15" s="279" t="n">
        <v>3.45</v>
      </c>
      <c r="N15" s="155" t="n">
        <v>0</v>
      </c>
      <c r="O15" s="155" t="n">
        <f aca="false">0*1.05</f>
        <v>0</v>
      </c>
      <c r="P15" s="186" t="n">
        <v>0</v>
      </c>
      <c r="Q15" s="151" t="n">
        <f aca="false">1105500/325851/1.9835*1.02</f>
        <v>1.74464735246074</v>
      </c>
      <c r="R15" s="151" t="n">
        <f aca="false">IF(((1.9*1.04)-T15)&gt;=4.2,4.2,(1.9*1.04)-T15)</f>
        <v>1.1899888</v>
      </c>
      <c r="S15" s="151" t="n">
        <f aca="false">IF(((1.9*1.04)-T15)&gt;=4.2,((1.9*1.04)-T15)-4.2,0)</f>
        <v>0</v>
      </c>
      <c r="T15" s="151" t="n">
        <f aca="false">(0.713*1.06)*1.04</f>
        <v>0.7860112</v>
      </c>
      <c r="U15" s="111" t="n">
        <f aca="false">M15-(Q15+R15+S15+T15)</f>
        <v>-0.270647352460741</v>
      </c>
      <c r="V15" s="280" t="n">
        <v>0</v>
      </c>
      <c r="W15" s="155" t="n">
        <v>0</v>
      </c>
      <c r="X15" s="155" t="n">
        <f aca="false">M15-N15-P15-O15-Q15-R15-S15-T15-U15+V15+W15</f>
        <v>0</v>
      </c>
      <c r="Y15" s="155" t="n">
        <f aca="false">X15-AO15</f>
        <v>0</v>
      </c>
      <c r="Z15" s="156"/>
      <c r="AA15" s="155"/>
      <c r="AB15" s="156"/>
      <c r="AC15" s="156" t="n">
        <v>27.9153638475393</v>
      </c>
      <c r="AD15" s="123"/>
      <c r="AE15" s="155" t="n">
        <v>0</v>
      </c>
      <c r="AF15" s="279"/>
      <c r="AG15" s="281"/>
      <c r="AH15" s="155" t="n">
        <v>30.4</v>
      </c>
      <c r="AI15" s="123" t="n">
        <f aca="false">AI13-AH15</f>
        <v>4282.95787748928</v>
      </c>
      <c r="AJ15" s="123"/>
      <c r="AK15" s="154" t="n">
        <f aca="false">N15+O15+P15+Q15+R15+S15+T15+U15+X15+AE15+AH15</f>
        <v>33.85</v>
      </c>
      <c r="AL15" s="155" t="n">
        <f aca="false">IF(L15&lt;0,L15*-1,0)</f>
        <v>0</v>
      </c>
      <c r="AM15" s="155" t="n">
        <f aca="false">AK15+AL15</f>
        <v>33.85</v>
      </c>
      <c r="AN15" s="159"/>
      <c r="AO15" s="156"/>
      <c r="AP15" s="248"/>
      <c r="AV15" s="249" t="n">
        <v>0.04</v>
      </c>
      <c r="AW15" s="241" t="n">
        <v>44</v>
      </c>
      <c r="AX15" s="241" t="n">
        <v>12</v>
      </c>
      <c r="AY15" s="250"/>
      <c r="AZ15" s="282" t="n">
        <f aca="false">SUM(N15,P15:U15)</f>
        <v>3.45</v>
      </c>
      <c r="BA15" s="0" t="n">
        <v>0.162</v>
      </c>
      <c r="BB15" s="283" t="n">
        <v>18732</v>
      </c>
    </row>
    <row r="16" customFormat="false" ht="12.95" hidden="false" customHeight="true" outlineLevel="0" collapsed="false">
      <c r="A16" s="207" t="n">
        <f aca="false">A15+1</f>
        <v>2</v>
      </c>
      <c r="B16" s="122" t="n">
        <v>6888.25</v>
      </c>
      <c r="C16" s="123" t="n">
        <v>242302</v>
      </c>
      <c r="D16" s="241" t="n">
        <f aca="false">C16-C15</f>
        <v>-67</v>
      </c>
      <c r="E16" s="123" t="n">
        <f aca="false">C16-152000</f>
        <v>90302</v>
      </c>
      <c r="F16" s="277" t="n">
        <f aca="false">D16/$D$2</f>
        <v>-33.7786740610033</v>
      </c>
      <c r="G16" s="155" t="n">
        <v>0.681325938996721</v>
      </c>
      <c r="H16" s="278" t="n">
        <v>0</v>
      </c>
      <c r="I16" s="155" t="n">
        <f aca="false">G16+H16</f>
        <v>0.681325938996721</v>
      </c>
      <c r="J16" s="156" t="n">
        <f aca="false">IF(L16&gt;0,L16,0)</f>
        <v>0</v>
      </c>
      <c r="K16" s="155" t="n">
        <f aca="false">I16+J16</f>
        <v>0.681325938996721</v>
      </c>
      <c r="L16" s="155" t="n">
        <f aca="false">F16-(I16-AK16)</f>
        <v>0</v>
      </c>
      <c r="M16" s="279" t="n">
        <v>4.06</v>
      </c>
      <c r="N16" s="155" t="n">
        <v>0</v>
      </c>
      <c r="O16" s="155" t="n">
        <f aca="false">0*1.05</f>
        <v>0</v>
      </c>
      <c r="P16" s="186" t="n">
        <v>0</v>
      </c>
      <c r="Q16" s="151" t="n">
        <f aca="false">1004700/325851/1.9835*1.02</f>
        <v>1.58556960200571</v>
      </c>
      <c r="R16" s="151" t="n">
        <f aca="false">IF(((2*1.04)-T16)&gt;=4.2,4.2,(2*1.04)-T16)</f>
        <v>1.2939888</v>
      </c>
      <c r="S16" s="151" t="n">
        <f aca="false">IF(((2*1.04)-T16)&gt;=4.2,((2*1.04)-T16)-4.2,0)</f>
        <v>0</v>
      </c>
      <c r="T16" s="151" t="n">
        <f aca="false">(0.713*1.06)*1.04</f>
        <v>0.7860112</v>
      </c>
      <c r="U16" s="111" t="n">
        <f aca="false">M16-(Q16+R16+S16+T16)</f>
        <v>0.394430397994294</v>
      </c>
      <c r="V16" s="280" t="n">
        <v>0</v>
      </c>
      <c r="W16" s="155" t="n">
        <v>0</v>
      </c>
      <c r="X16" s="155" t="n">
        <f aca="false">M16-N16-P16-O16-Q16-R16-S16-T16-U16+V16+W16</f>
        <v>0</v>
      </c>
      <c r="Y16" s="155" t="n">
        <f aca="false">X16-AO16</f>
        <v>0</v>
      </c>
      <c r="Z16" s="156"/>
      <c r="AA16" s="155"/>
      <c r="AB16" s="156"/>
      <c r="AC16" s="156" t="n">
        <v>0</v>
      </c>
      <c r="AD16" s="123"/>
      <c r="AE16" s="155" t="n">
        <v>0</v>
      </c>
      <c r="AF16" s="279"/>
      <c r="AG16" s="281"/>
      <c r="AH16" s="155" t="n">
        <v>30.4</v>
      </c>
      <c r="AI16" s="123" t="n">
        <f aca="false">AI15-AH16</f>
        <v>4252.55787748928</v>
      </c>
      <c r="AJ16" s="123"/>
      <c r="AK16" s="154" t="n">
        <f aca="false">N16+O16+P16+Q16+R16+S16+T16+U16+X16+AE16+AH16</f>
        <v>34.46</v>
      </c>
      <c r="AL16" s="155" t="n">
        <f aca="false">IF(L16&lt;0,L16*-1,0)</f>
        <v>0</v>
      </c>
      <c r="AM16" s="155" t="n">
        <f aca="false">AK16+AL16</f>
        <v>34.46</v>
      </c>
      <c r="AN16" s="159"/>
      <c r="AO16" s="156"/>
      <c r="AP16" s="248"/>
      <c r="AV16" s="249" t="n">
        <v>0</v>
      </c>
      <c r="AW16" s="241" t="n">
        <v>48</v>
      </c>
      <c r="AX16" s="241" t="n">
        <v>14</v>
      </c>
      <c r="AY16" s="250"/>
      <c r="AZ16" s="282" t="n">
        <f aca="false">SUM(N16,P16:U16)</f>
        <v>4.06</v>
      </c>
      <c r="BA16" s="0" t="n">
        <v>0.162</v>
      </c>
      <c r="BB16" s="283" t="n">
        <v>18758</v>
      </c>
    </row>
    <row r="17" customFormat="false" ht="12.95" hidden="false" customHeight="true" outlineLevel="0" collapsed="false">
      <c r="A17" s="207" t="n">
        <f aca="false">A16+1</f>
        <v>3</v>
      </c>
      <c r="B17" s="122" t="n">
        <v>6888.25</v>
      </c>
      <c r="C17" s="123" t="n">
        <v>242302</v>
      </c>
      <c r="D17" s="241" t="n">
        <f aca="false">C17-C16</f>
        <v>0</v>
      </c>
      <c r="E17" s="123" t="n">
        <f aca="false">C17-152000</f>
        <v>90302</v>
      </c>
      <c r="F17" s="277" t="n">
        <f aca="false">D17/$D$2</f>
        <v>0</v>
      </c>
      <c r="G17" s="280" t="n">
        <v>34.26</v>
      </c>
      <c r="H17" s="278" t="n">
        <v>0</v>
      </c>
      <c r="I17" s="155" t="n">
        <f aca="false">G17+H17</f>
        <v>34.26</v>
      </c>
      <c r="J17" s="156" t="n">
        <f aca="false">IF(L17&gt;0,L17,0)</f>
        <v>0</v>
      </c>
      <c r="K17" s="155" t="n">
        <f aca="false">I17+J17</f>
        <v>34.26</v>
      </c>
      <c r="L17" s="155" t="n">
        <f aca="false">F17-(I17-AK17)</f>
        <v>0</v>
      </c>
      <c r="M17" s="279" t="n">
        <v>4.06</v>
      </c>
      <c r="N17" s="155" t="n">
        <v>0</v>
      </c>
      <c r="O17" s="155" t="n">
        <f aca="false">0*1.05</f>
        <v>0</v>
      </c>
      <c r="P17" s="186" t="n">
        <v>0</v>
      </c>
      <c r="Q17" s="151" t="n">
        <f aca="false">1008100/325851/1.9835*1.02</f>
        <v>1.59093531977899</v>
      </c>
      <c r="R17" s="151" t="n">
        <f aca="false">IF(((1.9*1.04)-T17)&gt;=4.2,4.2,(1.9*1.04)-T17)</f>
        <v>1.1899888</v>
      </c>
      <c r="S17" s="151" t="n">
        <f aca="false">IF(((1.9*1.04)-T17)&gt;=4.2,((1.9*1.04)-T17)-4.2,0)</f>
        <v>0</v>
      </c>
      <c r="T17" s="151" t="n">
        <f aca="false">(0.713*1.06)*1.04</f>
        <v>0.7860112</v>
      </c>
      <c r="U17" s="111" t="n">
        <f aca="false">M17-(Q17+R17+S17+T17)</f>
        <v>0.49306468022101</v>
      </c>
      <c r="V17" s="280" t="n">
        <v>0</v>
      </c>
      <c r="W17" s="155" t="n">
        <v>0</v>
      </c>
      <c r="X17" s="155" t="n">
        <f aca="false">M17-N17-P17-O17-Q17-R17-S17-T17-U17+V17+W17</f>
        <v>0</v>
      </c>
      <c r="Y17" s="155" t="n">
        <f aca="false">X17-AO17</f>
        <v>0</v>
      </c>
      <c r="Z17" s="156"/>
      <c r="AA17" s="155"/>
      <c r="AB17" s="156"/>
      <c r="AC17" s="156" t="n">
        <v>28.479075880221</v>
      </c>
      <c r="AD17" s="123"/>
      <c r="AE17" s="155" t="n">
        <v>0</v>
      </c>
      <c r="AF17" s="279"/>
      <c r="AG17" s="281"/>
      <c r="AH17" s="155" t="n">
        <v>30.2</v>
      </c>
      <c r="AI17" s="123" t="n">
        <f aca="false">AI16-AH17</f>
        <v>4222.35787748928</v>
      </c>
      <c r="AJ17" s="123"/>
      <c r="AK17" s="154" t="n">
        <f aca="false">N17+O17+P17+Q17+R17+S17+T17+U17+X17+AE17+AH17</f>
        <v>34.26</v>
      </c>
      <c r="AL17" s="155" t="n">
        <f aca="false">IF(L17&lt;0,L17*-1,0)</f>
        <v>0</v>
      </c>
      <c r="AM17" s="155" t="n">
        <f aca="false">AK17+AL17</f>
        <v>34.26</v>
      </c>
      <c r="AN17" s="159"/>
      <c r="AO17" s="156"/>
      <c r="AP17" s="248"/>
      <c r="AV17" s="249" t="n">
        <v>0</v>
      </c>
      <c r="AW17" s="241" t="n">
        <v>52</v>
      </c>
      <c r="AX17" s="241" t="n">
        <v>21</v>
      </c>
      <c r="AY17" s="250"/>
      <c r="AZ17" s="282" t="n">
        <f aca="false">SUM(N17,P17:U17)</f>
        <v>4.06</v>
      </c>
      <c r="BA17" s="0" t="n">
        <v>0.162</v>
      </c>
      <c r="BB17" s="283" t="n">
        <v>18808</v>
      </c>
    </row>
    <row r="18" customFormat="false" ht="12.95" hidden="false" customHeight="true" outlineLevel="0" collapsed="false">
      <c r="A18" s="207" t="n">
        <f aca="false">A17+1</f>
        <v>4</v>
      </c>
      <c r="B18" s="122" t="n">
        <v>6888.26</v>
      </c>
      <c r="C18" s="123" t="n">
        <v>242335</v>
      </c>
      <c r="D18" s="241" t="n">
        <f aca="false">C18-C17</f>
        <v>33</v>
      </c>
      <c r="E18" s="123" t="n">
        <f aca="false">C18-152000</f>
        <v>90335</v>
      </c>
      <c r="F18" s="277" t="n">
        <f aca="false">D18/$D$2</f>
        <v>16.63725737333</v>
      </c>
      <c r="G18" s="280" t="n">
        <v>50.99725737333</v>
      </c>
      <c r="H18" s="278" t="n">
        <v>0</v>
      </c>
      <c r="I18" s="155" t="n">
        <f aca="false">G18+H18</f>
        <v>50.99725737333</v>
      </c>
      <c r="J18" s="156" t="n">
        <f aca="false">IF(L18&gt;0,L18,0)</f>
        <v>0</v>
      </c>
      <c r="K18" s="155" t="n">
        <f aca="false">I18+J18</f>
        <v>50.99725737333</v>
      </c>
      <c r="L18" s="155" t="n">
        <f aca="false">F18-(I18-AK18)</f>
        <v>0</v>
      </c>
      <c r="M18" s="279" t="n">
        <v>4.06</v>
      </c>
      <c r="N18" s="155" t="n">
        <v>0</v>
      </c>
      <c r="O18" s="155" t="n">
        <f aca="false">0*1.05</f>
        <v>0</v>
      </c>
      <c r="P18" s="186" t="n">
        <v>0</v>
      </c>
      <c r="Q18" s="151" t="n">
        <f aca="false">1042800/325851/1.9835*1.02</f>
        <v>1.64569720411222</v>
      </c>
      <c r="R18" s="151" t="n">
        <f aca="false">IF(((2*1.04)-T18)&gt;=4.2,4.2,(2*1.04)-T18)</f>
        <v>1.53673728</v>
      </c>
      <c r="S18" s="151" t="n">
        <f aca="false">IF(((2*1.04)-T18)&gt;=4.2,((2*1.04)-T18)-4.2,0)</f>
        <v>0</v>
      </c>
      <c r="T18" s="151" t="n">
        <f aca="false">(0.4928*1.06)*1.04</f>
        <v>0.54326272</v>
      </c>
      <c r="U18" s="111" t="n">
        <f aca="false">M18-(Q18+R18+S18+T18)</f>
        <v>0.334302795887778</v>
      </c>
      <c r="V18" s="280" t="n">
        <v>0</v>
      </c>
      <c r="W18" s="155" t="n">
        <v>0</v>
      </c>
      <c r="X18" s="155" t="n">
        <f aca="false">M18-N18-P18-O18-Q18-R18-S18-T18-U18+V18+W18</f>
        <v>0</v>
      </c>
      <c r="Y18" s="155" t="n">
        <f aca="false">X18-AO18</f>
        <v>0</v>
      </c>
      <c r="Z18" s="156"/>
      <c r="AA18" s="155"/>
      <c r="AB18" s="156"/>
      <c r="AC18" s="156" t="n">
        <v>44.8148228892178</v>
      </c>
      <c r="AD18" s="123"/>
      <c r="AE18" s="155" t="n">
        <v>0</v>
      </c>
      <c r="AF18" s="279"/>
      <c r="AG18" s="281"/>
      <c r="AH18" s="155" t="n">
        <v>30.3</v>
      </c>
      <c r="AI18" s="123" t="n">
        <f aca="false">AI17-AH18</f>
        <v>4192.05787748928</v>
      </c>
      <c r="AJ18" s="123"/>
      <c r="AK18" s="154" t="n">
        <f aca="false">N18+O18+P18+Q18+R18+S18+T18+U18+X18+AE18+AH18</f>
        <v>34.36</v>
      </c>
      <c r="AL18" s="155" t="n">
        <f aca="false">IF(L18&lt;0,L18*-1,0)</f>
        <v>0</v>
      </c>
      <c r="AM18" s="155" t="n">
        <f aca="false">AK18+AL18</f>
        <v>34.36</v>
      </c>
      <c r="AN18" s="159"/>
      <c r="AO18" s="156"/>
      <c r="AP18" s="248"/>
      <c r="AV18" s="249" t="n">
        <v>0</v>
      </c>
      <c r="AW18" s="241" t="n">
        <v>56</v>
      </c>
      <c r="AX18" s="241" t="n">
        <v>27</v>
      </c>
      <c r="AY18" s="250"/>
      <c r="AZ18" s="282" t="n">
        <f aca="false">SUM(N18,P18:U18)</f>
        <v>4.06</v>
      </c>
      <c r="BA18" s="0" t="n">
        <v>0.221</v>
      </c>
      <c r="BB18" s="283" t="n">
        <v>18772</v>
      </c>
    </row>
    <row r="19" customFormat="false" ht="12.95" hidden="false" customHeight="true" outlineLevel="0" collapsed="false">
      <c r="A19" s="207" t="n">
        <f aca="false">A18+1</f>
        <v>5</v>
      </c>
      <c r="B19" s="122" t="n">
        <v>6888.31</v>
      </c>
      <c r="C19" s="123" t="n">
        <v>242502</v>
      </c>
      <c r="D19" s="241" t="n">
        <f aca="false">C19-C18</f>
        <v>167</v>
      </c>
      <c r="E19" s="123" t="n">
        <f aca="false">C19-152000</f>
        <v>90502</v>
      </c>
      <c r="F19" s="277" t="n">
        <f aca="false">D19/$D$2</f>
        <v>84.1946054953365</v>
      </c>
      <c r="G19" s="280" t="n">
        <v>118.164605495337</v>
      </c>
      <c r="H19" s="278" t="n">
        <v>0</v>
      </c>
      <c r="I19" s="155" t="n">
        <f aca="false">G19+H19</f>
        <v>118.164605495337</v>
      </c>
      <c r="J19" s="156" t="n">
        <f aca="false">IF(L19&gt;0,L19,0)</f>
        <v>0</v>
      </c>
      <c r="K19" s="155" t="n">
        <f aca="false">I19+J19</f>
        <v>118.164605495337</v>
      </c>
      <c r="L19" s="155" t="n">
        <f aca="false">F19-(I19-AK19)</f>
        <v>0</v>
      </c>
      <c r="M19" s="279" t="n">
        <v>3.37</v>
      </c>
      <c r="N19" s="155" t="n">
        <v>0</v>
      </c>
      <c r="O19" s="155" t="n">
        <f aca="false">0*1.05</f>
        <v>0</v>
      </c>
      <c r="P19" s="186" t="n">
        <v>0</v>
      </c>
      <c r="Q19" s="151" t="n">
        <f aca="false">975300/325851/1.9835*1.02</f>
        <v>1.53917192478965</v>
      </c>
      <c r="R19" s="151" t="n">
        <f aca="false">IF(((2*1.04)-T19)&gt;=4.2,4.2,(2*1.04)-T19)</f>
        <v>1.53673728</v>
      </c>
      <c r="S19" s="151" t="n">
        <f aca="false">IF(((2*1.04)-T19)&gt;=4.2,((2*1.04)-T19)-4.2,0)</f>
        <v>0</v>
      </c>
      <c r="T19" s="151" t="n">
        <f aca="false">(0.4928*1.06)*1.04</f>
        <v>0.54326272</v>
      </c>
      <c r="U19" s="111" t="n">
        <f aca="false">M19-(Q19+R19+S19+T19)</f>
        <v>-0.249171924789653</v>
      </c>
      <c r="V19" s="280" t="n">
        <v>0</v>
      </c>
      <c r="W19" s="155" t="n">
        <v>0</v>
      </c>
      <c r="X19" s="155" t="n">
        <f aca="false">M19-N19-P19-O19-Q19-R19-S19-T19-U19+V19+W19</f>
        <v>0</v>
      </c>
      <c r="Y19" s="155" t="n">
        <f aca="false">X19-AO19</f>
        <v>0</v>
      </c>
      <c r="Z19" s="156"/>
      <c r="AA19" s="155"/>
      <c r="AB19" s="156"/>
      <c r="AC19" s="156" t="n">
        <v>112.088696290547</v>
      </c>
      <c r="AD19" s="123"/>
      <c r="AE19" s="155" t="n">
        <v>0</v>
      </c>
      <c r="AF19" s="279"/>
      <c r="AG19" s="281"/>
      <c r="AH19" s="155" t="n">
        <v>30.6</v>
      </c>
      <c r="AI19" s="123" t="n">
        <f aca="false">AI18-AH19</f>
        <v>4161.45787748928</v>
      </c>
      <c r="AJ19" s="123"/>
      <c r="AK19" s="154" t="n">
        <f aca="false">N19+O19+P19+Q19+R19+S19+T19+U19+X19+AE19+AH19</f>
        <v>33.97</v>
      </c>
      <c r="AL19" s="155" t="n">
        <f aca="false">IF(L19&lt;0,L19*-1,0)</f>
        <v>0</v>
      </c>
      <c r="AM19" s="155" t="n">
        <f aca="false">AK19+AL19</f>
        <v>33.97</v>
      </c>
      <c r="AN19" s="159"/>
      <c r="AO19" s="156"/>
      <c r="AP19" s="248"/>
      <c r="AV19" s="249" t="n">
        <v>0.01</v>
      </c>
      <c r="AW19" s="241" t="n">
        <v>48</v>
      </c>
      <c r="AX19" s="241" t="n">
        <v>21</v>
      </c>
      <c r="AY19" s="250"/>
      <c r="AZ19" s="282" t="n">
        <f aca="false">SUM(N19,P19:U19)</f>
        <v>3.37</v>
      </c>
      <c r="BA19" s="0" t="n">
        <v>0.487</v>
      </c>
      <c r="BB19" s="283" t="n">
        <v>18775</v>
      </c>
    </row>
    <row r="20" customFormat="false" ht="12.95" hidden="false" customHeight="true" outlineLevel="0" collapsed="false">
      <c r="A20" s="207" t="n">
        <f aca="false">A19+1</f>
        <v>6</v>
      </c>
      <c r="B20" s="122" t="n">
        <v>6888.32</v>
      </c>
      <c r="C20" s="123" t="n">
        <v>242535</v>
      </c>
      <c r="D20" s="241" t="n">
        <f aca="false">C20-C19</f>
        <v>33</v>
      </c>
      <c r="E20" s="123" t="n">
        <f aca="false">C20-152000</f>
        <v>90535</v>
      </c>
      <c r="F20" s="277" t="n">
        <f aca="false">D20/$D$2</f>
        <v>16.63725737333</v>
      </c>
      <c r="G20" s="280" t="n">
        <v>51.38725737333</v>
      </c>
      <c r="H20" s="278" t="n">
        <v>0</v>
      </c>
      <c r="I20" s="155" t="n">
        <f aca="false">G20+H20</f>
        <v>51.38725737333</v>
      </c>
      <c r="J20" s="156" t="n">
        <f aca="false">IF(L20&gt;0,L20,0)</f>
        <v>0</v>
      </c>
      <c r="K20" s="155" t="n">
        <f aca="false">I20+J20</f>
        <v>51.38725737333</v>
      </c>
      <c r="L20" s="155" t="n">
        <f aca="false">F20-(I20-AK20)</f>
        <v>0</v>
      </c>
      <c r="M20" s="279" t="n">
        <v>4.15</v>
      </c>
      <c r="N20" s="155" t="n">
        <v>0</v>
      </c>
      <c r="O20" s="155" t="n">
        <f aca="false">0*1.05</f>
        <v>0</v>
      </c>
      <c r="P20" s="186" t="n">
        <v>0</v>
      </c>
      <c r="Q20" s="151" t="n">
        <f aca="false">1092700/325851/1.9835*1.02</f>
        <v>1.72444700319661</v>
      </c>
      <c r="R20" s="151" t="n">
        <f aca="false">IF(((2.2*1.04)-T20)&gt;=4.2,4.2,(2.2*1.04)-T20)</f>
        <v>1.74473728</v>
      </c>
      <c r="S20" s="151" t="n">
        <f aca="false">IF(((2.2*1.04)-T20)&gt;=4.2,((2.2*1.04)-T20)-4.2,0)</f>
        <v>0</v>
      </c>
      <c r="T20" s="151" t="n">
        <f aca="false">(0.4928*1.06)*1.04</f>
        <v>0.54326272</v>
      </c>
      <c r="U20" s="111" t="n">
        <f aca="false">M20-(Q20+R20+S20+T20)</f>
        <v>0.13755299680339</v>
      </c>
      <c r="V20" s="280" t="n">
        <v>0</v>
      </c>
      <c r="W20" s="155" t="n">
        <v>0</v>
      </c>
      <c r="X20" s="155" t="n">
        <f aca="false">M20-N20-P20-O20-Q20-R20-S20-T20-U20+V20+W20</f>
        <v>0</v>
      </c>
      <c r="Y20" s="155" t="n">
        <f aca="false">X20-AO20</f>
        <v>0</v>
      </c>
      <c r="Z20" s="156"/>
      <c r="AA20" s="155"/>
      <c r="AB20" s="156"/>
      <c r="AC20" s="156" t="n">
        <v>0</v>
      </c>
      <c r="AD20" s="123"/>
      <c r="AE20" s="155" t="n">
        <v>0</v>
      </c>
      <c r="AF20" s="279"/>
      <c r="AG20" s="281"/>
      <c r="AH20" s="155" t="n">
        <v>30.6</v>
      </c>
      <c r="AI20" s="123" t="n">
        <f aca="false">AI19-AH20</f>
        <v>4130.85787748928</v>
      </c>
      <c r="AJ20" s="123"/>
      <c r="AK20" s="154" t="n">
        <f aca="false">N20+O20+P20+Q20+R20+S20+T20+U20+X20+AE20+AH20</f>
        <v>34.75</v>
      </c>
      <c r="AL20" s="155" t="n">
        <f aca="false">IF(L20&lt;0,L20*-1,0)</f>
        <v>0</v>
      </c>
      <c r="AM20" s="155" t="n">
        <f aca="false">AK20+AL20</f>
        <v>34.75</v>
      </c>
      <c r="AN20" s="159"/>
      <c r="AO20" s="156"/>
      <c r="AP20" s="248"/>
      <c r="AV20" s="249" t="n">
        <v>0</v>
      </c>
      <c r="AW20" s="241" t="n">
        <v>51</v>
      </c>
      <c r="AX20" s="241" t="n">
        <v>21</v>
      </c>
      <c r="AY20" s="250"/>
      <c r="AZ20" s="282" t="n">
        <f aca="false">SUM(N20,P20:U20)</f>
        <v>4.15</v>
      </c>
      <c r="BA20" s="0" t="n">
        <v>0.487</v>
      </c>
      <c r="BB20" s="283" t="n">
        <v>18746</v>
      </c>
    </row>
    <row r="21" customFormat="false" ht="12.95" hidden="false" customHeight="true" outlineLevel="0" collapsed="false">
      <c r="A21" s="207" t="n">
        <f aca="false">A20+1</f>
        <v>7</v>
      </c>
      <c r="B21" s="122" t="n">
        <v>6888.32</v>
      </c>
      <c r="C21" s="123" t="n">
        <v>242535</v>
      </c>
      <c r="D21" s="241" t="n">
        <f aca="false">C21-C20</f>
        <v>0</v>
      </c>
      <c r="E21" s="123" t="n">
        <f aca="false">C21-152000</f>
        <v>90535</v>
      </c>
      <c r="F21" s="277" t="n">
        <f aca="false">D21/$D$2</f>
        <v>0</v>
      </c>
      <c r="G21" s="280" t="n">
        <v>34.99</v>
      </c>
      <c r="H21" s="278" t="n">
        <v>0</v>
      </c>
      <c r="I21" s="155" t="n">
        <f aca="false">G21+H21</f>
        <v>34.99</v>
      </c>
      <c r="J21" s="156" t="n">
        <f aca="false">IF(L21&gt;0,L21,0)</f>
        <v>0</v>
      </c>
      <c r="K21" s="155" t="n">
        <f aca="false">I21+J21</f>
        <v>34.99</v>
      </c>
      <c r="L21" s="155" t="n">
        <f aca="false">F21-(I21-AK21)</f>
        <v>0</v>
      </c>
      <c r="M21" s="279" t="n">
        <v>4.29</v>
      </c>
      <c r="N21" s="155" t="n">
        <v>0</v>
      </c>
      <c r="O21" s="155" t="n">
        <f aca="false">0*1.05</f>
        <v>0</v>
      </c>
      <c r="P21" s="186" t="n">
        <v>0</v>
      </c>
      <c r="Q21" s="151" t="n">
        <f aca="false">1020600/325851/1.9835*1.02</f>
        <v>1.61066222335724</v>
      </c>
      <c r="R21" s="151" t="n">
        <f aca="false">IF(((2.3*1.04)-T21)&gt;=4.2,4.2,(2.3*1.04)-T21)</f>
        <v>1.84873728</v>
      </c>
      <c r="S21" s="151" t="n">
        <f aca="false">IF(((2.3*1.04)-T21)&gt;=4.2,((2.3*1.04)-T21)-4.2,0)</f>
        <v>0</v>
      </c>
      <c r="T21" s="151" t="n">
        <f aca="false">(0.4928*1.06)*1.04</f>
        <v>0.54326272</v>
      </c>
      <c r="U21" s="111" t="n">
        <f aca="false">M21-(Q21+R21+S21+T21)</f>
        <v>0.287337776642756</v>
      </c>
      <c r="V21" s="280" t="n">
        <v>0</v>
      </c>
      <c r="W21" s="155" t="n">
        <v>0</v>
      </c>
      <c r="X21" s="155" t="n">
        <f aca="false">M21-N21-P21-O21-Q21-R21-S21-T21-U21+V21+W21</f>
        <v>0</v>
      </c>
      <c r="Y21" s="155" t="n">
        <f aca="false">X21-AO21</f>
        <v>0</v>
      </c>
      <c r="Z21" s="156"/>
      <c r="AA21" s="155"/>
      <c r="AB21" s="156"/>
      <c r="AC21" s="156" t="n">
        <v>28.5306004966428</v>
      </c>
      <c r="AD21" s="123"/>
      <c r="AE21" s="155" t="n">
        <v>0</v>
      </c>
      <c r="AF21" s="279"/>
      <c r="AG21" s="281"/>
      <c r="AH21" s="155" t="n">
        <v>30.7</v>
      </c>
      <c r="AI21" s="123" t="n">
        <f aca="false">AI20-AH21</f>
        <v>4100.15787748928</v>
      </c>
      <c r="AJ21" s="123"/>
      <c r="AK21" s="154" t="n">
        <f aca="false">N21+O21+P21+Q21+R21+S21+T21+U21+X21+AE21+AH21</f>
        <v>34.99</v>
      </c>
      <c r="AL21" s="155" t="n">
        <f aca="false">IF(L21&lt;0,L21*-1,0)</f>
        <v>0</v>
      </c>
      <c r="AM21" s="155" t="n">
        <f aca="false">AK21+AL21</f>
        <v>34.99</v>
      </c>
      <c r="AN21" s="159"/>
      <c r="AO21" s="156"/>
      <c r="AP21" s="248"/>
      <c r="AV21" s="249" t="n">
        <v>0</v>
      </c>
      <c r="AW21" s="241" t="n">
        <v>58</v>
      </c>
      <c r="AX21" s="241" t="n">
        <v>23</v>
      </c>
      <c r="AY21" s="250"/>
      <c r="AZ21" s="282" t="n">
        <f aca="false">SUM(N21,P21:U21)</f>
        <v>4.29</v>
      </c>
      <c r="BA21" s="0" t="n">
        <v>0.487</v>
      </c>
      <c r="BB21" s="283" t="n">
        <v>18665</v>
      </c>
    </row>
    <row r="22" customFormat="false" ht="12.95" hidden="false" customHeight="true" outlineLevel="0" collapsed="false">
      <c r="A22" s="207" t="n">
        <f aca="false">A21+1</f>
        <v>8</v>
      </c>
      <c r="B22" s="122" t="n">
        <v>6888.32</v>
      </c>
      <c r="C22" s="123" t="n">
        <v>242535</v>
      </c>
      <c r="D22" s="241" t="n">
        <f aca="false">C22-C21</f>
        <v>0</v>
      </c>
      <c r="E22" s="123" t="n">
        <f aca="false">C22-152000</f>
        <v>90535</v>
      </c>
      <c r="F22" s="277" t="n">
        <f aca="false">D22/$D$2</f>
        <v>0</v>
      </c>
      <c r="G22" s="155" t="n">
        <v>33.911</v>
      </c>
      <c r="H22" s="278" t="n">
        <v>0.049</v>
      </c>
      <c r="I22" s="155" t="n">
        <f aca="false">G22+H22</f>
        <v>33.96</v>
      </c>
      <c r="J22" s="156" t="n">
        <f aca="false">IF(L22&gt;0,L22,0)</f>
        <v>0</v>
      </c>
      <c r="K22" s="155" t="n">
        <f aca="false">I22+J22</f>
        <v>33.96</v>
      </c>
      <c r="L22" s="155" t="n">
        <f aca="false">F22-(I22-AK22)</f>
        <v>0</v>
      </c>
      <c r="M22" s="279" t="n">
        <v>3.46</v>
      </c>
      <c r="N22" s="155" t="n">
        <v>0</v>
      </c>
      <c r="O22" s="155" t="n">
        <f aca="false">0*1.05</f>
        <v>0</v>
      </c>
      <c r="P22" s="186" t="n">
        <v>0</v>
      </c>
      <c r="Q22" s="151" t="n">
        <f aca="false">832000/325851/1.9835*1.02</f>
        <v>1.31302270216855</v>
      </c>
      <c r="R22" s="151" t="n">
        <f aca="false">IF(((2.3*1.04)-T22)&gt;=4.2,4.2,(2.3*1.04)-T22)</f>
        <v>1.84873728</v>
      </c>
      <c r="S22" s="151" t="n">
        <f aca="false">IF(((2.3*1.04)-T22)&gt;=4.2,((2.3*1.04)-T22)-4.2,0)</f>
        <v>0</v>
      </c>
      <c r="T22" s="151" t="n">
        <f aca="false">(0.4928*1.06)*1.04</f>
        <v>0.54326272</v>
      </c>
      <c r="U22" s="111" t="n">
        <f aca="false">M22-(Q22+R22+S22+T22)</f>
        <v>-0.245022702168554</v>
      </c>
      <c r="V22" s="280" t="n">
        <v>0</v>
      </c>
      <c r="W22" s="155" t="n">
        <v>0</v>
      </c>
      <c r="X22" s="155" t="n">
        <f aca="false">M22-N22-P22-O22-Q22-R22-S22-T22-U22+V22+W22</f>
        <v>0</v>
      </c>
      <c r="Y22" s="155" t="n">
        <f aca="false">X22-AO22</f>
        <v>0</v>
      </c>
      <c r="Z22" s="156"/>
      <c r="AA22" s="155"/>
      <c r="AB22" s="156"/>
      <c r="AC22" s="156" t="n">
        <v>27.7492400178314</v>
      </c>
      <c r="AD22" s="123"/>
      <c r="AE22" s="155" t="n">
        <v>0</v>
      </c>
      <c r="AF22" s="279"/>
      <c r="AG22" s="281"/>
      <c r="AH22" s="155" t="n">
        <v>30.5</v>
      </c>
      <c r="AI22" s="123" t="n">
        <f aca="false">AI21-AH22</f>
        <v>4069.65787748928</v>
      </c>
      <c r="AJ22" s="123"/>
      <c r="AK22" s="154" t="n">
        <f aca="false">N22+O22+P22+Q22+R22+S22+T22+U22+X22+AE22+AH22</f>
        <v>33.96</v>
      </c>
      <c r="AL22" s="155" t="n">
        <f aca="false">IF(L22&lt;0,L22*-1,0)</f>
        <v>0</v>
      </c>
      <c r="AM22" s="155" t="n">
        <f aca="false">AK22+AL22</f>
        <v>33.96</v>
      </c>
      <c r="AN22" s="159"/>
      <c r="AO22" s="156"/>
      <c r="AP22" s="248"/>
      <c r="AV22" s="249" t="n">
        <v>0</v>
      </c>
      <c r="AW22" s="123" t="n">
        <v>60</v>
      </c>
      <c r="AX22" s="241" t="n">
        <v>27</v>
      </c>
      <c r="AY22" s="250"/>
      <c r="AZ22" s="282" t="n">
        <f aca="false">SUM(N22,P22:U22)</f>
        <v>3.46</v>
      </c>
      <c r="BA22" s="0" t="n">
        <v>0.499</v>
      </c>
      <c r="BB22" s="283" t="n">
        <v>18657</v>
      </c>
    </row>
    <row r="23" customFormat="false" ht="12.95" hidden="false" customHeight="true" outlineLevel="0" collapsed="false">
      <c r="A23" s="207" t="n">
        <f aca="false">A22+1</f>
        <v>9</v>
      </c>
      <c r="B23" s="122" t="n">
        <v>6888.34</v>
      </c>
      <c r="C23" s="123" t="n">
        <v>242602</v>
      </c>
      <c r="D23" s="241" t="n">
        <f aca="false">C23-C22</f>
        <v>67</v>
      </c>
      <c r="E23" s="123" t="n">
        <f aca="false">C23-152000</f>
        <v>90602</v>
      </c>
      <c r="F23" s="277" t="n">
        <f aca="false">D23/$D$2</f>
        <v>33.7786740610033</v>
      </c>
      <c r="G23" s="155" t="n">
        <v>67.9086740610033</v>
      </c>
      <c r="H23" s="278" t="n">
        <v>1.31</v>
      </c>
      <c r="I23" s="155" t="n">
        <f aca="false">G23+H23</f>
        <v>69.2186740610033</v>
      </c>
      <c r="J23" s="156" t="n">
        <f aca="false">IF(L23&gt;0,L23,0)</f>
        <v>0</v>
      </c>
      <c r="K23" s="155" t="n">
        <f aca="false">I23+J23</f>
        <v>69.2186740610033</v>
      </c>
      <c r="L23" s="155" t="n">
        <f aca="false">F23-(I23-AK23)</f>
        <v>0</v>
      </c>
      <c r="M23" s="279" t="n">
        <v>3.72</v>
      </c>
      <c r="N23" s="155" t="n">
        <v>0</v>
      </c>
      <c r="O23" s="155" t="n">
        <f aca="false">0*1.05</f>
        <v>0</v>
      </c>
      <c r="P23" s="186" t="n">
        <v>0</v>
      </c>
      <c r="Q23" s="151" t="n">
        <f aca="false">912700/325851/1.9835*1.02</f>
        <v>1.44037959166976</v>
      </c>
      <c r="R23" s="151" t="n">
        <f aca="false">IF(((2.2*1.04)-T23)&gt;=4.2,4.2,(2.2*1.04)-T23)</f>
        <v>1.74473728</v>
      </c>
      <c r="S23" s="151" t="n">
        <f aca="false">IF(((2.2*1.04)-T23)&gt;=4.2,((2.2*1.04)-T23)-4.2,0)</f>
        <v>0</v>
      </c>
      <c r="T23" s="151" t="n">
        <f aca="false">(0.4928*1.06)*1.04</f>
        <v>0.54326272</v>
      </c>
      <c r="U23" s="111" t="n">
        <f aca="false">M23-(Q23+R23+S23+T23)</f>
        <v>-0.00837959166975955</v>
      </c>
      <c r="V23" s="280" t="n">
        <v>1.12</v>
      </c>
      <c r="W23" s="155" t="n">
        <v>0</v>
      </c>
      <c r="X23" s="155" t="n">
        <f aca="false">M23-N23-P23-O23-Q23-R23-S23-T23-U23+V23+W23</f>
        <v>1.12</v>
      </c>
      <c r="Y23" s="155" t="n">
        <f aca="false">X23-AO23</f>
        <v>1.12</v>
      </c>
      <c r="Z23" s="156"/>
      <c r="AA23" s="155"/>
      <c r="AB23" s="156"/>
      <c r="AC23" s="156" t="n">
        <v>61.7235571893335</v>
      </c>
      <c r="AD23" s="123"/>
      <c r="AE23" s="155" t="n">
        <v>0</v>
      </c>
      <c r="AF23" s="279"/>
      <c r="AG23" s="281"/>
      <c r="AH23" s="155" t="n">
        <v>30.6</v>
      </c>
      <c r="AI23" s="123" t="n">
        <f aca="false">AI22-AH23</f>
        <v>4039.05787748928</v>
      </c>
      <c r="AJ23" s="123"/>
      <c r="AK23" s="154" t="n">
        <f aca="false">N23+O23+P23+Q23+R23+S23+T23+U23+X23+AE23+AH23</f>
        <v>35.44</v>
      </c>
      <c r="AL23" s="155" t="n">
        <f aca="false">IF(L23&lt;0,L23*-1,0)</f>
        <v>0</v>
      </c>
      <c r="AM23" s="155" t="n">
        <f aca="false">AK23+AL23</f>
        <v>35.44</v>
      </c>
      <c r="AN23" s="159"/>
      <c r="AO23" s="156"/>
      <c r="AP23" s="248"/>
      <c r="AV23" s="249" t="n">
        <v>0</v>
      </c>
      <c r="AW23" s="123" t="n">
        <v>57</v>
      </c>
      <c r="AX23" s="241" t="n">
        <v>27</v>
      </c>
      <c r="AY23" s="250"/>
      <c r="AZ23" s="282" t="n">
        <f aca="false">SUM(N23,P23:U23)</f>
        <v>3.72</v>
      </c>
      <c r="BA23" s="0" t="n">
        <v>0.65</v>
      </c>
      <c r="BB23" s="283" t="n">
        <v>18686</v>
      </c>
    </row>
    <row r="24" customFormat="false" ht="12.95" hidden="false" customHeight="true" outlineLevel="0" collapsed="false">
      <c r="A24" s="207" t="n">
        <f aca="false">A23+1</f>
        <v>10</v>
      </c>
      <c r="B24" s="122" t="n">
        <v>6888.36</v>
      </c>
      <c r="C24" s="123" t="n">
        <v>242669</v>
      </c>
      <c r="D24" s="241" t="n">
        <f aca="false">C24-C23</f>
        <v>67</v>
      </c>
      <c r="E24" s="123" t="n">
        <f aca="false">C24-152000</f>
        <v>90669</v>
      </c>
      <c r="F24" s="277" t="n">
        <f aca="false">D24/$D$2</f>
        <v>33.7786740610033</v>
      </c>
      <c r="G24" s="155" t="n">
        <v>67.5986740610033</v>
      </c>
      <c r="H24" s="278" t="n">
        <v>0</v>
      </c>
      <c r="I24" s="155" t="n">
        <f aca="false">G24+H24</f>
        <v>67.5986740610033</v>
      </c>
      <c r="J24" s="156" t="n">
        <f aca="false">IF(L24&gt;0,L24,0)</f>
        <v>0</v>
      </c>
      <c r="K24" s="155" t="n">
        <f aca="false">I24+J24</f>
        <v>67.5986740610033</v>
      </c>
      <c r="L24" s="155" t="n">
        <f aca="false">F24-(I24-AK24)</f>
        <v>0</v>
      </c>
      <c r="M24" s="279" t="n">
        <v>3.72</v>
      </c>
      <c r="N24" s="155" t="n">
        <v>0</v>
      </c>
      <c r="O24" s="155" t="n">
        <f aca="false">0*1.05</f>
        <v>0</v>
      </c>
      <c r="P24" s="186" t="n">
        <v>0</v>
      </c>
      <c r="Q24" s="151" t="n">
        <f aca="false">1083000/325851/1.9835*1.02</f>
        <v>1.70913892601989</v>
      </c>
      <c r="R24" s="151" t="n">
        <f aca="false">IF(((2.2*1.04)-T24)&gt;=4.2,4.2,(2.2*1.04)-T24)</f>
        <v>1.74473728</v>
      </c>
      <c r="S24" s="151" t="n">
        <f aca="false">IF(((2.2*1.04)-T24)&gt;=4.2,((2.2*1.04)-T24)-4.2,0)</f>
        <v>0</v>
      </c>
      <c r="T24" s="151" t="n">
        <f aca="false">(0.4928*1.06)*1.04</f>
        <v>0.54326272</v>
      </c>
      <c r="U24" s="111" t="n">
        <f aca="false">M24-(Q24+R24+S24+T24)</f>
        <v>-0.277138926019886</v>
      </c>
      <c r="V24" s="280" t="n">
        <v>0</v>
      </c>
      <c r="W24" s="155" t="n">
        <v>0</v>
      </c>
      <c r="X24" s="155" t="n">
        <f aca="false">M24-N24-P24-O24-Q24-R24-S24-T24-U24+V24+W24</f>
        <v>0</v>
      </c>
      <c r="Y24" s="155" t="n">
        <f aca="false">X24-AO24</f>
        <v>0</v>
      </c>
      <c r="Z24" s="156"/>
      <c r="AA24" s="155"/>
      <c r="AB24" s="156"/>
      <c r="AC24" s="156" t="n">
        <v>61.1447978549834</v>
      </c>
      <c r="AD24" s="123"/>
      <c r="AE24" s="155" t="n">
        <v>0</v>
      </c>
      <c r="AF24" s="279"/>
      <c r="AG24" s="281"/>
      <c r="AH24" s="155" t="n">
        <v>30.1</v>
      </c>
      <c r="AI24" s="123" t="n">
        <f aca="false">AI23-AH24</f>
        <v>4008.95787748928</v>
      </c>
      <c r="AJ24" s="123"/>
      <c r="AK24" s="154" t="n">
        <f aca="false">N24+O24+P24+Q24+R24+S24+T24+U24+X24+AE24+AH24</f>
        <v>33.82</v>
      </c>
      <c r="AL24" s="155" t="n">
        <f aca="false">IF(L24&lt;0,L24*-1,0)</f>
        <v>0</v>
      </c>
      <c r="AM24" s="155" t="n">
        <f aca="false">AK24+AL24</f>
        <v>33.82</v>
      </c>
      <c r="AN24" s="159"/>
      <c r="AO24" s="156"/>
      <c r="AP24" s="248"/>
      <c r="AV24" s="249" t="n">
        <v>0</v>
      </c>
      <c r="AW24" s="123" t="n">
        <v>55</v>
      </c>
      <c r="AX24" s="241" t="n">
        <v>29</v>
      </c>
      <c r="AY24" s="250"/>
      <c r="AZ24" s="282" t="n">
        <f aca="false">SUM(N24,P24:U24)</f>
        <v>3.72</v>
      </c>
      <c r="BA24" s="0" t="n">
        <v>0.65</v>
      </c>
      <c r="BB24" s="283" t="n">
        <v>18702</v>
      </c>
    </row>
    <row r="25" customFormat="false" ht="12.95" hidden="false" customHeight="true" outlineLevel="0" collapsed="false">
      <c r="A25" s="207" t="n">
        <f aca="false">A24+1</f>
        <v>11</v>
      </c>
      <c r="B25" s="122" t="n">
        <v>6888.38</v>
      </c>
      <c r="C25" s="123" t="n">
        <v>242735</v>
      </c>
      <c r="D25" s="241" t="n">
        <f aca="false">C25-C24</f>
        <v>66</v>
      </c>
      <c r="E25" s="123" t="n">
        <f aca="false">C25-152000</f>
        <v>90735</v>
      </c>
      <c r="F25" s="277" t="n">
        <f aca="false">D25/$D$2</f>
        <v>33.2745147466599</v>
      </c>
      <c r="G25" s="155" t="n">
        <v>68.03451474666</v>
      </c>
      <c r="H25" s="278" t="n">
        <v>0</v>
      </c>
      <c r="I25" s="155" t="n">
        <f aca="false">G25+H25</f>
        <v>68.03451474666</v>
      </c>
      <c r="J25" s="156" t="n">
        <f aca="false">IF(L25&gt;0,L25,0)</f>
        <v>0</v>
      </c>
      <c r="K25" s="155" t="n">
        <f aca="false">I25+J25</f>
        <v>68.03451474666</v>
      </c>
      <c r="L25" s="155" t="n">
        <f aca="false">F25-(I25-AK25)</f>
        <v>0</v>
      </c>
      <c r="M25" s="279" t="n">
        <v>4.66</v>
      </c>
      <c r="N25" s="155" t="n">
        <v>0</v>
      </c>
      <c r="O25" s="155" t="n">
        <f aca="false">0*1.05</f>
        <v>0</v>
      </c>
      <c r="P25" s="186" t="n">
        <v>0</v>
      </c>
      <c r="Q25" s="151" t="n">
        <f aca="false">863500/325851/1.9835*1.02</f>
        <v>1.36273449918575</v>
      </c>
      <c r="R25" s="151" t="n">
        <f aca="false">IF(((2.3*1.04)-T25)&gt;=4.2,4.2,(2.3*1.04)-T25)</f>
        <v>1.84598128</v>
      </c>
      <c r="S25" s="151" t="n">
        <f aca="false">IF(((2.3*1.04)-T25)&gt;=4.2,((2.3*1.04)-T25)-4.2,0)</f>
        <v>0</v>
      </c>
      <c r="T25" s="151" t="n">
        <f aca="false">(0.4953*1.06)*1.04</f>
        <v>0.54601872</v>
      </c>
      <c r="U25" s="111" t="n">
        <f aca="false">M25-(Q25+R25+S25+T25)</f>
        <v>0.905265500814247</v>
      </c>
      <c r="V25" s="280" t="n">
        <v>0</v>
      </c>
      <c r="W25" s="155" t="n">
        <v>0</v>
      </c>
      <c r="X25" s="155" t="n">
        <f aca="false">M25-N25-P25-O25-Q25-R25-S25-T25-U25+V25+W25</f>
        <v>0</v>
      </c>
      <c r="Y25" s="155" t="n">
        <f aca="false">X25-AO25</f>
        <v>0</v>
      </c>
      <c r="Z25" s="156"/>
      <c r="AA25" s="155"/>
      <c r="AB25" s="156"/>
      <c r="AC25" s="156" t="n">
        <v>61.8257989674742</v>
      </c>
      <c r="AD25" s="123"/>
      <c r="AE25" s="155" t="n">
        <v>0</v>
      </c>
      <c r="AF25" s="279"/>
      <c r="AG25" s="281"/>
      <c r="AH25" s="155" t="n">
        <v>30.1</v>
      </c>
      <c r="AI25" s="123" t="n">
        <f aca="false">AI24-AH25</f>
        <v>3978.85787748928</v>
      </c>
      <c r="AJ25" s="123"/>
      <c r="AK25" s="154" t="n">
        <f aca="false">N25+O25+P25+Q25+R25+S25+T25+U25+X25+AE25+AH25</f>
        <v>34.76</v>
      </c>
      <c r="AL25" s="155" t="n">
        <f aca="false">IF(L25&lt;0,L25*-1,0)</f>
        <v>0</v>
      </c>
      <c r="AM25" s="155" t="n">
        <f aca="false">AK25+AL25</f>
        <v>34.76</v>
      </c>
      <c r="AN25" s="159"/>
      <c r="AO25" s="156"/>
      <c r="AP25" s="248"/>
      <c r="AV25" s="249" t="n">
        <v>0</v>
      </c>
      <c r="AW25" s="123" t="n">
        <v>53</v>
      </c>
      <c r="AX25" s="241" t="n">
        <v>31</v>
      </c>
      <c r="AY25" s="250"/>
      <c r="AZ25" s="282" t="n">
        <f aca="false">SUM(N25,P25:U25)</f>
        <v>4.66</v>
      </c>
      <c r="BA25" s="0" t="n">
        <v>0.645</v>
      </c>
      <c r="BB25" s="283" t="n">
        <v>18743</v>
      </c>
    </row>
    <row r="26" customFormat="false" ht="12.95" hidden="false" customHeight="true" outlineLevel="0" collapsed="false">
      <c r="A26" s="207" t="n">
        <f aca="false">A25+1</f>
        <v>12</v>
      </c>
      <c r="B26" s="122" t="n">
        <v>6888.43</v>
      </c>
      <c r="C26" s="123" t="n">
        <v>242902</v>
      </c>
      <c r="D26" s="241" t="n">
        <f aca="false">C26-C25</f>
        <v>167</v>
      </c>
      <c r="E26" s="123" t="n">
        <f aca="false">C26-152000</f>
        <v>90902</v>
      </c>
      <c r="F26" s="277" t="n">
        <f aca="false">D26/$D$2</f>
        <v>84.1946054953365</v>
      </c>
      <c r="G26" s="155" t="n">
        <v>118.264605495337</v>
      </c>
      <c r="H26" s="278" t="n">
        <v>0</v>
      </c>
      <c r="I26" s="155" t="n">
        <f aca="false">G26+H26</f>
        <v>118.264605495337</v>
      </c>
      <c r="J26" s="156" t="n">
        <f aca="false">IF(L26&gt;0,L26,0)</f>
        <v>0</v>
      </c>
      <c r="K26" s="155" t="n">
        <f aca="false">I26+J26</f>
        <v>118.264605495337</v>
      </c>
      <c r="L26" s="155" t="n">
        <f aca="false">F26-(I26-AK26)</f>
        <v>0</v>
      </c>
      <c r="M26" s="279" t="n">
        <v>3.87</v>
      </c>
      <c r="N26" s="155" t="n">
        <v>0</v>
      </c>
      <c r="O26" s="155" t="n">
        <f aca="false">0*1.05</f>
        <v>0</v>
      </c>
      <c r="P26" s="186" t="n">
        <v>0</v>
      </c>
      <c r="Q26" s="151" t="n">
        <f aca="false">911300/325851/1.9835*1.02</f>
        <v>1.43817017846899</v>
      </c>
      <c r="R26" s="151" t="n">
        <f aca="false">IF(((2.3*1.04)-T26)&gt;=4.2,4.2,(2.3*1.04)-T26)</f>
        <v>1.84598128</v>
      </c>
      <c r="S26" s="151" t="n">
        <f aca="false">IF(((2.3*1.04)-T26)&gt;=4.2,((2.3*1.04)-T26)-4.2,0)</f>
        <v>0</v>
      </c>
      <c r="T26" s="151" t="n">
        <f aca="false">(0.4953*1.06)*1.04</f>
        <v>0.54601872</v>
      </c>
      <c r="U26" s="111" t="n">
        <f aca="false">M26-(Q26+R26+S26+T26)</f>
        <v>0.0398298215310051</v>
      </c>
      <c r="V26" s="280" t="n">
        <v>0</v>
      </c>
      <c r="W26" s="155" t="n">
        <v>0</v>
      </c>
      <c r="X26" s="155" t="n">
        <f aca="false">M26-N26-P26-O26-Q26-R26-S26-T26-U26+V26+W26</f>
        <v>5.55111512312578E-016</v>
      </c>
      <c r="Y26" s="155" t="n">
        <f aca="false">X26-AO26</f>
        <v>5.55111512312578E-016</v>
      </c>
      <c r="Z26" s="156"/>
      <c r="AA26" s="155"/>
      <c r="AB26" s="156"/>
      <c r="AC26" s="156" t="n">
        <v>111.980454036868</v>
      </c>
      <c r="AD26" s="123"/>
      <c r="AE26" s="155" t="n">
        <v>0</v>
      </c>
      <c r="AF26" s="279"/>
      <c r="AG26" s="281"/>
      <c r="AH26" s="155" t="n">
        <v>30.2</v>
      </c>
      <c r="AI26" s="123" t="n">
        <f aca="false">AI25-AH26</f>
        <v>3948.65787748928</v>
      </c>
      <c r="AJ26" s="123"/>
      <c r="AK26" s="154" t="n">
        <f aca="false">N26+O26+P26+Q26+R26+S26+T26+U26+X26+AE26+AH26</f>
        <v>34.07</v>
      </c>
      <c r="AL26" s="155" t="n">
        <f aca="false">IF(L26&lt;0,L26*-1,0)</f>
        <v>0</v>
      </c>
      <c r="AM26" s="155" t="n">
        <f aca="false">AK26+AL26</f>
        <v>34.07</v>
      </c>
      <c r="AN26" s="159"/>
      <c r="AO26" s="156"/>
      <c r="AP26" s="248"/>
      <c r="AV26" s="249" t="n">
        <v>0.11</v>
      </c>
      <c r="AW26" s="123" t="n">
        <v>38</v>
      </c>
      <c r="AX26" s="241" t="n">
        <v>26</v>
      </c>
      <c r="AY26" s="250"/>
      <c r="AZ26" s="282" t="n">
        <f aca="false">SUM(N26,P26:U26)</f>
        <v>3.87</v>
      </c>
      <c r="BA26" s="0" t="n">
        <v>0.577</v>
      </c>
      <c r="BB26" s="283" t="n">
        <v>18762</v>
      </c>
    </row>
    <row r="27" customFormat="false" ht="12.95" hidden="false" customHeight="true" outlineLevel="0" collapsed="false">
      <c r="A27" s="207" t="n">
        <f aca="false">A26+1</f>
        <v>13</v>
      </c>
      <c r="B27" s="122" t="n">
        <v>6888.45</v>
      </c>
      <c r="C27" s="123" t="n">
        <v>242969</v>
      </c>
      <c r="D27" s="241" t="n">
        <f aca="false">C27-C26</f>
        <v>67</v>
      </c>
      <c r="E27" s="123" t="n">
        <f aca="false">C27-152000</f>
        <v>90969</v>
      </c>
      <c r="F27" s="277" t="n">
        <f aca="false">D27/$D$2</f>
        <v>33.7786740610033</v>
      </c>
      <c r="G27" s="155" t="n">
        <v>67.6586740610033</v>
      </c>
      <c r="H27" s="278" t="n">
        <v>0</v>
      </c>
      <c r="I27" s="155" t="n">
        <f aca="false">G27+H27</f>
        <v>67.6586740610033</v>
      </c>
      <c r="J27" s="156" t="n">
        <f aca="false">IF(L27&gt;0,L27,0)</f>
        <v>0</v>
      </c>
      <c r="K27" s="155" t="n">
        <f aca="false">I27+J27</f>
        <v>67.6586740610033</v>
      </c>
      <c r="L27" s="155" t="n">
        <f aca="false">F27-(I27-AK27)</f>
        <v>0</v>
      </c>
      <c r="M27" s="279" t="n">
        <v>3.68</v>
      </c>
      <c r="N27" s="155" t="n">
        <v>0</v>
      </c>
      <c r="O27" s="155" t="n">
        <f aca="false">0*1.05</f>
        <v>0</v>
      </c>
      <c r="P27" s="186" t="n">
        <v>0</v>
      </c>
      <c r="Q27" s="151" t="n">
        <f aca="false">1052800/325851/1.9835*1.02</f>
        <v>1.66147872697482</v>
      </c>
      <c r="R27" s="151" t="n">
        <f aca="false">IF(((2.3*1.04)-T27)&gt;=4.2,4.2,(2.3*1.04)-T27)</f>
        <v>1.84598128</v>
      </c>
      <c r="S27" s="151" t="n">
        <f aca="false">IF(((2.3*1.04)-T27)&gt;=4.2,((2.3*1.04)-T27)-4.2,0)</f>
        <v>0</v>
      </c>
      <c r="T27" s="151" t="n">
        <f aca="false">(0.4953*1.06)*1.04</f>
        <v>0.54601872</v>
      </c>
      <c r="U27" s="111" t="n">
        <f aca="false">M27-(Q27+R27+S27+T27)</f>
        <v>-0.373478726974824</v>
      </c>
      <c r="V27" s="280" t="n">
        <v>0</v>
      </c>
      <c r="W27" s="155" t="n">
        <v>0</v>
      </c>
      <c r="X27" s="155" t="n">
        <f aca="false">M27-N27-P27-O27-Q27-R27-S27-T27-U27+V27+W27</f>
        <v>0</v>
      </c>
      <c r="Y27" s="155" t="n">
        <f aca="false">X27-AO27</f>
        <v>0</v>
      </c>
      <c r="Z27" s="156"/>
      <c r="AA27" s="155"/>
      <c r="AB27" s="156"/>
      <c r="AC27" s="156" t="n">
        <v>0</v>
      </c>
      <c r="AD27" s="123"/>
      <c r="AE27" s="155" t="n">
        <v>0</v>
      </c>
      <c r="AF27" s="279"/>
      <c r="AG27" s="281"/>
      <c r="AH27" s="155" t="n">
        <v>30.2</v>
      </c>
      <c r="AI27" s="123" t="n">
        <f aca="false">AI26-AH27</f>
        <v>3918.45787748928</v>
      </c>
      <c r="AJ27" s="123"/>
      <c r="AK27" s="154" t="n">
        <f aca="false">N27+O27+P27+Q27+R27+S27+T27+U27+X27+AE27+AH27</f>
        <v>33.88</v>
      </c>
      <c r="AL27" s="155" t="n">
        <f aca="false">IF(L27&lt;0,L27*-1,0)</f>
        <v>0</v>
      </c>
      <c r="AM27" s="155" t="n">
        <f aca="false">AK27+AL27</f>
        <v>33.88</v>
      </c>
      <c r="AN27" s="159"/>
      <c r="AO27" s="156"/>
      <c r="AP27" s="248"/>
      <c r="AV27" s="249" t="n">
        <v>0</v>
      </c>
      <c r="AW27" s="123" t="n">
        <v>42</v>
      </c>
      <c r="AX27" s="241" t="n">
        <v>17</v>
      </c>
      <c r="AY27" s="250"/>
      <c r="AZ27" s="282" t="n">
        <f aca="false">SUM(N27,P27:U27)</f>
        <v>3.68</v>
      </c>
      <c r="BA27" s="0" t="n">
        <v>0.487</v>
      </c>
      <c r="BB27" s="283" t="n">
        <v>18821</v>
      </c>
    </row>
    <row r="28" customFormat="false" ht="12.95" hidden="false" customHeight="true" outlineLevel="0" collapsed="false">
      <c r="A28" s="207" t="n">
        <f aca="false">A27+1</f>
        <v>14</v>
      </c>
      <c r="B28" s="122" t="n">
        <v>6888.49</v>
      </c>
      <c r="C28" s="123" t="n">
        <v>243102</v>
      </c>
      <c r="D28" s="241" t="n">
        <f aca="false">C28-C27</f>
        <v>133</v>
      </c>
      <c r="E28" s="123" t="n">
        <f aca="false">C28-152000</f>
        <v>91102</v>
      </c>
      <c r="F28" s="277" t="n">
        <f aca="false">D28/$D$2</f>
        <v>67.0531888076632</v>
      </c>
      <c r="G28" s="155" t="n">
        <v>102.173188807663</v>
      </c>
      <c r="H28" s="278" t="n">
        <v>0</v>
      </c>
      <c r="I28" s="155" t="n">
        <f aca="false">G28+H28</f>
        <v>102.173188807663</v>
      </c>
      <c r="J28" s="156" t="n">
        <f aca="false">IF(L28&gt;0,L28,0)</f>
        <v>0</v>
      </c>
      <c r="K28" s="155" t="n">
        <f aca="false">I28+J28</f>
        <v>102.173188807663</v>
      </c>
      <c r="L28" s="155" t="n">
        <f aca="false">F28-(I28-AK28)</f>
        <v>0</v>
      </c>
      <c r="M28" s="279" t="n">
        <v>4.62</v>
      </c>
      <c r="N28" s="155" t="n">
        <v>0</v>
      </c>
      <c r="O28" s="155" t="n">
        <f aca="false">9.36*1.05</f>
        <v>9.828</v>
      </c>
      <c r="P28" s="186" t="n">
        <v>0</v>
      </c>
      <c r="Q28" s="151" t="n">
        <f aca="false">867200/325851/1.9835*1.02</f>
        <v>1.36857366264492</v>
      </c>
      <c r="R28" s="151" t="n">
        <f aca="false">IF(((2.3*1.04)-T28)&gt;=4.2,4.2,(2.3*1.04)-T28)</f>
        <v>1.84598128</v>
      </c>
      <c r="S28" s="151" t="n">
        <f aca="false">IF(((2.3*1.04)-T28)&gt;=4.2,((2.3*1.04)-T28)-4.2,0)</f>
        <v>0</v>
      </c>
      <c r="T28" s="151" t="n">
        <f aca="false">(0.4953*1.06)*1.04</f>
        <v>0.54601872</v>
      </c>
      <c r="U28" s="111" t="n">
        <f aca="false">M28-(Q28+R28+S28+T28)</f>
        <v>0.859426337355083</v>
      </c>
      <c r="V28" s="280" t="n">
        <v>0</v>
      </c>
      <c r="W28" s="155" t="n">
        <v>0</v>
      </c>
      <c r="X28" s="155" t="n">
        <f aca="false">M28-N28-P28-O28-Q28-R28-S28-T28-U28+V28+W28</f>
        <v>-9.828</v>
      </c>
      <c r="Y28" s="155" t="n">
        <f aca="false">X28-AO28</f>
        <v>-9.828</v>
      </c>
      <c r="Z28" s="156"/>
      <c r="AA28" s="155"/>
      <c r="AB28" s="156"/>
      <c r="AC28" s="156" t="n">
        <v>95.9586338650183</v>
      </c>
      <c r="AD28" s="123"/>
      <c r="AE28" s="155" t="n">
        <v>0</v>
      </c>
      <c r="AF28" s="279"/>
      <c r="AG28" s="281"/>
      <c r="AH28" s="155" t="n">
        <v>30.5</v>
      </c>
      <c r="AI28" s="123" t="n">
        <f aca="false">AI27-AH28</f>
        <v>3887.95787748928</v>
      </c>
      <c r="AJ28" s="123"/>
      <c r="AK28" s="154" t="n">
        <f aca="false">N28+O28+P28+Q28+R28+S28+T28+U28+X28+AE28+AH28</f>
        <v>35.12</v>
      </c>
      <c r="AL28" s="155" t="n">
        <f aca="false">IF(L28&lt;0,L28*-1,0)</f>
        <v>0</v>
      </c>
      <c r="AM28" s="155" t="n">
        <f aca="false">AK28+AL28</f>
        <v>35.12</v>
      </c>
      <c r="AN28" s="159"/>
      <c r="AO28" s="156"/>
      <c r="AP28" s="248"/>
      <c r="AV28" s="249" t="n">
        <v>0.695</v>
      </c>
      <c r="AW28" s="123" t="n">
        <v>37</v>
      </c>
      <c r="AX28" s="241" t="n">
        <v>20</v>
      </c>
      <c r="AY28" s="250"/>
      <c r="AZ28" s="282" t="n">
        <f aca="false">SUM(N28,P28:U28)</f>
        <v>4.62</v>
      </c>
      <c r="BA28" s="0" t="n">
        <v>0.487</v>
      </c>
      <c r="BB28" s="283" t="n">
        <v>18819</v>
      </c>
    </row>
    <row r="29" customFormat="false" ht="12.95" hidden="false" customHeight="true" outlineLevel="0" collapsed="false">
      <c r="A29" s="207" t="n">
        <f aca="false">A28+1</f>
        <v>15</v>
      </c>
      <c r="B29" s="122" t="n">
        <v>6888.49</v>
      </c>
      <c r="C29" s="123" t="n">
        <v>243102</v>
      </c>
      <c r="D29" s="241" t="n">
        <f aca="false">C29-C28</f>
        <v>0</v>
      </c>
      <c r="E29" s="123" t="n">
        <f aca="false">C29-152000</f>
        <v>91102</v>
      </c>
      <c r="F29" s="277" t="n">
        <f aca="false">D29/$D$2</f>
        <v>0</v>
      </c>
      <c r="G29" s="155" t="n">
        <v>34.06</v>
      </c>
      <c r="H29" s="278" t="n">
        <v>0</v>
      </c>
      <c r="I29" s="155" t="n">
        <f aca="false">G29+H29</f>
        <v>34.06</v>
      </c>
      <c r="J29" s="156" t="n">
        <f aca="false">IF(L29&gt;0,L29,0)</f>
        <v>0</v>
      </c>
      <c r="K29" s="155" t="n">
        <f aca="false">I29+J29</f>
        <v>34.06</v>
      </c>
      <c r="L29" s="155" t="n">
        <f aca="false">F29-(I29-AK29)</f>
        <v>0</v>
      </c>
      <c r="M29" s="279" t="n">
        <v>3.76</v>
      </c>
      <c r="N29" s="155" t="n">
        <v>0</v>
      </c>
      <c r="O29" s="155" t="n">
        <f aca="false">10.4*1.05</f>
        <v>10.92</v>
      </c>
      <c r="P29" s="186" t="n">
        <v>0</v>
      </c>
      <c r="Q29" s="151" t="n">
        <f aca="false">1001300/325851/1.9835*1.02</f>
        <v>1.58020388423242</v>
      </c>
      <c r="R29" s="151" t="n">
        <f aca="false">IF(((2.2*1.04)-T29)&gt;=4.2,4.2,(2.2*1.04)-T29)</f>
        <v>1.74198128</v>
      </c>
      <c r="S29" s="151" t="n">
        <f aca="false">IF(((2.2*1.04)-T29)&gt;=4.2,((2.2*1.04)-T29)-4.2,0)</f>
        <v>0</v>
      </c>
      <c r="T29" s="151" t="n">
        <f aca="false">(0.4953*1.06)*1.04</f>
        <v>0.54601872</v>
      </c>
      <c r="U29" s="111" t="n">
        <f aca="false">M29-(Q29+R29+S29+T29)</f>
        <v>-0.108203884232421</v>
      </c>
      <c r="V29" s="280" t="n">
        <v>0</v>
      </c>
      <c r="W29" s="155" t="n">
        <v>0</v>
      </c>
      <c r="X29" s="155" t="n">
        <f aca="false">M29-N29-P29-O29-Q29-R29-S29-T29-U29+V29+W29</f>
        <v>-10.92</v>
      </c>
      <c r="Y29" s="155" t="n">
        <f aca="false">X29-AO29</f>
        <v>-10.92</v>
      </c>
      <c r="Z29" s="156"/>
      <c r="AA29" s="155"/>
      <c r="AB29" s="156"/>
      <c r="AC29" s="156" t="n">
        <v>27.7378148357676</v>
      </c>
      <c r="AD29" s="123"/>
      <c r="AE29" s="155" t="n">
        <v>0</v>
      </c>
      <c r="AF29" s="279"/>
      <c r="AG29" s="281"/>
      <c r="AH29" s="155" t="n">
        <v>30.3</v>
      </c>
      <c r="AI29" s="123" t="n">
        <f aca="false">AI28-AH29</f>
        <v>3857.65787748928</v>
      </c>
      <c r="AJ29" s="123"/>
      <c r="AK29" s="154" t="n">
        <f aca="false">N29+O29+P29+Q29+R29+S29+T29+U29+X29+AE29+AH29</f>
        <v>34.06</v>
      </c>
      <c r="AL29" s="155" t="n">
        <f aca="false">IF(L29&lt;0,L29*-1,0)</f>
        <v>0</v>
      </c>
      <c r="AM29" s="155" t="n">
        <f aca="false">AK29+AL29</f>
        <v>34.06</v>
      </c>
      <c r="AN29" s="159"/>
      <c r="AO29" s="156"/>
      <c r="AP29" s="248"/>
      <c r="AV29" s="249" t="n">
        <v>0</v>
      </c>
      <c r="AW29" s="123" t="n">
        <v>29</v>
      </c>
      <c r="AX29" s="241" t="n">
        <v>8</v>
      </c>
      <c r="AY29" s="250"/>
      <c r="AZ29" s="282" t="n">
        <f aca="false">SUM(N29,P29:U29)</f>
        <v>3.76</v>
      </c>
      <c r="BA29" s="0" t="n">
        <v>0.487</v>
      </c>
      <c r="BB29" s="283" t="n">
        <v>18790</v>
      </c>
    </row>
    <row r="30" customFormat="false" ht="12.95" hidden="false" customHeight="true" outlineLevel="0" collapsed="false">
      <c r="A30" s="207" t="n">
        <f aca="false">A29+1</f>
        <v>16</v>
      </c>
      <c r="B30" s="122" t="n">
        <v>6888.498</v>
      </c>
      <c r="C30" s="123" t="n">
        <v>243135</v>
      </c>
      <c r="D30" s="241" t="n">
        <f aca="false">C30-C29</f>
        <v>33</v>
      </c>
      <c r="E30" s="123" t="n">
        <f aca="false">C30-152000</f>
        <v>91135</v>
      </c>
      <c r="F30" s="277" t="n">
        <f aca="false">D30/$D$2</f>
        <v>16.63725737333</v>
      </c>
      <c r="G30" s="155" t="n">
        <v>50.98725737333</v>
      </c>
      <c r="H30" s="278" t="n">
        <v>0</v>
      </c>
      <c r="I30" s="155" t="n">
        <f aca="false">G30+H30</f>
        <v>50.98725737333</v>
      </c>
      <c r="J30" s="156" t="n">
        <f aca="false">IF(L30&gt;0,L30,0)</f>
        <v>0</v>
      </c>
      <c r="K30" s="155" t="n">
        <f aca="false">I30+J30</f>
        <v>50.98725737333</v>
      </c>
      <c r="L30" s="155" t="n">
        <f aca="false">F30-(I30-AK30)</f>
        <v>0</v>
      </c>
      <c r="M30" s="279" t="n">
        <v>4.15</v>
      </c>
      <c r="N30" s="155" t="n">
        <v>0</v>
      </c>
      <c r="O30" s="155" t="n">
        <f aca="false">0.019*1.05</f>
        <v>0.01995</v>
      </c>
      <c r="P30" s="186" t="n">
        <v>0</v>
      </c>
      <c r="Q30" s="151" t="n">
        <f aca="false">1043700/325851/1.9835*1.02</f>
        <v>1.64711754116986</v>
      </c>
      <c r="R30" s="151" t="n">
        <f aca="false">IF(((2.3*1.04)-T30)&gt;=4.2,4.2,(2.3*1.04)-T30)</f>
        <v>1.84598128</v>
      </c>
      <c r="S30" s="151" t="n">
        <f aca="false">IF(((2.3*1.04)-T30)&gt;=4.2,((2.3*1.04)-T30)-4.2,0)</f>
        <v>0</v>
      </c>
      <c r="T30" s="151" t="n">
        <f aca="false">(0.4953*1.06)*1.04</f>
        <v>0.54601872</v>
      </c>
      <c r="U30" s="111" t="n">
        <f aca="false">M30-(Q30+R30+S30+T30)</f>
        <v>0.110882458830145</v>
      </c>
      <c r="V30" s="155" t="n">
        <v>0</v>
      </c>
      <c r="W30" s="155" t="n">
        <v>0</v>
      </c>
      <c r="X30" s="155" t="n">
        <f aca="false">M30-N30-P30-O30-Q30-R30-S30-T30-U30+V30+W30</f>
        <v>-0.01995</v>
      </c>
      <c r="Y30" s="155" t="n">
        <f aca="false">X30-AO30</f>
        <v>-0.01995</v>
      </c>
      <c r="Z30" s="156"/>
      <c r="AA30" s="155"/>
      <c r="AB30" s="156"/>
      <c r="AC30" s="156" t="n">
        <v>44.4941585521601</v>
      </c>
      <c r="AD30" s="123"/>
      <c r="AE30" s="155" t="n">
        <v>0</v>
      </c>
      <c r="AF30" s="279"/>
      <c r="AG30" s="281"/>
      <c r="AH30" s="155" t="n">
        <v>30.2</v>
      </c>
      <c r="AI30" s="123" t="n">
        <f aca="false">AI29-AH30</f>
        <v>3827.45787748928</v>
      </c>
      <c r="AJ30" s="123"/>
      <c r="AK30" s="154" t="n">
        <f aca="false">N30+O30+P30+Q30+R30+S30+T30+U30+X30+AE30+AH30</f>
        <v>34.35</v>
      </c>
      <c r="AL30" s="155" t="n">
        <f aca="false">IF(L30&lt;0,L30*-1,0)</f>
        <v>0</v>
      </c>
      <c r="AM30" s="155" t="n">
        <f aca="false">AK30+AL30</f>
        <v>34.35</v>
      </c>
      <c r="AN30" s="159"/>
      <c r="AO30" s="156"/>
      <c r="AP30" s="248"/>
      <c r="AV30" s="249" t="n">
        <v>0</v>
      </c>
      <c r="AW30" s="123" t="n">
        <v>22</v>
      </c>
      <c r="AX30" s="241" t="n">
        <v>7</v>
      </c>
      <c r="AY30" s="250"/>
      <c r="AZ30" s="282" t="n">
        <f aca="false">SUM(N30,P30:U30)</f>
        <v>4.15</v>
      </c>
      <c r="BA30" s="0" t="n">
        <v>0.487</v>
      </c>
      <c r="BB30" s="283" t="n">
        <v>18798</v>
      </c>
    </row>
    <row r="31" customFormat="false" ht="12.95" hidden="false" customHeight="true" outlineLevel="0" collapsed="false">
      <c r="A31" s="207" t="n">
        <f aca="false">A30+1</f>
        <v>17</v>
      </c>
      <c r="B31" s="122" t="n">
        <v>6888.506</v>
      </c>
      <c r="C31" s="123" t="n">
        <v>243168</v>
      </c>
      <c r="D31" s="241" t="n">
        <f aca="false">C31-C30</f>
        <v>33</v>
      </c>
      <c r="E31" s="123" t="n">
        <f aca="false">C31-152000</f>
        <v>91168</v>
      </c>
      <c r="F31" s="277" t="n">
        <f aca="false">D31/$D$2</f>
        <v>16.63725737333</v>
      </c>
      <c r="G31" s="155" t="n">
        <v>51.17725737333</v>
      </c>
      <c r="H31" s="278" t="n">
        <v>0</v>
      </c>
      <c r="I31" s="155" t="n">
        <f aca="false">G31+H31</f>
        <v>51.17725737333</v>
      </c>
      <c r="J31" s="156" t="n">
        <f aca="false">IF(L31&gt;0,L31,0)</f>
        <v>0</v>
      </c>
      <c r="K31" s="155" t="n">
        <f aca="false">I31+J31</f>
        <v>51.17725737333</v>
      </c>
      <c r="L31" s="155" t="n">
        <f aca="false">F31-(I31-AK31)</f>
        <v>0</v>
      </c>
      <c r="M31" s="279" t="n">
        <v>4.14</v>
      </c>
      <c r="N31" s="155" t="n">
        <v>0</v>
      </c>
      <c r="O31" s="155" t="n">
        <f aca="false">0.039*1.05</f>
        <v>0.04095</v>
      </c>
      <c r="P31" s="186" t="n">
        <v>0</v>
      </c>
      <c r="Q31" s="151" t="n">
        <f aca="false">941800/325851/1.9835*1.02</f>
        <v>1.48630382319993</v>
      </c>
      <c r="R31" s="151" t="n">
        <f aca="false">IF(((2.2*1.04)-T31)&gt;=4.2,4.2,(2.2*1.04)-T31)</f>
        <v>1.74198128</v>
      </c>
      <c r="S31" s="151" t="n">
        <f aca="false">IF(((2.2*1.04)-T31)&gt;=4.2,((2.2*1.04)-T31)-4.2,0)</f>
        <v>0</v>
      </c>
      <c r="T31" s="151" t="n">
        <f aca="false">(0.4953*1.06)*1.04</f>
        <v>0.54601872</v>
      </c>
      <c r="U31" s="111" t="n">
        <f aca="false">M31-(Q31+R31+S31+T31)</f>
        <v>0.365696176800066</v>
      </c>
      <c r="V31" s="155" t="n">
        <v>0</v>
      </c>
      <c r="W31" s="155" t="n">
        <v>0</v>
      </c>
      <c r="X31" s="155" t="n">
        <f aca="false">M31-N31-P31-O31-Q31-R31-S31-T31-U31+V31+W31</f>
        <v>-0.0409499999999995</v>
      </c>
      <c r="Y31" s="155" t="n">
        <f aca="false">X31-AO31</f>
        <v>-0.0409499999999995</v>
      </c>
      <c r="Z31" s="156"/>
      <c r="AA31" s="155"/>
      <c r="AB31" s="156"/>
      <c r="AC31" s="156" t="n">
        <v>44.94897227013</v>
      </c>
      <c r="AD31" s="123"/>
      <c r="AE31" s="155" t="n">
        <v>0</v>
      </c>
      <c r="AF31" s="279"/>
      <c r="AG31" s="281"/>
      <c r="AH31" s="155" t="n">
        <v>30.4</v>
      </c>
      <c r="AI31" s="123" t="n">
        <f aca="false">AI30-AH31</f>
        <v>3797.05787748928</v>
      </c>
      <c r="AJ31" s="123"/>
      <c r="AK31" s="154" t="n">
        <f aca="false">N31+O31+P31+Q31+R31+S31+T31+U31+X31+AE31+AH31</f>
        <v>34.54</v>
      </c>
      <c r="AL31" s="155" t="n">
        <f aca="false">IF(L31&lt;0,L31*-1,0)</f>
        <v>0</v>
      </c>
      <c r="AM31" s="155" t="n">
        <f aca="false">AK31+AL31</f>
        <v>34.54</v>
      </c>
      <c r="AN31" s="159"/>
      <c r="AO31" s="156"/>
      <c r="AP31" s="248"/>
      <c r="AV31" s="249" t="n">
        <v>0</v>
      </c>
      <c r="AW31" s="123" t="n">
        <v>24</v>
      </c>
      <c r="AX31" s="241" t="n">
        <v>9</v>
      </c>
      <c r="AY31" s="250"/>
      <c r="AZ31" s="282" t="n">
        <f aca="false">SUM(N31,P31:U31)</f>
        <v>4.14</v>
      </c>
      <c r="BA31" s="0" t="n">
        <v>0.487</v>
      </c>
      <c r="BB31" s="283" t="n">
        <v>18814</v>
      </c>
    </row>
    <row r="32" customFormat="false" ht="12.95" hidden="false" customHeight="true" outlineLevel="0" collapsed="false">
      <c r="A32" s="207" t="n">
        <f aca="false">A31+1</f>
        <v>18</v>
      </c>
      <c r="B32" s="122" t="n">
        <v>6888.514</v>
      </c>
      <c r="C32" s="123" t="n">
        <v>243168</v>
      </c>
      <c r="D32" s="241" t="n">
        <f aca="false">C32-C31</f>
        <v>0</v>
      </c>
      <c r="E32" s="123" t="n">
        <f aca="false">C32-152000</f>
        <v>91168</v>
      </c>
      <c r="F32" s="277" t="n">
        <f aca="false">D32/$D$2</f>
        <v>0</v>
      </c>
      <c r="G32" s="155" t="n">
        <v>34.61</v>
      </c>
      <c r="H32" s="278" t="n">
        <v>0</v>
      </c>
      <c r="I32" s="155" t="n">
        <f aca="false">G32+H32</f>
        <v>34.61</v>
      </c>
      <c r="J32" s="156" t="n">
        <f aca="false">IF(L32&gt;0,L32,0)</f>
        <v>0</v>
      </c>
      <c r="K32" s="155" t="n">
        <f aca="false">I32+J32</f>
        <v>34.61</v>
      </c>
      <c r="L32" s="155" t="n">
        <f aca="false">F32-(I32-AK32)</f>
        <v>0</v>
      </c>
      <c r="M32" s="279" t="n">
        <v>4.01</v>
      </c>
      <c r="N32" s="155" t="n">
        <v>0</v>
      </c>
      <c r="O32" s="155" t="n">
        <f aca="false">0.016*1.05</f>
        <v>0.0168</v>
      </c>
      <c r="P32" s="186" t="n">
        <v>0</v>
      </c>
      <c r="Q32" s="151" t="n">
        <f aca="false">953000/325851/1.9835*1.02</f>
        <v>1.50397912880605</v>
      </c>
      <c r="R32" s="151" t="n">
        <f aca="false">IF(((2.2*1.04)-T32)&gt;=4.2,4.2,(2.2*1.04)-T32)</f>
        <v>1.64034</v>
      </c>
      <c r="S32" s="151" t="n">
        <f aca="false">IF(((2.2*1.04)-T32)&gt;=4.2,((2.2*1.04)-T32)-4.2,0)</f>
        <v>0</v>
      </c>
      <c r="T32" s="151" t="n">
        <f aca="false">(0.5875*1.06)*1.04</f>
        <v>0.64766</v>
      </c>
      <c r="U32" s="111" t="n">
        <f aca="false">M32-(Q32+R32+S32+T32)</f>
        <v>0.218020871193951</v>
      </c>
      <c r="V32" s="155" t="n">
        <v>0</v>
      </c>
      <c r="W32" s="155" t="n">
        <v>0</v>
      </c>
      <c r="X32" s="155" t="n">
        <f aca="false">M32-N32-P32-O32-Q32-R32-S32-T32-U32+V32+W32</f>
        <v>-0.0167999999999998</v>
      </c>
      <c r="Y32" s="155" t="n">
        <f aca="false">X32-AO32</f>
        <v>-0.0167999999999998</v>
      </c>
      <c r="Z32" s="156"/>
      <c r="AA32" s="155"/>
      <c r="AB32" s="156"/>
      <c r="AC32" s="156" t="n">
        <v>28.4656808711939</v>
      </c>
      <c r="AD32" s="123"/>
      <c r="AE32" s="155" t="n">
        <v>0</v>
      </c>
      <c r="AF32" s="279"/>
      <c r="AG32" s="281"/>
      <c r="AH32" s="155" t="n">
        <v>30.6</v>
      </c>
      <c r="AI32" s="123" t="n">
        <f aca="false">AI31-AH32</f>
        <v>3766.45787748928</v>
      </c>
      <c r="AJ32" s="123"/>
      <c r="AK32" s="154" t="n">
        <f aca="false">N32+O32+P32+Q32+R32+S32+T32+U32+X32+AE32+AH32</f>
        <v>34.61</v>
      </c>
      <c r="AL32" s="155" t="n">
        <f aca="false">IF(L32&lt;0,L32*-1,0)</f>
        <v>0</v>
      </c>
      <c r="AM32" s="155" t="n">
        <f aca="false">AK32+AL32</f>
        <v>34.61</v>
      </c>
      <c r="AN32" s="284"/>
      <c r="AO32" s="156"/>
      <c r="AP32" s="248"/>
      <c r="AV32" s="249" t="n">
        <v>0.12</v>
      </c>
      <c r="AW32" s="123" t="n">
        <v>43</v>
      </c>
      <c r="AX32" s="241" t="n">
        <v>11</v>
      </c>
      <c r="AY32" s="250"/>
      <c r="AZ32" s="282" t="n">
        <f aca="false">SUM(N32,P32:U32)</f>
        <v>4.01</v>
      </c>
      <c r="BA32" s="0" t="n">
        <v>0.487</v>
      </c>
      <c r="BB32" s="283" t="n">
        <v>18812</v>
      </c>
    </row>
    <row r="33" customFormat="false" ht="12.95" hidden="false" customHeight="true" outlineLevel="0" collapsed="false">
      <c r="A33" s="207" t="n">
        <f aca="false">A32+1</f>
        <v>19</v>
      </c>
      <c r="B33" s="122" t="n">
        <v>6888.522</v>
      </c>
      <c r="C33" s="123" t="n">
        <v>243202</v>
      </c>
      <c r="D33" s="241" t="n">
        <f aca="false">C33-C32</f>
        <v>34</v>
      </c>
      <c r="E33" s="123" t="n">
        <f aca="false">C33-152000</f>
        <v>91202</v>
      </c>
      <c r="F33" s="277" t="n">
        <f aca="false">D33/$D$2</f>
        <v>17.1414166876733</v>
      </c>
      <c r="G33" s="155" t="n">
        <v>51.7414166876733</v>
      </c>
      <c r="H33" s="278" t="n">
        <v>0</v>
      </c>
      <c r="I33" s="155" t="n">
        <f aca="false">G33+H33</f>
        <v>51.7414166876733</v>
      </c>
      <c r="J33" s="156" t="n">
        <f aca="false">IF(L33&gt;0,L33,0)</f>
        <v>0</v>
      </c>
      <c r="K33" s="155" t="n">
        <f aca="false">I33+J33</f>
        <v>51.7414166876733</v>
      </c>
      <c r="L33" s="155" t="n">
        <f aca="false">F33-(I33-AK33)</f>
        <v>0</v>
      </c>
      <c r="M33" s="279" t="n">
        <v>4.1</v>
      </c>
      <c r="N33" s="155" t="n">
        <v>0</v>
      </c>
      <c r="O33" s="155" t="n">
        <f aca="false">0.458*1.05</f>
        <v>0.4809</v>
      </c>
      <c r="P33" s="186" t="n">
        <v>0</v>
      </c>
      <c r="Q33" s="151" t="n">
        <f aca="false">1019200/325851/1.9835*1.02</f>
        <v>1.60845281015648</v>
      </c>
      <c r="R33" s="151" t="n">
        <f aca="false">IF(((2.3*1.04)-T33)&gt;=4.2,4.2,(2.3*1.04)-T33)</f>
        <v>1.74434</v>
      </c>
      <c r="S33" s="151" t="n">
        <f aca="false">IF(((2.3*1.04)-T33)&gt;=4.2,((2.3*1.04)-T33)-4.2,0)</f>
        <v>0</v>
      </c>
      <c r="T33" s="151" t="n">
        <f aca="false">(0.5875*1.06)*1.04</f>
        <v>0.64766</v>
      </c>
      <c r="U33" s="111" t="n">
        <f aca="false">M33-(Q33+R33+S33+T33)</f>
        <v>0.0995471898435207</v>
      </c>
      <c r="V33" s="155" t="n">
        <v>0</v>
      </c>
      <c r="W33" s="155" t="n">
        <v>0</v>
      </c>
      <c r="X33" s="155" t="n">
        <f aca="false">M33-N33-P33-O33-Q33-R33-S33-T33-U33+V33+W33</f>
        <v>-0.4809</v>
      </c>
      <c r="Y33" s="155" t="n">
        <f aca="false">X33-AO33</f>
        <v>-0.4809</v>
      </c>
      <c r="Z33" s="156"/>
      <c r="AA33" s="155"/>
      <c r="AB33" s="156"/>
      <c r="AC33" s="156" t="n">
        <v>45.3886238775168</v>
      </c>
      <c r="AD33" s="123"/>
      <c r="AE33" s="155" t="n">
        <v>0</v>
      </c>
      <c r="AF33" s="279"/>
      <c r="AG33" s="281"/>
      <c r="AH33" s="155" t="n">
        <v>30.5</v>
      </c>
      <c r="AI33" s="123" t="n">
        <f aca="false">AI32-AH33</f>
        <v>3735.95787748928</v>
      </c>
      <c r="AJ33" s="123"/>
      <c r="AK33" s="154" t="n">
        <f aca="false">N33+O33+P33+Q33+R33+S33+T33+U33+X33+AE33+AH33</f>
        <v>34.6</v>
      </c>
      <c r="AL33" s="155" t="n">
        <f aca="false">IF(L33&lt;0,L33*-1,0)</f>
        <v>0</v>
      </c>
      <c r="AM33" s="155" t="n">
        <f aca="false">AK33+AL33</f>
        <v>34.6</v>
      </c>
      <c r="AN33" s="284"/>
      <c r="AO33" s="156"/>
      <c r="AP33" s="248"/>
      <c r="AV33" s="249" t="n">
        <v>0.04</v>
      </c>
      <c r="AW33" s="123" t="n">
        <v>53</v>
      </c>
      <c r="AX33" s="241" t="n">
        <v>21</v>
      </c>
      <c r="AY33" s="250"/>
      <c r="AZ33" s="282" t="n">
        <f aca="false">SUM(N33,P33:U33)</f>
        <v>4.1</v>
      </c>
      <c r="BA33" s="0" t="n">
        <v>0.487</v>
      </c>
      <c r="BB33" s="283" t="n">
        <v>18846</v>
      </c>
    </row>
    <row r="34" customFormat="false" ht="12.95" hidden="false" customHeight="true" outlineLevel="0" collapsed="false">
      <c r="A34" s="207" t="n">
        <f aca="false">A33+1</f>
        <v>20</v>
      </c>
      <c r="B34" s="122" t="n">
        <v>6888.53</v>
      </c>
      <c r="C34" s="123" t="n">
        <v>243235</v>
      </c>
      <c r="D34" s="241" t="n">
        <f aca="false">C34-C33</f>
        <v>33</v>
      </c>
      <c r="E34" s="123" t="n">
        <f aca="false">C34-152000</f>
        <v>91235</v>
      </c>
      <c r="F34" s="277" t="n">
        <f aca="false">D34/$D$2</f>
        <v>16.63725737333</v>
      </c>
      <c r="G34" s="155" t="n">
        <v>51.76725737333</v>
      </c>
      <c r="H34" s="278" t="n">
        <v>0</v>
      </c>
      <c r="I34" s="155" t="n">
        <f aca="false">G34+H34</f>
        <v>51.76725737333</v>
      </c>
      <c r="J34" s="156" t="n">
        <f aca="false">IF(L34&gt;0,L34,0)</f>
        <v>0</v>
      </c>
      <c r="K34" s="155" t="n">
        <f aca="false">I34+J34</f>
        <v>51.76725737333</v>
      </c>
      <c r="L34" s="155" t="n">
        <f aca="false">F34-(I34-AK34)</f>
        <v>0</v>
      </c>
      <c r="M34" s="279" t="n">
        <v>4.43</v>
      </c>
      <c r="N34" s="155" t="n">
        <v>0</v>
      </c>
      <c r="O34" s="155" t="n">
        <f aca="false">0*1.05</f>
        <v>0</v>
      </c>
      <c r="P34" s="186" t="n">
        <v>0</v>
      </c>
      <c r="Q34" s="151" t="n">
        <f aca="false">1079400/325851/1.9835*1.02</f>
        <v>1.70345757778935</v>
      </c>
      <c r="R34" s="151" t="n">
        <f aca="false">IF(((2.2*1.04)-T34)&gt;=4.2,4.2,(2.2*1.04)-T34)</f>
        <v>1.64034</v>
      </c>
      <c r="S34" s="151" t="n">
        <f aca="false">IF(((2.2*1.04)-T34)&gt;=4.2,((2.2*1.04)-T34)-4.2,0)</f>
        <v>0</v>
      </c>
      <c r="T34" s="151" t="n">
        <f aca="false">(0.5875*1.06)*1.04</f>
        <v>0.64766</v>
      </c>
      <c r="U34" s="111" t="n">
        <f aca="false">M34-(Q34+R34+S34+T34)</f>
        <v>0.438542422210651</v>
      </c>
      <c r="V34" s="155" t="n">
        <v>0</v>
      </c>
      <c r="W34" s="155" t="n">
        <v>0</v>
      </c>
      <c r="X34" s="155" t="n">
        <f aca="false">M34-N34-P34-O34-Q34-R34-S34-T34-U34+V34+W34</f>
        <v>0</v>
      </c>
      <c r="Y34" s="155" t="n">
        <f aca="false">X34-AO34</f>
        <v>0</v>
      </c>
      <c r="Z34" s="156"/>
      <c r="AA34" s="155"/>
      <c r="AB34" s="156"/>
      <c r="AC34" s="156" t="n">
        <v>45.4234597955406</v>
      </c>
      <c r="AD34" s="123"/>
      <c r="AE34" s="155" t="n">
        <v>0</v>
      </c>
      <c r="AF34" s="279"/>
      <c r="AG34" s="281"/>
      <c r="AH34" s="155" t="n">
        <v>30.7</v>
      </c>
      <c r="AI34" s="123" t="n">
        <f aca="false">AI33-AH34</f>
        <v>3705.25787748928</v>
      </c>
      <c r="AJ34" s="123"/>
      <c r="AK34" s="154" t="n">
        <f aca="false">N34+O34+P34+Q34+R34+S34+T34+U34+X34+AE34+AH34</f>
        <v>35.13</v>
      </c>
      <c r="AL34" s="155" t="n">
        <f aca="false">IF(L34&lt;0,L34*-1,0)</f>
        <v>0</v>
      </c>
      <c r="AM34" s="155" t="n">
        <f aca="false">AK34+AL34</f>
        <v>35.13</v>
      </c>
      <c r="AN34" s="284"/>
      <c r="AO34" s="156"/>
      <c r="AP34" s="248"/>
      <c r="AV34" s="249" t="n">
        <v>0.1</v>
      </c>
      <c r="AW34" s="123" t="n">
        <v>48</v>
      </c>
      <c r="AX34" s="241" t="n">
        <v>28</v>
      </c>
      <c r="AY34" s="250"/>
      <c r="AZ34" s="282" t="n">
        <f aca="false">SUM(N34,P34:U34)</f>
        <v>4.43</v>
      </c>
      <c r="BA34" s="0" t="n">
        <v>0.487</v>
      </c>
      <c r="BB34" s="283" t="n">
        <v>18858</v>
      </c>
    </row>
    <row r="35" customFormat="false" ht="13.5" hidden="false" customHeight="true" outlineLevel="0" collapsed="false">
      <c r="A35" s="207" t="n">
        <f aca="false">A34+1</f>
        <v>21</v>
      </c>
      <c r="B35" s="122" t="n">
        <v>6888.56</v>
      </c>
      <c r="C35" s="123" t="n">
        <v>243335</v>
      </c>
      <c r="D35" s="241" t="n">
        <f aca="false">C35-C34</f>
        <v>100</v>
      </c>
      <c r="E35" s="123" t="n">
        <f aca="false">C35-152000</f>
        <v>91335</v>
      </c>
      <c r="F35" s="277" t="n">
        <f aca="false">D35/$D$2</f>
        <v>50.4159314343332</v>
      </c>
      <c r="G35" s="155" t="n">
        <v>85.4059314343332</v>
      </c>
      <c r="H35" s="278" t="n">
        <v>0</v>
      </c>
      <c r="I35" s="155" t="n">
        <f aca="false">G35+H35</f>
        <v>85.4059314343332</v>
      </c>
      <c r="J35" s="156" t="n">
        <f aca="false">IF(L35&gt;0,L35,0)</f>
        <v>0</v>
      </c>
      <c r="K35" s="155" t="n">
        <f aca="false">I35+J35</f>
        <v>85.4059314343332</v>
      </c>
      <c r="L35" s="155" t="n">
        <f aca="false">F35-(I35-AK35)</f>
        <v>0</v>
      </c>
      <c r="M35" s="279" t="n">
        <v>4.19</v>
      </c>
      <c r="N35" s="155" t="n">
        <v>0</v>
      </c>
      <c r="O35" s="155" t="n">
        <f aca="false">0*1.05</f>
        <v>0</v>
      </c>
      <c r="P35" s="186" t="n">
        <v>0</v>
      </c>
      <c r="Q35" s="151" t="n">
        <f aca="false">963900/325851/1.9835*1.02</f>
        <v>1.52118098872629</v>
      </c>
      <c r="R35" s="151" t="n">
        <f aca="false">IF(((2.2*1.04)-T35)&gt;=4.2,4.2,(2.2*1.04)-T35)</f>
        <v>1.64034</v>
      </c>
      <c r="S35" s="151" t="n">
        <f aca="false">IF(((2.2*1.04)-T35)&gt;=4.2,((2.2*1.04)-T35)-4.2,0)</f>
        <v>0</v>
      </c>
      <c r="T35" s="151" t="n">
        <f aca="false">(0.5875*1.06)*1.04</f>
        <v>0.64766</v>
      </c>
      <c r="U35" s="111" t="n">
        <f aca="false">M35-(Q35+R35+S35+T35)</f>
        <v>0.380819011273714</v>
      </c>
      <c r="V35" s="155" t="n">
        <v>0</v>
      </c>
      <c r="W35" s="155" t="n">
        <v>0</v>
      </c>
      <c r="X35" s="155" t="n">
        <f aca="false">M35-N35-P35-O35-Q35-R35-S35-T35-U35+V35+W35</f>
        <v>0</v>
      </c>
      <c r="Y35" s="155" t="n">
        <f aca="false">X35-AO35</f>
        <v>0</v>
      </c>
      <c r="Z35" s="156"/>
      <c r="AA35" s="155"/>
      <c r="AB35" s="156"/>
      <c r="AC35" s="156" t="n">
        <v>79.244410445607</v>
      </c>
      <c r="AD35" s="123"/>
      <c r="AE35" s="155" t="n">
        <v>0</v>
      </c>
      <c r="AF35" s="279"/>
      <c r="AG35" s="281"/>
      <c r="AH35" s="155" t="n">
        <v>30.8</v>
      </c>
      <c r="AI35" s="123" t="n">
        <f aca="false">AI34-AH35</f>
        <v>3674.45787748928</v>
      </c>
      <c r="AJ35" s="123"/>
      <c r="AK35" s="154" t="n">
        <f aca="false">N35+O35+P35+Q35+R35+S35+T35+U35+X35+AE35+AH35</f>
        <v>34.99</v>
      </c>
      <c r="AL35" s="155" t="n">
        <f aca="false">IF(L35&lt;0,L35*-1,0)</f>
        <v>0</v>
      </c>
      <c r="AM35" s="155" t="n">
        <f aca="false">AK35+AL35</f>
        <v>34.99</v>
      </c>
      <c r="AN35" s="284"/>
      <c r="AO35" s="156"/>
      <c r="AP35" s="248"/>
      <c r="AV35" s="249" t="n">
        <v>0.1</v>
      </c>
      <c r="AW35" s="123" t="n">
        <v>39</v>
      </c>
      <c r="AX35" s="241" t="n">
        <v>26</v>
      </c>
      <c r="AY35" s="250"/>
      <c r="AZ35" s="282" t="n">
        <f aca="false">SUM(N35,P35:U35)</f>
        <v>4.19</v>
      </c>
      <c r="BA35" s="0" t="n">
        <v>0.487</v>
      </c>
      <c r="BB35" s="283" t="n">
        <v>18861</v>
      </c>
    </row>
    <row r="36" customFormat="false" ht="12.95" hidden="false" customHeight="true" outlineLevel="0" collapsed="false">
      <c r="A36" s="207" t="n">
        <f aca="false">A35+1</f>
        <v>22</v>
      </c>
      <c r="B36" s="122" t="n">
        <v>6888.64</v>
      </c>
      <c r="C36" s="123" t="n">
        <v>243602</v>
      </c>
      <c r="D36" s="241" t="n">
        <f aca="false">C36-C35</f>
        <v>267</v>
      </c>
      <c r="E36" s="123" t="n">
        <f aca="false">C36-152000</f>
        <v>91602</v>
      </c>
      <c r="F36" s="277" t="n">
        <f aca="false">D36/$D$2</f>
        <v>134.61053692967</v>
      </c>
      <c r="G36" s="155" t="n">
        <v>168.74053692967</v>
      </c>
      <c r="H36" s="278" t="n">
        <v>0</v>
      </c>
      <c r="I36" s="155" t="n">
        <f aca="false">G36+H36</f>
        <v>168.74053692967</v>
      </c>
      <c r="J36" s="156" t="n">
        <f aca="false">IF(L36&gt;0,L36,0)</f>
        <v>0</v>
      </c>
      <c r="K36" s="155" t="n">
        <f aca="false">I36+J36</f>
        <v>168.74053692967</v>
      </c>
      <c r="L36" s="155" t="n">
        <f aca="false">F36-(I36-AK36)</f>
        <v>0</v>
      </c>
      <c r="M36" s="279" t="n">
        <v>3.33</v>
      </c>
      <c r="N36" s="155" t="n">
        <v>0</v>
      </c>
      <c r="O36" s="155" t="n">
        <f aca="false">0*1.05</f>
        <v>0</v>
      </c>
      <c r="P36" s="186" t="n">
        <v>0</v>
      </c>
      <c r="Q36" s="151" t="n">
        <f aca="false">951000/325851/1.9835*1.02</f>
        <v>1.50082282423353</v>
      </c>
      <c r="R36" s="151" t="n">
        <f aca="false">IF(((1.9*1.04)-T36)&gt;=4.2,4.2,(1.9*1.04)-T36)</f>
        <v>1.32834</v>
      </c>
      <c r="S36" s="151" t="n">
        <f aca="false">IF(((1.9*1.04)-T36)&gt;=4.2,((1.9*1.04)-T36)-4.2,0)</f>
        <v>0</v>
      </c>
      <c r="T36" s="151" t="n">
        <f aca="false">(0.5875*1.06)*1.04</f>
        <v>0.64766</v>
      </c>
      <c r="U36" s="111" t="n">
        <f aca="false">M36-(Q36+R36+S36+T36)</f>
        <v>-0.146822824233528</v>
      </c>
      <c r="V36" s="155" t="n">
        <v>0</v>
      </c>
      <c r="W36" s="155" t="n">
        <v>0</v>
      </c>
      <c r="X36" s="155" t="n">
        <f aca="false">M36-N36-P36-O36-Q36-R36-S36-T36-U36+V36+W36</f>
        <v>0</v>
      </c>
      <c r="Y36" s="155" t="n">
        <f aca="false">X36-AO36</f>
        <v>0</v>
      </c>
      <c r="Z36" s="156"/>
      <c r="AA36" s="155"/>
      <c r="AB36" s="156"/>
      <c r="AC36" s="156" t="n">
        <v>162.911374105436</v>
      </c>
      <c r="AD36" s="123"/>
      <c r="AE36" s="155" t="n">
        <v>0</v>
      </c>
      <c r="AF36" s="279"/>
      <c r="AG36" s="281"/>
      <c r="AH36" s="155" t="n">
        <v>30.8</v>
      </c>
      <c r="AI36" s="123" t="n">
        <f aca="false">AI35-AH36</f>
        <v>3643.65787748928</v>
      </c>
      <c r="AJ36" s="123"/>
      <c r="AK36" s="154" t="n">
        <f aca="false">N36+O36+P36+Q36+R36+S36+T36+U36+X36+AE36+AH36</f>
        <v>34.13</v>
      </c>
      <c r="AL36" s="155" t="n">
        <f aca="false">IF(L36&lt;0,L36*-1,0)</f>
        <v>0</v>
      </c>
      <c r="AM36" s="155" t="n">
        <f aca="false">AK36+AL36</f>
        <v>34.13</v>
      </c>
      <c r="AN36" s="284"/>
      <c r="AO36" s="156"/>
      <c r="AP36" s="248"/>
      <c r="AV36" s="249" t="n">
        <v>0.68</v>
      </c>
      <c r="AW36" s="123" t="n">
        <v>38</v>
      </c>
      <c r="AX36" s="241" t="n">
        <v>29</v>
      </c>
      <c r="AY36" s="250"/>
      <c r="AZ36" s="282" t="n">
        <f aca="false">SUM(N36,P36:U36)</f>
        <v>3.33</v>
      </c>
      <c r="BA36" s="0" t="n">
        <v>0.487</v>
      </c>
      <c r="BB36" s="283" t="n">
        <v>18872</v>
      </c>
    </row>
    <row r="37" customFormat="false" ht="12.95" hidden="false" customHeight="true" outlineLevel="0" collapsed="false">
      <c r="A37" s="207" t="n">
        <f aca="false">A36+1</f>
        <v>23</v>
      </c>
      <c r="B37" s="122" t="n">
        <v>6888.64</v>
      </c>
      <c r="C37" s="123" t="n">
        <v>243602</v>
      </c>
      <c r="D37" s="241" t="n">
        <f aca="false">C37-C36</f>
        <v>0</v>
      </c>
      <c r="E37" s="123" t="n">
        <f aca="false">C37-152000</f>
        <v>91602</v>
      </c>
      <c r="F37" s="277" t="n">
        <f aca="false">D37/$D$2</f>
        <v>0</v>
      </c>
      <c r="G37" s="155" t="n">
        <v>34.19</v>
      </c>
      <c r="H37" s="278" t="n">
        <v>0</v>
      </c>
      <c r="I37" s="155" t="n">
        <f aca="false">G37+H37</f>
        <v>34.19</v>
      </c>
      <c r="J37" s="156" t="n">
        <f aca="false">IF(L37&gt;0,L37,0)</f>
        <v>0</v>
      </c>
      <c r="K37" s="155" t="n">
        <f aca="false">I37+J37</f>
        <v>34.19</v>
      </c>
      <c r="L37" s="155" t="n">
        <f aca="false">F37-(I37-AK37)</f>
        <v>0</v>
      </c>
      <c r="M37" s="279" t="n">
        <v>3.39</v>
      </c>
      <c r="N37" s="155" t="n">
        <v>0</v>
      </c>
      <c r="O37" s="155" t="n">
        <f aca="false">0*1.05</f>
        <v>0</v>
      </c>
      <c r="P37" s="186" t="n">
        <v>0</v>
      </c>
      <c r="Q37" s="151" t="n">
        <f aca="false">865500/325851/1.9835*1.02</f>
        <v>1.36589080375827</v>
      </c>
      <c r="R37" s="151" t="n">
        <f aca="false">IF(((1.9*1.04)-T37)&gt;=4.2,4.2,(1.9*1.04)-T37)</f>
        <v>1.32834</v>
      </c>
      <c r="S37" s="151" t="n">
        <f aca="false">IF(((1.9*1.04)-T37)&gt;=4.2,((1.9*1.04)-T37)-4.2,0)</f>
        <v>0</v>
      </c>
      <c r="T37" s="151" t="n">
        <f aca="false">(0.5875*1.06)*1.04</f>
        <v>0.64766</v>
      </c>
      <c r="U37" s="111" t="n">
        <f aca="false">M37-(Q37+R37+S37+T37)</f>
        <v>0.0481091962417262</v>
      </c>
      <c r="V37" s="155" t="n">
        <v>0</v>
      </c>
      <c r="W37" s="155" t="n">
        <v>0</v>
      </c>
      <c r="X37" s="155" t="n">
        <f aca="false">M37-N37-P37-O37-Q37-R37-S37-T37-U37+V37+W37</f>
        <v>0</v>
      </c>
      <c r="Y37" s="155" t="n">
        <f aca="false">X37-AO37</f>
        <v>0</v>
      </c>
      <c r="Z37" s="156"/>
      <c r="AA37" s="155"/>
      <c r="AB37" s="156"/>
      <c r="AC37" s="156" t="n">
        <v>28.4957691962417</v>
      </c>
      <c r="AD37" s="123"/>
      <c r="AE37" s="155" t="n">
        <v>0</v>
      </c>
      <c r="AF37" s="279"/>
      <c r="AG37" s="281"/>
      <c r="AH37" s="155" t="n">
        <v>30.8</v>
      </c>
      <c r="AI37" s="123" t="n">
        <f aca="false">AI36-AH37</f>
        <v>3612.85787748928</v>
      </c>
      <c r="AJ37" s="123"/>
      <c r="AK37" s="154" t="n">
        <f aca="false">N37+O37+P37+Q37+R37+S37+T37+U37+X37+AE37+AH37</f>
        <v>34.19</v>
      </c>
      <c r="AL37" s="155" t="n">
        <f aca="false">IF(L37&lt;0,L37*-1,0)</f>
        <v>0</v>
      </c>
      <c r="AM37" s="155" t="n">
        <f aca="false">AK37+AL37</f>
        <v>34.19</v>
      </c>
      <c r="AN37" s="284"/>
      <c r="AO37" s="156"/>
      <c r="AP37" s="248"/>
      <c r="AV37" s="249" t="n">
        <v>0.169642857142857</v>
      </c>
      <c r="AW37" s="123" t="n">
        <v>34</v>
      </c>
      <c r="AX37" s="248" t="n">
        <v>8</v>
      </c>
      <c r="AY37" s="285"/>
      <c r="AZ37" s="282" t="n">
        <f aca="false">SUM(N37,P37:U37)</f>
        <v>3.39</v>
      </c>
      <c r="BA37" s="0" t="n">
        <v>0.487</v>
      </c>
      <c r="BB37" s="283" t="n">
        <v>18868</v>
      </c>
    </row>
    <row r="38" customFormat="false" ht="12.95" hidden="false" customHeight="true" outlineLevel="0" collapsed="false">
      <c r="A38" s="207" t="n">
        <f aca="false">A37+1</f>
        <v>24</v>
      </c>
      <c r="B38" s="122" t="n">
        <v>6888.64</v>
      </c>
      <c r="C38" s="123" t="n">
        <v>243602</v>
      </c>
      <c r="D38" s="241" t="n">
        <f aca="false">C38-C37</f>
        <v>0</v>
      </c>
      <c r="E38" s="123" t="n">
        <f aca="false">C38-152000</f>
        <v>91602</v>
      </c>
      <c r="F38" s="277" t="n">
        <f aca="false">D38/$D$2</f>
        <v>0</v>
      </c>
      <c r="G38" s="155" t="n">
        <v>34.65</v>
      </c>
      <c r="H38" s="278" t="n">
        <v>0</v>
      </c>
      <c r="I38" s="155" t="n">
        <f aca="false">G38+H38</f>
        <v>34.65</v>
      </c>
      <c r="J38" s="156" t="n">
        <f aca="false">IF(L38&gt;0,L38,0)</f>
        <v>0</v>
      </c>
      <c r="K38" s="155" t="n">
        <f aca="false">I38+J38</f>
        <v>34.65</v>
      </c>
      <c r="L38" s="155" t="n">
        <f aca="false">F38-(I38-AK38)</f>
        <v>0</v>
      </c>
      <c r="M38" s="279" t="n">
        <v>3.85</v>
      </c>
      <c r="N38" s="155" t="n">
        <v>0</v>
      </c>
      <c r="O38" s="155" t="n">
        <f aca="false">0*1.05</f>
        <v>0</v>
      </c>
      <c r="P38" s="186" t="n">
        <v>0</v>
      </c>
      <c r="Q38" s="151" t="n">
        <f aca="false">857200/325851/1.9835*1.02</f>
        <v>1.35279213978231</v>
      </c>
      <c r="R38" s="151" t="n">
        <f aca="false">IF(((2*1.04)-T38)&gt;=4.2,4.2,(2*1.04)-T38)</f>
        <v>1.43234</v>
      </c>
      <c r="S38" s="151" t="n">
        <f aca="false">IF(((2*1.04)-T38)&gt;=4.2,((2*1.04)-T38)-4.2,0)</f>
        <v>0</v>
      </c>
      <c r="T38" s="151" t="n">
        <f aca="false">(0.5875*1.06)*1.04</f>
        <v>0.64766</v>
      </c>
      <c r="U38" s="111" t="n">
        <f aca="false">M38-(Q38+R38+S38+T38)</f>
        <v>0.417207860217686</v>
      </c>
      <c r="V38" s="155" t="n">
        <v>0</v>
      </c>
      <c r="W38" s="155" t="n">
        <v>0</v>
      </c>
      <c r="X38" s="155" t="n">
        <f aca="false">M38-N38-P38-O38-Q38-R38-S38-T38-U38+V38+W38</f>
        <v>0</v>
      </c>
      <c r="Y38" s="155" t="n">
        <f aca="false">X38-AO38</f>
        <v>0</v>
      </c>
      <c r="Z38" s="156"/>
      <c r="AA38" s="155"/>
      <c r="AB38" s="156"/>
      <c r="AC38" s="156" t="n">
        <v>28.8648678602177</v>
      </c>
      <c r="AD38" s="123"/>
      <c r="AE38" s="155" t="n">
        <v>0</v>
      </c>
      <c r="AF38" s="279"/>
      <c r="AG38" s="281"/>
      <c r="AH38" s="155" t="n">
        <v>30.8</v>
      </c>
      <c r="AI38" s="123" t="n">
        <f aca="false">AI37-AH38</f>
        <v>3582.05787748928</v>
      </c>
      <c r="AJ38" s="123"/>
      <c r="AK38" s="154" t="n">
        <f aca="false">N38+O38+P38+Q38+R38+S38+T38+U38+X38+AE38+AH38</f>
        <v>34.65</v>
      </c>
      <c r="AL38" s="155" t="n">
        <f aca="false">IF(L38&lt;0,L38*-1,0)</f>
        <v>0</v>
      </c>
      <c r="AM38" s="155" t="n">
        <f aca="false">AK38+AL38</f>
        <v>34.65</v>
      </c>
      <c r="AN38" s="284"/>
      <c r="AO38" s="156"/>
      <c r="AP38" s="248"/>
      <c r="AV38" s="249" t="n">
        <v>0.203571428571429</v>
      </c>
      <c r="AW38" s="123" t="n">
        <v>33</v>
      </c>
      <c r="AX38" s="248" t="n">
        <v>3</v>
      </c>
      <c r="AY38" s="285"/>
      <c r="AZ38" s="282" t="n">
        <f aca="false">SUM(N38,P38:U38)</f>
        <v>3.85</v>
      </c>
      <c r="BA38" s="0" t="n">
        <v>0.487</v>
      </c>
      <c r="BB38" s="283" t="n">
        <v>18958</v>
      </c>
    </row>
    <row r="39" customFormat="false" ht="12.95" hidden="false" customHeight="true" outlineLevel="0" collapsed="false">
      <c r="A39" s="207" t="n">
        <f aca="false">A38+1</f>
        <v>25</v>
      </c>
      <c r="B39" s="122" t="n">
        <v>6888.67</v>
      </c>
      <c r="C39" s="123" t="n">
        <v>243702</v>
      </c>
      <c r="D39" s="241" t="n">
        <f aca="false">C39-C38</f>
        <v>100</v>
      </c>
      <c r="E39" s="123" t="n">
        <f aca="false">C39-152000</f>
        <v>91702</v>
      </c>
      <c r="F39" s="277" t="n">
        <f aca="false">D39/$D$2</f>
        <v>50.4159314343332</v>
      </c>
      <c r="G39" s="155" t="n">
        <v>85.0759314343333</v>
      </c>
      <c r="H39" s="278" t="n">
        <v>0</v>
      </c>
      <c r="I39" s="155" t="n">
        <f aca="false">G39+H39</f>
        <v>85.0759314343333</v>
      </c>
      <c r="J39" s="156" t="n">
        <f aca="false">IF(L39&gt;0,L39,0)</f>
        <v>0</v>
      </c>
      <c r="K39" s="155" t="n">
        <f aca="false">I39+J39</f>
        <v>85.0759314343333</v>
      </c>
      <c r="L39" s="155" t="n">
        <f aca="false">F39-(I39-AK39)</f>
        <v>0</v>
      </c>
      <c r="M39" s="279" t="n">
        <v>3.86</v>
      </c>
      <c r="N39" s="155" t="n">
        <v>0</v>
      </c>
      <c r="O39" s="155" t="n">
        <f aca="false">0*1.05</f>
        <v>0</v>
      </c>
      <c r="P39" s="186" t="n">
        <v>0</v>
      </c>
      <c r="Q39" s="151" t="n">
        <f aca="false">1029400/325851/1.9835*1.02</f>
        <v>1.62454996347633</v>
      </c>
      <c r="R39" s="151" t="n">
        <f aca="false">IF(((1.8*1.04)-T39)&gt;=4.2,4.2,(1.8*1.04)-T39)</f>
        <v>1.2370176</v>
      </c>
      <c r="S39" s="151" t="n">
        <f aca="false">IF(((1.8*1.04)-T39)&gt;=4.2,((1.8*1.04)-T39)-4.2,0)</f>
        <v>0</v>
      </c>
      <c r="T39" s="151" t="n">
        <f aca="false">(0.576*1.06)*1.04</f>
        <v>0.6349824</v>
      </c>
      <c r="U39" s="111" t="n">
        <f aca="false">M39-(Q39+R39+S39+T39)</f>
        <v>0.363450036523665</v>
      </c>
      <c r="V39" s="155" t="n">
        <v>0</v>
      </c>
      <c r="W39" s="155" t="n">
        <v>0</v>
      </c>
      <c r="X39" s="155" t="n">
        <f aca="false">M39-N39-P39-O39-Q39-R39-S39-T39-U39+V39+W39</f>
        <v>0</v>
      </c>
      <c r="Y39" s="155" t="n">
        <f aca="false">X39-AO39</f>
        <v>0</v>
      </c>
      <c r="Z39" s="156"/>
      <c r="AA39" s="155"/>
      <c r="AB39" s="156"/>
      <c r="AC39" s="156" t="n">
        <v>53.44</v>
      </c>
      <c r="AD39" s="123"/>
      <c r="AE39" s="155" t="n">
        <v>0</v>
      </c>
      <c r="AF39" s="279"/>
      <c r="AG39" s="281"/>
      <c r="AH39" s="155" t="n">
        <v>30.8</v>
      </c>
      <c r="AI39" s="123" t="n">
        <f aca="false">AI38-AH39</f>
        <v>3551.25787748928</v>
      </c>
      <c r="AJ39" s="123"/>
      <c r="AK39" s="154" t="n">
        <f aca="false">N39+O39+P39+Q39+R39+S39+T39+U39+X39+AE39+AH39</f>
        <v>34.66</v>
      </c>
      <c r="AL39" s="155" t="n">
        <f aca="false">IF(L39&lt;0,L39*-1,0)</f>
        <v>0</v>
      </c>
      <c r="AM39" s="155" t="n">
        <f aca="false">AK39+AL39</f>
        <v>34.66</v>
      </c>
      <c r="AN39" s="284"/>
      <c r="AO39" s="156"/>
      <c r="AP39" s="248"/>
      <c r="AV39" s="249" t="n">
        <v>0.101785714285714</v>
      </c>
      <c r="AW39" s="123" t="n">
        <v>34</v>
      </c>
      <c r="AX39" s="248" t="n">
        <v>13</v>
      </c>
      <c r="AY39" s="285"/>
      <c r="AZ39" s="282" t="n">
        <f aca="false">SUM(N39,P39:U39)</f>
        <v>3.86</v>
      </c>
      <c r="BA39" s="0" t="n">
        <v>0.487</v>
      </c>
      <c r="BB39" s="283" t="n">
        <v>18906</v>
      </c>
    </row>
    <row r="40" customFormat="false" ht="12.95" hidden="false" customHeight="true" outlineLevel="0" collapsed="false">
      <c r="A40" s="207" t="n">
        <f aca="false">A39+1</f>
        <v>26</v>
      </c>
      <c r="B40" s="122" t="n">
        <v>6888.69</v>
      </c>
      <c r="C40" s="123" t="n">
        <v>243768</v>
      </c>
      <c r="D40" s="241" t="n">
        <f aca="false">C40-C39</f>
        <v>66</v>
      </c>
      <c r="E40" s="123" t="n">
        <f aca="false">C40-152000</f>
        <v>91768</v>
      </c>
      <c r="F40" s="277" t="n">
        <f aca="false">D40/$D$2</f>
        <v>33.2745147466599</v>
      </c>
      <c r="G40" s="155" t="n">
        <v>67.2845147466599</v>
      </c>
      <c r="H40" s="278" t="n">
        <v>0</v>
      </c>
      <c r="I40" s="155" t="n">
        <f aca="false">G40+H40</f>
        <v>67.2845147466599</v>
      </c>
      <c r="J40" s="156" t="n">
        <f aca="false">IF(L40&gt;0,L40,0)</f>
        <v>0</v>
      </c>
      <c r="K40" s="155" t="n">
        <f aca="false">I40+J40</f>
        <v>67.2845147466599</v>
      </c>
      <c r="L40" s="155" t="n">
        <f aca="false">F40-(I40-AK40)</f>
        <v>0</v>
      </c>
      <c r="M40" s="279" t="n">
        <v>3.21</v>
      </c>
      <c r="N40" s="155" t="n">
        <v>0</v>
      </c>
      <c r="O40" s="155" t="n">
        <f aca="false">0*1.05</f>
        <v>0</v>
      </c>
      <c r="P40" s="186" t="n">
        <v>0</v>
      </c>
      <c r="Q40" s="151" t="n">
        <f aca="false">915600/325851/1.9835*1.02</f>
        <v>1.44495623329991</v>
      </c>
      <c r="R40" s="151" t="n">
        <f aca="false">IF(((1.8*1.04)-T40)&gt;=4.2,4.2,(1.8*1.04)-T40)</f>
        <v>1.2370176</v>
      </c>
      <c r="S40" s="151" t="n">
        <f aca="false">IF(((1.8*1.04)-T40)&gt;=4.2,((1.8*1.04)-T40)-4.2,0)</f>
        <v>0</v>
      </c>
      <c r="T40" s="151" t="n">
        <f aca="false">(0.576*1.06)*1.04</f>
        <v>0.6349824</v>
      </c>
      <c r="U40" s="111" t="n">
        <f aca="false">M40-(Q40+R40+S40+T40)</f>
        <v>-0.106956233299915</v>
      </c>
      <c r="V40" s="155" t="n">
        <v>0</v>
      </c>
      <c r="W40" s="155" t="n">
        <v>0</v>
      </c>
      <c r="X40" s="155" t="n">
        <f aca="false">M40-N40-P40-O40-Q40-R40-S40-T40-U40+V40+W40</f>
        <v>0</v>
      </c>
      <c r="Y40" s="155" t="n">
        <f aca="false">X40-AO40</f>
        <v>0</v>
      </c>
      <c r="Z40" s="156"/>
      <c r="AA40" s="155"/>
      <c r="AB40" s="156"/>
      <c r="AC40" s="156"/>
      <c r="AD40" s="123"/>
      <c r="AE40" s="155" t="n">
        <v>0</v>
      </c>
      <c r="AF40" s="279"/>
      <c r="AG40" s="281"/>
      <c r="AH40" s="155" t="n">
        <v>30.8</v>
      </c>
      <c r="AI40" s="123" t="n">
        <f aca="false">AI39-AH40</f>
        <v>3520.45787748928</v>
      </c>
      <c r="AJ40" s="123"/>
      <c r="AK40" s="154" t="n">
        <f aca="false">N40+O40+P40+Q40+R40+S40+T40+U40+X40+AE40+AH40</f>
        <v>34.01</v>
      </c>
      <c r="AL40" s="155" t="n">
        <f aca="false">IF(L40&lt;0,L40*-1,0)</f>
        <v>0</v>
      </c>
      <c r="AM40" s="155" t="n">
        <f aca="false">AK40+AL40</f>
        <v>34.01</v>
      </c>
      <c r="AN40" s="284"/>
      <c r="AO40" s="156"/>
      <c r="AP40" s="248"/>
      <c r="AV40" s="249" t="n">
        <v>0</v>
      </c>
      <c r="AW40" s="123" t="n">
        <v>24</v>
      </c>
      <c r="AX40" s="241" t="n">
        <v>7</v>
      </c>
      <c r="AY40" s="250"/>
      <c r="AZ40" s="282" t="n">
        <f aca="false">SUM(N40,P40:U40)</f>
        <v>3.21</v>
      </c>
      <c r="BA40" s="0" t="n">
        <v>0.487</v>
      </c>
      <c r="BB40" s="283" t="n">
        <v>18925</v>
      </c>
    </row>
    <row r="41" customFormat="false" ht="12.95" hidden="false" customHeight="true" outlineLevel="0" collapsed="false">
      <c r="A41" s="207" t="n">
        <f aca="false">A40+1</f>
        <v>27</v>
      </c>
      <c r="B41" s="122" t="n">
        <v>6888.69</v>
      </c>
      <c r="C41" s="123" t="n">
        <v>243768</v>
      </c>
      <c r="D41" s="241" t="n">
        <f aca="false">C41-C40</f>
        <v>0</v>
      </c>
      <c r="E41" s="123" t="n">
        <f aca="false">C41-152000</f>
        <v>91768</v>
      </c>
      <c r="F41" s="277" t="n">
        <f aca="false">D41/$D$2</f>
        <v>0</v>
      </c>
      <c r="G41" s="155" t="n">
        <v>35.24</v>
      </c>
      <c r="H41" s="278" t="n">
        <v>0</v>
      </c>
      <c r="I41" s="155" t="n">
        <f aca="false">G41+H41</f>
        <v>35.24</v>
      </c>
      <c r="J41" s="156" t="n">
        <f aca="false">IF(L41&gt;0,L41,0)</f>
        <v>0</v>
      </c>
      <c r="K41" s="155" t="n">
        <f aca="false">I41+J41</f>
        <v>35.24</v>
      </c>
      <c r="L41" s="155" t="n">
        <f aca="false">F41-(I41-AK41)</f>
        <v>0</v>
      </c>
      <c r="M41" s="279" t="n">
        <v>4.44</v>
      </c>
      <c r="N41" s="155" t="n">
        <v>0</v>
      </c>
      <c r="O41" s="155" t="n">
        <f aca="false">0*1.05</f>
        <v>0</v>
      </c>
      <c r="P41" s="186" t="n">
        <v>0</v>
      </c>
      <c r="Q41" s="151" t="n">
        <f aca="false">1128000/325851/1.9835*1.02</f>
        <v>1.7801557789016</v>
      </c>
      <c r="R41" s="151" t="n">
        <f aca="false">IF(((1.9*1.04)-T41)&gt;=4.2,4.2,(1.9*1.04)-T41)</f>
        <v>1.3410176</v>
      </c>
      <c r="S41" s="151" t="n">
        <f aca="false">IF(((1.9*1.04)-T41)&gt;=4.2,((1.9*1.04)-T41)-4.2,0)</f>
        <v>0</v>
      </c>
      <c r="T41" s="151" t="n">
        <f aca="false">(0.576*1.06)*1.04</f>
        <v>0.6349824</v>
      </c>
      <c r="U41" s="111" t="n">
        <f aca="false">M41-(Q41+R41+S41+T41)</f>
        <v>0.683844221098402</v>
      </c>
      <c r="V41" s="155" t="n">
        <v>0</v>
      </c>
      <c r="W41" s="155" t="n">
        <v>0</v>
      </c>
      <c r="X41" s="155" t="n">
        <f aca="false">M41-N41-P41-O41-Q41-R41-S41-T41-U41+V41+W41</f>
        <v>0</v>
      </c>
      <c r="Y41" s="155" t="n">
        <f aca="false">X41-AO41</f>
        <v>0</v>
      </c>
      <c r="Z41" s="156"/>
      <c r="AA41" s="155"/>
      <c r="AB41" s="156"/>
      <c r="AC41" s="156"/>
      <c r="AD41" s="123"/>
      <c r="AE41" s="155" t="n">
        <v>0</v>
      </c>
      <c r="AF41" s="279"/>
      <c r="AG41" s="281"/>
      <c r="AH41" s="155" t="n">
        <v>30.8</v>
      </c>
      <c r="AI41" s="123" t="n">
        <f aca="false">AI40-AH41</f>
        <v>3489.65787748928</v>
      </c>
      <c r="AJ41" s="123"/>
      <c r="AK41" s="154" t="n">
        <f aca="false">N41+O41+P41+Q41+R41+S41+T41+U41+X41+AE41+AH41</f>
        <v>35.24</v>
      </c>
      <c r="AL41" s="155" t="n">
        <f aca="false">IF(L41&lt;0,L41*-1,0)</f>
        <v>0</v>
      </c>
      <c r="AM41" s="155" t="n">
        <f aca="false">AK41+AL41</f>
        <v>35.24</v>
      </c>
      <c r="AN41" s="284"/>
      <c r="AO41" s="156"/>
      <c r="AP41" s="248"/>
      <c r="AV41" s="249" t="n">
        <v>0</v>
      </c>
      <c r="AW41" s="123" t="n">
        <v>27</v>
      </c>
      <c r="AX41" s="241" t="n">
        <v>2</v>
      </c>
      <c r="AY41" s="250"/>
      <c r="AZ41" s="282" t="n">
        <f aca="false">SUM(N41,P41:U41)</f>
        <v>4.44</v>
      </c>
      <c r="BA41" s="0" t="n">
        <v>0.487</v>
      </c>
      <c r="BB41" s="283" t="n">
        <v>18904</v>
      </c>
    </row>
    <row r="42" customFormat="false" ht="12.95" hidden="false" customHeight="true" outlineLevel="0" collapsed="false">
      <c r="A42" s="207" t="n">
        <f aca="false">A41+1</f>
        <v>28</v>
      </c>
      <c r="B42" s="122" t="n">
        <v>6888.69</v>
      </c>
      <c r="C42" s="123" t="n">
        <v>243768</v>
      </c>
      <c r="D42" s="241" t="n">
        <f aca="false">C42-C41</f>
        <v>0</v>
      </c>
      <c r="E42" s="123" t="n">
        <f aca="false">C42-152000</f>
        <v>91768</v>
      </c>
      <c r="F42" s="277" t="n">
        <f aca="false">D42/$D$2</f>
        <v>0</v>
      </c>
      <c r="G42" s="155" t="n">
        <v>34.24</v>
      </c>
      <c r="H42" s="278" t="n">
        <v>0</v>
      </c>
      <c r="I42" s="155" t="n">
        <f aca="false">G42+H42</f>
        <v>34.24</v>
      </c>
      <c r="J42" s="156" t="n">
        <f aca="false">IF(L42&gt;0,L42,0)</f>
        <v>0</v>
      </c>
      <c r="K42" s="155" t="n">
        <f aca="false">I42+J42</f>
        <v>34.24</v>
      </c>
      <c r="L42" s="155" t="n">
        <f aca="false">F42-(I42-AK42)</f>
        <v>0</v>
      </c>
      <c r="M42" s="279" t="n">
        <v>3.44</v>
      </c>
      <c r="N42" s="155" t="n">
        <v>0</v>
      </c>
      <c r="O42" s="155" t="n">
        <f aca="false">0*1.05</f>
        <v>0</v>
      </c>
      <c r="P42" s="186" t="n">
        <v>0</v>
      </c>
      <c r="Q42" s="151" t="n">
        <f aca="false">1063000/325851/1.9835*1.02</f>
        <v>1.67757588029468</v>
      </c>
      <c r="R42" s="151" t="n">
        <f aca="false">IF(((1.8*1.04)-T42)&gt;=4.2,4.2,(1.8*1.04)-T42)</f>
        <v>1.2370176</v>
      </c>
      <c r="S42" s="151" t="n">
        <f aca="false">IF(((1.8*1.04)-T42)&gt;=4.2,((1.8*1.04)-T42)-4.2,0)</f>
        <v>0</v>
      </c>
      <c r="T42" s="151" t="n">
        <f aca="false">(0.576*1.06)*1.04</f>
        <v>0.6349824</v>
      </c>
      <c r="U42" s="111" t="n">
        <f aca="false">M42-(Q42+R42+S42+T42)</f>
        <v>-0.10957588029468</v>
      </c>
      <c r="V42" s="155" t="n">
        <v>0</v>
      </c>
      <c r="W42" s="155" t="n">
        <v>0</v>
      </c>
      <c r="X42" s="155" t="n">
        <f aca="false">M42-N42-P42-O42-Q42-R42-S42-T42-U42+V42+W42</f>
        <v>0</v>
      </c>
      <c r="Y42" s="155" t="n">
        <f aca="false">X42-AO42</f>
        <v>0</v>
      </c>
      <c r="Z42" s="156"/>
      <c r="AA42" s="155"/>
      <c r="AB42" s="156"/>
      <c r="AC42" s="156"/>
      <c r="AD42" s="123"/>
      <c r="AE42" s="155" t="n">
        <v>0</v>
      </c>
      <c r="AF42" s="279"/>
      <c r="AG42" s="281"/>
      <c r="AH42" s="155" t="n">
        <v>30.8</v>
      </c>
      <c r="AI42" s="123" t="n">
        <f aca="false">AI41-AH42</f>
        <v>3458.85787748928</v>
      </c>
      <c r="AJ42" s="123"/>
      <c r="AK42" s="154" t="n">
        <f aca="false">N42+O42+P42+Q42+R42+S42+T42+U42+X42+AE42+AH42</f>
        <v>34.24</v>
      </c>
      <c r="AL42" s="155" t="n">
        <f aca="false">IF(L42&lt;0,L42*-1,0)</f>
        <v>0</v>
      </c>
      <c r="AM42" s="155" t="n">
        <f aca="false">AK42+AL42</f>
        <v>34.24</v>
      </c>
      <c r="AN42" s="284"/>
      <c r="AO42" s="156"/>
      <c r="AP42" s="248"/>
      <c r="AV42" s="249" t="n">
        <v>0</v>
      </c>
      <c r="AW42" s="123" t="n">
        <v>32</v>
      </c>
      <c r="AX42" s="241" t="n">
        <v>2</v>
      </c>
      <c r="AY42" s="250"/>
      <c r="AZ42" s="282" t="n">
        <f aca="false">SUM(N42,P42:U42)</f>
        <v>3.44</v>
      </c>
      <c r="BA42" s="0" t="n">
        <v>0.487</v>
      </c>
      <c r="BB42" s="283" t="n">
        <v>19046</v>
      </c>
    </row>
    <row r="43" customFormat="false" ht="12.95" hidden="false" customHeight="true" outlineLevel="0" collapsed="false">
      <c r="A43" s="207" t="n">
        <f aca="false">A42+1</f>
        <v>29</v>
      </c>
      <c r="B43" s="122" t="n">
        <v>6888.71</v>
      </c>
      <c r="C43" s="123" t="n">
        <v>243835</v>
      </c>
      <c r="D43" s="241" t="n">
        <f aca="false">C43-C42</f>
        <v>67</v>
      </c>
      <c r="E43" s="123" t="n">
        <f aca="false">C43-152000</f>
        <v>91835</v>
      </c>
      <c r="F43" s="277" t="n">
        <f aca="false">D43/$D$2</f>
        <v>33.7786740610033</v>
      </c>
      <c r="G43" s="155" t="n">
        <v>68.7686740610033</v>
      </c>
      <c r="H43" s="278" t="n">
        <v>0</v>
      </c>
      <c r="I43" s="155" t="n">
        <f aca="false">G43+H43</f>
        <v>68.7686740610033</v>
      </c>
      <c r="J43" s="156" t="n">
        <f aca="false">IF(L43&gt;0,L43,0)</f>
        <v>0</v>
      </c>
      <c r="K43" s="155" t="n">
        <f aca="false">I43+J43</f>
        <v>68.7686740610033</v>
      </c>
      <c r="L43" s="155" t="n">
        <f aca="false">F43-(I43-AK43)</f>
        <v>0</v>
      </c>
      <c r="M43" s="279" t="n">
        <v>4.19</v>
      </c>
      <c r="N43" s="155" t="n">
        <v>0</v>
      </c>
      <c r="O43" s="155" t="n">
        <f aca="false">0*1.05</f>
        <v>0</v>
      </c>
      <c r="P43" s="186" t="n">
        <v>0</v>
      </c>
      <c r="Q43" s="151" t="n">
        <f aca="false">1100600/325851/1.9835*1.02</f>
        <v>1.73691440625807</v>
      </c>
      <c r="R43" s="151" t="n">
        <f aca="false">IF(((1.9*1.04)-T43)&gt;=4.2,4.2,(1.9*1.04)-T43)</f>
        <v>1.3410176</v>
      </c>
      <c r="S43" s="151" t="n">
        <f aca="false">IF(((1.9*1.04)-T43)&gt;=4.2,((1.9*1.04)-T43)-4.2,0)</f>
        <v>0</v>
      </c>
      <c r="T43" s="151" t="n">
        <f aca="false">(0.576*1.06)*1.04</f>
        <v>0.6349824</v>
      </c>
      <c r="U43" s="111" t="n">
        <f aca="false">M43-(Q43+R43+S43+T43)</f>
        <v>0.477085593741934</v>
      </c>
      <c r="V43" s="155" t="n">
        <v>0</v>
      </c>
      <c r="W43" s="155" t="n">
        <v>0</v>
      </c>
      <c r="X43" s="155" t="n">
        <f aca="false">M43-N43-P43-O43-Q43-R43-S43-T43-U43+V43+W43</f>
        <v>0</v>
      </c>
      <c r="Y43" s="155" t="n">
        <f aca="false">X43-AO43</f>
        <v>0</v>
      </c>
      <c r="Z43" s="156"/>
      <c r="AA43" s="155"/>
      <c r="AB43" s="156"/>
      <c r="AC43" s="156"/>
      <c r="AD43" s="123"/>
      <c r="AE43" s="155" t="n">
        <v>0</v>
      </c>
      <c r="AF43" s="279"/>
      <c r="AG43" s="281"/>
      <c r="AH43" s="155" t="n">
        <v>30.8</v>
      </c>
      <c r="AI43" s="123" t="n">
        <f aca="false">AI42-AH43</f>
        <v>3428.05787748928</v>
      </c>
      <c r="AJ43" s="123"/>
      <c r="AK43" s="154" t="n">
        <f aca="false">N43+O43+P43+Q43+R43+S43+T43+U43+X43+AE43+AH43</f>
        <v>34.99</v>
      </c>
      <c r="AL43" s="155" t="n">
        <f aca="false">IF(L43&lt;0,L43*-1,0)</f>
        <v>0</v>
      </c>
      <c r="AM43" s="155" t="n">
        <f aca="false">AK43+AL43</f>
        <v>34.99</v>
      </c>
      <c r="AN43" s="284"/>
      <c r="AO43" s="156"/>
      <c r="AP43" s="248"/>
      <c r="AV43" s="249" t="n">
        <v>0.02</v>
      </c>
      <c r="AW43" s="123" t="n">
        <v>34</v>
      </c>
      <c r="AX43" s="241" t="n">
        <v>2</v>
      </c>
      <c r="AY43" s="250"/>
      <c r="AZ43" s="282" t="n">
        <f aca="false">SUM(N43,P43:U43)</f>
        <v>4.19</v>
      </c>
      <c r="BA43" s="0" t="n">
        <v>0.487</v>
      </c>
      <c r="BB43" s="283" t="n">
        <v>19083</v>
      </c>
    </row>
    <row r="44" customFormat="false" ht="12.95" hidden="false" customHeight="true" outlineLevel="0" collapsed="false">
      <c r="A44" s="207" t="n">
        <v>30</v>
      </c>
      <c r="B44" s="122" t="n">
        <v>6888.73</v>
      </c>
      <c r="C44" s="123" t="n">
        <v>243902</v>
      </c>
      <c r="D44" s="241" t="n">
        <f aca="false">C44-C43</f>
        <v>67</v>
      </c>
      <c r="E44" s="123" t="n">
        <f aca="false">C44-152000</f>
        <v>91902</v>
      </c>
      <c r="F44" s="277" t="n">
        <f aca="false">D44/$D$2</f>
        <v>33.7786740610033</v>
      </c>
      <c r="G44" s="155" t="n">
        <v>68.2286740610033</v>
      </c>
      <c r="H44" s="278" t="n">
        <v>0</v>
      </c>
      <c r="I44" s="155" t="n">
        <f aca="false">G44+H44</f>
        <v>68.2286740610033</v>
      </c>
      <c r="J44" s="156" t="n">
        <f aca="false">IF(L44&gt;0,L44,0)</f>
        <v>0</v>
      </c>
      <c r="K44" s="155" t="n">
        <f aca="false">I44+J44</f>
        <v>68.2286740610033</v>
      </c>
      <c r="L44" s="155" t="n">
        <f aca="false">F44-(I44-AK44)</f>
        <v>0</v>
      </c>
      <c r="M44" s="279" t="n">
        <v>3.65</v>
      </c>
      <c r="N44" s="155" t="n">
        <v>0</v>
      </c>
      <c r="O44" s="155" t="n">
        <f aca="false">0*1.05</f>
        <v>0</v>
      </c>
      <c r="P44" s="186" t="n">
        <v>0</v>
      </c>
      <c r="Q44" s="151" t="n">
        <f aca="false">1029800/325851/1.9835*1.02</f>
        <v>1.62518122439084</v>
      </c>
      <c r="R44" s="151" t="n">
        <f aca="false">IF(((2*1.04)-T44)&gt;=4.2,4.2,(2*1.04)-T44)</f>
        <v>1.4450176</v>
      </c>
      <c r="S44" s="151" t="n">
        <f aca="false">IF(((2*1.04)-T44)&gt;=4.2,((2*1.04)-T44)-4.2,0)</f>
        <v>0</v>
      </c>
      <c r="T44" s="151" t="n">
        <f aca="false">(0.576*1.06)*1.04</f>
        <v>0.6349824</v>
      </c>
      <c r="U44" s="111" t="n">
        <f aca="false">M44-(Q44+R44+S44+T44)</f>
        <v>-0.0551812243908385</v>
      </c>
      <c r="V44" s="155" t="n">
        <v>0</v>
      </c>
      <c r="W44" s="155" t="n">
        <v>0</v>
      </c>
      <c r="X44" s="155" t="n">
        <f aca="false">M44-N44-P44-O44-Q44-R44-S44-T44-U44+V44+W44</f>
        <v>0</v>
      </c>
      <c r="Y44" s="155" t="n">
        <f aca="false">X44-AO44</f>
        <v>0</v>
      </c>
      <c r="Z44" s="156"/>
      <c r="AA44" s="155"/>
      <c r="AB44" s="156"/>
      <c r="AC44" s="156"/>
      <c r="AD44" s="123"/>
      <c r="AE44" s="155" t="n">
        <v>0</v>
      </c>
      <c r="AF44" s="279"/>
      <c r="AG44" s="281"/>
      <c r="AH44" s="155" t="n">
        <v>30.8</v>
      </c>
      <c r="AI44" s="123" t="n">
        <f aca="false">AI43-AH44</f>
        <v>3397.25787748928</v>
      </c>
      <c r="AJ44" s="123"/>
      <c r="AK44" s="154" t="n">
        <f aca="false">N44+O44+P44+Q44+R44+S44+T44+U44+X44+AE44+AH44</f>
        <v>34.45</v>
      </c>
      <c r="AL44" s="155" t="n">
        <f aca="false">IF(L44&lt;0,L44*-1,0)</f>
        <v>0</v>
      </c>
      <c r="AM44" s="155" t="n">
        <f aca="false">AK44+AL44</f>
        <v>34.45</v>
      </c>
      <c r="AN44" s="284"/>
      <c r="AO44" s="156"/>
      <c r="AP44" s="248"/>
      <c r="AV44" s="249" t="n">
        <v>0.01</v>
      </c>
      <c r="AW44" s="123" t="n">
        <v>34</v>
      </c>
      <c r="AX44" s="241" t="n">
        <v>9</v>
      </c>
      <c r="AY44" s="250"/>
      <c r="AZ44" s="282" t="n">
        <f aca="false">SUM(N44,P44:U44)</f>
        <v>3.65</v>
      </c>
      <c r="BA44" s="0" t="n">
        <v>0.487</v>
      </c>
      <c r="BB44" s="283" t="n">
        <v>19114</v>
      </c>
    </row>
    <row r="45" customFormat="false" ht="12.95" hidden="false" customHeight="true" outlineLevel="0" collapsed="false">
      <c r="A45" s="207" t="n">
        <v>31</v>
      </c>
      <c r="B45" s="122" t="n">
        <v>6888.76</v>
      </c>
      <c r="C45" s="123" t="n">
        <v>244002</v>
      </c>
      <c r="D45" s="241" t="n">
        <f aca="false">C45-C44</f>
        <v>100</v>
      </c>
      <c r="E45" s="123" t="n">
        <f aca="false">C45-152000</f>
        <v>92002</v>
      </c>
      <c r="F45" s="277" t="n">
        <f aca="false">D45/$D$2</f>
        <v>50.4159314343332</v>
      </c>
      <c r="G45" s="155" t="n">
        <v>85.9059314343332</v>
      </c>
      <c r="H45" s="278" t="n">
        <v>0</v>
      </c>
      <c r="I45" s="155" t="n">
        <f aca="false">G45+H45</f>
        <v>85.9059314343332</v>
      </c>
      <c r="J45" s="156" t="n">
        <f aca="false">IF(L45&gt;0,L45,0)</f>
        <v>0</v>
      </c>
      <c r="K45" s="155" t="n">
        <f aca="false">I45+J45</f>
        <v>85.9059314343332</v>
      </c>
      <c r="L45" s="155" t="n">
        <f aca="false">F45-(I45-AK45)</f>
        <v>0</v>
      </c>
      <c r="M45" s="279" t="n">
        <v>4.69</v>
      </c>
      <c r="N45" s="155" t="n">
        <v>0</v>
      </c>
      <c r="O45" s="155" t="n">
        <f aca="false">0*1.05</f>
        <v>0</v>
      </c>
      <c r="P45" s="186" t="n">
        <v>0</v>
      </c>
      <c r="Q45" s="151" t="n">
        <f aca="false">1017000/325851/1.9835*1.02</f>
        <v>1.60498087512671</v>
      </c>
      <c r="R45" s="151" t="n">
        <f aca="false">IF(((2.4*1.04)-T44)&gt;=4.2,4.2,(2.4*1.04)-T44)</f>
        <v>1.8610176</v>
      </c>
      <c r="S45" s="151" t="n">
        <f aca="false">IF(((2.4*1.04)-T44)&gt;=4.2,((2.4*1.04)-T44)-4.2,0)</f>
        <v>0</v>
      </c>
      <c r="T45" s="151" t="n">
        <f aca="false">(0.576*1.06)*1.04</f>
        <v>0.6349824</v>
      </c>
      <c r="U45" s="111" t="n">
        <f aca="false">M45-(Q45+R45+S45+T45)</f>
        <v>0.589019124873293</v>
      </c>
      <c r="V45" s="155" t="n">
        <v>0</v>
      </c>
      <c r="W45" s="155" t="n">
        <v>0</v>
      </c>
      <c r="X45" s="155" t="n">
        <f aca="false">M45-N45-P45-O45-Q45-R45-S45-T45-U45+V45+W45</f>
        <v>0</v>
      </c>
      <c r="Y45" s="155" t="n">
        <f aca="false">X45-AO45</f>
        <v>0</v>
      </c>
      <c r="Z45" s="156"/>
      <c r="AA45" s="155"/>
      <c r="AB45" s="156"/>
      <c r="AC45" s="156"/>
      <c r="AD45" s="123"/>
      <c r="AE45" s="155" t="n">
        <v>0</v>
      </c>
      <c r="AF45" s="279"/>
      <c r="AG45" s="281"/>
      <c r="AH45" s="155" t="n">
        <v>30.8</v>
      </c>
      <c r="AI45" s="123" t="n">
        <f aca="false">AI44-AH45</f>
        <v>3366.45787748928</v>
      </c>
      <c r="AJ45" s="123"/>
      <c r="AK45" s="154" t="n">
        <f aca="false">N45+O45+P45+Q45+R45+S45+T45+U45+X45+AE45+AH45</f>
        <v>35.49</v>
      </c>
      <c r="AL45" s="155" t="n">
        <f aca="false">IF(L45&lt;0,L45*-1,0)</f>
        <v>0</v>
      </c>
      <c r="AM45" s="277" t="n">
        <f aca="false">AK45+AL45</f>
        <v>35.49</v>
      </c>
      <c r="AN45" s="284"/>
      <c r="AO45" s="156"/>
      <c r="AP45" s="248"/>
      <c r="AV45" s="249" t="n">
        <v>0</v>
      </c>
      <c r="AW45" s="123" t="n">
        <v>32</v>
      </c>
      <c r="AX45" s="241" t="n">
        <v>7</v>
      </c>
      <c r="AY45" s="250"/>
      <c r="AZ45" s="282" t="n">
        <f aca="false">SUM(N45,P45:U45)</f>
        <v>4.69</v>
      </c>
      <c r="BA45" s="0" t="n">
        <v>0.487</v>
      </c>
      <c r="BB45" s="283" t="n">
        <v>19010</v>
      </c>
    </row>
    <row r="46" customFormat="false" ht="3" hidden="false" customHeight="true" outlineLevel="0" collapsed="false">
      <c r="A46" s="261"/>
      <c r="B46" s="286"/>
      <c r="C46" s="263"/>
      <c r="D46" s="264"/>
      <c r="E46" s="263"/>
      <c r="F46" s="265"/>
      <c r="G46" s="264"/>
      <c r="H46" s="266"/>
      <c r="I46" s="264"/>
      <c r="J46" s="264"/>
      <c r="K46" s="264"/>
      <c r="L46" s="264"/>
      <c r="M46" s="264"/>
      <c r="N46" s="264"/>
      <c r="O46" s="264"/>
      <c r="P46" s="268"/>
      <c r="Q46" s="264"/>
      <c r="R46" s="264"/>
      <c r="S46" s="264"/>
      <c r="T46" s="264"/>
      <c r="U46" s="269"/>
      <c r="V46" s="264"/>
      <c r="W46" s="264"/>
      <c r="X46" s="264" t="n">
        <f aca="false">M46-N46-O46-Q46-R46-S46+V46+W46</f>
        <v>0</v>
      </c>
      <c r="Y46" s="264" t="n">
        <f aca="false">N46-O46-P46-R46-S46-U46+W46+X46</f>
        <v>0</v>
      </c>
      <c r="Z46" s="271"/>
      <c r="AA46" s="264"/>
      <c r="AB46" s="271"/>
      <c r="AC46" s="271"/>
      <c r="AD46" s="263"/>
      <c r="AE46" s="264"/>
      <c r="AF46" s="267"/>
      <c r="AG46" s="272"/>
      <c r="AH46" s="270"/>
      <c r="AI46" s="264"/>
      <c r="AJ46" s="264"/>
      <c r="AK46" s="264" t="n">
        <f aca="false">N46+O46+Q46+R46+S46+X46+AE46+AH46</f>
        <v>0</v>
      </c>
      <c r="AL46" s="264"/>
      <c r="AM46" s="265"/>
      <c r="AN46" s="274"/>
      <c r="AO46" s="271"/>
      <c r="AP46" s="274"/>
      <c r="AQ46" s="275"/>
      <c r="AR46" s="275"/>
      <c r="AS46" s="275"/>
      <c r="AT46" s="275"/>
      <c r="AU46" s="274"/>
      <c r="AV46" s="276"/>
      <c r="AW46" s="274"/>
      <c r="AX46" s="274" t="s">
        <v>117</v>
      </c>
      <c r="AY46" s="274" t="s">
        <v>117</v>
      </c>
      <c r="AZ46" s="274" t="s">
        <v>117</v>
      </c>
      <c r="BA46" s="274" t="s">
        <v>117</v>
      </c>
      <c r="BB46" s="274" t="s">
        <v>117</v>
      </c>
    </row>
    <row r="47" customFormat="false" ht="12.95" hidden="false" customHeight="true" outlineLevel="0" collapsed="false">
      <c r="A47" s="209" t="s">
        <v>104</v>
      </c>
      <c r="B47" s="239"/>
      <c r="C47" s="123"/>
      <c r="D47" s="123"/>
      <c r="E47" s="123"/>
      <c r="F47" s="240" t="n">
        <f aca="false">SUM(F15:F45)</f>
        <v>823.292160322662</v>
      </c>
      <c r="G47" s="123" t="n">
        <f aca="false">SUM(G15:G45)</f>
        <v>1891.95316032266</v>
      </c>
      <c r="H47" s="123" t="n">
        <f aca="false">SUM(H15:H45)</f>
        <v>1.359</v>
      </c>
      <c r="I47" s="123" t="n">
        <f aca="false">SUM(I15:I45)</f>
        <v>1893.31216032266</v>
      </c>
      <c r="J47" s="123" t="n">
        <f aca="false">SUM(J15:J45)</f>
        <v>0</v>
      </c>
      <c r="K47" s="123" t="n">
        <f aca="false">SUM(K15:K45)</f>
        <v>1893.31216032266</v>
      </c>
      <c r="L47" s="123" t="n">
        <f aca="false">SUM(L15:L45)</f>
        <v>0</v>
      </c>
      <c r="M47" s="242" t="n">
        <f aca="false">SUM(M15:M45)</f>
        <v>122</v>
      </c>
      <c r="N47" s="123" t="n">
        <f aca="false">SUM(N15:N45)</f>
        <v>0</v>
      </c>
      <c r="O47" s="244" t="n">
        <f aca="false">SUM(O15:O45)-SUM(O28:O33)</f>
        <v>0</v>
      </c>
      <c r="P47" s="186"/>
      <c r="Q47" s="123" t="n">
        <f aca="false">SUM(Q15:Q45)</f>
        <v>48.4991448004365</v>
      </c>
      <c r="R47" s="123" t="n">
        <f aca="false">SUM(R15:R45)</f>
        <v>48.84649952</v>
      </c>
      <c r="S47" s="123" t="n">
        <f aca="false">SUM(S15:S45)</f>
        <v>0</v>
      </c>
      <c r="T47" s="123" t="n">
        <f aca="false">SUM(T15:T45)</f>
        <v>18.96150048</v>
      </c>
      <c r="U47" s="243" t="n">
        <f aca="false">SUM(U15:U45)</f>
        <v>5.69285519956352</v>
      </c>
      <c r="V47" s="123" t="n">
        <f aca="false">SUM(V15:V45)</f>
        <v>1.12</v>
      </c>
      <c r="W47" s="123" t="n">
        <f aca="false">SUM(W15:W45)</f>
        <v>0</v>
      </c>
      <c r="X47" s="123" t="n">
        <f aca="false">SUM(X15:X45)</f>
        <v>-20.1866</v>
      </c>
      <c r="Y47" s="123" t="n">
        <f aca="false">SUM(Y15:Y45)</f>
        <v>-20.1866</v>
      </c>
      <c r="Z47" s="156"/>
      <c r="AA47" s="123"/>
      <c r="AB47" s="156"/>
      <c r="AC47" s="155" t="n">
        <f aca="false">SUM(AC15:AC45)</f>
        <v>1251.62617314549</v>
      </c>
      <c r="AD47" s="123"/>
      <c r="AE47" s="123"/>
      <c r="AF47" s="242"/>
      <c r="AG47" s="245"/>
      <c r="AH47" s="123" t="n">
        <f aca="false">SUM(AH15:AH45)</f>
        <v>946.9</v>
      </c>
      <c r="AI47" s="123"/>
      <c r="AJ47" s="93" t="n">
        <f aca="false">SUM(AJ15:AJ45)</f>
        <v>0</v>
      </c>
      <c r="AK47" s="123" t="n">
        <f aca="false">SUM(AK15:AK45)</f>
        <v>1070.02</v>
      </c>
      <c r="AL47" s="123" t="n">
        <f aca="false">SUM(AL15:AL45)</f>
        <v>0</v>
      </c>
      <c r="AM47" s="240" t="n">
        <f aca="false">SUM(AM15:AM45)</f>
        <v>1070.02</v>
      </c>
      <c r="AN47" s="123" t="n">
        <f aca="false">SUM(AN15:AN45)</f>
        <v>0</v>
      </c>
      <c r="AO47" s="156" t="n">
        <f aca="false">SUM(AO15:AO45)</f>
        <v>0</v>
      </c>
      <c r="AP47" s="248"/>
      <c r="AV47" s="249" t="n">
        <f aca="false">SUM(AV15:AV45)</f>
        <v>2.4</v>
      </c>
      <c r="AW47" s="241" t="n">
        <f aca="false">AVERAGE(AW15:AW45)</f>
        <v>41.258064516129</v>
      </c>
      <c r="AX47" s="241" t="n">
        <f aca="false">AVERAGE(AX15:AX45)</f>
        <v>16.3870967741935</v>
      </c>
      <c r="AY47" s="250" t="s">
        <v>105</v>
      </c>
      <c r="AZ47" s="287" t="n">
        <f aca="false">SUM(AZ15:AZ45)</f>
        <v>122</v>
      </c>
      <c r="BA47" s="288" t="n">
        <f aca="false">SUM(BA15:BA45)</f>
        <v>14.442</v>
      </c>
      <c r="BB47" s="283"/>
    </row>
    <row r="48" customFormat="false" ht="12.95" hidden="false" customHeight="true" outlineLevel="0" collapsed="false">
      <c r="A48" s="209" t="s">
        <v>106</v>
      </c>
      <c r="B48" s="239"/>
      <c r="C48" s="123"/>
      <c r="D48" s="123" t="n">
        <f aca="false">SUM(D15:D45)</f>
        <v>1633</v>
      </c>
      <c r="E48" s="123"/>
      <c r="F48" s="240" t="n">
        <f aca="false">F47*$D$2</f>
        <v>1633</v>
      </c>
      <c r="G48" s="123" t="n">
        <f aca="false">G47*$D$2</f>
        <v>3752.6890935</v>
      </c>
      <c r="H48" s="123" t="n">
        <f aca="false">H47*$D$2</f>
        <v>2.6955765</v>
      </c>
      <c r="I48" s="123" t="n">
        <f aca="false">I47*$D$2</f>
        <v>3755.38467</v>
      </c>
      <c r="J48" s="123" t="n">
        <f aca="false">J47*$D$2</f>
        <v>0</v>
      </c>
      <c r="K48" s="123" t="n">
        <f aca="false">K47*$D$2</f>
        <v>3755.38467</v>
      </c>
      <c r="L48" s="123" t="n">
        <f aca="false">L47*$D$2</f>
        <v>0</v>
      </c>
      <c r="M48" s="242" t="n">
        <f aca="false">M47*$D$2</f>
        <v>241.987</v>
      </c>
      <c r="N48" s="123" t="n">
        <f aca="false">N47*$D$2</f>
        <v>0</v>
      </c>
      <c r="O48" s="123" t="n">
        <f aca="false">O47*$D$2</f>
        <v>0</v>
      </c>
      <c r="P48" s="186"/>
      <c r="Q48" s="123" t="n">
        <f aca="false">Q47*$D$2</f>
        <v>96.1980537116658</v>
      </c>
      <c r="R48" s="123" t="n">
        <f aca="false">R47*$D$2</f>
        <v>96.88703179792</v>
      </c>
      <c r="S48" s="123" t="n">
        <f aca="false">S47*$D$2</f>
        <v>0</v>
      </c>
      <c r="T48" s="123" t="n">
        <f aca="false">T47*$D$2</f>
        <v>37.61013620208</v>
      </c>
      <c r="U48" s="243" t="n">
        <f aca="false">U47*$D$2</f>
        <v>11.2917782883342</v>
      </c>
      <c r="V48" s="123" t="n">
        <f aca="false">V47*$D$2</f>
        <v>2.22152</v>
      </c>
      <c r="W48" s="123" t="n">
        <f aca="false">W47*$D$2</f>
        <v>0</v>
      </c>
      <c r="X48" s="123" t="n">
        <f aca="false">X47*$D$2</f>
        <v>-40.0401211</v>
      </c>
      <c r="Y48" s="123" t="n">
        <f aca="false">Y47*$D$2</f>
        <v>-40.0401211</v>
      </c>
      <c r="Z48" s="156"/>
      <c r="AA48" s="123"/>
      <c r="AB48" s="156"/>
      <c r="AC48" s="155" t="n">
        <f aca="false">AC47*$D$2</f>
        <v>2482.60051443407</v>
      </c>
      <c r="AD48" s="123"/>
      <c r="AE48" s="123"/>
      <c r="AF48" s="242"/>
      <c r="AG48" s="245"/>
      <c r="AH48" s="123" t="n">
        <f aca="false">AH47*$D$2</f>
        <v>1878.17615</v>
      </c>
      <c r="AI48" s="123"/>
      <c r="AJ48" s="93" t="n">
        <f aca="false">AJ47*$D$2</f>
        <v>0</v>
      </c>
      <c r="AK48" s="123" t="n">
        <f aca="false">AK47*$D$2</f>
        <v>2122.38467</v>
      </c>
      <c r="AL48" s="123" t="n">
        <f aca="false">AL47*$D$2</f>
        <v>0</v>
      </c>
      <c r="AM48" s="240" t="n">
        <f aca="false">AM47*$D$2</f>
        <v>2122.38467</v>
      </c>
      <c r="AN48" s="123" t="n">
        <f aca="false">AN47*$D$2</f>
        <v>0</v>
      </c>
      <c r="AO48" s="156" t="n">
        <f aca="false">AO47*$D$2</f>
        <v>0</v>
      </c>
      <c r="AP48" s="248"/>
      <c r="AV48" s="249"/>
      <c r="AW48" s="241" t="n">
        <f aca="false">MAX(AW15:AW45)</f>
        <v>60</v>
      </c>
      <c r="AX48" s="241" t="n">
        <f aca="false">MAX(AX15:AX45)</f>
        <v>31</v>
      </c>
      <c r="AY48" s="250" t="s">
        <v>107</v>
      </c>
      <c r="AZ48" s="287" t="n">
        <f aca="false">AZ47*$D$2</f>
        <v>241.987</v>
      </c>
      <c r="BA48" s="288" t="n">
        <f aca="false">BA47*D2</f>
        <v>28.645707</v>
      </c>
      <c r="BB48" s="283"/>
    </row>
    <row r="49" customFormat="false" ht="3" hidden="false" customHeight="true" outlineLevel="0" collapsed="false">
      <c r="A49" s="261"/>
      <c r="B49" s="286"/>
      <c r="C49" s="263"/>
      <c r="D49" s="263"/>
      <c r="E49" s="263"/>
      <c r="F49" s="289"/>
      <c r="G49" s="263"/>
      <c r="H49" s="263"/>
      <c r="I49" s="263"/>
      <c r="J49" s="263"/>
      <c r="K49" s="263"/>
      <c r="L49" s="263"/>
      <c r="M49" s="290"/>
      <c r="N49" s="263"/>
      <c r="O49" s="263"/>
      <c r="P49" s="268"/>
      <c r="Q49" s="263"/>
      <c r="R49" s="263"/>
      <c r="S49" s="263"/>
      <c r="T49" s="263"/>
      <c r="U49" s="269"/>
      <c r="V49" s="263"/>
      <c r="W49" s="263"/>
      <c r="X49" s="263"/>
      <c r="Y49" s="263"/>
      <c r="Z49" s="271"/>
      <c r="AA49" s="263"/>
      <c r="AB49" s="271"/>
      <c r="AC49" s="264"/>
      <c r="AD49" s="263"/>
      <c r="AE49" s="263"/>
      <c r="AF49" s="290"/>
      <c r="AG49" s="291"/>
      <c r="AH49" s="263"/>
      <c r="AI49" s="264"/>
      <c r="AJ49" s="137"/>
      <c r="AK49" s="263"/>
      <c r="AL49" s="263"/>
      <c r="AM49" s="289"/>
      <c r="AN49" s="263"/>
      <c r="AO49" s="271"/>
      <c r="AP49" s="263"/>
      <c r="AQ49" s="292"/>
      <c r="AR49" s="292"/>
      <c r="AS49" s="275"/>
      <c r="AT49" s="275"/>
      <c r="AU49" s="274"/>
      <c r="AV49" s="293"/>
      <c r="AW49" s="263"/>
      <c r="AX49" s="263"/>
      <c r="AY49" s="263"/>
      <c r="AZ49" s="263"/>
      <c r="BA49" s="264"/>
      <c r="BB49" s="263"/>
    </row>
    <row r="50" customFormat="false" ht="12.95" hidden="false" customHeight="true" outlineLevel="0" collapsed="false">
      <c r="A50" s="209" t="s">
        <v>108</v>
      </c>
      <c r="B50" s="239"/>
      <c r="C50" s="123"/>
      <c r="D50" s="123"/>
      <c r="E50" s="123"/>
      <c r="F50" s="240"/>
      <c r="G50" s="123"/>
      <c r="H50" s="123"/>
      <c r="I50" s="123"/>
      <c r="J50" s="123"/>
      <c r="K50" s="123"/>
      <c r="L50" s="123"/>
      <c r="M50" s="242"/>
      <c r="N50" s="123"/>
      <c r="O50" s="123"/>
      <c r="P50" s="186"/>
      <c r="Q50" s="123"/>
      <c r="R50" s="123"/>
      <c r="S50" s="123"/>
      <c r="T50" s="123"/>
      <c r="U50" s="243"/>
      <c r="V50" s="123"/>
      <c r="W50" s="123"/>
      <c r="X50" s="123"/>
      <c r="Y50" s="123"/>
      <c r="Z50" s="156"/>
      <c r="AA50" s="123"/>
      <c r="AB50" s="156"/>
      <c r="AC50" s="155"/>
      <c r="AD50" s="123"/>
      <c r="AE50" s="123"/>
      <c r="AF50" s="242"/>
      <c r="AG50" s="245"/>
      <c r="AH50" s="123"/>
      <c r="AI50" s="123"/>
      <c r="AJ50" s="93"/>
      <c r="AK50" s="123"/>
      <c r="AL50" s="123"/>
      <c r="AM50" s="240"/>
      <c r="AN50" s="123"/>
      <c r="AO50" s="156"/>
      <c r="AP50" s="248"/>
      <c r="AV50" s="249"/>
      <c r="AW50" s="241" t="n">
        <f aca="false">MIN(AW15:AW45)</f>
        <v>22</v>
      </c>
      <c r="AX50" s="241" t="n">
        <f aca="false">MIN(AX15:AX45)</f>
        <v>2</v>
      </c>
      <c r="AY50" s="250" t="s">
        <v>109</v>
      </c>
      <c r="AZ50" s="287"/>
      <c r="BA50" s="288"/>
      <c r="BB50" s="283"/>
    </row>
    <row r="51" customFormat="false" ht="12.95" hidden="false" customHeight="true" outlineLevel="0" collapsed="false">
      <c r="A51" s="209" t="s">
        <v>110</v>
      </c>
      <c r="B51" s="239"/>
      <c r="C51" s="123"/>
      <c r="D51" s="123"/>
      <c r="E51" s="123"/>
      <c r="F51" s="240"/>
      <c r="G51" s="123"/>
      <c r="H51" s="123"/>
      <c r="I51" s="123"/>
      <c r="J51" s="123"/>
      <c r="K51" s="123"/>
      <c r="L51" s="123"/>
      <c r="M51" s="242"/>
      <c r="N51" s="123"/>
      <c r="O51" s="123"/>
      <c r="P51" s="186"/>
      <c r="Q51" s="123"/>
      <c r="R51" s="123"/>
      <c r="S51" s="123"/>
      <c r="T51" s="123"/>
      <c r="U51" s="243"/>
      <c r="V51" s="123"/>
      <c r="W51" s="123"/>
      <c r="X51" s="123"/>
      <c r="Y51" s="123"/>
      <c r="Z51" s="156"/>
      <c r="AA51" s="123"/>
      <c r="AB51" s="156"/>
      <c r="AC51" s="155"/>
      <c r="AD51" s="123"/>
      <c r="AE51" s="123"/>
      <c r="AF51" s="242"/>
      <c r="AG51" s="245"/>
      <c r="AH51" s="123"/>
      <c r="AI51" s="123"/>
      <c r="AJ51" s="93"/>
      <c r="AK51" s="123"/>
      <c r="AL51" s="123"/>
      <c r="AM51" s="240"/>
      <c r="AN51" s="123"/>
      <c r="AO51" s="156"/>
      <c r="AP51" s="248"/>
      <c r="AV51" s="249"/>
      <c r="AW51" s="241"/>
      <c r="AX51" s="241"/>
      <c r="AY51" s="250"/>
      <c r="AZ51" s="287"/>
      <c r="BA51" s="288"/>
      <c r="BB51" s="283"/>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269"/>
      <c r="V52" s="263"/>
      <c r="W52" s="263"/>
      <c r="X52" s="263"/>
      <c r="Y52" s="263"/>
      <c r="Z52" s="271"/>
      <c r="AA52" s="263"/>
      <c r="AB52" s="271"/>
      <c r="AC52" s="264"/>
      <c r="AD52" s="263"/>
      <c r="AE52" s="263"/>
      <c r="AF52" s="290"/>
      <c r="AG52" s="291"/>
      <c r="AH52" s="263"/>
      <c r="AI52" s="263"/>
      <c r="AJ52" s="137"/>
      <c r="AK52" s="263"/>
      <c r="AL52" s="263"/>
      <c r="AM52" s="289"/>
      <c r="AN52" s="263"/>
      <c r="AO52" s="271"/>
      <c r="AP52" s="294"/>
      <c r="AQ52" s="295"/>
      <c r="AR52" s="295"/>
      <c r="AS52" s="275"/>
      <c r="AT52" s="275"/>
      <c r="AU52" s="274"/>
      <c r="AV52" s="276"/>
      <c r="AW52" s="294"/>
      <c r="AX52" s="294"/>
      <c r="AY52" s="294"/>
      <c r="AZ52" s="294"/>
      <c r="BA52" s="264"/>
      <c r="BB52" s="294"/>
    </row>
    <row r="53" customFormat="false" ht="12.95" hidden="false" customHeight="true" outlineLevel="0" collapsed="false">
      <c r="A53" s="209" t="s">
        <v>111</v>
      </c>
      <c r="B53" s="239"/>
      <c r="C53" s="123"/>
      <c r="D53" s="123"/>
      <c r="E53" s="123"/>
      <c r="F53" s="240" t="n">
        <f aca="false">F13+F47</f>
        <v>420.468868162339</v>
      </c>
      <c r="G53" s="123" t="n">
        <f aca="false">G13+G47</f>
        <v>4155.70786917066</v>
      </c>
      <c r="H53" s="241" t="n">
        <f aca="false">H13+H47</f>
        <v>1.359</v>
      </c>
      <c r="I53" s="123" t="n">
        <f aca="false">I13+I47</f>
        <v>4157.06686917066</v>
      </c>
      <c r="J53" s="123" t="n">
        <f aca="false">J13+J47</f>
        <v>242.311325938997</v>
      </c>
      <c r="K53" s="123" t="n">
        <f aca="false">K13+K47</f>
        <v>4399.37819510965</v>
      </c>
      <c r="L53" s="123" t="n">
        <f aca="false">L13+L47</f>
        <v>-45.6810010083185</v>
      </c>
      <c r="M53" s="242" t="n">
        <f aca="false">M13+M47</f>
        <v>226.55</v>
      </c>
      <c r="N53" s="123" t="n">
        <f aca="false">N13+N47</f>
        <v>0</v>
      </c>
      <c r="O53" s="123" t="n">
        <v>0</v>
      </c>
      <c r="P53" s="186"/>
      <c r="Q53" s="123" t="n">
        <f aca="false">Q13+Q47</f>
        <v>94.3073821375706</v>
      </c>
      <c r="R53" s="123" t="n">
        <f aca="false">R13+R47</f>
        <v>95.67458992</v>
      </c>
      <c r="S53" s="123" t="n">
        <f aca="false">S13+S47</f>
        <v>0</v>
      </c>
      <c r="T53" s="123" t="n">
        <f aca="false">T13+T47</f>
        <v>35.15741008</v>
      </c>
      <c r="U53" s="243" t="n">
        <f aca="false">U13+U47</f>
        <v>1.41061786242944</v>
      </c>
      <c r="V53" s="123" t="n">
        <f aca="false">V13+V47</f>
        <v>1612.52</v>
      </c>
      <c r="W53" s="123" t="n">
        <f aca="false">W13+W47</f>
        <v>0.047</v>
      </c>
      <c r="X53" s="123" t="n">
        <f aca="false">X13+X47</f>
        <v>1588.7929</v>
      </c>
      <c r="Y53" s="123" t="n">
        <f aca="false">Y13+Y47</f>
        <v>1588.7929</v>
      </c>
      <c r="Z53" s="156"/>
      <c r="AA53" s="123"/>
      <c r="AB53" s="156"/>
      <c r="AC53" s="123" t="n">
        <f aca="false">AC13+AC47</f>
        <v>1714.07656152266</v>
      </c>
      <c r="AD53" s="123"/>
      <c r="AE53" s="123"/>
      <c r="AF53" s="242"/>
      <c r="AG53" s="245"/>
      <c r="AH53" s="123" t="n">
        <f aca="false">AH13+AH47</f>
        <v>1851.8</v>
      </c>
      <c r="AI53" s="123" t="n">
        <f aca="false">AI45</f>
        <v>3366.45787748928</v>
      </c>
      <c r="AJ53" s="93" t="n">
        <f aca="false">AJ14+AJ47</f>
        <v>0</v>
      </c>
      <c r="AK53" s="123" t="n">
        <f aca="false">AK13+AK47</f>
        <v>3690.917</v>
      </c>
      <c r="AL53" s="123" t="n">
        <f aca="false">AL13+AL47</f>
        <v>287.992326947315</v>
      </c>
      <c r="AM53" s="240" t="n">
        <f aca="false">AM13+AM47</f>
        <v>3978.90932694732</v>
      </c>
      <c r="AN53" s="123" t="n">
        <f aca="false">AN13+AN47</f>
        <v>1611.4</v>
      </c>
      <c r="AO53" s="156" t="n">
        <f aca="false">AO13+AO47</f>
        <v>0</v>
      </c>
      <c r="AP53" s="248"/>
      <c r="AV53" s="249" t="n">
        <f aca="false">AV13+AV47</f>
        <v>4.435</v>
      </c>
      <c r="AW53" s="241"/>
      <c r="AX53" s="241"/>
      <c r="AY53" s="250"/>
      <c r="AZ53" s="287" t="n">
        <f aca="false">AZ13+AZ47</f>
        <v>226.55</v>
      </c>
      <c r="BA53" s="288" t="n">
        <f aca="false">BA47+BA13</f>
        <v>19.63</v>
      </c>
      <c r="BB53" s="283"/>
    </row>
    <row r="54" customFormat="false" ht="12.95" hidden="false" customHeight="true" outlineLevel="0" collapsed="false">
      <c r="A54" s="209" t="s">
        <v>112</v>
      </c>
      <c r="B54" s="239"/>
      <c r="C54" s="123"/>
      <c r="D54" s="123" t="n">
        <f aca="false">D13+D48</f>
        <v>834</v>
      </c>
      <c r="E54" s="123" t="n">
        <f aca="false">E45</f>
        <v>92002</v>
      </c>
      <c r="F54" s="240" t="n">
        <f aca="false">F53*$D$2</f>
        <v>834</v>
      </c>
      <c r="G54" s="123" t="n">
        <f aca="false">G53*$D$2</f>
        <v>8242.8465585</v>
      </c>
      <c r="H54" s="241" t="n">
        <f aca="false">H53*$D$2</f>
        <v>2.6955765</v>
      </c>
      <c r="I54" s="123" t="n">
        <f aca="false">I53*$D$2</f>
        <v>8245.542135</v>
      </c>
      <c r="J54" s="123" t="n">
        <f aca="false">J53*$D$2</f>
        <v>480.624515</v>
      </c>
      <c r="K54" s="123" t="n">
        <f aca="false">K53*$D$2</f>
        <v>8726.16665</v>
      </c>
      <c r="L54" s="123" t="n">
        <f aca="false">L53*$D$2</f>
        <v>-90.6082654999997</v>
      </c>
      <c r="M54" s="242" t="n">
        <f aca="false">M53*$D$2</f>
        <v>449.361925</v>
      </c>
      <c r="N54" s="123" t="n">
        <f aca="false">N53*$D$2</f>
        <v>0</v>
      </c>
      <c r="O54" s="123" t="n">
        <f aca="false">O53*$D$2</f>
        <v>0</v>
      </c>
      <c r="P54" s="186"/>
      <c r="Q54" s="123" t="n">
        <f aca="false">Q53*$D$2</f>
        <v>187.058692469871</v>
      </c>
      <c r="R54" s="123" t="n">
        <f aca="false">R53*$D$2</f>
        <v>189.77054910632</v>
      </c>
      <c r="S54" s="255" t="n">
        <f aca="false">S53*$D$2</f>
        <v>0</v>
      </c>
      <c r="T54" s="255" t="n">
        <f aca="false">T53*$D$2</f>
        <v>69.73472289368</v>
      </c>
      <c r="U54" s="256" t="n">
        <f aca="false">U53*$D$2</f>
        <v>2.79796053012879</v>
      </c>
      <c r="V54" s="123" t="n">
        <f aca="false">V53*$D$2</f>
        <v>3198.43342</v>
      </c>
      <c r="W54" s="123" t="n">
        <f aca="false">W53*$D$2</f>
        <v>0.0932245</v>
      </c>
      <c r="X54" s="123" t="n">
        <f aca="false">X53*$D$2</f>
        <v>3151.37071715</v>
      </c>
      <c r="Y54" s="123" t="n">
        <f aca="false">Y53*$D$2</f>
        <v>3151.37071715</v>
      </c>
      <c r="Z54" s="156"/>
      <c r="AA54" s="123"/>
      <c r="AB54" s="156"/>
      <c r="AC54" s="123" t="n">
        <f aca="false">AC53*$D$2</f>
        <v>3399.87085978019</v>
      </c>
      <c r="AD54" s="123"/>
      <c r="AE54" s="123"/>
      <c r="AF54" s="296"/>
      <c r="AG54" s="297"/>
      <c r="AH54" s="123" t="n">
        <f aca="false">AH53*$D$2</f>
        <v>3673.0453</v>
      </c>
      <c r="AI54" s="123" t="n">
        <f aca="false">AI53*$D$2</f>
        <v>6677.36919999999</v>
      </c>
      <c r="AJ54" s="93" t="n">
        <f aca="false">AJ53*$D$2</f>
        <v>0</v>
      </c>
      <c r="AK54" s="123" t="n">
        <f aca="false">AK53*$D$2</f>
        <v>7320.9338695</v>
      </c>
      <c r="AL54" s="123" t="n">
        <f aca="false">AL53*$D$2</f>
        <v>571.2327805</v>
      </c>
      <c r="AM54" s="298" t="n">
        <f aca="false">AM53*$D$2</f>
        <v>7892.16665</v>
      </c>
      <c r="AN54" s="123" t="n">
        <f aca="false">AN53*$D$2</f>
        <v>3196.2119</v>
      </c>
      <c r="AO54" s="156" t="n">
        <f aca="false">AO53*$D$2</f>
        <v>0</v>
      </c>
      <c r="AP54" s="248"/>
      <c r="AV54" s="249"/>
      <c r="AW54" s="241"/>
      <c r="AX54" s="241"/>
      <c r="AY54" s="250"/>
      <c r="AZ54" s="258" t="n">
        <f aca="false">AZ53*$D$2</f>
        <v>449.361925</v>
      </c>
      <c r="BA54" s="288" t="n">
        <f aca="false">BA53*D2</f>
        <v>38.936105</v>
      </c>
      <c r="BB54" s="283"/>
    </row>
    <row r="55" customFormat="false" ht="3" hidden="false" customHeight="true" outlineLevel="0" collapsed="false">
      <c r="A55" s="261"/>
      <c r="B55" s="286"/>
      <c r="C55" s="263"/>
      <c r="D55" s="264"/>
      <c r="E55" s="263"/>
      <c r="F55" s="265"/>
      <c r="G55" s="264"/>
      <c r="H55" s="266"/>
      <c r="I55" s="264"/>
      <c r="J55" s="264"/>
      <c r="K55" s="264"/>
      <c r="L55" s="264"/>
      <c r="M55" s="267"/>
      <c r="N55" s="264"/>
      <c r="O55" s="264"/>
      <c r="P55" s="268"/>
      <c r="Q55" s="264"/>
      <c r="R55" s="264"/>
      <c r="S55" s="264"/>
      <c r="T55" s="264"/>
      <c r="U55" s="269"/>
      <c r="V55" s="264"/>
      <c r="W55" s="264"/>
      <c r="X55" s="264"/>
      <c r="Y55" s="264"/>
      <c r="Z55" s="271"/>
      <c r="AA55" s="264"/>
      <c r="AB55" s="271"/>
      <c r="AC55" s="271"/>
      <c r="AD55" s="263"/>
      <c r="AE55" s="264"/>
      <c r="AF55" s="267"/>
      <c r="AG55" s="272"/>
      <c r="AH55" s="264"/>
      <c r="AI55" s="263"/>
      <c r="AJ55" s="263"/>
      <c r="AK55" s="264"/>
      <c r="AL55" s="264"/>
      <c r="AM55" s="264"/>
      <c r="AN55" s="286"/>
      <c r="AO55" s="271"/>
      <c r="AP55" s="264"/>
      <c r="AQ55" s="299"/>
      <c r="AR55" s="299"/>
      <c r="AS55" s="275"/>
      <c r="AT55" s="275"/>
      <c r="AU55" s="274"/>
      <c r="AV55" s="286"/>
      <c r="AW55" s="264"/>
      <c r="AX55" s="264"/>
      <c r="AY55" s="264"/>
      <c r="AZ55" s="264"/>
      <c r="BA55" s="264"/>
      <c r="BB55" s="264"/>
    </row>
    <row r="56" customFormat="false" ht="11.1" hidden="false" customHeight="true" outlineLevel="0" collapsed="false">
      <c r="A56" s="209"/>
      <c r="B56" s="300"/>
      <c r="D56" s="209"/>
      <c r="F56" s="209"/>
      <c r="G56" s="209"/>
      <c r="I56" s="209"/>
      <c r="J56" s="209"/>
      <c r="K56" s="209"/>
      <c r="L56" s="209"/>
      <c r="M56" s="209"/>
      <c r="N56" s="209"/>
      <c r="O56" s="209"/>
      <c r="Q56" s="209"/>
      <c r="R56" s="209"/>
      <c r="S56" s="209"/>
      <c r="T56" s="209"/>
      <c r="V56" s="209"/>
      <c r="W56" s="209"/>
      <c r="X56" s="209"/>
      <c r="Y56" s="209"/>
      <c r="AA56" s="209"/>
      <c r="AD56" s="176"/>
      <c r="AE56" s="209"/>
      <c r="AF56" s="209"/>
      <c r="AG56" s="209"/>
      <c r="AH56" s="209"/>
      <c r="AI56" s="176"/>
      <c r="AJ56" s="254"/>
      <c r="AK56" s="209"/>
      <c r="AL56" s="209"/>
      <c r="AM56" s="209"/>
      <c r="AN56" s="207"/>
      <c r="AO56" s="216"/>
      <c r="AX56" s="206"/>
      <c r="AY56" s="206"/>
    </row>
    <row r="57" customFormat="false" ht="11.1" hidden="false" customHeight="true" outlineLevel="0" collapsed="false">
      <c r="A57" s="209"/>
      <c r="B57" s="301"/>
      <c r="F57" s="209"/>
      <c r="G57" s="209"/>
      <c r="I57" s="210"/>
      <c r="J57" s="209"/>
      <c r="K57" s="201"/>
      <c r="L57" s="209"/>
      <c r="M57" s="209"/>
      <c r="N57" s="209"/>
      <c r="O57" s="209"/>
      <c r="Q57" s="209"/>
      <c r="R57" s="209"/>
      <c r="S57" s="209"/>
      <c r="T57" s="209"/>
      <c r="V57" s="209"/>
      <c r="W57" s="209"/>
      <c r="X57" s="209"/>
      <c r="Y57" s="209"/>
      <c r="AA57" s="209"/>
      <c r="AD57" s="176"/>
      <c r="AE57" s="209"/>
      <c r="AF57" s="209"/>
      <c r="AG57" s="209"/>
      <c r="AH57" s="209"/>
      <c r="AI57" s="176"/>
      <c r="AJ57" s="254"/>
      <c r="AK57" s="209"/>
      <c r="AL57" s="209"/>
      <c r="AM57" s="209"/>
      <c r="AN57" s="207"/>
      <c r="AO57" s="216"/>
      <c r="AX57" s="206"/>
      <c r="AY57" s="206"/>
    </row>
    <row r="58" customFormat="false" ht="11.1" hidden="false" customHeight="true" outlineLevel="0" collapsed="false">
      <c r="D58" s="176"/>
      <c r="Q58" s="120"/>
      <c r="R58" s="120"/>
      <c r="S58" s="120"/>
      <c r="T58" s="120"/>
      <c r="X58" s="58"/>
      <c r="Y58" s="58"/>
      <c r="AA58" s="58"/>
      <c r="AD58" s="176"/>
      <c r="AH58" s="58"/>
      <c r="AI58" s="176"/>
      <c r="AJ58" s="254"/>
      <c r="AM58" s="58"/>
      <c r="AN58" s="207"/>
      <c r="AO58" s="216"/>
      <c r="AX58" s="206"/>
      <c r="AY58" s="206"/>
    </row>
    <row r="59" customFormat="false" ht="11.1" hidden="false" customHeight="true" outlineLevel="0" collapsed="false">
      <c r="B59" s="8"/>
      <c r="D59" s="176"/>
    </row>
    <row r="60" customFormat="false" ht="11.1" hidden="false" customHeight="true" outlineLevel="0" collapsed="false">
      <c r="G60" s="30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03"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16"/>
    <col collapsed="false" customWidth="true" hidden="false" outlineLevel="0" max="23" min="22" style="58" width="5.49"/>
    <col collapsed="false" customWidth="true" hidden="false" outlineLevel="0" max="27" min="24" style="176" width="6.32"/>
    <col collapsed="false" customWidth="true" hidden="false" outlineLevel="0" max="28" min="28" style="120" width="5.49"/>
    <col collapsed="false" customWidth="true" hidden="false" outlineLevel="0" max="29" min="29" style="120" width="5.99"/>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58" width="5.49"/>
    <col collapsed="false" customWidth="true" hidden="false" outlineLevel="0" max="41" min="41" style="120" width="5.49"/>
    <col collapsed="false" customWidth="true" hidden="false" outlineLevel="0" max="42" min="42" style="58" width="6.32"/>
    <col collapsed="false" customWidth="true" hidden="false" outlineLevel="0" max="43" min="43" style="205" width="6.32"/>
    <col collapsed="false" customWidth="true" hidden="false" outlineLevel="0" max="44" min="44" style="205" width="5.49"/>
    <col collapsed="false" customWidth="true" hidden="false" outlineLevel="0" max="45" min="45" style="205" width="5.32"/>
    <col collapsed="false" customWidth="true" hidden="false" outlineLevel="0" max="46" min="46" style="205" width="5.82"/>
    <col collapsed="false" customWidth="true" hidden="false" outlineLevel="0" max="47" min="47" style="58" width="4.99"/>
    <col collapsed="false" customWidth="true" hidden="false" outlineLevel="0" max="48" min="48" style="203" width="5.32"/>
    <col collapsed="false" customWidth="true" hidden="false" outlineLevel="0" max="49" min="49" style="206" width="3.82"/>
    <col collapsed="false" customWidth="true" hidden="false" outlineLevel="0" max="51" min="50" style="207" width="3.82"/>
    <col collapsed="false" customWidth="true" hidden="false" outlineLevel="0" max="52" min="52" style="204" width="5.82"/>
    <col collapsed="false" customWidth="false" hidden="false" outlineLevel="0" max="257" min="53" style="208" width="9.32"/>
  </cols>
  <sheetData>
    <row r="1" customFormat="false" ht="14.1" hidden="false" customHeight="true" outlineLevel="0" collapsed="false">
      <c r="A1" s="209"/>
      <c r="B1" s="209"/>
      <c r="D1" s="209"/>
      <c r="F1" s="209"/>
      <c r="G1" s="209"/>
      <c r="H1" s="210"/>
      <c r="I1" s="209"/>
      <c r="J1" s="209"/>
      <c r="K1" s="211" t="s">
        <v>0</v>
      </c>
      <c r="L1" s="209"/>
      <c r="M1" s="209"/>
      <c r="N1" s="209"/>
      <c r="O1" s="209"/>
      <c r="Q1" s="209"/>
      <c r="R1" s="209"/>
      <c r="S1" s="209"/>
      <c r="T1" s="209"/>
      <c r="V1" s="209"/>
      <c r="W1" s="209"/>
      <c r="AD1" s="209"/>
      <c r="AE1" s="209"/>
      <c r="AF1" s="209"/>
      <c r="AG1" s="209"/>
      <c r="AI1" s="209"/>
      <c r="AJ1" s="212"/>
      <c r="AK1" s="209"/>
      <c r="AL1" s="209"/>
    </row>
    <row r="2" customFormat="false" ht="14.1" hidden="false" customHeight="true" outlineLevel="0" collapsed="false">
      <c r="A2" s="212" t="s">
        <v>1</v>
      </c>
      <c r="B2" s="209"/>
      <c r="D2" s="213" t="n">
        <v>1.9835</v>
      </c>
      <c r="F2" s="209"/>
      <c r="G2" s="209"/>
      <c r="H2" s="210"/>
      <c r="I2" s="209"/>
      <c r="J2" s="209"/>
      <c r="K2" s="214" t="s">
        <v>118</v>
      </c>
      <c r="L2" s="214"/>
      <c r="M2" s="214"/>
      <c r="N2" s="214"/>
      <c r="O2" s="214"/>
      <c r="P2" s="214"/>
      <c r="Q2" s="214"/>
      <c r="R2" s="214"/>
      <c r="S2" s="214"/>
      <c r="T2" s="214"/>
      <c r="U2" s="214"/>
      <c r="V2" s="214"/>
      <c r="W2" s="215"/>
      <c r="X2" s="97"/>
      <c r="Y2" s="97"/>
      <c r="Z2" s="97"/>
      <c r="AA2" s="97"/>
      <c r="AB2" s="216"/>
      <c r="AC2" s="216"/>
      <c r="AD2" s="215"/>
      <c r="AE2" s="209"/>
      <c r="AF2" s="209"/>
      <c r="AG2" s="209"/>
      <c r="AI2" s="209"/>
      <c r="AJ2" s="212"/>
      <c r="AK2" s="209"/>
      <c r="AL2" s="209"/>
    </row>
    <row r="3" customFormat="false" ht="14.1" hidden="false" customHeight="true" outlineLevel="0" collapsed="false">
      <c r="A3" s="217"/>
      <c r="B3" s="217"/>
      <c r="C3" s="218"/>
      <c r="D3" s="219"/>
      <c r="E3" s="218"/>
      <c r="F3" s="217"/>
      <c r="G3" s="217"/>
      <c r="H3" s="220"/>
      <c r="I3" s="217"/>
      <c r="J3" s="217"/>
      <c r="K3" s="217"/>
      <c r="L3" s="217"/>
      <c r="M3" s="217"/>
      <c r="N3" s="217"/>
      <c r="O3" s="217"/>
      <c r="P3" s="221"/>
      <c r="Q3" s="217"/>
      <c r="R3" s="217"/>
      <c r="S3" s="217"/>
      <c r="T3" s="217"/>
      <c r="U3" s="221"/>
      <c r="V3" s="217"/>
      <c r="W3" s="217"/>
      <c r="X3" s="218"/>
      <c r="Y3" s="218"/>
      <c r="Z3" s="218"/>
      <c r="AA3" s="218"/>
      <c r="AB3" s="222"/>
      <c r="AC3" s="222"/>
      <c r="AD3" s="217"/>
      <c r="AE3" s="217"/>
      <c r="AF3" s="217"/>
      <c r="AG3" s="217"/>
      <c r="AH3" s="218"/>
      <c r="AI3" s="217"/>
      <c r="AJ3" s="223"/>
      <c r="AK3" s="217"/>
      <c r="AL3" s="217"/>
      <c r="AM3" s="221"/>
      <c r="AN3" s="224"/>
      <c r="AO3" s="222"/>
      <c r="AP3" s="224"/>
      <c r="AQ3" s="225"/>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5</v>
      </c>
      <c r="Y4" s="42"/>
      <c r="Z4" s="42"/>
      <c r="AA4" s="42"/>
      <c r="AB4" s="43"/>
      <c r="AC4" s="43"/>
      <c r="AD4" s="44"/>
      <c r="AE4" s="39"/>
      <c r="AF4" s="39"/>
      <c r="AG4" s="39"/>
      <c r="AH4" s="35"/>
      <c r="AI4" s="39"/>
      <c r="AJ4" s="45"/>
      <c r="AK4" s="39"/>
      <c r="AL4" s="39"/>
      <c r="AM4" s="41"/>
      <c r="AN4" s="46"/>
      <c r="AO4" s="47"/>
      <c r="AP4" s="48" t="s">
        <v>6</v>
      </c>
      <c r="AQ4" s="49"/>
      <c r="AR4" s="50"/>
      <c r="AS4" s="51"/>
      <c r="AT4" s="52"/>
      <c r="AU4" s="52"/>
      <c r="AV4" s="54"/>
      <c r="AW4" s="55" t="s">
        <v>7</v>
      </c>
      <c r="AX4" s="56"/>
      <c r="AY4" s="230"/>
      <c r="AZ4" s="231"/>
      <c r="BA4" s="75"/>
      <c r="BB4" s="232"/>
    </row>
    <row r="5" customFormat="false" ht="12.95" hidden="false" customHeight="true" outlineLevel="0" collapsed="false">
      <c r="A5" s="60" t="s">
        <v>8</v>
      </c>
      <c r="B5" s="61" t="s">
        <v>9</v>
      </c>
      <c r="C5" s="62" t="s">
        <v>9</v>
      </c>
      <c r="D5" s="63" t="s">
        <v>10</v>
      </c>
      <c r="E5" s="62" t="s">
        <v>11</v>
      </c>
      <c r="F5" s="64" t="s">
        <v>12</v>
      </c>
      <c r="G5" s="60" t="s">
        <v>13</v>
      </c>
      <c r="H5" s="65" t="s">
        <v>14</v>
      </c>
      <c r="I5" s="60" t="s">
        <v>15</v>
      </c>
      <c r="J5" s="60" t="s">
        <v>16</v>
      </c>
      <c r="K5" s="60" t="s">
        <v>17</v>
      </c>
      <c r="L5" s="87" t="s">
        <v>16</v>
      </c>
      <c r="M5" s="233" t="s">
        <v>18</v>
      </c>
      <c r="N5" s="233"/>
      <c r="O5" s="233"/>
      <c r="P5" s="233"/>
      <c r="Q5" s="233"/>
      <c r="R5" s="233"/>
      <c r="S5" s="233"/>
      <c r="T5" s="233"/>
      <c r="U5" s="233"/>
      <c r="V5" s="60" t="s">
        <v>19</v>
      </c>
      <c r="W5" s="60" t="s">
        <v>20</v>
      </c>
      <c r="X5" s="60" t="s">
        <v>17</v>
      </c>
      <c r="Y5" s="60" t="s">
        <v>17</v>
      </c>
      <c r="Z5" s="67" t="s">
        <v>21</v>
      </c>
      <c r="AA5" s="60" t="s">
        <v>21</v>
      </c>
      <c r="AB5" s="67" t="s">
        <v>21</v>
      </c>
      <c r="AC5" s="68" t="s">
        <v>22</v>
      </c>
      <c r="AD5" s="69" t="s">
        <v>21</v>
      </c>
      <c r="AE5" s="60" t="s">
        <v>23</v>
      </c>
      <c r="AF5" s="70" t="s">
        <v>24</v>
      </c>
      <c r="AG5" s="71"/>
      <c r="AH5" s="60" t="s">
        <v>25</v>
      </c>
      <c r="AI5" s="72" t="s">
        <v>26</v>
      </c>
      <c r="AJ5" s="72" t="s">
        <v>27</v>
      </c>
      <c r="AK5" s="60" t="s">
        <v>15</v>
      </c>
      <c r="AL5" s="60" t="s">
        <v>16</v>
      </c>
      <c r="AM5" s="63" t="s">
        <v>17</v>
      </c>
      <c r="AN5" s="88" t="s">
        <v>28</v>
      </c>
      <c r="AO5" s="69" t="s">
        <v>21</v>
      </c>
      <c r="AP5" s="67" t="s">
        <v>29</v>
      </c>
      <c r="AQ5" s="74" t="s">
        <v>29</v>
      </c>
      <c r="AR5" s="69" t="s">
        <v>30</v>
      </c>
      <c r="AS5" s="75" t="s">
        <v>31</v>
      </c>
      <c r="AT5" s="75" t="s">
        <v>32</v>
      </c>
      <c r="AU5" s="76" t="s">
        <v>33</v>
      </c>
      <c r="AV5" s="77" t="s">
        <v>34</v>
      </c>
      <c r="AW5" s="78" t="s">
        <v>35</v>
      </c>
      <c r="AX5" s="78" t="s">
        <v>36</v>
      </c>
      <c r="AY5" s="234"/>
      <c r="AZ5" s="235"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119</v>
      </c>
      <c r="B6" s="61" t="s">
        <v>39</v>
      </c>
      <c r="C6" s="62"/>
      <c r="D6" s="63" t="s">
        <v>40</v>
      </c>
      <c r="E6" s="62" t="s">
        <v>41</v>
      </c>
      <c r="F6" s="64" t="s">
        <v>42</v>
      </c>
      <c r="G6" s="60" t="s">
        <v>43</v>
      </c>
      <c r="H6" s="60" t="s">
        <v>44</v>
      </c>
      <c r="I6" s="60" t="s">
        <v>45</v>
      </c>
      <c r="J6" s="60" t="s">
        <v>45</v>
      </c>
      <c r="K6" s="60" t="s">
        <v>45</v>
      </c>
      <c r="L6" s="87" t="s">
        <v>46</v>
      </c>
      <c r="M6" s="63" t="s">
        <v>47</v>
      </c>
      <c r="N6" s="63" t="s">
        <v>48</v>
      </c>
      <c r="O6" s="63" t="s">
        <v>49</v>
      </c>
      <c r="P6" s="85" t="s">
        <v>50</v>
      </c>
      <c r="Q6" s="63" t="s">
        <v>51</v>
      </c>
      <c r="R6" s="63" t="s">
        <v>52</v>
      </c>
      <c r="S6" s="63"/>
      <c r="T6" s="63" t="s">
        <v>49</v>
      </c>
      <c r="U6" s="86" t="s">
        <v>53</v>
      </c>
      <c r="V6" s="60"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234"/>
      <c r="AZ6" s="235"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7"/>
      <c r="AD7" s="69"/>
      <c r="AE7" s="87"/>
      <c r="AF7" s="90" t="n">
        <v>1.7</v>
      </c>
      <c r="AG7" s="90" t="n">
        <v>1.3</v>
      </c>
      <c r="AH7" s="83"/>
      <c r="AI7" s="93"/>
      <c r="AJ7" s="72"/>
      <c r="AK7" s="60"/>
      <c r="AL7" s="60"/>
      <c r="AM7" s="63"/>
      <c r="AN7" s="88"/>
      <c r="AO7" s="69"/>
      <c r="AP7" s="67" t="s">
        <v>86</v>
      </c>
      <c r="AQ7" s="74" t="s">
        <v>87</v>
      </c>
      <c r="AR7" s="69" t="s">
        <v>88</v>
      </c>
      <c r="AS7" s="75" t="s">
        <v>89</v>
      </c>
      <c r="AT7" s="75" t="s">
        <v>90</v>
      </c>
      <c r="AU7" s="76" t="s">
        <v>81</v>
      </c>
      <c r="AV7" s="89"/>
      <c r="AW7" s="78"/>
      <c r="AX7" s="78"/>
      <c r="AY7" s="234"/>
      <c r="AZ7" s="235"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0"/>
      <c r="W8" s="60"/>
      <c r="X8" s="72" t="s">
        <v>92</v>
      </c>
      <c r="Y8" s="62" t="s">
        <v>81</v>
      </c>
      <c r="Z8" s="67"/>
      <c r="AA8" s="62" t="s">
        <v>93</v>
      </c>
      <c r="AB8" s="67" t="s">
        <v>94</v>
      </c>
      <c r="AC8" s="67"/>
      <c r="AD8" s="69"/>
      <c r="AE8" s="87"/>
      <c r="AF8" s="90"/>
      <c r="AG8" s="90"/>
      <c r="AH8" s="83"/>
      <c r="AI8" s="93"/>
      <c r="AJ8" s="72"/>
      <c r="AK8" s="60"/>
      <c r="AL8" s="60"/>
      <c r="AM8" s="63"/>
      <c r="AN8" s="88"/>
      <c r="AO8" s="69"/>
      <c r="AP8" s="67"/>
      <c r="AQ8" s="74"/>
      <c r="AR8" s="69"/>
      <c r="AS8" s="75"/>
      <c r="AT8" s="75"/>
      <c r="AU8" s="76"/>
      <c r="AV8" s="89"/>
      <c r="AW8" s="78"/>
      <c r="AX8" s="78"/>
      <c r="AY8" s="234"/>
      <c r="AZ8" s="235"/>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0"/>
      <c r="W9" s="60"/>
      <c r="X9" s="72"/>
      <c r="Y9" s="62" t="s">
        <v>92</v>
      </c>
      <c r="Z9" s="67"/>
      <c r="AA9" s="62" t="s">
        <v>92</v>
      </c>
      <c r="AB9" s="67" t="s">
        <v>95</v>
      </c>
      <c r="AC9" s="67"/>
      <c r="AD9" s="69"/>
      <c r="AE9" s="87"/>
      <c r="AF9" s="90"/>
      <c r="AG9" s="90"/>
      <c r="AH9" s="83"/>
      <c r="AI9" s="93"/>
      <c r="AJ9" s="72"/>
      <c r="AK9" s="60"/>
      <c r="AL9" s="60"/>
      <c r="AM9" s="63"/>
      <c r="AN9" s="88"/>
      <c r="AO9" s="69"/>
      <c r="AP9" s="67"/>
      <c r="AQ9" s="74"/>
      <c r="AR9" s="69"/>
      <c r="AS9" s="75"/>
      <c r="AT9" s="75"/>
      <c r="AU9" s="76"/>
      <c r="AV9" s="89"/>
      <c r="AW9" s="78"/>
      <c r="AX9" s="78"/>
      <c r="AY9" s="234"/>
      <c r="AZ9" s="235"/>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63" t="s">
        <v>42</v>
      </c>
      <c r="AD10" s="63" t="s">
        <v>42</v>
      </c>
      <c r="AE10" s="87" t="s">
        <v>42</v>
      </c>
      <c r="AF10" s="63" t="s">
        <v>42</v>
      </c>
      <c r="AG10" s="63" t="s">
        <v>42</v>
      </c>
      <c r="AH10" s="83" t="s">
        <v>42</v>
      </c>
      <c r="AI10" s="63" t="s">
        <v>42</v>
      </c>
      <c r="AJ10" s="63" t="s">
        <v>42</v>
      </c>
      <c r="AK10" s="63" t="s">
        <v>42</v>
      </c>
      <c r="AL10" s="63" t="s">
        <v>42</v>
      </c>
      <c r="AM10" s="64" t="s">
        <v>42</v>
      </c>
      <c r="AN10" s="69" t="s">
        <v>42</v>
      </c>
      <c r="AO10" s="69" t="s">
        <v>42</v>
      </c>
      <c r="AP10" s="69" t="s">
        <v>42</v>
      </c>
      <c r="AQ10" s="74" t="s">
        <v>99</v>
      </c>
      <c r="AR10" s="69" t="s">
        <v>42</v>
      </c>
      <c r="AS10" s="69" t="s">
        <v>42</v>
      </c>
      <c r="AT10" s="69" t="s">
        <v>42</v>
      </c>
      <c r="AU10" s="69" t="s">
        <v>42</v>
      </c>
      <c r="AV10" s="89"/>
      <c r="AW10" s="78"/>
      <c r="AX10" s="78"/>
      <c r="AY10" s="234"/>
      <c r="AZ10" s="235"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7"/>
      <c r="AD11" s="67"/>
      <c r="AE11" s="98"/>
      <c r="AF11" s="90"/>
      <c r="AG11" s="90"/>
      <c r="AH11" s="83"/>
      <c r="AI11" s="93"/>
      <c r="AJ11" s="99"/>
      <c r="AK11" s="60"/>
      <c r="AL11" s="60"/>
      <c r="AM11" s="63"/>
      <c r="AN11" s="88"/>
      <c r="AO11" s="69"/>
      <c r="AP11" s="67"/>
      <c r="AQ11" s="74"/>
      <c r="AR11" s="74"/>
      <c r="AS11" s="100"/>
      <c r="AT11" s="100"/>
      <c r="AU11" s="100"/>
      <c r="AV11" s="89"/>
      <c r="AW11" s="78"/>
      <c r="AX11" s="78"/>
      <c r="AY11" s="234"/>
      <c r="AZ11" s="235"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241"/>
      <c r="I12" s="123"/>
      <c r="J12" s="123"/>
      <c r="K12" s="123"/>
      <c r="L12" s="123"/>
      <c r="M12" s="242"/>
      <c r="N12" s="123"/>
      <c r="O12" s="123"/>
      <c r="P12" s="186"/>
      <c r="Q12" s="123"/>
      <c r="R12" s="123"/>
      <c r="S12" s="123"/>
      <c r="T12" s="123"/>
      <c r="U12" s="243"/>
      <c r="V12" s="123"/>
      <c r="W12" s="123"/>
      <c r="X12" s="123"/>
      <c r="Y12" s="123"/>
      <c r="Z12" s="123"/>
      <c r="AA12" s="123"/>
      <c r="AB12" s="156"/>
      <c r="AC12" s="156"/>
      <c r="AD12" s="123"/>
      <c r="AE12" s="123"/>
      <c r="AF12" s="242"/>
      <c r="AG12" s="245"/>
      <c r="AH12" s="123"/>
      <c r="AI12" s="123"/>
      <c r="AJ12" s="246"/>
      <c r="AK12" s="123"/>
      <c r="AL12" s="123"/>
      <c r="AM12" s="123"/>
      <c r="AN12" s="303"/>
      <c r="AO12" s="156"/>
      <c r="AP12" s="248"/>
      <c r="AU12" s="91"/>
      <c r="AV12" s="304"/>
      <c r="AW12" s="241"/>
      <c r="AX12" s="241"/>
      <c r="AY12" s="241"/>
      <c r="AZ12" s="251"/>
      <c r="BA12" s="305"/>
      <c r="BB12" s="253"/>
    </row>
    <row r="13" s="260" customFormat="true" ht="12.95" hidden="false" customHeight="true" outlineLevel="0" collapsed="false">
      <c r="A13" s="254" t="s">
        <v>103</v>
      </c>
      <c r="B13" s="122" t="n">
        <f aca="false">DEC!B45</f>
        <v>6888.76</v>
      </c>
      <c r="C13" s="255" t="n">
        <f aca="false">DEC!C45</f>
        <v>244002</v>
      </c>
      <c r="D13" s="123" t="n">
        <f aca="false">DEC!D54</f>
        <v>834</v>
      </c>
      <c r="E13" s="123" t="n">
        <f aca="false">DEC!E54</f>
        <v>92002</v>
      </c>
      <c r="F13" s="240" t="n">
        <f aca="false">DEC!F53</f>
        <v>420.468868162339</v>
      </c>
      <c r="G13" s="123" t="n">
        <f aca="false">DEC!G53</f>
        <v>4155.70786917066</v>
      </c>
      <c r="H13" s="255" t="n">
        <f aca="false">DEC!H53</f>
        <v>1.359</v>
      </c>
      <c r="I13" s="123" t="n">
        <f aca="false">DEC!I53</f>
        <v>4157.06686917066</v>
      </c>
      <c r="J13" s="255" t="n">
        <f aca="false">DEC!J53</f>
        <v>242.311325938997</v>
      </c>
      <c r="K13" s="123" t="n">
        <f aca="false">DEC!K53</f>
        <v>4399.37819510965</v>
      </c>
      <c r="L13" s="297" t="n">
        <f aca="false">DEC!L53</f>
        <v>-45.6810010083185</v>
      </c>
      <c r="M13" s="123" t="n">
        <f aca="false">DEC!M53</f>
        <v>226.55</v>
      </c>
      <c r="N13" s="255" t="n">
        <f aca="false">DEC!N53</f>
        <v>0</v>
      </c>
      <c r="O13" s="123" t="n">
        <f aca="false">DEC!O53</f>
        <v>0</v>
      </c>
      <c r="P13" s="255" t="n">
        <f aca="false">DEC!P53</f>
        <v>0</v>
      </c>
      <c r="Q13" s="123" t="n">
        <f aca="false">DEC!Q53</f>
        <v>94.3073821375706</v>
      </c>
      <c r="R13" s="255" t="n">
        <f aca="false">DEC!R53</f>
        <v>95.67458992</v>
      </c>
      <c r="S13" s="123" t="n">
        <f aca="false">DEC!S53</f>
        <v>0</v>
      </c>
      <c r="T13" s="123" t="n">
        <f aca="false">DEC!T53</f>
        <v>35.15741008</v>
      </c>
      <c r="U13" s="297" t="n">
        <f aca="false">DEC!U53</f>
        <v>1.41061786242944</v>
      </c>
      <c r="V13" s="123" t="n">
        <f aca="false">DEC!V53</f>
        <v>1612.52</v>
      </c>
      <c r="W13" s="255" t="n">
        <f aca="false">DEC!W53</f>
        <v>0.047</v>
      </c>
      <c r="X13" s="123" t="n">
        <f aca="false">DEC!X53</f>
        <v>1588.7929</v>
      </c>
      <c r="Y13" s="255" t="n">
        <f aca="false">DEC!Y53</f>
        <v>1588.7929</v>
      </c>
      <c r="Z13" s="123"/>
      <c r="AA13" s="123"/>
      <c r="AB13" s="156"/>
      <c r="AC13" s="306" t="n">
        <f aca="false">DEC!AC53</f>
        <v>1714.07656152266</v>
      </c>
      <c r="AD13" s="123"/>
      <c r="AE13" s="123"/>
      <c r="AF13" s="242"/>
      <c r="AG13" s="245"/>
      <c r="AH13" s="255" t="n">
        <f aca="false">DEC!AH53</f>
        <v>1851.8</v>
      </c>
      <c r="AI13" s="255" t="n">
        <f aca="false">DEC!AI53</f>
        <v>3366.45787748928</v>
      </c>
      <c r="AJ13" s="123"/>
      <c r="AK13" s="255" t="n">
        <f aca="false">DEC!AK53</f>
        <v>3690.917</v>
      </c>
      <c r="AL13" s="255" t="n">
        <f aca="false">DEC!AL53</f>
        <v>287.992326947315</v>
      </c>
      <c r="AM13" s="255" t="n">
        <f aca="false">DEC!AM53</f>
        <v>3978.90932694732</v>
      </c>
      <c r="AN13" s="303" t="n">
        <f aca="false">DEC!AN53</f>
        <v>1611.4</v>
      </c>
      <c r="AO13" s="306" t="n">
        <f aca="false">DEC!AO53</f>
        <v>0</v>
      </c>
      <c r="AP13" s="123"/>
      <c r="AQ13" s="257"/>
      <c r="AR13" s="257"/>
      <c r="AS13" s="257"/>
      <c r="AT13" s="257"/>
      <c r="AU13" s="124"/>
      <c r="AV13" s="307" t="n">
        <f aca="false">DEC!AV53</f>
        <v>4.435</v>
      </c>
      <c r="AW13" s="241"/>
      <c r="AX13" s="241"/>
      <c r="AY13" s="241"/>
      <c r="AZ13" s="308" t="n">
        <f aca="false">DEC!AZ53</f>
        <v>226.55</v>
      </c>
      <c r="BA13" s="252" t="n">
        <f aca="false">DEC!BA53</f>
        <v>19.63</v>
      </c>
      <c r="BB13" s="259"/>
    </row>
    <row r="14" customFormat="false" ht="3" hidden="false" customHeight="true" outlineLevel="0" collapsed="false">
      <c r="A14" s="261"/>
      <c r="B14" s="262"/>
      <c r="C14" s="263"/>
      <c r="D14" s="264"/>
      <c r="E14" s="263"/>
      <c r="F14" s="265"/>
      <c r="G14" s="264"/>
      <c r="H14" s="266"/>
      <c r="I14" s="264"/>
      <c r="J14" s="264"/>
      <c r="K14" s="264"/>
      <c r="L14" s="264"/>
      <c r="M14" s="267"/>
      <c r="N14" s="264"/>
      <c r="O14" s="264"/>
      <c r="P14" s="268"/>
      <c r="Q14" s="264"/>
      <c r="R14" s="264"/>
      <c r="S14" s="264"/>
      <c r="T14" s="264"/>
      <c r="U14" s="269"/>
      <c r="V14" s="264"/>
      <c r="W14" s="264"/>
      <c r="X14" s="264"/>
      <c r="Y14" s="264"/>
      <c r="Z14" s="264"/>
      <c r="AA14" s="264"/>
      <c r="AB14" s="271"/>
      <c r="AC14" s="271"/>
      <c r="AD14" s="263"/>
      <c r="AE14" s="264"/>
      <c r="AF14" s="267"/>
      <c r="AG14" s="272"/>
      <c r="AH14" s="264"/>
      <c r="AI14" s="263"/>
      <c r="AJ14" s="263"/>
      <c r="AK14" s="264"/>
      <c r="AL14" s="264"/>
      <c r="AM14" s="264"/>
      <c r="AN14" s="309"/>
      <c r="AO14" s="271"/>
      <c r="AP14" s="274"/>
      <c r="AQ14" s="275"/>
      <c r="AR14" s="275"/>
      <c r="AS14" s="275"/>
      <c r="AT14" s="275"/>
      <c r="AU14" s="310"/>
      <c r="AV14" s="294"/>
      <c r="AW14" s="274"/>
      <c r="AX14" s="274"/>
      <c r="AY14" s="274"/>
      <c r="AZ14" s="274"/>
      <c r="BA14" s="274"/>
      <c r="BB14" s="274"/>
    </row>
    <row r="15" customFormat="false" ht="12.95" hidden="false" customHeight="true" outlineLevel="0" collapsed="false">
      <c r="A15" s="207" t="n">
        <v>1</v>
      </c>
      <c r="B15" s="122" t="n">
        <v>6888.78</v>
      </c>
      <c r="C15" s="123" t="n">
        <v>244068</v>
      </c>
      <c r="D15" s="241" t="n">
        <f aca="false">C15-C13</f>
        <v>66</v>
      </c>
      <c r="E15" s="123" t="n">
        <f aca="false">C15-152000</f>
        <v>92068</v>
      </c>
      <c r="F15" s="277" t="n">
        <f aca="false">D15/$D$2</f>
        <v>33.2745147466599</v>
      </c>
      <c r="G15" s="155" t="n">
        <v>67.76451474666</v>
      </c>
      <c r="H15" s="278" t="n">
        <v>0</v>
      </c>
      <c r="I15" s="155" t="n">
        <f aca="false">G15+H15</f>
        <v>67.76451474666</v>
      </c>
      <c r="J15" s="156" t="n">
        <f aca="false">IF(L15&gt;0,L15,0)</f>
        <v>0</v>
      </c>
      <c r="K15" s="155" t="n">
        <f aca="false">I15+J15</f>
        <v>67.76451474666</v>
      </c>
      <c r="L15" s="155" t="n">
        <f aca="false">F15-(I15-AK15)</f>
        <v>0</v>
      </c>
      <c r="M15" s="279" t="n">
        <v>3.69</v>
      </c>
      <c r="N15" s="155" t="n">
        <v>0</v>
      </c>
      <c r="O15" s="155" t="n">
        <f aca="false">0*1.05</f>
        <v>0</v>
      </c>
      <c r="P15" s="186" t="n">
        <v>0</v>
      </c>
      <c r="Q15" s="151" t="n">
        <f aca="false">995600/325851/1.9835*1.02</f>
        <v>1.57120841620074</v>
      </c>
      <c r="R15" s="151" t="n">
        <f aca="false">IF(((2.5*1.04)-T15)&gt;=4.2,4.2,(2.5*1.04)-T15)</f>
        <v>2.0140744</v>
      </c>
      <c r="S15" s="151" t="n">
        <f aca="false">IF(((2.5*1.04)-T15)&gt;=4.2,((2.5*1.04)-T15)-4.2,0)</f>
        <v>0</v>
      </c>
      <c r="T15" s="151" t="n">
        <f aca="false">(0.5315*1.06)*1.04</f>
        <v>0.5859256</v>
      </c>
      <c r="U15" s="111" t="n">
        <f aca="false">M15-(Q15+R15+S15+T15)</f>
        <v>-0.481208416200737</v>
      </c>
      <c r="V15" s="155" t="n">
        <v>0</v>
      </c>
      <c r="W15" s="155" t="n">
        <v>0</v>
      </c>
      <c r="X15" s="155" t="n">
        <f aca="false">M15-N15-P15-O15-Q15-R15-S15-T15-U15+V15+W15</f>
        <v>0</v>
      </c>
      <c r="Y15" s="155" t="n">
        <f aca="false">X15-AO15</f>
        <v>0</v>
      </c>
      <c r="Z15" s="155"/>
      <c r="AA15" s="155"/>
      <c r="AB15" s="156"/>
      <c r="AC15" s="156"/>
      <c r="AD15" s="123"/>
      <c r="AE15" s="155" t="n">
        <v>0</v>
      </c>
      <c r="AF15" s="279"/>
      <c r="AG15" s="281"/>
      <c r="AH15" s="155" t="n">
        <v>30.8</v>
      </c>
      <c r="AI15" s="123" t="n">
        <f aca="false">AI13-AH15</f>
        <v>3335.65787748928</v>
      </c>
      <c r="AJ15" s="123"/>
      <c r="AK15" s="154" t="n">
        <f aca="false">N15+O15+P15+Q15+R15+S15+T15+U15+X15+AE15+AH15</f>
        <v>34.49</v>
      </c>
      <c r="AL15" s="155" t="n">
        <f aca="false">IF(L15&lt;0,L15*-1,0)</f>
        <v>0</v>
      </c>
      <c r="AM15" s="155" t="n">
        <f aca="false">AK15+AL15</f>
        <v>34.49</v>
      </c>
      <c r="AN15" s="284"/>
      <c r="AO15" s="156"/>
      <c r="AP15" s="248"/>
      <c r="AU15" s="91"/>
      <c r="AV15" s="304" t="n">
        <v>0</v>
      </c>
      <c r="AW15" s="241" t="n">
        <v>40</v>
      </c>
      <c r="AX15" s="241" t="n">
        <v>7</v>
      </c>
      <c r="AY15" s="241"/>
      <c r="AZ15" s="282" t="n">
        <f aca="false">SUM(N15,P15:U15)</f>
        <v>3.69</v>
      </c>
      <c r="BA15" s="208" t="n">
        <v>0.487</v>
      </c>
      <c r="BB15" s="283" t="n">
        <v>19009</v>
      </c>
    </row>
    <row r="16" customFormat="false" ht="12.95" hidden="false" customHeight="true" outlineLevel="0" collapsed="false">
      <c r="A16" s="207" t="n">
        <f aca="false">A15+1</f>
        <v>2</v>
      </c>
      <c r="B16" s="122" t="n">
        <v>6888.78</v>
      </c>
      <c r="C16" s="123" t="n">
        <v>244068</v>
      </c>
      <c r="D16" s="241" t="n">
        <f aca="false">C16-C15</f>
        <v>0</v>
      </c>
      <c r="E16" s="123" t="n">
        <f aca="false">C16-152000</f>
        <v>92068</v>
      </c>
      <c r="F16" s="277" t="n">
        <f aca="false">D16/$D$2</f>
        <v>0</v>
      </c>
      <c r="G16" s="155" t="n">
        <v>35.13</v>
      </c>
      <c r="H16" s="278" t="n">
        <v>0</v>
      </c>
      <c r="I16" s="155" t="n">
        <f aca="false">G16+H16</f>
        <v>35.13</v>
      </c>
      <c r="J16" s="156" t="n">
        <f aca="false">IF(L16&gt;0,L16,0)</f>
        <v>0</v>
      </c>
      <c r="K16" s="155" t="n">
        <f aca="false">I16+J16</f>
        <v>35.13</v>
      </c>
      <c r="L16" s="155" t="n">
        <f aca="false">F16-(I16-AK16)</f>
        <v>0</v>
      </c>
      <c r="M16" s="279" t="n">
        <v>4.33</v>
      </c>
      <c r="N16" s="155" t="n">
        <v>0</v>
      </c>
      <c r="O16" s="155" t="n">
        <f aca="false">0*1.05</f>
        <v>0</v>
      </c>
      <c r="P16" s="186" t="n">
        <v>0</v>
      </c>
      <c r="Q16" s="151" t="n">
        <f aca="false">982800/325851/1.9835*1.02</f>
        <v>1.55100806693661</v>
      </c>
      <c r="R16" s="151" t="n">
        <f aca="false">IF(((2.5*1.04)-T16)&gt;=4.2,4.2,(2.5*1.04)-T16)</f>
        <v>2.0140744</v>
      </c>
      <c r="S16" s="151" t="n">
        <f aca="false">IF(((2.5*1.04)-T16)&gt;=4.2,((2.5*1.04)-T16)-4.2,0)</f>
        <v>0</v>
      </c>
      <c r="T16" s="151" t="n">
        <f aca="false">(0.5315*1.06)*1.04</f>
        <v>0.5859256</v>
      </c>
      <c r="U16" s="111" t="n">
        <f aca="false">M16-(Q16+R16+S16+T16)</f>
        <v>0.178991933063395</v>
      </c>
      <c r="V16" s="155" t="n">
        <v>0</v>
      </c>
      <c r="W16" s="155" t="n">
        <v>0</v>
      </c>
      <c r="X16" s="155" t="n">
        <f aca="false">M16-N16-P16-O16-Q16-R16-S16-T16-U16+V16+W16</f>
        <v>0</v>
      </c>
      <c r="Y16" s="155" t="n">
        <f aca="false">X16-AO16</f>
        <v>0</v>
      </c>
      <c r="Z16" s="155"/>
      <c r="AA16" s="155"/>
      <c r="AB16" s="156"/>
      <c r="AC16" s="156"/>
      <c r="AD16" s="123"/>
      <c r="AE16" s="155" t="n">
        <v>0</v>
      </c>
      <c r="AF16" s="279"/>
      <c r="AG16" s="281"/>
      <c r="AH16" s="155" t="n">
        <v>30.8</v>
      </c>
      <c r="AI16" s="123" t="n">
        <f aca="false">AI15-AH16</f>
        <v>3304.85787748928</v>
      </c>
      <c r="AJ16" s="123"/>
      <c r="AK16" s="154" t="n">
        <f aca="false">N16+O16+P16+Q16+R16+S16+T16+U16+X16+AE16+AH16</f>
        <v>35.13</v>
      </c>
      <c r="AL16" s="155" t="n">
        <f aca="false">IF(L16&lt;0,L16*-1,0)</f>
        <v>0</v>
      </c>
      <c r="AM16" s="155" t="n">
        <f aca="false">AK16+AL16</f>
        <v>35.13</v>
      </c>
      <c r="AN16" s="284"/>
      <c r="AO16" s="156"/>
      <c r="AP16" s="248"/>
      <c r="AU16" s="91"/>
      <c r="AV16" s="304" t="n">
        <v>0</v>
      </c>
      <c r="AW16" s="241" t="n">
        <v>39</v>
      </c>
      <c r="AX16" s="241" t="n">
        <v>12</v>
      </c>
      <c r="AY16" s="250"/>
      <c r="AZ16" s="282" t="n">
        <f aca="false">SUM(N16,P16:U16)</f>
        <v>4.33</v>
      </c>
      <c r="BA16" s="208" t="n">
        <v>0.487</v>
      </c>
      <c r="BB16" s="283" t="n">
        <v>18947</v>
      </c>
    </row>
    <row r="17" customFormat="false" ht="12.95" hidden="false" customHeight="true" outlineLevel="0" collapsed="false">
      <c r="A17" s="207" t="n">
        <f aca="false">A16+1</f>
        <v>3</v>
      </c>
      <c r="B17" s="122" t="n">
        <v>6888.85</v>
      </c>
      <c r="C17" s="123" t="n">
        <v>244301</v>
      </c>
      <c r="D17" s="241" t="n">
        <f aca="false">C17-C16</f>
        <v>233</v>
      </c>
      <c r="E17" s="123" t="n">
        <f aca="false">C17-152000</f>
        <v>92301</v>
      </c>
      <c r="F17" s="277" t="n">
        <f aca="false">D17/$D$2</f>
        <v>117.469120241996</v>
      </c>
      <c r="G17" s="155" t="n">
        <v>152.029120241996</v>
      </c>
      <c r="H17" s="311" t="n">
        <v>0</v>
      </c>
      <c r="I17" s="155" t="n">
        <f aca="false">G17+H17</f>
        <v>152.029120241996</v>
      </c>
      <c r="J17" s="156" t="n">
        <f aca="false">IF(L17&gt;0,L17,0)</f>
        <v>0</v>
      </c>
      <c r="K17" s="155" t="n">
        <f aca="false">I17+J17</f>
        <v>152.029120241996</v>
      </c>
      <c r="L17" s="155" t="n">
        <f aca="false">F17-(I17-AK17)</f>
        <v>0</v>
      </c>
      <c r="M17" s="279" t="n">
        <v>3.76</v>
      </c>
      <c r="N17" s="155" t="n">
        <v>0</v>
      </c>
      <c r="O17" s="155" t="n">
        <f aca="false">0*1.05</f>
        <v>0</v>
      </c>
      <c r="P17" s="186" t="n">
        <v>0</v>
      </c>
      <c r="Q17" s="151" t="n">
        <f aca="false">1080000/325851/1.9835*1.02</f>
        <v>1.7044044691611</v>
      </c>
      <c r="R17" s="151" t="n">
        <f aca="false">IF(((2.5*1.04)-T17)&gt;=4.2,4.2,(2.5*1.04)-T17)</f>
        <v>2.0140744</v>
      </c>
      <c r="S17" s="151" t="n">
        <f aca="false">IF(((2.5*1.04)-T17)&gt;=4.2,((2.5*1.04)-T17)-4.2,0)</f>
        <v>0</v>
      </c>
      <c r="T17" s="151" t="n">
        <f aca="false">(0.5315*1.06)*1.04</f>
        <v>0.5859256</v>
      </c>
      <c r="U17" s="111" t="n">
        <f aca="false">M17-(Q17+R17+S17+T17)</f>
        <v>-0.544404469161105</v>
      </c>
      <c r="V17" s="155" t="n">
        <v>0</v>
      </c>
      <c r="W17" s="155" t="n">
        <v>0</v>
      </c>
      <c r="X17" s="155" t="n">
        <f aca="false">M17-N17-P17-O17-Q17-R17-S17-T17-U17+V17+W17</f>
        <v>0</v>
      </c>
      <c r="Y17" s="155" t="n">
        <f aca="false">X17-AO17</f>
        <v>0</v>
      </c>
      <c r="Z17" s="155"/>
      <c r="AA17" s="155"/>
      <c r="AB17" s="156"/>
      <c r="AC17" s="156"/>
      <c r="AD17" s="123"/>
      <c r="AE17" s="155" t="n">
        <v>0</v>
      </c>
      <c r="AF17" s="279"/>
      <c r="AG17" s="281"/>
      <c r="AH17" s="155" t="n">
        <v>30.8</v>
      </c>
      <c r="AI17" s="123" t="n">
        <f aca="false">AI16-AH17</f>
        <v>3274.05787748928</v>
      </c>
      <c r="AJ17" s="123"/>
      <c r="AK17" s="154" t="n">
        <f aca="false">N17+O17+P17+Q17+R17+S17+T17+U17+X17+AE17+AH17</f>
        <v>34.56</v>
      </c>
      <c r="AL17" s="155" t="n">
        <f aca="false">IF(L17&lt;0,L17*-1,0)</f>
        <v>0</v>
      </c>
      <c r="AM17" s="155" t="n">
        <f aca="false">AK17+AL17</f>
        <v>34.56</v>
      </c>
      <c r="AN17" s="284"/>
      <c r="AO17" s="156"/>
      <c r="AP17" s="248"/>
      <c r="AU17" s="91"/>
      <c r="AV17" s="304" t="n">
        <v>0</v>
      </c>
      <c r="AW17" s="241" t="n">
        <v>51</v>
      </c>
      <c r="AX17" s="241" t="n">
        <v>13</v>
      </c>
      <c r="AY17" s="250"/>
      <c r="AZ17" s="282" t="n">
        <f aca="false">SUM(N17,P17:U17)</f>
        <v>3.76</v>
      </c>
      <c r="BA17" s="208" t="n">
        <v>0.487</v>
      </c>
      <c r="BB17" s="283" t="n">
        <v>18975</v>
      </c>
    </row>
    <row r="18" customFormat="false" ht="12.95" hidden="false" customHeight="true" outlineLevel="0" collapsed="false">
      <c r="A18" s="207" t="n">
        <f aca="false">A17+1</f>
        <v>4</v>
      </c>
      <c r="B18" s="122" t="n">
        <v>6888.85</v>
      </c>
      <c r="C18" s="123" t="n">
        <v>244301</v>
      </c>
      <c r="D18" s="241" t="n">
        <f aca="false">C18-C17</f>
        <v>0</v>
      </c>
      <c r="E18" s="123" t="n">
        <f aca="false">C18-152000</f>
        <v>92301</v>
      </c>
      <c r="F18" s="277" t="n">
        <f aca="false">D18/$D$2</f>
        <v>0</v>
      </c>
      <c r="G18" s="155" t="n">
        <v>35.34</v>
      </c>
      <c r="H18" s="311" t="n">
        <v>0</v>
      </c>
      <c r="I18" s="155" t="n">
        <f aca="false">G18+H18</f>
        <v>35.34</v>
      </c>
      <c r="J18" s="156" t="n">
        <f aca="false">IF(L18&gt;0,L18,0)</f>
        <v>0</v>
      </c>
      <c r="K18" s="155" t="n">
        <f aca="false">I18+J18</f>
        <v>35.34</v>
      </c>
      <c r="L18" s="155" t="n">
        <f aca="false">F18-(I18-AK18)</f>
        <v>0</v>
      </c>
      <c r="M18" s="279" t="n">
        <v>4.54</v>
      </c>
      <c r="N18" s="155" t="n">
        <v>0</v>
      </c>
      <c r="O18" s="155" t="n">
        <f aca="false">0*1.05</f>
        <v>0</v>
      </c>
      <c r="P18" s="186" t="n">
        <v>0</v>
      </c>
      <c r="Q18" s="151" t="n">
        <f aca="false">1082300/325851/1.9835*1.02</f>
        <v>1.7080342194195</v>
      </c>
      <c r="R18" s="151" t="n">
        <f aca="false">IF(((2.4*1.04)-T18)&gt;=4.2,4.2,(2.4*1.04)-T18)</f>
        <v>1.9100744</v>
      </c>
      <c r="S18" s="151" t="n">
        <f aca="false">IF(((2.4*1.04)-T18)&gt;=4.2,((2.4*1.04)-T18)-4.2,0)</f>
        <v>0</v>
      </c>
      <c r="T18" s="151" t="n">
        <f aca="false">(0.5315*1.06)*1.04</f>
        <v>0.5859256</v>
      </c>
      <c r="U18" s="111" t="n">
        <f aca="false">M18-(Q18+R18+S18+T18)</f>
        <v>0.335965780580497</v>
      </c>
      <c r="V18" s="155" t="n">
        <v>0</v>
      </c>
      <c r="W18" s="155" t="n">
        <v>0</v>
      </c>
      <c r="X18" s="155" t="n">
        <f aca="false">M18-N18-P18-O18-Q18-R18-S18-T18-U18+V18+W18</f>
        <v>0</v>
      </c>
      <c r="Y18" s="155" t="n">
        <f aca="false">X18-AO18</f>
        <v>0</v>
      </c>
      <c r="Z18" s="155"/>
      <c r="AA18" s="155"/>
      <c r="AB18" s="156"/>
      <c r="AC18" s="156"/>
      <c r="AD18" s="123"/>
      <c r="AE18" s="155" t="n">
        <v>0</v>
      </c>
      <c r="AF18" s="279"/>
      <c r="AG18" s="281"/>
      <c r="AH18" s="155" t="n">
        <v>30.8</v>
      </c>
      <c r="AI18" s="123" t="n">
        <f aca="false">AI17-AH18</f>
        <v>3243.25787748928</v>
      </c>
      <c r="AJ18" s="123"/>
      <c r="AK18" s="154" t="n">
        <f aca="false">N18+O18+P18+Q18+R18+S18+T18+U18+X18+AE18+AH18</f>
        <v>35.34</v>
      </c>
      <c r="AL18" s="155" t="n">
        <f aca="false">IF(L18&lt;0,L18*-1,0)</f>
        <v>0</v>
      </c>
      <c r="AM18" s="155" t="n">
        <f aca="false">AK18+AL18</f>
        <v>35.34</v>
      </c>
      <c r="AN18" s="284"/>
      <c r="AO18" s="156"/>
      <c r="AP18" s="248"/>
      <c r="AU18" s="91"/>
      <c r="AV18" s="304" t="n">
        <v>0.17</v>
      </c>
      <c r="AW18" s="241" t="n">
        <v>49</v>
      </c>
      <c r="AX18" s="241" t="n">
        <v>20</v>
      </c>
      <c r="AY18" s="250"/>
      <c r="AZ18" s="282" t="n">
        <f aca="false">SUM(N18,P18:U18)</f>
        <v>4.54</v>
      </c>
      <c r="BA18" s="208" t="n">
        <v>0.487</v>
      </c>
      <c r="BB18" s="283" t="n">
        <v>18972</v>
      </c>
    </row>
    <row r="19" customFormat="false" ht="12.95" hidden="false" customHeight="true" outlineLevel="0" collapsed="false">
      <c r="A19" s="207" t="n">
        <f aca="false">A18+1</f>
        <v>5</v>
      </c>
      <c r="B19" s="122" t="n">
        <v>6888.9</v>
      </c>
      <c r="C19" s="123" t="n">
        <v>244468</v>
      </c>
      <c r="D19" s="241" t="n">
        <f aca="false">C19-C18</f>
        <v>167</v>
      </c>
      <c r="E19" s="123" t="n">
        <f aca="false">C19-152000</f>
        <v>92468</v>
      </c>
      <c r="F19" s="277" t="n">
        <f aca="false">D19/$D$2</f>
        <v>84.1946054953365</v>
      </c>
      <c r="G19" s="155" t="n">
        <v>118.934605495337</v>
      </c>
      <c r="H19" s="311" t="n">
        <v>0</v>
      </c>
      <c r="I19" s="155" t="n">
        <f aca="false">G19+H19</f>
        <v>118.934605495337</v>
      </c>
      <c r="J19" s="156" t="n">
        <f aca="false">IF(L19&gt;0,L19,0)</f>
        <v>0</v>
      </c>
      <c r="K19" s="155" t="n">
        <f aca="false">I19+J19</f>
        <v>118.934605495337</v>
      </c>
      <c r="L19" s="155" t="n">
        <f aca="false">F19-(I19-AK19)</f>
        <v>0</v>
      </c>
      <c r="M19" s="279" t="n">
        <v>3.94</v>
      </c>
      <c r="N19" s="155" t="n">
        <v>0</v>
      </c>
      <c r="O19" s="155" t="n">
        <f aca="false">0*1.05</f>
        <v>0</v>
      </c>
      <c r="P19" s="186" t="n">
        <v>0</v>
      </c>
      <c r="Q19" s="151" t="n">
        <f aca="false">1034500/325851/1.9835*1.02</f>
        <v>1.63259854013626</v>
      </c>
      <c r="R19" s="151" t="n">
        <f aca="false">IF(((2.5*1.04)-T19)&gt;=4.2,4.2,(2.5*1.04)-T19)</f>
        <v>2.0140744</v>
      </c>
      <c r="S19" s="151" t="n">
        <f aca="false">IF(((2.5*1.04)-T19)&gt;=4.2,((2.5*1.04)-T19)-4.2,0)</f>
        <v>0</v>
      </c>
      <c r="T19" s="151" t="n">
        <f aca="false">(0.5315*1.06)*1.04</f>
        <v>0.5859256</v>
      </c>
      <c r="U19" s="111" t="n">
        <f aca="false">M19-(Q19+R19+S19+T19)</f>
        <v>-0.292598540136262</v>
      </c>
      <c r="V19" s="155" t="n">
        <v>0</v>
      </c>
      <c r="W19" s="155" t="n">
        <v>0</v>
      </c>
      <c r="X19" s="155" t="n">
        <f aca="false">M19-N19-P19-O19-Q19-R19-S19-T19-U19+V19+W19</f>
        <v>0</v>
      </c>
      <c r="Y19" s="155" t="n">
        <f aca="false">X19-AO19</f>
        <v>0</v>
      </c>
      <c r="Z19" s="155"/>
      <c r="AA19" s="155"/>
      <c r="AB19" s="156"/>
      <c r="AC19" s="156"/>
      <c r="AD19" s="123"/>
      <c r="AE19" s="155" t="n">
        <v>0</v>
      </c>
      <c r="AF19" s="279"/>
      <c r="AG19" s="281"/>
      <c r="AH19" s="155" t="n">
        <v>30.8</v>
      </c>
      <c r="AI19" s="123" t="n">
        <f aca="false">AI18-AH19</f>
        <v>3212.45787748928</v>
      </c>
      <c r="AJ19" s="123"/>
      <c r="AK19" s="154" t="n">
        <f aca="false">N19+O19+P19+Q19+R19+S19+T19+U19+X19+AE19+AH19</f>
        <v>34.74</v>
      </c>
      <c r="AL19" s="155" t="n">
        <f aca="false">IF(L19&lt;0,L19*-1,0)</f>
        <v>0</v>
      </c>
      <c r="AM19" s="155" t="n">
        <f aca="false">AK19+AL19</f>
        <v>34.74</v>
      </c>
      <c r="AN19" s="284"/>
      <c r="AO19" s="156"/>
      <c r="AP19" s="248"/>
      <c r="AU19" s="91"/>
      <c r="AV19" s="304" t="n">
        <v>0.06</v>
      </c>
      <c r="AW19" s="241" t="n">
        <v>40</v>
      </c>
      <c r="AX19" s="241" t="n">
        <v>28</v>
      </c>
      <c r="AY19" s="250"/>
      <c r="AZ19" s="282" t="n">
        <f aca="false">SUM(N19,P19:U19)</f>
        <v>3.94</v>
      </c>
      <c r="BA19" s="208" t="n">
        <v>0.487</v>
      </c>
      <c r="BB19" s="283" t="n">
        <v>18979</v>
      </c>
    </row>
    <row r="20" customFormat="false" ht="12.95" hidden="false" customHeight="true" outlineLevel="0" collapsed="false">
      <c r="A20" s="207" t="n">
        <f aca="false">A19+1</f>
        <v>6</v>
      </c>
      <c r="B20" s="122" t="n">
        <v>6888.96</v>
      </c>
      <c r="C20" s="123" t="n">
        <v>244668</v>
      </c>
      <c r="D20" s="241" t="n">
        <f aca="false">C20-C19</f>
        <v>200</v>
      </c>
      <c r="E20" s="123" t="n">
        <f aca="false">C20-152000</f>
        <v>92668</v>
      </c>
      <c r="F20" s="277" t="n">
        <f aca="false">D20/$D$2</f>
        <v>100.831862868667</v>
      </c>
      <c r="G20" s="155" t="n">
        <v>135.201862868666</v>
      </c>
      <c r="H20" s="311" t="n">
        <v>0</v>
      </c>
      <c r="I20" s="155" t="n">
        <f aca="false">G20+H20</f>
        <v>135.201862868666</v>
      </c>
      <c r="J20" s="156" t="n">
        <f aca="false">IF(L20&gt;0,L20,0)</f>
        <v>0</v>
      </c>
      <c r="K20" s="155" t="n">
        <f aca="false">I20+J20</f>
        <v>135.201862868666</v>
      </c>
      <c r="L20" s="155" t="n">
        <f aca="false">F20-(I20-AK20)</f>
        <v>0</v>
      </c>
      <c r="M20" s="279" t="n">
        <v>3.57</v>
      </c>
      <c r="N20" s="155" t="n">
        <v>0</v>
      </c>
      <c r="O20" s="155" t="n">
        <f aca="false">0*1.05</f>
        <v>0</v>
      </c>
      <c r="P20" s="186" t="n">
        <v>0</v>
      </c>
      <c r="Q20" s="151" t="n">
        <f aca="false">897100/325851/1.9835*1.02</f>
        <v>1.4157604160041</v>
      </c>
      <c r="R20" s="151" t="n">
        <f aca="false">IF(((2.5*1.04)-T20)&gt;=4.2,4.2,(2.5*1.04)-T20)</f>
        <v>2.0140744</v>
      </c>
      <c r="S20" s="151" t="n">
        <f aca="false">IF(((2.5*1.04)-T20)&gt;=4.2,((2.5*1.04)-T20)-4.2,0)</f>
        <v>0</v>
      </c>
      <c r="T20" s="151" t="n">
        <f aca="false">(0.5315*1.06)*1.04</f>
        <v>0.5859256</v>
      </c>
      <c r="U20" s="111" t="n">
        <f aca="false">M20-(Q20+R20+S20+T20)</f>
        <v>-0.445760416004099</v>
      </c>
      <c r="V20" s="155" t="n">
        <v>0</v>
      </c>
      <c r="W20" s="155" t="n">
        <v>0</v>
      </c>
      <c r="X20" s="155" t="n">
        <f aca="false">M20-N20-P20-O20-Q20-R20-S20-T20-U20+V20+W20</f>
        <v>0</v>
      </c>
      <c r="Y20" s="155" t="n">
        <f aca="false">X20-AO20</f>
        <v>0</v>
      </c>
      <c r="Z20" s="155"/>
      <c r="AA20" s="155"/>
      <c r="AB20" s="156"/>
      <c r="AC20" s="156"/>
      <c r="AD20" s="123"/>
      <c r="AE20" s="155" t="n">
        <v>0</v>
      </c>
      <c r="AF20" s="279"/>
      <c r="AG20" s="281"/>
      <c r="AH20" s="155" t="n">
        <v>30.8</v>
      </c>
      <c r="AI20" s="123" t="n">
        <f aca="false">AI19-AH20</f>
        <v>3181.65787748928</v>
      </c>
      <c r="AJ20" s="123"/>
      <c r="AK20" s="154" t="n">
        <f aca="false">N20+O20+P20+Q20+R20+S20+T20+U20+X20+AE20+AH20</f>
        <v>34.37</v>
      </c>
      <c r="AL20" s="155" t="n">
        <f aca="false">IF(L20&lt;0,L20*-1,0)</f>
        <v>0</v>
      </c>
      <c r="AM20" s="155" t="n">
        <f aca="false">AK20+AL20</f>
        <v>34.37</v>
      </c>
      <c r="AN20" s="284"/>
      <c r="AO20" s="156"/>
      <c r="AP20" s="248"/>
      <c r="AU20" s="91"/>
      <c r="AV20" s="304" t="n">
        <v>0.12</v>
      </c>
      <c r="AW20" s="241" t="n">
        <v>39</v>
      </c>
      <c r="AX20" s="241" t="n">
        <v>29</v>
      </c>
      <c r="AY20" s="250"/>
      <c r="AZ20" s="282" t="n">
        <f aca="false">SUM(N20,P20:U20)</f>
        <v>3.57</v>
      </c>
      <c r="BA20" s="208" t="n">
        <v>0.487</v>
      </c>
      <c r="BB20" s="283" t="n">
        <v>18991</v>
      </c>
    </row>
    <row r="21" customFormat="false" ht="12.95" hidden="false" customHeight="true" outlineLevel="0" collapsed="false">
      <c r="A21" s="207" t="n">
        <f aca="false">A20+1</f>
        <v>7</v>
      </c>
      <c r="B21" s="122" t="n">
        <v>6889.01</v>
      </c>
      <c r="C21" s="123" t="n">
        <v>244835</v>
      </c>
      <c r="D21" s="241" t="n">
        <f aca="false">C21-C20</f>
        <v>167</v>
      </c>
      <c r="E21" s="123" t="n">
        <f aca="false">C21-152000</f>
        <v>92835</v>
      </c>
      <c r="F21" s="277" t="n">
        <f aca="false">D21/$D$2</f>
        <v>84.1946054953365</v>
      </c>
      <c r="G21" s="155" t="n">
        <v>118.834605495337</v>
      </c>
      <c r="H21" s="311" t="n">
        <v>0</v>
      </c>
      <c r="I21" s="155" t="n">
        <f aca="false">G21+H21</f>
        <v>118.834605495337</v>
      </c>
      <c r="J21" s="156" t="n">
        <f aca="false">IF(L21&gt;0,L21,0)</f>
        <v>0</v>
      </c>
      <c r="K21" s="155" t="n">
        <f aca="false">I21+J21</f>
        <v>118.834605495337</v>
      </c>
      <c r="L21" s="155" t="n">
        <f aca="false">F21-(I21-AK21)</f>
        <v>0</v>
      </c>
      <c r="M21" s="279" t="n">
        <v>4.24</v>
      </c>
      <c r="N21" s="155" t="n">
        <v>0</v>
      </c>
      <c r="O21" s="155" t="n">
        <f aca="false">0*1.05</f>
        <v>0</v>
      </c>
      <c r="P21" s="186" t="n">
        <v>0</v>
      </c>
      <c r="Q21" s="151" t="n">
        <f aca="false">1090500/325851/1.9835*1.02</f>
        <v>1.72097506816684</v>
      </c>
      <c r="R21" s="151" t="n">
        <f aca="false">IF(((2.6*1.04)-T21)&gt;=4.2,4.2,(2.6*1.04)-T21)</f>
        <v>2.1180744</v>
      </c>
      <c r="S21" s="151" t="n">
        <f aca="false">IF(((2.6*1.04)-T21)&gt;=4.2,((2.6*1.04)-T21)-4.2,0)</f>
        <v>0</v>
      </c>
      <c r="T21" s="151" t="n">
        <f aca="false">(0.5315*1.06)*1.04</f>
        <v>0.5859256</v>
      </c>
      <c r="U21" s="111" t="n">
        <f aca="false">M21-(Q21+R21+S21+T21)</f>
        <v>-0.184975068166837</v>
      </c>
      <c r="V21" s="155" t="n">
        <v>0</v>
      </c>
      <c r="W21" s="155" t="n">
        <v>0</v>
      </c>
      <c r="X21" s="155" t="n">
        <f aca="false">M21-N21-P21-O21-Q21-R21-S21-T21-U21+V21+W21</f>
        <v>0</v>
      </c>
      <c r="Y21" s="155" t="n">
        <f aca="false">X21-AO21</f>
        <v>0</v>
      </c>
      <c r="Z21" s="155"/>
      <c r="AA21" s="155"/>
      <c r="AB21" s="156"/>
      <c r="AC21" s="156"/>
      <c r="AD21" s="123"/>
      <c r="AE21" s="155" t="n">
        <v>0</v>
      </c>
      <c r="AF21" s="279"/>
      <c r="AG21" s="281"/>
      <c r="AH21" s="155" t="n">
        <v>30.4</v>
      </c>
      <c r="AI21" s="123" t="n">
        <f aca="false">AI20-AH21</f>
        <v>3151.25787748928</v>
      </c>
      <c r="AJ21" s="123"/>
      <c r="AK21" s="154" t="n">
        <f aca="false">N21+O21+P21+Q21+R21+S21+T21+U21+X21+AE21+AH21</f>
        <v>34.64</v>
      </c>
      <c r="AL21" s="155" t="n">
        <f aca="false">IF(L21&lt;0,L21*-1,0)</f>
        <v>0</v>
      </c>
      <c r="AM21" s="155" t="n">
        <f aca="false">AK21+AL21</f>
        <v>34.64</v>
      </c>
      <c r="AN21" s="284"/>
      <c r="AO21" s="156"/>
      <c r="AP21" s="248"/>
      <c r="AU21" s="91"/>
      <c r="AV21" s="304" t="n">
        <v>0.24</v>
      </c>
      <c r="AW21" s="241" t="n">
        <v>42</v>
      </c>
      <c r="AX21" s="241" t="n">
        <v>24</v>
      </c>
      <c r="AY21" s="250"/>
      <c r="AZ21" s="282" t="n">
        <f aca="false">SUM(N21,P21:U21)</f>
        <v>4.24</v>
      </c>
      <c r="BA21" s="208" t="n">
        <v>0.487</v>
      </c>
      <c r="BB21" s="283" t="n">
        <v>19026</v>
      </c>
    </row>
    <row r="22" customFormat="false" ht="12.95" hidden="false" customHeight="true" outlineLevel="0" collapsed="false">
      <c r="A22" s="207" t="n">
        <f aca="false">A21+1</f>
        <v>8</v>
      </c>
      <c r="B22" s="122" t="n">
        <v>6889.04</v>
      </c>
      <c r="C22" s="123" t="n">
        <v>244936</v>
      </c>
      <c r="D22" s="241" t="n">
        <f aca="false">C22-C21</f>
        <v>101</v>
      </c>
      <c r="E22" s="123" t="n">
        <f aca="false">C22-152000</f>
        <v>92936</v>
      </c>
      <c r="F22" s="277" t="n">
        <f aca="false">D22/$D$2</f>
        <v>50.9200907486766</v>
      </c>
      <c r="G22" s="155" t="n">
        <v>84.4100907486766</v>
      </c>
      <c r="H22" s="311" t="n">
        <v>0</v>
      </c>
      <c r="I22" s="155" t="n">
        <f aca="false">G22+H22</f>
        <v>84.4100907486766</v>
      </c>
      <c r="J22" s="156" t="n">
        <f aca="false">IF(L22&gt;0,L22,0)</f>
        <v>0</v>
      </c>
      <c r="K22" s="155" t="n">
        <f aca="false">I22+J22</f>
        <v>84.4100907486766</v>
      </c>
      <c r="L22" s="155" t="n">
        <f aca="false">F22-(I22-AK22)</f>
        <v>0</v>
      </c>
      <c r="M22" s="279" t="n">
        <v>3.39</v>
      </c>
      <c r="N22" s="155" t="n">
        <v>0</v>
      </c>
      <c r="O22" s="155" t="n">
        <f aca="false">0*1.05</f>
        <v>0</v>
      </c>
      <c r="P22" s="186" t="n">
        <v>0</v>
      </c>
      <c r="Q22" s="151" t="n">
        <f aca="false">734100/325851/1.9835*1.02</f>
        <v>1.15852159334367</v>
      </c>
      <c r="R22" s="151" t="n">
        <f aca="false">IF(((2.2*1.04)-T22)&gt;=4.2,4.2,(2.2*1.04)-T22)</f>
        <v>1.72974464</v>
      </c>
      <c r="S22" s="151" t="n">
        <f aca="false">IF(((2.2*1.04)-T22)&gt;=4.2,((2.2*1.04)-T22)-4.2,0)</f>
        <v>0</v>
      </c>
      <c r="T22" s="151" t="n">
        <f aca="false">(0.5064*1.06)*1.04</f>
        <v>0.55825536</v>
      </c>
      <c r="U22" s="111" t="n">
        <f aca="false">M22-(Q22+R22+S22+T22)</f>
        <v>-0.0565215933436729</v>
      </c>
      <c r="V22" s="155" t="n">
        <v>0</v>
      </c>
      <c r="W22" s="155" t="n">
        <v>0</v>
      </c>
      <c r="X22" s="155" t="n">
        <f aca="false">M22-N22-P22-O22-Q22-R22-S22-T22-U22+V22+W22</f>
        <v>0</v>
      </c>
      <c r="Y22" s="155" t="n">
        <f aca="false">X22-AO22</f>
        <v>0</v>
      </c>
      <c r="Z22" s="155"/>
      <c r="AA22" s="155"/>
      <c r="AB22" s="156"/>
      <c r="AC22" s="156"/>
      <c r="AD22" s="123"/>
      <c r="AE22" s="155" t="n">
        <v>0</v>
      </c>
      <c r="AF22" s="279"/>
      <c r="AG22" s="281"/>
      <c r="AH22" s="155" t="n">
        <v>30.1</v>
      </c>
      <c r="AI22" s="123" t="n">
        <f aca="false">AI21-AH22</f>
        <v>3121.15787748928</v>
      </c>
      <c r="AJ22" s="123"/>
      <c r="AK22" s="154" t="n">
        <f aca="false">N22+O22+P22+Q22+R22+S22+T22+U22+X22+AE22+AH22</f>
        <v>33.49</v>
      </c>
      <c r="AL22" s="155" t="n">
        <f aca="false">IF(L22&lt;0,L22*-1,0)</f>
        <v>0</v>
      </c>
      <c r="AM22" s="155" t="n">
        <f aca="false">AK22+AL22</f>
        <v>33.49</v>
      </c>
      <c r="AN22" s="284"/>
      <c r="AO22" s="156"/>
      <c r="AP22" s="248"/>
      <c r="AU22" s="91"/>
      <c r="AV22" s="304" t="n">
        <v>0.43</v>
      </c>
      <c r="AW22" s="123" t="n">
        <v>42</v>
      </c>
      <c r="AX22" s="241" t="n">
        <v>13</v>
      </c>
      <c r="AY22" s="250"/>
      <c r="AZ22" s="282" t="n">
        <f aca="false">SUM(N22,P22:U22)</f>
        <v>3.39</v>
      </c>
      <c r="BA22" s="208" t="n">
        <v>0.487</v>
      </c>
      <c r="BB22" s="283" t="n">
        <v>19039</v>
      </c>
    </row>
    <row r="23" customFormat="false" ht="12.95" hidden="false" customHeight="true" outlineLevel="0" collapsed="false">
      <c r="A23" s="207" t="n">
        <f aca="false">A22+1</f>
        <v>9</v>
      </c>
      <c r="B23" s="122" t="n">
        <v>6889.04</v>
      </c>
      <c r="C23" s="123" t="n">
        <v>244936</v>
      </c>
      <c r="D23" s="241" t="n">
        <f aca="false">C23-C22</f>
        <v>0</v>
      </c>
      <c r="E23" s="123" t="n">
        <f aca="false">C23-152000</f>
        <v>92936</v>
      </c>
      <c r="F23" s="277" t="n">
        <f aca="false">D23/$D$2</f>
        <v>0</v>
      </c>
      <c r="G23" s="155" t="n">
        <v>33.49</v>
      </c>
      <c r="H23" s="311" t="n">
        <v>0</v>
      </c>
      <c r="I23" s="155" t="n">
        <f aca="false">G23+H23</f>
        <v>33.49</v>
      </c>
      <c r="J23" s="156" t="n">
        <f aca="false">IF(L23&gt;0,L23,0)</f>
        <v>0</v>
      </c>
      <c r="K23" s="155" t="n">
        <f aca="false">I23+J23</f>
        <v>33.49</v>
      </c>
      <c r="L23" s="155" t="n">
        <f aca="false">F23-(I23-AK23)</f>
        <v>0</v>
      </c>
      <c r="M23" s="279" t="n">
        <v>3.39</v>
      </c>
      <c r="N23" s="155" t="n">
        <v>0</v>
      </c>
      <c r="O23" s="155" t="n">
        <f aca="false">0*1.05</f>
        <v>0</v>
      </c>
      <c r="P23" s="186" t="n">
        <v>0</v>
      </c>
      <c r="Q23" s="151" t="n">
        <f aca="false">991900/325851/1.9835*1.02</f>
        <v>1.56536925274157</v>
      </c>
      <c r="R23" s="151" t="n">
        <f aca="false">IF(((2.3*1.04)-T23)&gt;=4.2,4.2,(2.3*1.04)-T23)</f>
        <v>1.83374464</v>
      </c>
      <c r="S23" s="151" t="n">
        <f aca="false">IF(((2.3*1.04)-T23)&gt;=4.2,((2.3*1.04)-T23)-4.2,0)</f>
        <v>0</v>
      </c>
      <c r="T23" s="151" t="n">
        <f aca="false">(0.5064*1.06)*1.04</f>
        <v>0.55825536</v>
      </c>
      <c r="U23" s="111" t="n">
        <f aca="false">M23-(Q23+R23+S23+T23)</f>
        <v>-0.567369252741574</v>
      </c>
      <c r="V23" s="155" t="n">
        <v>0</v>
      </c>
      <c r="W23" s="155" t="n">
        <v>0</v>
      </c>
      <c r="X23" s="155" t="n">
        <f aca="false">M23-N23-P23-O23-Q23-R23-S23-T23-U23+V23+W23</f>
        <v>0</v>
      </c>
      <c r="Y23" s="155" t="n">
        <f aca="false">X23-AO23</f>
        <v>0</v>
      </c>
      <c r="Z23" s="155"/>
      <c r="AA23" s="155"/>
      <c r="AB23" s="156"/>
      <c r="AC23" s="156"/>
      <c r="AD23" s="123"/>
      <c r="AE23" s="155" t="n">
        <v>0</v>
      </c>
      <c r="AF23" s="279"/>
      <c r="AG23" s="281"/>
      <c r="AH23" s="155" t="n">
        <v>30.1</v>
      </c>
      <c r="AI23" s="123" t="n">
        <f aca="false">AI22-AH23</f>
        <v>3091.05787748928</v>
      </c>
      <c r="AJ23" s="123"/>
      <c r="AK23" s="154" t="n">
        <f aca="false">N23+O23+P23+Q23+R23+S23+T23+U23+X23+AE23+AH23</f>
        <v>33.49</v>
      </c>
      <c r="AL23" s="155" t="n">
        <f aca="false">IF(L23&lt;0,L23*-1,0)</f>
        <v>0</v>
      </c>
      <c r="AM23" s="155" t="n">
        <f aca="false">AK23+AL23</f>
        <v>33.49</v>
      </c>
      <c r="AN23" s="284"/>
      <c r="AO23" s="156"/>
      <c r="AP23" s="248"/>
      <c r="AU23" s="91"/>
      <c r="AV23" s="304" t="n">
        <v>0</v>
      </c>
      <c r="AW23" s="123" t="n">
        <v>43</v>
      </c>
      <c r="AX23" s="241" t="n">
        <v>6</v>
      </c>
      <c r="AY23" s="250"/>
      <c r="AZ23" s="282" t="n">
        <f aca="false">SUM(N23,P23:U23)</f>
        <v>3.39</v>
      </c>
      <c r="BA23" s="208" t="n">
        <v>0.487</v>
      </c>
      <c r="BB23" s="283" t="n">
        <v>19034</v>
      </c>
    </row>
    <row r="24" customFormat="false" ht="12.75" hidden="false" customHeight="true" outlineLevel="0" collapsed="false">
      <c r="A24" s="207" t="n">
        <f aca="false">A23+1</f>
        <v>10</v>
      </c>
      <c r="B24" s="122" t="n">
        <v>6889.05</v>
      </c>
      <c r="C24" s="123" t="n">
        <v>244970</v>
      </c>
      <c r="D24" s="241" t="n">
        <f aca="false">C24-C23</f>
        <v>34</v>
      </c>
      <c r="E24" s="123" t="n">
        <f aca="false">C24-152000</f>
        <v>92970</v>
      </c>
      <c r="F24" s="277" t="n">
        <f aca="false">D24/$D$2</f>
        <v>17.1414166876733</v>
      </c>
      <c r="G24" s="155" t="n">
        <v>51.5814166876733</v>
      </c>
      <c r="H24" s="311" t="n">
        <v>0</v>
      </c>
      <c r="I24" s="155" t="n">
        <f aca="false">G24+H24</f>
        <v>51.5814166876733</v>
      </c>
      <c r="J24" s="156" t="n">
        <f aca="false">IF(L24&gt;0,L24,0)</f>
        <v>0</v>
      </c>
      <c r="K24" s="155" t="n">
        <f aca="false">I24+J24</f>
        <v>51.5814166876733</v>
      </c>
      <c r="L24" s="155" t="n">
        <f aca="false">F24-(I24-AK24)</f>
        <v>0</v>
      </c>
      <c r="M24" s="279" t="n">
        <v>4.34</v>
      </c>
      <c r="N24" s="155" t="n">
        <v>0</v>
      </c>
      <c r="O24" s="155" t="n">
        <f aca="false">0*1.05</f>
        <v>0</v>
      </c>
      <c r="P24" s="186" t="n">
        <v>0</v>
      </c>
      <c r="Q24" s="151" t="n">
        <f aca="false">1073200/325851/1.9835*1.02</f>
        <v>1.69367303361453</v>
      </c>
      <c r="R24" s="151" t="n">
        <f aca="false">IF(((2.2*1.04)-T24)&gt;=4.2,4.2,(2.2*1.04)-T24)</f>
        <v>1.72974464</v>
      </c>
      <c r="S24" s="151" t="n">
        <f aca="false">IF(((2.2*1.04)-T24)&gt;=4.2,((2.2*1.04)-T24)-4.2,0)</f>
        <v>0</v>
      </c>
      <c r="T24" s="151" t="n">
        <f aca="false">(0.5064*1.06)*1.04</f>
        <v>0.55825536</v>
      </c>
      <c r="U24" s="111" t="n">
        <f aca="false">M24-(Q24+R24+S24+T24)</f>
        <v>0.358326966385465</v>
      </c>
      <c r="V24" s="155" t="n">
        <v>0</v>
      </c>
      <c r="W24" s="155" t="n">
        <v>0</v>
      </c>
      <c r="X24" s="155" t="n">
        <f aca="false">M24-N24-P24-O24-Q24-R24-S24-T24-U24+V24+W24</f>
        <v>0</v>
      </c>
      <c r="Y24" s="155" t="n">
        <f aca="false">X24-AO24</f>
        <v>0</v>
      </c>
      <c r="Z24" s="155"/>
      <c r="AA24" s="155"/>
      <c r="AB24" s="156"/>
      <c r="AC24" s="156"/>
      <c r="AD24" s="123"/>
      <c r="AE24" s="155" t="n">
        <v>0</v>
      </c>
      <c r="AF24" s="279"/>
      <c r="AG24" s="281"/>
      <c r="AH24" s="155" t="n">
        <v>30.1</v>
      </c>
      <c r="AI24" s="123" t="n">
        <f aca="false">AI23-AH24</f>
        <v>3060.95787748928</v>
      </c>
      <c r="AJ24" s="123"/>
      <c r="AK24" s="154" t="n">
        <f aca="false">N24+O24+P24+Q24+R24+S24+T24+U24+X24+AE24+AH24</f>
        <v>34.44</v>
      </c>
      <c r="AL24" s="155" t="n">
        <f aca="false">IF(L24&lt;0,L24*-1,0)</f>
        <v>0</v>
      </c>
      <c r="AM24" s="155" t="n">
        <f aca="false">AK24+AL24</f>
        <v>34.44</v>
      </c>
      <c r="AN24" s="284"/>
      <c r="AO24" s="156"/>
      <c r="AP24" s="248"/>
      <c r="AU24" s="91"/>
      <c r="AV24" s="304" t="n">
        <v>0</v>
      </c>
      <c r="AW24" s="123" t="n">
        <v>35</v>
      </c>
      <c r="AX24" s="241" t="n">
        <v>3</v>
      </c>
      <c r="AY24" s="250"/>
      <c r="AZ24" s="282" t="n">
        <f aca="false">SUM(N24,P24:U24)</f>
        <v>4.34</v>
      </c>
      <c r="BA24" s="208" t="n">
        <v>0.487</v>
      </c>
      <c r="BB24" s="283" t="n">
        <v>19040</v>
      </c>
    </row>
    <row r="25" customFormat="false" ht="12.95" hidden="false" customHeight="true" outlineLevel="0" collapsed="false">
      <c r="A25" s="207" t="n">
        <f aca="false">A24+1</f>
        <v>11</v>
      </c>
      <c r="B25" s="122" t="n">
        <v>6889.06</v>
      </c>
      <c r="C25" s="123" t="n">
        <v>245003</v>
      </c>
      <c r="D25" s="241" t="n">
        <f aca="false">C25-C24</f>
        <v>33</v>
      </c>
      <c r="E25" s="123" t="n">
        <f aca="false">C25-152000</f>
        <v>93003</v>
      </c>
      <c r="F25" s="277" t="n">
        <f aca="false">D25/$D$2</f>
        <v>16.63725737333</v>
      </c>
      <c r="G25" s="155" t="n">
        <v>50.10725737333</v>
      </c>
      <c r="H25" s="311" t="n">
        <v>0</v>
      </c>
      <c r="I25" s="155" t="n">
        <f aca="false">G25+H25</f>
        <v>50.10725737333</v>
      </c>
      <c r="J25" s="156" t="n">
        <f aca="false">IF(L25&gt;0,L25,0)</f>
        <v>0</v>
      </c>
      <c r="K25" s="155" t="n">
        <f aca="false">I25+J25</f>
        <v>50.10725737333</v>
      </c>
      <c r="L25" s="155" t="n">
        <f aca="false">F25-(I25-AK25)</f>
        <v>0</v>
      </c>
      <c r="M25" s="279" t="n">
        <v>3.37</v>
      </c>
      <c r="N25" s="155" t="n">
        <v>0</v>
      </c>
      <c r="O25" s="155" t="n">
        <f aca="false">0*1.05</f>
        <v>0</v>
      </c>
      <c r="P25" s="186" t="n">
        <v>0</v>
      </c>
      <c r="Q25" s="151" t="n">
        <f aca="false">1001800/325851/1.9835*1.02</f>
        <v>1.58099296037555</v>
      </c>
      <c r="R25" s="151" t="n">
        <f aca="false">IF(((2.2*1.04)-T25)&gt;=4.2,4.2,(2.2*1.04)-T25)</f>
        <v>1.72974464</v>
      </c>
      <c r="S25" s="151" t="n">
        <f aca="false">IF(((2.2*1.04)-T25)&gt;=4.2,((2.2*1.04)-T25)-4.2,0)</f>
        <v>0</v>
      </c>
      <c r="T25" s="151" t="n">
        <f aca="false">(0.5064*1.06)*1.04</f>
        <v>0.55825536</v>
      </c>
      <c r="U25" s="111" t="n">
        <f aca="false">M25-(Q25+R25+S25+T25)</f>
        <v>-0.498992960375551</v>
      </c>
      <c r="V25" s="155" t="n">
        <v>0</v>
      </c>
      <c r="W25" s="155" t="n">
        <v>0</v>
      </c>
      <c r="X25" s="155" t="n">
        <f aca="false">M25-N25-P25-O25-Q25-R25-S25-T25-U25+V25+W25</f>
        <v>0</v>
      </c>
      <c r="Y25" s="155" t="n">
        <f aca="false">X25-AO25</f>
        <v>0</v>
      </c>
      <c r="Z25" s="155"/>
      <c r="AA25" s="155"/>
      <c r="AB25" s="156"/>
      <c r="AC25" s="312"/>
      <c r="AD25" s="123"/>
      <c r="AE25" s="155" t="n">
        <v>0</v>
      </c>
      <c r="AF25" s="279"/>
      <c r="AG25" s="281"/>
      <c r="AH25" s="155" t="n">
        <v>30.1</v>
      </c>
      <c r="AI25" s="123" t="n">
        <f aca="false">AI24-AH25</f>
        <v>3030.85787748928</v>
      </c>
      <c r="AJ25" s="123"/>
      <c r="AK25" s="154" t="n">
        <f aca="false">N25+O25+P25+Q25+R25+S25+T25+U25+X25+AE25+AH25</f>
        <v>33.47</v>
      </c>
      <c r="AL25" s="155" t="n">
        <f aca="false">IF(L25&lt;0,L25*-1,0)</f>
        <v>0</v>
      </c>
      <c r="AM25" s="155" t="n">
        <f aca="false">AK25+AL25</f>
        <v>33.47</v>
      </c>
      <c r="AN25" s="284"/>
      <c r="AO25" s="156"/>
      <c r="AP25" s="248"/>
      <c r="AU25" s="91"/>
      <c r="AV25" s="304" t="n">
        <v>0</v>
      </c>
      <c r="AW25" s="123" t="n">
        <v>29</v>
      </c>
      <c r="AX25" s="241" t="n">
        <v>-6</v>
      </c>
      <c r="AY25" s="250"/>
      <c r="AZ25" s="282" t="n">
        <f aca="false">SUM(N25,P25:U25)</f>
        <v>3.37</v>
      </c>
      <c r="BA25" s="208" t="n">
        <v>0.487</v>
      </c>
      <c r="BB25" s="283" t="n">
        <v>19038</v>
      </c>
    </row>
    <row r="26" customFormat="false" ht="12.95" hidden="false" customHeight="true" outlineLevel="0" collapsed="false">
      <c r="A26" s="207" t="n">
        <f aca="false">A25+1</f>
        <v>12</v>
      </c>
      <c r="B26" s="122" t="n">
        <v>6889.08</v>
      </c>
      <c r="C26" s="123" t="n">
        <v>245071</v>
      </c>
      <c r="D26" s="241" t="n">
        <f aca="false">C26-C25</f>
        <v>68</v>
      </c>
      <c r="E26" s="123" t="n">
        <f aca="false">C26-152000</f>
        <v>93071</v>
      </c>
      <c r="F26" s="277" t="n">
        <f aca="false">D26/$D$2</f>
        <v>34.2828333753466</v>
      </c>
      <c r="G26" s="155" t="n">
        <v>68.3528333753466</v>
      </c>
      <c r="H26" s="311" t="n">
        <v>0</v>
      </c>
      <c r="I26" s="155" t="n">
        <f aca="false">G26+H26</f>
        <v>68.3528333753466</v>
      </c>
      <c r="J26" s="156" t="n">
        <f aca="false">IF(L26&gt;0,L26,0)</f>
        <v>0</v>
      </c>
      <c r="K26" s="155" t="n">
        <f aca="false">I26+J26</f>
        <v>68.3528333753466</v>
      </c>
      <c r="L26" s="155" t="n">
        <f aca="false">F26-(I26-AK26)</f>
        <v>0</v>
      </c>
      <c r="M26" s="279" t="n">
        <v>3.97</v>
      </c>
      <c r="N26" s="155" t="n">
        <v>0</v>
      </c>
      <c r="O26" s="155" t="n">
        <f aca="false">0*1.05</f>
        <v>0</v>
      </c>
      <c r="P26" s="186" t="n">
        <v>0</v>
      </c>
      <c r="Q26" s="151" t="n">
        <f aca="false">912200/325851/1.9835*1.02</f>
        <v>1.43959051552663</v>
      </c>
      <c r="R26" s="151" t="n">
        <f aca="false">IF(((2*1.04)-T26)&gt;=4.2,4.2,(2*1.04)-T26)</f>
        <v>1.52174464</v>
      </c>
      <c r="S26" s="151" t="n">
        <f aca="false">IF(((2*1.04)-T26)&gt;=4.2,((2*1.04)-T26)-4.2,0)</f>
        <v>0</v>
      </c>
      <c r="T26" s="151" t="n">
        <f aca="false">(0.5064*1.06)*1.04</f>
        <v>0.55825536</v>
      </c>
      <c r="U26" s="111" t="n">
        <f aca="false">M26-(Q26+R26+S26+T26)</f>
        <v>0.450409484473371</v>
      </c>
      <c r="V26" s="155" t="n">
        <v>0</v>
      </c>
      <c r="W26" s="155" t="n">
        <v>0</v>
      </c>
      <c r="X26" s="155" t="n">
        <f aca="false">M26-N26-P26-O26-Q26-R26-S26-T26-U26+V26+W26</f>
        <v>0</v>
      </c>
      <c r="Y26" s="155" t="n">
        <f aca="false">X26-AO26</f>
        <v>0</v>
      </c>
      <c r="Z26" s="155"/>
      <c r="AA26" s="155"/>
      <c r="AB26" s="156"/>
      <c r="AC26" s="156"/>
      <c r="AD26" s="123"/>
      <c r="AE26" s="155" t="n">
        <v>0</v>
      </c>
      <c r="AF26" s="279"/>
      <c r="AG26" s="281"/>
      <c r="AH26" s="155" t="n">
        <v>30.1</v>
      </c>
      <c r="AI26" s="123" t="n">
        <f aca="false">AI25-AH26</f>
        <v>3000.75787748928</v>
      </c>
      <c r="AJ26" s="123"/>
      <c r="AK26" s="154" t="n">
        <f aca="false">N26+O26+P26+Q26+R26+S26+T26+U26+X26+AE26+AH26</f>
        <v>34.07</v>
      </c>
      <c r="AL26" s="155" t="n">
        <f aca="false">IF(L26&lt;0,L26*-1,0)</f>
        <v>0</v>
      </c>
      <c r="AM26" s="155" t="n">
        <f aca="false">AK26+AL26</f>
        <v>34.07</v>
      </c>
      <c r="AN26" s="284"/>
      <c r="AO26" s="156"/>
      <c r="AP26" s="248"/>
      <c r="AU26" s="91"/>
      <c r="AV26" s="304" t="n">
        <v>0.02</v>
      </c>
      <c r="AW26" s="123" t="n">
        <v>31</v>
      </c>
      <c r="AX26" s="241" t="n">
        <v>1</v>
      </c>
      <c r="AY26" s="250"/>
      <c r="AZ26" s="282" t="n">
        <f aca="false">SUM(N26,P26:U26)</f>
        <v>3.97</v>
      </c>
      <c r="BA26" s="208" t="n">
        <v>0.487</v>
      </c>
      <c r="BB26" s="283" t="n">
        <v>19025</v>
      </c>
    </row>
    <row r="27" customFormat="false" ht="12.95" hidden="false" customHeight="true" outlineLevel="0" collapsed="false">
      <c r="A27" s="207" t="n">
        <f aca="false">A26+1</f>
        <v>13</v>
      </c>
      <c r="B27" s="122" t="n">
        <v>6889.08</v>
      </c>
      <c r="C27" s="123" t="n">
        <v>245071</v>
      </c>
      <c r="D27" s="241" t="n">
        <f aca="false">C27-C26</f>
        <v>0</v>
      </c>
      <c r="E27" s="123" t="n">
        <f aca="false">C27-152000</f>
        <v>93071</v>
      </c>
      <c r="F27" s="277" t="n">
        <f aca="false">D27/$D$2</f>
        <v>0</v>
      </c>
      <c r="G27" s="155" t="n">
        <v>33.89</v>
      </c>
      <c r="H27" s="311" t="n">
        <v>0</v>
      </c>
      <c r="I27" s="155" t="n">
        <f aca="false">G27+H27</f>
        <v>33.89</v>
      </c>
      <c r="J27" s="156" t="n">
        <f aca="false">IF(L27&gt;0,L27,0)</f>
        <v>0</v>
      </c>
      <c r="K27" s="155" t="n">
        <f aca="false">I27+J27</f>
        <v>33.89</v>
      </c>
      <c r="L27" s="155" t="n">
        <f aca="false">F27-(I27-AK27)</f>
        <v>0</v>
      </c>
      <c r="M27" s="279" t="n">
        <v>3.39</v>
      </c>
      <c r="N27" s="155" t="n">
        <v>0</v>
      </c>
      <c r="O27" s="155" t="n">
        <f aca="false">0*1.05</f>
        <v>0</v>
      </c>
      <c r="P27" s="186" t="n">
        <v>0</v>
      </c>
      <c r="Q27" s="151" t="n">
        <f aca="false">961400/325851/1.9835*1.02</f>
        <v>1.51723560801064</v>
      </c>
      <c r="R27" s="151" t="n">
        <f aca="false">IF(((2.1*1.04)-T27)&gt;=4.2,4.2,(2.1*1.04)-T27)</f>
        <v>1.62574464</v>
      </c>
      <c r="S27" s="151" t="n">
        <f aca="false">IF(((2.1*1.04)-T27)&gt;=4.2,((2.1*1.04)-T27)-4.2,0)</f>
        <v>0</v>
      </c>
      <c r="T27" s="151" t="n">
        <f aca="false">(0.5064*1.06)*1.04</f>
        <v>0.55825536</v>
      </c>
      <c r="U27" s="111" t="n">
        <f aca="false">M27-(Q27+R27+S27+T27)</f>
        <v>-0.311235608010635</v>
      </c>
      <c r="V27" s="155" t="n">
        <v>0</v>
      </c>
      <c r="W27" s="155" t="n">
        <v>0</v>
      </c>
      <c r="X27" s="155" t="n">
        <f aca="false">M27-N27-P27-O27-Q27-R27-S27-T27-U27+V27+W27</f>
        <v>0</v>
      </c>
      <c r="Y27" s="155" t="n">
        <f aca="false">X27-AO27</f>
        <v>0</v>
      </c>
      <c r="Z27" s="155"/>
      <c r="AA27" s="155"/>
      <c r="AB27" s="156"/>
      <c r="AC27" s="156"/>
      <c r="AD27" s="123"/>
      <c r="AE27" s="155" t="n">
        <v>0</v>
      </c>
      <c r="AF27" s="279"/>
      <c r="AG27" s="281"/>
      <c r="AH27" s="155" t="n">
        <v>30.5</v>
      </c>
      <c r="AI27" s="123" t="n">
        <f aca="false">AI26-AH27</f>
        <v>2970.25787748928</v>
      </c>
      <c r="AJ27" s="123"/>
      <c r="AK27" s="154" t="n">
        <f aca="false">N27+O27+P27+Q27+R27+S27+T27+U27+X27+AE27+AH27</f>
        <v>33.89</v>
      </c>
      <c r="AL27" s="155" t="n">
        <f aca="false">IF(L27&lt;0,L27*-1,0)</f>
        <v>0</v>
      </c>
      <c r="AM27" s="155" t="n">
        <f aca="false">AK27+AL27</f>
        <v>33.89</v>
      </c>
      <c r="AN27" s="284"/>
      <c r="AO27" s="156"/>
      <c r="AP27" s="248"/>
      <c r="AU27" s="91"/>
      <c r="AV27" s="304" t="n">
        <v>0</v>
      </c>
      <c r="AW27" s="123" t="n">
        <v>35</v>
      </c>
      <c r="AX27" s="241" t="n">
        <v>1</v>
      </c>
      <c r="AY27" s="250"/>
      <c r="AZ27" s="282" t="n">
        <f aca="false">SUM(N27,P27:U27)</f>
        <v>3.39</v>
      </c>
      <c r="BA27" s="208" t="n">
        <v>0.487</v>
      </c>
      <c r="BB27" s="283" t="n">
        <v>19038</v>
      </c>
    </row>
    <row r="28" customFormat="false" ht="12.95" hidden="false" customHeight="true" outlineLevel="0" collapsed="false">
      <c r="A28" s="207" t="n">
        <f aca="false">A27+1</f>
        <v>14</v>
      </c>
      <c r="B28" s="122" t="n">
        <v>6889.09</v>
      </c>
      <c r="C28" s="123" t="n">
        <v>245104</v>
      </c>
      <c r="D28" s="241" t="n">
        <f aca="false">C28-C27</f>
        <v>33</v>
      </c>
      <c r="E28" s="123" t="n">
        <f aca="false">C28-152000</f>
        <v>93104</v>
      </c>
      <c r="F28" s="277" t="n">
        <f aca="false">D28/$D$2</f>
        <v>16.63725737333</v>
      </c>
      <c r="G28" s="155" t="n">
        <v>50.23725737333</v>
      </c>
      <c r="H28" s="311" t="n">
        <v>0</v>
      </c>
      <c r="I28" s="155" t="n">
        <f aca="false">G28+H28</f>
        <v>50.23725737333</v>
      </c>
      <c r="J28" s="156" t="n">
        <f aca="false">IF(L28&gt;0,L28,0)</f>
        <v>0</v>
      </c>
      <c r="K28" s="155" t="n">
        <f aca="false">I28+J28</f>
        <v>50.23725737333</v>
      </c>
      <c r="L28" s="155" t="n">
        <f aca="false">F28-(I28-AK28)</f>
        <v>0</v>
      </c>
      <c r="M28" s="279" t="n">
        <v>3.5</v>
      </c>
      <c r="N28" s="155" t="n">
        <v>0</v>
      </c>
      <c r="O28" s="155" t="n">
        <f aca="false">0*1.05</f>
        <v>0</v>
      </c>
      <c r="P28" s="186" t="n">
        <v>0</v>
      </c>
      <c r="Q28" s="151" t="n">
        <f aca="false">973200/325851/1.9835*1.02</f>
        <v>1.53585780498851</v>
      </c>
      <c r="R28" s="151" t="n">
        <f aca="false">IF(((2.2*1.04)-T28)&gt;=4.2,4.2,(2.2*1.04)-T28)</f>
        <v>1.72974464</v>
      </c>
      <c r="S28" s="151" t="n">
        <f aca="false">IF(((2.2*1.04)-T28)&gt;=4.2,((2.2*1.04)-T28)-4.2,0)</f>
        <v>0</v>
      </c>
      <c r="T28" s="151" t="n">
        <f aca="false">(0.5064*1.06)*1.04</f>
        <v>0.55825536</v>
      </c>
      <c r="U28" s="111" t="n">
        <f aca="false">M28-(Q28+R28+S28+T28)</f>
        <v>-0.323857804988507</v>
      </c>
      <c r="V28" s="155" t="n">
        <v>0</v>
      </c>
      <c r="W28" s="155" t="n">
        <v>0</v>
      </c>
      <c r="X28" s="155" t="n">
        <f aca="false">M28-N28-P28-O28-Q28-R28-S28-T28-U28+V28+W28</f>
        <v>0</v>
      </c>
      <c r="Y28" s="155" t="n">
        <f aca="false">X28-AO28</f>
        <v>0</v>
      </c>
      <c r="Z28" s="155"/>
      <c r="AA28" s="155"/>
      <c r="AB28" s="156"/>
      <c r="AC28" s="156"/>
      <c r="AD28" s="123"/>
      <c r="AE28" s="155" t="n">
        <v>0</v>
      </c>
      <c r="AF28" s="279"/>
      <c r="AG28" s="281"/>
      <c r="AH28" s="155" t="n">
        <v>30.1</v>
      </c>
      <c r="AI28" s="123" t="n">
        <f aca="false">AI27-AH28</f>
        <v>2940.15787748928</v>
      </c>
      <c r="AJ28" s="123"/>
      <c r="AK28" s="154" t="n">
        <f aca="false">N28+O28+P28+Q28+R28+S28+T28+U28+X28+AE28+AH28</f>
        <v>33.6</v>
      </c>
      <c r="AL28" s="155" t="n">
        <f aca="false">IF(L28&lt;0,L28*-1,0)</f>
        <v>0</v>
      </c>
      <c r="AM28" s="155" t="n">
        <f aca="false">AK28+AL28</f>
        <v>33.6</v>
      </c>
      <c r="AN28" s="284"/>
      <c r="AO28" s="156"/>
      <c r="AP28" s="248"/>
      <c r="AU28" s="91"/>
      <c r="AV28" s="304" t="n">
        <v>0</v>
      </c>
      <c r="AW28" s="123" t="n">
        <v>33</v>
      </c>
      <c r="AX28" s="241" t="n">
        <v>9</v>
      </c>
      <c r="AY28" s="250"/>
      <c r="AZ28" s="282" t="n">
        <f aca="false">SUM(N28,P28:U28)</f>
        <v>3.5</v>
      </c>
      <c r="BA28" s="208" t="n">
        <v>0.487</v>
      </c>
      <c r="BB28" s="283" t="n">
        <v>19060</v>
      </c>
    </row>
    <row r="29" customFormat="false" ht="12.95" hidden="false" customHeight="true" outlineLevel="0" collapsed="false">
      <c r="A29" s="207" t="n">
        <f aca="false">A28+1</f>
        <v>15</v>
      </c>
      <c r="B29" s="122" t="n">
        <v>6889.09</v>
      </c>
      <c r="C29" s="123" t="n">
        <v>245104</v>
      </c>
      <c r="D29" s="241" t="n">
        <f aca="false">C29-C28</f>
        <v>0</v>
      </c>
      <c r="E29" s="123" t="n">
        <f aca="false">C29-152000</f>
        <v>93104</v>
      </c>
      <c r="F29" s="277" t="n">
        <f aca="false">D29/$D$2</f>
        <v>0</v>
      </c>
      <c r="G29" s="155" t="n">
        <v>34.06</v>
      </c>
      <c r="H29" s="311" t="n">
        <v>0</v>
      </c>
      <c r="I29" s="155" t="n">
        <f aca="false">G29+H29</f>
        <v>34.06</v>
      </c>
      <c r="J29" s="156" t="n">
        <f aca="false">IF(L29&gt;0,L29,0)</f>
        <v>0</v>
      </c>
      <c r="K29" s="155" t="n">
        <f aca="false">I29+J29</f>
        <v>34.06</v>
      </c>
      <c r="L29" s="155" t="n">
        <f aca="false">F29-(I29-AK29)</f>
        <v>0</v>
      </c>
      <c r="M29" s="279" t="n">
        <v>3.96</v>
      </c>
      <c r="N29" s="155" t="n">
        <v>0</v>
      </c>
      <c r="O29" s="155" t="n">
        <f aca="false">0*1.05</f>
        <v>0</v>
      </c>
      <c r="P29" s="186" t="n">
        <v>0</v>
      </c>
      <c r="Q29" s="151" t="n">
        <f aca="false">949100/325851/1.9835*1.02</f>
        <v>1.49782433488963</v>
      </c>
      <c r="R29" s="151" t="n">
        <f aca="false">IF(((2.2*1.04)-T29)&gt;=4.2,4.2,(2.2*1.04)-T29)</f>
        <v>1.78508512</v>
      </c>
      <c r="S29" s="151" t="n">
        <f aca="false">IF(((2.2*1.04)-T29)&gt;=4.2,((2.2*1.04)-T29)-4.2,0)</f>
        <v>0</v>
      </c>
      <c r="T29" s="151" t="n">
        <f aca="false">(0.4562*1.06)*1.04</f>
        <v>0.50291488</v>
      </c>
      <c r="U29" s="111" t="n">
        <f aca="false">M29-(Q29+R29+S29+T29)</f>
        <v>0.174175665110366</v>
      </c>
      <c r="V29" s="155" t="n">
        <v>0</v>
      </c>
      <c r="W29" s="155" t="n">
        <v>0</v>
      </c>
      <c r="X29" s="155" t="n">
        <f aca="false">M29-N29-P29-O29-Q29-R29-S29-T29-U29+V29+W29</f>
        <v>0</v>
      </c>
      <c r="Y29" s="155" t="n">
        <f aca="false">X29-AO29</f>
        <v>0</v>
      </c>
      <c r="Z29" s="155"/>
      <c r="AA29" s="155"/>
      <c r="AB29" s="156"/>
      <c r="AC29" s="156"/>
      <c r="AD29" s="123"/>
      <c r="AE29" s="155" t="n">
        <v>0</v>
      </c>
      <c r="AF29" s="279"/>
      <c r="AG29" s="281"/>
      <c r="AH29" s="155" t="n">
        <v>30.1</v>
      </c>
      <c r="AI29" s="123" t="n">
        <f aca="false">AI28-AH29</f>
        <v>2910.05787748928</v>
      </c>
      <c r="AJ29" s="123"/>
      <c r="AK29" s="154" t="n">
        <f aca="false">N29+O29+P29+Q29+R29+S29+T29+U29+X29+AE29+AH29</f>
        <v>34.06</v>
      </c>
      <c r="AL29" s="155" t="n">
        <f aca="false">IF(L29&lt;0,L29*-1,0)</f>
        <v>0</v>
      </c>
      <c r="AM29" s="155" t="n">
        <f aca="false">AK29+AL29</f>
        <v>34.06</v>
      </c>
      <c r="AN29" s="284"/>
      <c r="AO29" s="156"/>
      <c r="AP29" s="248"/>
      <c r="AU29" s="91"/>
      <c r="AV29" s="304" t="n">
        <v>0.01</v>
      </c>
      <c r="AW29" s="123" t="n">
        <v>31</v>
      </c>
      <c r="AX29" s="241" t="n">
        <v>10</v>
      </c>
      <c r="AY29" s="250"/>
      <c r="AZ29" s="282" t="n">
        <f aca="false">SUM(N29,P29:U29)</f>
        <v>3.96</v>
      </c>
      <c r="BA29" s="208" t="n">
        <v>0.487</v>
      </c>
      <c r="BB29" s="283" t="n">
        <v>19065</v>
      </c>
    </row>
    <row r="30" customFormat="false" ht="12.95" hidden="false" customHeight="true" outlineLevel="0" collapsed="false">
      <c r="A30" s="207" t="n">
        <f aca="false">A29+1</f>
        <v>16</v>
      </c>
      <c r="B30" s="122" t="n">
        <v>6889.16</v>
      </c>
      <c r="C30" s="123" t="n">
        <v>245340</v>
      </c>
      <c r="D30" s="241" t="n">
        <f aca="false">C30-C29</f>
        <v>236</v>
      </c>
      <c r="E30" s="123" t="n">
        <f aca="false">C30-152000</f>
        <v>93340</v>
      </c>
      <c r="F30" s="277" t="n">
        <f aca="false">D30/$D$2</f>
        <v>118.981598185026</v>
      </c>
      <c r="G30" s="155" t="n">
        <v>152.501598185026</v>
      </c>
      <c r="H30" s="311" t="n">
        <v>0</v>
      </c>
      <c r="I30" s="155" t="n">
        <f aca="false">G30+H30</f>
        <v>152.501598185026</v>
      </c>
      <c r="J30" s="156" t="n">
        <f aca="false">IF(L30&gt;0,L30,0)</f>
        <v>0</v>
      </c>
      <c r="K30" s="155" t="n">
        <f aca="false">I30+J30</f>
        <v>152.501598185026</v>
      </c>
      <c r="L30" s="155" t="n">
        <f aca="false">F30-(I30-AK30)</f>
        <v>0</v>
      </c>
      <c r="M30" s="279" t="n">
        <v>3.42</v>
      </c>
      <c r="N30" s="155" t="n">
        <v>0</v>
      </c>
      <c r="O30" s="155" t="n">
        <f aca="false">0*1.05</f>
        <v>0</v>
      </c>
      <c r="P30" s="186" t="n">
        <v>0</v>
      </c>
      <c r="Q30" s="151" t="n">
        <f aca="false">1267200/325851/1.9835*1.02</f>
        <v>1.99983457714903</v>
      </c>
      <c r="R30" s="151" t="n">
        <f aca="false">IF(((2.1*1.04)-T30)&gt;=4.2,4.2,(2.1*1.04)-T30)</f>
        <v>1.68108512</v>
      </c>
      <c r="S30" s="151" t="n">
        <f aca="false">IF(((2.1*1.04)-T30)&gt;=4.2,((2.1*1.04)-T30)-4.2,0)</f>
        <v>0</v>
      </c>
      <c r="T30" s="151" t="n">
        <f aca="false">(0.4562*1.06)*1.04</f>
        <v>0.50291488</v>
      </c>
      <c r="U30" s="111" t="n">
        <f aca="false">M30-(Q30+R30+S30+T30)</f>
        <v>-0.76383457714903</v>
      </c>
      <c r="V30" s="155" t="n">
        <v>0</v>
      </c>
      <c r="W30" s="155" t="n">
        <v>0</v>
      </c>
      <c r="X30" s="155" t="n">
        <f aca="false">M30-N30-P30-O30-Q30-R30-S30-T30-U30+V30+W30</f>
        <v>0</v>
      </c>
      <c r="Y30" s="155" t="n">
        <f aca="false">X30-AO30</f>
        <v>0</v>
      </c>
      <c r="Z30" s="155"/>
      <c r="AA30" s="155"/>
      <c r="AB30" s="156"/>
      <c r="AC30" s="156"/>
      <c r="AD30" s="123"/>
      <c r="AE30" s="155" t="n">
        <v>0</v>
      </c>
      <c r="AF30" s="279"/>
      <c r="AG30" s="281"/>
      <c r="AH30" s="155" t="n">
        <v>30.1</v>
      </c>
      <c r="AI30" s="123" t="n">
        <f aca="false">AI29-AH30</f>
        <v>2879.95787748928</v>
      </c>
      <c r="AJ30" s="123"/>
      <c r="AK30" s="154" t="n">
        <f aca="false">N30+O30+P30+Q30+R30+S30+T30+U30+X30+AE30+AH30</f>
        <v>33.52</v>
      </c>
      <c r="AL30" s="155" t="n">
        <f aca="false">IF(L30&lt;0,L30*-1,0)</f>
        <v>0</v>
      </c>
      <c r="AM30" s="155" t="n">
        <f aca="false">AK30+AL30</f>
        <v>33.52</v>
      </c>
      <c r="AN30" s="284"/>
      <c r="AO30" s="156"/>
      <c r="AP30" s="248"/>
      <c r="AU30" s="91"/>
      <c r="AV30" s="304" t="n">
        <v>0</v>
      </c>
      <c r="AW30" s="123" t="n">
        <v>33</v>
      </c>
      <c r="AX30" s="241" t="n">
        <v>3</v>
      </c>
      <c r="AY30" s="250"/>
      <c r="AZ30" s="282" t="n">
        <f aca="false">SUM(N30,P30:U30)</f>
        <v>3.42</v>
      </c>
      <c r="BA30" s="208" t="n">
        <v>0.487</v>
      </c>
      <c r="BB30" s="283" t="n">
        <v>19062</v>
      </c>
    </row>
    <row r="31" customFormat="false" ht="12.95" hidden="false" customHeight="true" outlineLevel="0" collapsed="false">
      <c r="A31" s="207" t="n">
        <f aca="false">A30+1</f>
        <v>17</v>
      </c>
      <c r="B31" s="122" t="n">
        <v>6889.16</v>
      </c>
      <c r="C31" s="123" t="n">
        <v>245340</v>
      </c>
      <c r="D31" s="241" t="n">
        <f aca="false">C31-C30</f>
        <v>0</v>
      </c>
      <c r="E31" s="123" t="n">
        <f aca="false">C31-152000</f>
        <v>93340</v>
      </c>
      <c r="F31" s="277" t="n">
        <f aca="false">D31/$D$2</f>
        <v>0</v>
      </c>
      <c r="G31" s="155" t="n">
        <v>34.06</v>
      </c>
      <c r="H31" s="311" t="n">
        <v>0</v>
      </c>
      <c r="I31" s="155" t="n">
        <f aca="false">G31+H31</f>
        <v>34.06</v>
      </c>
      <c r="J31" s="156" t="n">
        <f aca="false">IF(L31&gt;0,L31,0)</f>
        <v>0</v>
      </c>
      <c r="K31" s="155" t="n">
        <f aca="false">I31+J31</f>
        <v>34.06</v>
      </c>
      <c r="L31" s="155" t="n">
        <f aca="false">F31-(I31-AK31)</f>
        <v>0</v>
      </c>
      <c r="M31" s="279" t="n">
        <v>3.96</v>
      </c>
      <c r="N31" s="155" t="n">
        <v>0</v>
      </c>
      <c r="O31" s="155" t="n">
        <f aca="false">0*1.05</f>
        <v>0</v>
      </c>
      <c r="P31" s="186" t="n">
        <v>0</v>
      </c>
      <c r="Q31" s="151" t="n">
        <f aca="false">733900/325851/1.9835*1.02</f>
        <v>1.15820596288642</v>
      </c>
      <c r="R31" s="151" t="n">
        <f aca="false">IF(((2.2*1.04)-T31)&gt;=4.2,4.2,(2.2*1.04)-T31)</f>
        <v>1.78508512</v>
      </c>
      <c r="S31" s="151" t="n">
        <f aca="false">IF(((2.2*1.04)-T31)&gt;=4.2,((2.2*1.04)-T31)-4.2,0)</f>
        <v>0</v>
      </c>
      <c r="T31" s="151" t="n">
        <f aca="false">(0.4562*1.06)*1.04</f>
        <v>0.50291488</v>
      </c>
      <c r="U31" s="111" t="n">
        <f aca="false">M31-(Q31+R31+S31+T31)</f>
        <v>0.513794037113579</v>
      </c>
      <c r="V31" s="155" t="n">
        <v>0</v>
      </c>
      <c r="W31" s="155" t="n">
        <v>0</v>
      </c>
      <c r="X31" s="155" t="n">
        <f aca="false">M31-N31-P31-O31-Q31-R31-S31-T31-U31+V31+W31</f>
        <v>0</v>
      </c>
      <c r="Y31" s="155" t="n">
        <f aca="false">X31-AO31</f>
        <v>0</v>
      </c>
      <c r="Z31" s="155"/>
      <c r="AA31" s="155"/>
      <c r="AB31" s="156"/>
      <c r="AC31" s="156"/>
      <c r="AD31" s="123"/>
      <c r="AE31" s="155" t="n">
        <v>0</v>
      </c>
      <c r="AF31" s="279"/>
      <c r="AG31" s="281"/>
      <c r="AH31" s="155" t="n">
        <v>30.1</v>
      </c>
      <c r="AI31" s="123" t="n">
        <f aca="false">AI30-AH31</f>
        <v>2849.85787748928</v>
      </c>
      <c r="AJ31" s="123"/>
      <c r="AK31" s="154" t="n">
        <f aca="false">N31+O31+P31+Q31+R31+S31+T31+U31+X31+AE31+AH31</f>
        <v>34.06</v>
      </c>
      <c r="AL31" s="155" t="n">
        <f aca="false">IF(L31&lt;0,L31*-1,0)</f>
        <v>0</v>
      </c>
      <c r="AM31" s="155" t="n">
        <f aca="false">AK31+AL31</f>
        <v>34.06</v>
      </c>
      <c r="AN31" s="284"/>
      <c r="AO31" s="156"/>
      <c r="AP31" s="248"/>
      <c r="AU31" s="91"/>
      <c r="AV31" s="304" t="n">
        <v>0</v>
      </c>
      <c r="AW31" s="123" t="n">
        <v>40</v>
      </c>
      <c r="AX31" s="241" t="n">
        <v>14</v>
      </c>
      <c r="AY31" s="250"/>
      <c r="AZ31" s="282" t="n">
        <f aca="false">SUM(N31,P31:U31)</f>
        <v>3.96</v>
      </c>
      <c r="BA31" s="208" t="n">
        <v>0.487</v>
      </c>
      <c r="BB31" s="283" t="n">
        <v>19065</v>
      </c>
    </row>
    <row r="32" customFormat="false" ht="12.95" hidden="false" customHeight="true" outlineLevel="0" collapsed="false">
      <c r="A32" s="207" t="n">
        <f aca="false">A31+1</f>
        <v>18</v>
      </c>
      <c r="B32" s="122" t="n">
        <v>6889.2</v>
      </c>
      <c r="C32" s="123" t="n">
        <v>245475</v>
      </c>
      <c r="D32" s="241" t="n">
        <f aca="false">C32-C31</f>
        <v>135</v>
      </c>
      <c r="E32" s="123" t="n">
        <f aca="false">C32-152000</f>
        <v>93475</v>
      </c>
      <c r="F32" s="277" t="n">
        <f aca="false">D32/$D$2</f>
        <v>68.0615074363499</v>
      </c>
      <c r="G32" s="155" t="n">
        <v>101.67150743635</v>
      </c>
      <c r="H32" s="311" t="n">
        <v>0</v>
      </c>
      <c r="I32" s="155" t="n">
        <f aca="false">G32+H32</f>
        <v>101.67150743635</v>
      </c>
      <c r="J32" s="156" t="n">
        <f aca="false">IF(L32&gt;0,L32,0)</f>
        <v>0</v>
      </c>
      <c r="K32" s="155" t="n">
        <f aca="false">I32+J32</f>
        <v>101.67150743635</v>
      </c>
      <c r="L32" s="155" t="n">
        <f aca="false">F32-(I32-AK32)</f>
        <v>0</v>
      </c>
      <c r="M32" s="279" t="n">
        <v>3.61</v>
      </c>
      <c r="N32" s="155" t="n">
        <v>0</v>
      </c>
      <c r="O32" s="155" t="n">
        <f aca="false">0*1.05</f>
        <v>0</v>
      </c>
      <c r="P32" s="186" t="n">
        <v>0</v>
      </c>
      <c r="Q32" s="151" t="n">
        <f aca="false">1078400/325851/1.9835*1.02</f>
        <v>1.70187942550309</v>
      </c>
      <c r="R32" s="151" t="n">
        <f aca="false">IF(((2*1.04)-T32)&gt;=4.2,4.2,(2*1.04)-T32)</f>
        <v>1.57708512</v>
      </c>
      <c r="S32" s="151" t="n">
        <f aca="false">IF(((2*1.04)-T32)&gt;=4.2,((2*1.04)-T32)-4.2,0)</f>
        <v>0</v>
      </c>
      <c r="T32" s="151" t="n">
        <f aca="false">(0.4562*1.06)*1.04</f>
        <v>0.50291488</v>
      </c>
      <c r="U32" s="111" t="n">
        <f aca="false">M32-(Q32+R32+S32+T32)</f>
        <v>-0.171879425503088</v>
      </c>
      <c r="V32" s="155" t="n">
        <v>0</v>
      </c>
      <c r="W32" s="155" t="n">
        <v>0</v>
      </c>
      <c r="X32" s="155" t="n">
        <f aca="false">M32-N32-P32-O32-Q32-R32-S32-T32-U32+V32+W32</f>
        <v>0</v>
      </c>
      <c r="Y32" s="155" t="n">
        <f aca="false">X32-AO32</f>
        <v>0</v>
      </c>
      <c r="Z32" s="155"/>
      <c r="AA32" s="155"/>
      <c r="AB32" s="156"/>
      <c r="AC32" s="156"/>
      <c r="AD32" s="123"/>
      <c r="AE32" s="155" t="n">
        <v>0</v>
      </c>
      <c r="AF32" s="279"/>
      <c r="AG32" s="281"/>
      <c r="AH32" s="155" t="n">
        <v>30</v>
      </c>
      <c r="AI32" s="123" t="n">
        <f aca="false">AI31-AH32</f>
        <v>2819.85787748928</v>
      </c>
      <c r="AJ32" s="123"/>
      <c r="AK32" s="154" t="n">
        <f aca="false">N32+O32+P32+Q32+R32+S32+T32+U32+X32+AE32+AH32</f>
        <v>33.61</v>
      </c>
      <c r="AL32" s="155" t="n">
        <f aca="false">IF(L32&lt;0,L32*-1,0)</f>
        <v>0</v>
      </c>
      <c r="AM32" s="155" t="n">
        <f aca="false">AK32+AL32</f>
        <v>33.61</v>
      </c>
      <c r="AN32" s="284"/>
      <c r="AO32" s="156"/>
      <c r="AP32" s="248"/>
      <c r="AU32" s="91"/>
      <c r="AV32" s="304" t="n">
        <v>0</v>
      </c>
      <c r="AW32" s="123" t="n">
        <v>44</v>
      </c>
      <c r="AX32" s="241" t="n">
        <v>12</v>
      </c>
      <c r="AY32" s="250"/>
      <c r="AZ32" s="282" t="n">
        <f aca="false">SUM(N32,P32:U32)</f>
        <v>3.61</v>
      </c>
      <c r="BA32" s="208" t="n">
        <v>0.487</v>
      </c>
      <c r="BB32" s="283" t="n">
        <v>19060</v>
      </c>
    </row>
    <row r="33" customFormat="false" ht="12.95" hidden="false" customHeight="true" outlineLevel="0" collapsed="false">
      <c r="A33" s="207" t="n">
        <f aca="false">A32+1</f>
        <v>19</v>
      </c>
      <c r="B33" s="122" t="n">
        <v>6889.23</v>
      </c>
      <c r="C33" s="123" t="n">
        <v>245576</v>
      </c>
      <c r="D33" s="241" t="n">
        <f aca="false">C33-C32</f>
        <v>101</v>
      </c>
      <c r="E33" s="123" t="n">
        <f aca="false">C33-152000</f>
        <v>93576</v>
      </c>
      <c r="F33" s="277" t="n">
        <f aca="false">D33/$D$2</f>
        <v>50.9200907486766</v>
      </c>
      <c r="G33" s="155" t="n">
        <v>84.7700907486766</v>
      </c>
      <c r="H33" s="311" t="n">
        <v>0</v>
      </c>
      <c r="I33" s="155" t="n">
        <f aca="false">G33+H33</f>
        <v>84.7700907486766</v>
      </c>
      <c r="J33" s="156" t="n">
        <f aca="false">IF(L33&gt;0,L33,0)</f>
        <v>0</v>
      </c>
      <c r="K33" s="155" t="n">
        <f aca="false">I33+J33</f>
        <v>84.7700907486766</v>
      </c>
      <c r="L33" s="155" t="n">
        <f aca="false">F33-(I33-AK33)</f>
        <v>0</v>
      </c>
      <c r="M33" s="279" t="n">
        <v>3.75</v>
      </c>
      <c r="N33" s="155" t="n">
        <v>0</v>
      </c>
      <c r="O33" s="155" t="n">
        <f aca="false">0*1.05</f>
        <v>0</v>
      </c>
      <c r="P33" s="186" t="n">
        <v>0</v>
      </c>
      <c r="Q33" s="151" t="n">
        <f aca="false">972100/325851/1.9835*1.02</f>
        <v>1.53412183747362</v>
      </c>
      <c r="R33" s="151" t="n">
        <f aca="false">IF(((2*1.04)-T33)&gt;=4.2,4.2,(2*1.04)-T33)</f>
        <v>1.57708512</v>
      </c>
      <c r="S33" s="151" t="n">
        <f aca="false">IF(((2*1.04)-T33)&gt;=4.2,((2*1.04)-T33)-4.2,0)</f>
        <v>0</v>
      </c>
      <c r="T33" s="151" t="n">
        <f aca="false">(0.4562*1.06)*1.04</f>
        <v>0.50291488</v>
      </c>
      <c r="U33" s="111" t="n">
        <f aca="false">M33-(Q33+R33+S33+T33)</f>
        <v>0.13587816252638</v>
      </c>
      <c r="V33" s="155" t="n">
        <v>0</v>
      </c>
      <c r="W33" s="155" t="n">
        <v>0</v>
      </c>
      <c r="X33" s="155" t="n">
        <f aca="false">M33-N33-P33-O33-Q33-R33-S33-T33-U33+V33+W33</f>
        <v>0</v>
      </c>
      <c r="Y33" s="155" t="n">
        <f aca="false">X33-AO33</f>
        <v>0</v>
      </c>
      <c r="Z33" s="155"/>
      <c r="AA33" s="155"/>
      <c r="AB33" s="156"/>
      <c r="AC33" s="156"/>
      <c r="AD33" s="123"/>
      <c r="AE33" s="155" t="n">
        <v>0</v>
      </c>
      <c r="AF33" s="279"/>
      <c r="AG33" s="281"/>
      <c r="AH33" s="155" t="n">
        <v>30.1</v>
      </c>
      <c r="AI33" s="123" t="n">
        <f aca="false">AI32-AH33</f>
        <v>2789.75787748928</v>
      </c>
      <c r="AJ33" s="123"/>
      <c r="AK33" s="154" t="n">
        <f aca="false">N33+O33+P33+Q33+R33+S33+T33+U33+X33+AE33+AH33</f>
        <v>33.85</v>
      </c>
      <c r="AL33" s="155" t="n">
        <f aca="false">IF(L33&lt;0,L33*-1,0)</f>
        <v>0</v>
      </c>
      <c r="AM33" s="155" t="n">
        <f aca="false">AK33+AL33</f>
        <v>33.85</v>
      </c>
      <c r="AN33" s="284"/>
      <c r="AO33" s="156"/>
      <c r="AP33" s="248"/>
      <c r="AU33" s="91"/>
      <c r="AV33" s="304" t="n">
        <v>0.01</v>
      </c>
      <c r="AW33" s="123" t="n">
        <v>41</v>
      </c>
      <c r="AX33" s="241" t="n">
        <v>24</v>
      </c>
      <c r="AY33" s="250"/>
      <c r="AZ33" s="282" t="n">
        <f aca="false">SUM(N33,P33:U33)</f>
        <v>3.75</v>
      </c>
      <c r="BA33" s="208" t="n">
        <v>0.487</v>
      </c>
      <c r="BB33" s="283" t="n">
        <v>19066</v>
      </c>
    </row>
    <row r="34" customFormat="false" ht="12.95" hidden="false" customHeight="true" outlineLevel="0" collapsed="false">
      <c r="A34" s="207" t="n">
        <f aca="false">A33+1</f>
        <v>20</v>
      </c>
      <c r="B34" s="122" t="n">
        <v>6889.27</v>
      </c>
      <c r="C34" s="123" t="n">
        <v>245710</v>
      </c>
      <c r="D34" s="241" t="n">
        <f aca="false">C34-C33</f>
        <v>134</v>
      </c>
      <c r="E34" s="123" t="n">
        <f aca="false">C34-152000</f>
        <v>93710</v>
      </c>
      <c r="F34" s="277" t="n">
        <f aca="false">D34/$D$2</f>
        <v>67.5573481220066</v>
      </c>
      <c r="G34" s="155" t="n">
        <v>100.737348122007</v>
      </c>
      <c r="H34" s="311" t="n">
        <v>0</v>
      </c>
      <c r="I34" s="155" t="n">
        <f aca="false">G34+H34</f>
        <v>100.737348122007</v>
      </c>
      <c r="J34" s="156" t="n">
        <f aca="false">IF(L34&gt;0,L34,0)</f>
        <v>0</v>
      </c>
      <c r="K34" s="155" t="n">
        <f aca="false">I34+J34</f>
        <v>100.737348122007</v>
      </c>
      <c r="L34" s="155" t="n">
        <f aca="false">F34-(I34-AK34)</f>
        <v>0</v>
      </c>
      <c r="M34" s="279" t="n">
        <v>3.08</v>
      </c>
      <c r="N34" s="155" t="n">
        <v>0</v>
      </c>
      <c r="O34" s="155" t="n">
        <f aca="false">0*1.05</f>
        <v>0</v>
      </c>
      <c r="P34" s="186" t="n">
        <v>0</v>
      </c>
      <c r="Q34" s="151" t="n">
        <f aca="false">921300/325851/1.9835*1.02</f>
        <v>1.4539517013316</v>
      </c>
      <c r="R34" s="151" t="n">
        <f aca="false">IF(((2.1*1.04)-T34)&gt;=4.2,4.2,(2.1*1.04)-T34)</f>
        <v>1.68108512</v>
      </c>
      <c r="S34" s="151" t="n">
        <f aca="false">IF(((2.1*1.04)-T34)&gt;=4.2,((2.1*1.04)-T34)-4.2,0)</f>
        <v>0</v>
      </c>
      <c r="T34" s="151" t="n">
        <f aca="false">(0.4562*1.06)*1.04</f>
        <v>0.50291488</v>
      </c>
      <c r="U34" s="111" t="n">
        <f aca="false">M34-(Q34+R34+S34+T34)</f>
        <v>-0.557951701331598</v>
      </c>
      <c r="V34" s="155" t="n">
        <v>0</v>
      </c>
      <c r="W34" s="155" t="n">
        <v>0</v>
      </c>
      <c r="X34" s="155" t="n">
        <f aca="false">M34-N34-P34-O34-Q34-R34-S34-T34-U34+V34+W34</f>
        <v>0</v>
      </c>
      <c r="Y34" s="155" t="n">
        <f aca="false">X34-AO34</f>
        <v>0</v>
      </c>
      <c r="Z34" s="155"/>
      <c r="AA34" s="155"/>
      <c r="AB34" s="156"/>
      <c r="AC34" s="156"/>
      <c r="AD34" s="123"/>
      <c r="AE34" s="155" t="n">
        <v>0</v>
      </c>
      <c r="AF34" s="279"/>
      <c r="AG34" s="281"/>
      <c r="AH34" s="155" t="n">
        <v>30.1</v>
      </c>
      <c r="AI34" s="123" t="n">
        <f aca="false">AI33-AH34</f>
        <v>2759.65787748928</v>
      </c>
      <c r="AJ34" s="123"/>
      <c r="AK34" s="154" t="n">
        <f aca="false">N34+O34+P34+Q34+R34+S34+T34+U34+X34+AE34+AH34</f>
        <v>33.18</v>
      </c>
      <c r="AL34" s="155" t="n">
        <f aca="false">IF(L34&lt;0,L34*-1,0)</f>
        <v>0</v>
      </c>
      <c r="AM34" s="155" t="n">
        <f aca="false">AK34+AL34</f>
        <v>33.18</v>
      </c>
      <c r="AN34" s="284"/>
      <c r="AO34" s="156"/>
      <c r="AP34" s="248"/>
      <c r="AU34" s="91"/>
      <c r="AV34" s="304" t="n">
        <v>0.2</v>
      </c>
      <c r="AW34" s="123" t="n">
        <v>37</v>
      </c>
      <c r="AX34" s="241" t="n">
        <v>22</v>
      </c>
      <c r="AY34" s="250"/>
      <c r="AZ34" s="282" t="n">
        <f aca="false">SUM(N34,P34:U34)</f>
        <v>3.08</v>
      </c>
      <c r="BA34" s="208" t="n">
        <v>0.487</v>
      </c>
      <c r="BB34" s="283" t="n">
        <v>19082</v>
      </c>
    </row>
    <row r="35" customFormat="false" ht="12.95" hidden="false" customHeight="true" outlineLevel="0" collapsed="false">
      <c r="A35" s="207" t="n">
        <f aca="false">A34+1</f>
        <v>21</v>
      </c>
      <c r="B35" s="122" t="n">
        <v>6889.28</v>
      </c>
      <c r="C35" s="123" t="n">
        <v>245744</v>
      </c>
      <c r="D35" s="241" t="n">
        <f aca="false">C35-C34</f>
        <v>34</v>
      </c>
      <c r="E35" s="123" t="n">
        <f aca="false">C35-152000</f>
        <v>93744</v>
      </c>
      <c r="F35" s="277" t="n">
        <f aca="false">D35/$D$2</f>
        <v>17.1414166876733</v>
      </c>
      <c r="G35" s="155" t="n">
        <v>51.3114166876733</v>
      </c>
      <c r="H35" s="311" t="n">
        <v>0</v>
      </c>
      <c r="I35" s="155" t="n">
        <f aca="false">G35+H35</f>
        <v>51.3114166876733</v>
      </c>
      <c r="J35" s="156" t="n">
        <f aca="false">IF(L35&gt;0,L35,0)</f>
        <v>0</v>
      </c>
      <c r="K35" s="155" t="n">
        <f aca="false">I35+J35</f>
        <v>51.3114166876733</v>
      </c>
      <c r="L35" s="155" t="n">
        <f aca="false">F35-(I35-AK35)</f>
        <v>0</v>
      </c>
      <c r="M35" s="279" t="n">
        <v>4.07</v>
      </c>
      <c r="N35" s="155" t="n">
        <v>0</v>
      </c>
      <c r="O35" s="155" t="n">
        <f aca="false">0*1.05</f>
        <v>0</v>
      </c>
      <c r="P35" s="186" t="n">
        <v>0</v>
      </c>
      <c r="Q35" s="151" t="n">
        <f aca="false">948800/325851/1.9835*1.02</f>
        <v>1.49735088920376</v>
      </c>
      <c r="R35" s="151" t="n">
        <f aca="false">IF(((1.8*1.04)-T35)&gt;=4.2,4.2,(1.8*1.04)-T35)</f>
        <v>1.36908512</v>
      </c>
      <c r="S35" s="151" t="n">
        <f aca="false">IF(((1.8*1.04)-T35)&gt;=4.2,((1.8*1.04)-T35)-4.2,0)</f>
        <v>0</v>
      </c>
      <c r="T35" s="151" t="n">
        <f aca="false">(0.4562*1.06)*1.04</f>
        <v>0.50291488</v>
      </c>
      <c r="U35" s="111" t="n">
        <f aca="false">M35-(Q35+R35+S35+T35)</f>
        <v>0.700649110796245</v>
      </c>
      <c r="V35" s="155" t="n">
        <v>0</v>
      </c>
      <c r="W35" s="155" t="n">
        <v>0</v>
      </c>
      <c r="X35" s="155" t="n">
        <f aca="false">M35-N35-P35-O35-Q35-R35-S35-T35-U35+V35+W35</f>
        <v>0</v>
      </c>
      <c r="Y35" s="155" t="n">
        <f aca="false">X35-AO35</f>
        <v>0</v>
      </c>
      <c r="Z35" s="155"/>
      <c r="AA35" s="155"/>
      <c r="AB35" s="156"/>
      <c r="AC35" s="156"/>
      <c r="AD35" s="123"/>
      <c r="AE35" s="155" t="n">
        <v>0</v>
      </c>
      <c r="AF35" s="279"/>
      <c r="AG35" s="281"/>
      <c r="AH35" s="155" t="n">
        <v>30.1</v>
      </c>
      <c r="AI35" s="123" t="n">
        <f aca="false">AI34-AH35</f>
        <v>2729.55787748928</v>
      </c>
      <c r="AJ35" s="123"/>
      <c r="AK35" s="154" t="n">
        <f aca="false">N35+O35+P35+Q35+R35+S35+T35+U35+X35+AE35+AH35</f>
        <v>34.17</v>
      </c>
      <c r="AL35" s="155" t="n">
        <f aca="false">IF(L35&lt;0,L35*-1,0)</f>
        <v>0</v>
      </c>
      <c r="AM35" s="155" t="n">
        <f aca="false">AK35+AL35</f>
        <v>34.17</v>
      </c>
      <c r="AN35" s="284"/>
      <c r="AO35" s="156"/>
      <c r="AP35" s="248"/>
      <c r="AU35" s="91"/>
      <c r="AV35" s="304" t="n">
        <v>0</v>
      </c>
      <c r="AW35" s="123" t="n">
        <v>36</v>
      </c>
      <c r="AX35" s="241" t="n">
        <v>6</v>
      </c>
      <c r="AY35" s="250"/>
      <c r="AZ35" s="282" t="n">
        <f aca="false">SUM(N35,P35:U35)</f>
        <v>4.07</v>
      </c>
      <c r="BA35" s="208" t="n">
        <v>0.487</v>
      </c>
      <c r="BB35" s="283" t="n">
        <v>19089</v>
      </c>
    </row>
    <row r="36" customFormat="false" ht="12.95" hidden="false" customHeight="true" outlineLevel="0" collapsed="false">
      <c r="A36" s="207" t="n">
        <f aca="false">A35+1</f>
        <v>22</v>
      </c>
      <c r="B36" s="122" t="n">
        <v>6889.28</v>
      </c>
      <c r="C36" s="123" t="n">
        <v>245744</v>
      </c>
      <c r="D36" s="241" t="n">
        <f aca="false">C36-C35</f>
        <v>0</v>
      </c>
      <c r="E36" s="123" t="n">
        <f aca="false">C36-152000</f>
        <v>93744</v>
      </c>
      <c r="F36" s="277" t="n">
        <f aca="false">D36/$D$2</f>
        <v>0</v>
      </c>
      <c r="G36" s="155" t="n">
        <v>33.15</v>
      </c>
      <c r="H36" s="311" t="n">
        <v>0</v>
      </c>
      <c r="I36" s="155" t="n">
        <f aca="false">G36+H36</f>
        <v>33.15</v>
      </c>
      <c r="J36" s="156" t="n">
        <f aca="false">IF(L36&gt;0,L36,0)</f>
        <v>0</v>
      </c>
      <c r="K36" s="155" t="n">
        <f aca="false">I36+J36</f>
        <v>33.15</v>
      </c>
      <c r="L36" s="155" t="n">
        <f aca="false">F36-(I36-AK36)</f>
        <v>0</v>
      </c>
      <c r="M36" s="279" t="n">
        <v>3.05</v>
      </c>
      <c r="N36" s="155" t="n">
        <v>0</v>
      </c>
      <c r="O36" s="155" t="n">
        <f aca="false">0*1.05</f>
        <v>0</v>
      </c>
      <c r="P36" s="186" t="n">
        <v>0</v>
      </c>
      <c r="Q36" s="151" t="n">
        <f aca="false">1115200/325851/1.9835*1.02</f>
        <v>1.75995542963747</v>
      </c>
      <c r="R36" s="151" t="n">
        <f aca="false">IF(((2.1*1.04)-T36)&gt;=4.2,4.2,(2.1*1.04)-T36)</f>
        <v>1.68472304</v>
      </c>
      <c r="S36" s="151" t="n">
        <f aca="false">IF(((2.1*1.04)-T36)&gt;=4.2,((2.1*1.04)-T36)-4.2,0)</f>
        <v>0</v>
      </c>
      <c r="T36" s="151" t="n">
        <f aca="false">(0.4529*1.06)*1.04</f>
        <v>0.49927696</v>
      </c>
      <c r="U36" s="111" t="n">
        <f aca="false">M36-(Q36+R36+S36+T36)</f>
        <v>-0.893955429637466</v>
      </c>
      <c r="V36" s="155" t="n">
        <v>0</v>
      </c>
      <c r="W36" s="155" t="n">
        <v>0</v>
      </c>
      <c r="X36" s="155" t="n">
        <f aca="false">M36-N36-P36-O36-Q36-R36-S36-T36-U36+V36+W36</f>
        <v>0</v>
      </c>
      <c r="Y36" s="155" t="n">
        <f aca="false">X36-AO36</f>
        <v>0</v>
      </c>
      <c r="Z36" s="155"/>
      <c r="AA36" s="155"/>
      <c r="AB36" s="156"/>
      <c r="AC36" s="156"/>
      <c r="AD36" s="123"/>
      <c r="AE36" s="155" t="n">
        <v>0</v>
      </c>
      <c r="AF36" s="279"/>
      <c r="AG36" s="281"/>
      <c r="AH36" s="155" t="n">
        <v>30.1</v>
      </c>
      <c r="AI36" s="123" t="n">
        <f aca="false">AI35-AH36</f>
        <v>2699.45787748928</v>
      </c>
      <c r="AJ36" s="123"/>
      <c r="AK36" s="154" t="n">
        <f aca="false">N36+O36+P36+Q36+R36+S36+T36+U36+X36+AE36+AH36</f>
        <v>33.15</v>
      </c>
      <c r="AL36" s="155" t="n">
        <f aca="false">IF(L36&lt;0,L36*-1,0)</f>
        <v>0</v>
      </c>
      <c r="AM36" s="155" t="n">
        <f aca="false">AK36+AL36</f>
        <v>33.15</v>
      </c>
      <c r="AN36" s="284"/>
      <c r="AO36" s="156"/>
      <c r="AP36" s="248"/>
      <c r="AU36" s="91"/>
      <c r="AV36" s="304" t="n">
        <v>0</v>
      </c>
      <c r="AW36" s="123" t="n">
        <v>42</v>
      </c>
      <c r="AX36" s="241" t="n">
        <v>10</v>
      </c>
      <c r="AY36" s="250"/>
      <c r="AZ36" s="282" t="n">
        <f aca="false">SUM(N36,P36:U36)</f>
        <v>3.05</v>
      </c>
      <c r="BA36" s="208" t="n">
        <v>0.487</v>
      </c>
      <c r="BB36" s="283" t="n">
        <v>19095</v>
      </c>
    </row>
    <row r="37" customFormat="false" ht="12.95" hidden="false" customHeight="true" outlineLevel="0" collapsed="false">
      <c r="A37" s="207" t="n">
        <f aca="false">A36+1</f>
        <v>23</v>
      </c>
      <c r="B37" s="122" t="n">
        <v>6889.33</v>
      </c>
      <c r="C37" s="123" t="n">
        <v>245912</v>
      </c>
      <c r="D37" s="241" t="n">
        <f aca="false">C37-C36</f>
        <v>168</v>
      </c>
      <c r="E37" s="123" t="n">
        <f aca="false">C37-152000</f>
        <v>93912</v>
      </c>
      <c r="F37" s="277" t="n">
        <f aca="false">D37/$D$2</f>
        <v>84.6987648096799</v>
      </c>
      <c r="G37" s="155" t="n">
        <v>119.13876480968</v>
      </c>
      <c r="H37" s="311" t="n">
        <v>0</v>
      </c>
      <c r="I37" s="155" t="n">
        <f aca="false">G37+H37</f>
        <v>119.13876480968</v>
      </c>
      <c r="J37" s="156" t="n">
        <f aca="false">IF(L37&gt;0,L37,0)</f>
        <v>0</v>
      </c>
      <c r="K37" s="155" t="n">
        <f aca="false">I37+J37</f>
        <v>119.13876480968</v>
      </c>
      <c r="L37" s="155" t="n">
        <f aca="false">F37-(I37-AK37)</f>
        <v>0</v>
      </c>
      <c r="M37" s="279" t="n">
        <v>4.34</v>
      </c>
      <c r="N37" s="155" t="n">
        <v>0</v>
      </c>
      <c r="O37" s="155" t="n">
        <f aca="false">0*1.05</f>
        <v>0</v>
      </c>
      <c r="P37" s="186" t="n">
        <v>0</v>
      </c>
      <c r="Q37" s="151" t="n">
        <f aca="false">1150800/325851/1.9835*1.02</f>
        <v>1.81613765102833</v>
      </c>
      <c r="R37" s="151" t="n">
        <f aca="false">IF(((1.9*1.04)-T37)&gt;=4.2,4.2,(1.9*1.04)-T37)</f>
        <v>1.47672304</v>
      </c>
      <c r="S37" s="151" t="n">
        <f aca="false">IF(((1.9*1.04)-T37)&gt;=4.2,((1.9*1.04)-T37)-4.2,0)</f>
        <v>0</v>
      </c>
      <c r="T37" s="151" t="n">
        <f aca="false">(0.4529*1.06)*1.04</f>
        <v>0.49927696</v>
      </c>
      <c r="U37" s="111" t="n">
        <f aca="false">M37-(Q37+R37+S37+T37)</f>
        <v>0.547862348971667</v>
      </c>
      <c r="V37" s="155" t="n">
        <v>0</v>
      </c>
      <c r="W37" s="155" t="n">
        <v>0</v>
      </c>
      <c r="X37" s="155" t="n">
        <f aca="false">M37-N37-P37-O37-Q37-R37-S37-T37-U37+V37+W37</f>
        <v>0</v>
      </c>
      <c r="Y37" s="155" t="n">
        <f aca="false">X37-AO37</f>
        <v>0</v>
      </c>
      <c r="Z37" s="155"/>
      <c r="AA37" s="155"/>
      <c r="AB37" s="156"/>
      <c r="AC37" s="156"/>
      <c r="AD37" s="123"/>
      <c r="AE37" s="155" t="n">
        <v>0</v>
      </c>
      <c r="AF37" s="279"/>
      <c r="AG37" s="281"/>
      <c r="AH37" s="155" t="n">
        <v>30.1</v>
      </c>
      <c r="AI37" s="123" t="n">
        <f aca="false">AI36-AH37</f>
        <v>2669.35787748928</v>
      </c>
      <c r="AJ37" s="123"/>
      <c r="AK37" s="154" t="n">
        <f aca="false">N37+O37+P37+Q37+R37+S37+T37+U37+X37+AE37+AH37</f>
        <v>34.44</v>
      </c>
      <c r="AL37" s="155" t="n">
        <f aca="false">IF(L37&lt;0,L37*-1,0)</f>
        <v>0</v>
      </c>
      <c r="AM37" s="155" t="n">
        <f aca="false">AK37+AL37</f>
        <v>34.44</v>
      </c>
      <c r="AN37" s="284"/>
      <c r="AO37" s="156"/>
      <c r="AP37" s="248"/>
      <c r="AU37" s="91"/>
      <c r="AV37" s="304" t="n">
        <v>0</v>
      </c>
      <c r="AW37" s="123" t="n">
        <v>54</v>
      </c>
      <c r="AX37" s="248" t="n">
        <v>14</v>
      </c>
      <c r="AY37" s="285"/>
      <c r="AZ37" s="282" t="n">
        <f aca="false">SUM(N37,P37:U37)</f>
        <v>4.34</v>
      </c>
      <c r="BA37" s="208" t="n">
        <v>0.487</v>
      </c>
      <c r="BB37" s="283" t="n">
        <v>19121</v>
      </c>
    </row>
    <row r="38" customFormat="false" ht="12.95" hidden="false" customHeight="true" outlineLevel="0" collapsed="false">
      <c r="A38" s="207" t="n">
        <f aca="false">A37+1</f>
        <v>24</v>
      </c>
      <c r="B38" s="122" t="n">
        <v>6889.36</v>
      </c>
      <c r="C38" s="123" t="n">
        <v>246013</v>
      </c>
      <c r="D38" s="241" t="n">
        <f aca="false">C38-C37</f>
        <v>101</v>
      </c>
      <c r="E38" s="123" t="n">
        <f aca="false">C38-152000</f>
        <v>94013</v>
      </c>
      <c r="F38" s="277" t="n">
        <f aca="false">D38/$D$2</f>
        <v>50.9200907486766</v>
      </c>
      <c r="G38" s="155" t="n">
        <v>84.2800907486766</v>
      </c>
      <c r="H38" s="311" t="n">
        <v>0</v>
      </c>
      <c r="I38" s="155" t="n">
        <f aca="false">G38+H38</f>
        <v>84.2800907486766</v>
      </c>
      <c r="J38" s="156" t="n">
        <f aca="false">IF(L38&gt;0,L38,0)</f>
        <v>0</v>
      </c>
      <c r="K38" s="155" t="n">
        <f aca="false">I38+J38</f>
        <v>84.2800907486766</v>
      </c>
      <c r="L38" s="155" t="n">
        <f aca="false">F38-(I38-AK38)</f>
        <v>0</v>
      </c>
      <c r="M38" s="279" t="n">
        <v>3.26</v>
      </c>
      <c r="N38" s="155" t="n">
        <v>0</v>
      </c>
      <c r="O38" s="155" t="n">
        <f aca="false">0*1.05</f>
        <v>0</v>
      </c>
      <c r="P38" s="186" t="n">
        <v>0</v>
      </c>
      <c r="Q38" s="151" t="n">
        <f aca="false">1173700/325851/1.9835*1.02</f>
        <v>1.85227733838369</v>
      </c>
      <c r="R38" s="151" t="n">
        <f aca="false">IF(((2*1.04)-T38)&gt;=4.2,4.2,(2*1.04)-T38)</f>
        <v>1.58072304</v>
      </c>
      <c r="S38" s="151" t="n">
        <f aca="false">IF(((2*1.04)-T38)&gt;=4.2,((2*1.04)-T38)-4.2,0)</f>
        <v>0</v>
      </c>
      <c r="T38" s="151" t="n">
        <f aca="false">(0.4529*1.06)*1.04</f>
        <v>0.49927696</v>
      </c>
      <c r="U38" s="111" t="n">
        <f aca="false">M38-(Q38+R38+S38+T38)</f>
        <v>-0.672277338383693</v>
      </c>
      <c r="V38" s="155" t="n">
        <v>0</v>
      </c>
      <c r="W38" s="155" t="n">
        <v>0</v>
      </c>
      <c r="X38" s="155" t="n">
        <f aca="false">M38-N38-P38-O38-Q38-R38-S38-T38-U38+V38+W38</f>
        <v>0</v>
      </c>
      <c r="Y38" s="155" t="n">
        <f aca="false">X38-AO38</f>
        <v>0</v>
      </c>
      <c r="Z38" s="155"/>
      <c r="AA38" s="155"/>
      <c r="AB38" s="156"/>
      <c r="AC38" s="156"/>
      <c r="AD38" s="123"/>
      <c r="AE38" s="155" t="n">
        <v>0</v>
      </c>
      <c r="AF38" s="279"/>
      <c r="AG38" s="281"/>
      <c r="AH38" s="155" t="n">
        <v>30.1</v>
      </c>
      <c r="AI38" s="123" t="n">
        <f aca="false">AI37-AH38</f>
        <v>2639.25787748928</v>
      </c>
      <c r="AJ38" s="123"/>
      <c r="AK38" s="154" t="n">
        <f aca="false">N38+O38+P38+Q38+R38+S38+T38+U38+X38+AE38+AH38</f>
        <v>33.36</v>
      </c>
      <c r="AL38" s="155" t="n">
        <f aca="false">IF(L38&lt;0,L38*-1,0)</f>
        <v>0</v>
      </c>
      <c r="AM38" s="155" t="n">
        <f aca="false">AK38+AL38</f>
        <v>33.36</v>
      </c>
      <c r="AN38" s="284"/>
      <c r="AO38" s="156"/>
      <c r="AP38" s="248"/>
      <c r="AU38" s="91"/>
      <c r="AV38" s="304" t="n">
        <v>0.26</v>
      </c>
      <c r="AW38" s="123" t="n">
        <v>39</v>
      </c>
      <c r="AX38" s="248" t="n">
        <v>14</v>
      </c>
      <c r="AY38" s="285"/>
      <c r="AZ38" s="282" t="n">
        <f aca="false">SUM(N38,P38:U38)</f>
        <v>3.26</v>
      </c>
      <c r="BA38" s="208" t="n">
        <v>0.487</v>
      </c>
      <c r="BB38" s="283" t="n">
        <v>19090</v>
      </c>
    </row>
    <row r="39" customFormat="false" ht="12.95" hidden="false" customHeight="true" outlineLevel="0" collapsed="false">
      <c r="A39" s="207" t="n">
        <f aca="false">A38+1</f>
        <v>25</v>
      </c>
      <c r="B39" s="122" t="n">
        <v>6889.39</v>
      </c>
      <c r="C39" s="123" t="n">
        <v>246114</v>
      </c>
      <c r="D39" s="241" t="n">
        <f aca="false">C39-C38</f>
        <v>101</v>
      </c>
      <c r="E39" s="123" t="n">
        <f aca="false">C39-152000</f>
        <v>94114</v>
      </c>
      <c r="F39" s="277" t="n">
        <f aca="false">D39/$D$2</f>
        <v>50.9200907486766</v>
      </c>
      <c r="G39" s="155" t="n">
        <v>85.3500907486766</v>
      </c>
      <c r="H39" s="311" t="n">
        <v>0</v>
      </c>
      <c r="I39" s="155" t="n">
        <f aca="false">G39+H39</f>
        <v>85.3500907486766</v>
      </c>
      <c r="J39" s="156" t="n">
        <f aca="false">IF(L39&gt;0,L39,0)</f>
        <v>0</v>
      </c>
      <c r="K39" s="155" t="n">
        <f aca="false">I39+J39</f>
        <v>85.3500907486766</v>
      </c>
      <c r="L39" s="155" t="n">
        <f aca="false">F39-(I39-AK39)</f>
        <v>0</v>
      </c>
      <c r="M39" s="279" t="n">
        <v>4.43</v>
      </c>
      <c r="N39" s="155" t="n">
        <v>0</v>
      </c>
      <c r="O39" s="155" t="n">
        <f aca="false">0*1.05</f>
        <v>0</v>
      </c>
      <c r="P39" s="186" t="n">
        <v>0</v>
      </c>
      <c r="Q39" s="151" t="n">
        <f aca="false">1148200/325851/1.9835*1.02</f>
        <v>1.81203445508406</v>
      </c>
      <c r="R39" s="151" t="n">
        <f aca="false">IF(((2*1.04)-T39)&gt;=4.2,4.2,(2*1.04)-T39)</f>
        <v>1.58072304</v>
      </c>
      <c r="S39" s="151" t="n">
        <f aca="false">IF(((2*1.04)-T39)&gt;=4.2,((2*1.04)-T39)-4.2,0)</f>
        <v>0</v>
      </c>
      <c r="T39" s="151" t="n">
        <f aca="false">(0.4529*1.06)*1.04</f>
        <v>0.49927696</v>
      </c>
      <c r="U39" s="111" t="n">
        <f aca="false">M39-(Q39+R39+S39+T39)</f>
        <v>0.537965544915944</v>
      </c>
      <c r="V39" s="155" t="n">
        <v>0</v>
      </c>
      <c r="W39" s="155" t="n">
        <v>0</v>
      </c>
      <c r="X39" s="155" t="n">
        <f aca="false">M39-N39-P39-O39-Q39-R39-S39-T39-U39+V39+W39</f>
        <v>0</v>
      </c>
      <c r="Y39" s="155" t="n">
        <f aca="false">X39-AO39</f>
        <v>0</v>
      </c>
      <c r="Z39" s="155"/>
      <c r="AA39" s="155"/>
      <c r="AB39" s="156"/>
      <c r="AC39" s="156"/>
      <c r="AD39" s="123"/>
      <c r="AE39" s="155" t="n">
        <v>0</v>
      </c>
      <c r="AF39" s="279"/>
      <c r="AG39" s="281"/>
      <c r="AH39" s="155" t="n">
        <v>30</v>
      </c>
      <c r="AI39" s="123" t="n">
        <f aca="false">AI38-AH39</f>
        <v>2609.25787748928</v>
      </c>
      <c r="AJ39" s="123"/>
      <c r="AK39" s="154" t="n">
        <f aca="false">N39+O39+P39+Q39+R39+S39+T39+U39+X39+AE39+AH39</f>
        <v>34.43</v>
      </c>
      <c r="AL39" s="155" t="n">
        <f aca="false">IF(L39&lt;0,L39*-1,0)</f>
        <v>0</v>
      </c>
      <c r="AM39" s="155" t="n">
        <f aca="false">AK39+AL39</f>
        <v>34.43</v>
      </c>
      <c r="AN39" s="284"/>
      <c r="AO39" s="156"/>
      <c r="AP39" s="248"/>
      <c r="AU39" s="91"/>
      <c r="AV39" s="304" t="n">
        <v>0</v>
      </c>
      <c r="AW39" s="123" t="n">
        <v>36</v>
      </c>
      <c r="AX39" s="248" t="n">
        <v>5</v>
      </c>
      <c r="AY39" s="285"/>
      <c r="AZ39" s="282" t="n">
        <f aca="false">SUM(N39,P39:U39)</f>
        <v>4.43</v>
      </c>
      <c r="BA39" s="208" t="n">
        <v>0.487</v>
      </c>
      <c r="BB39" s="283" t="n">
        <v>19098</v>
      </c>
    </row>
    <row r="40" customFormat="false" ht="12.95" hidden="false" customHeight="true" outlineLevel="0" collapsed="false">
      <c r="A40" s="207" t="n">
        <f aca="false">A39+1</f>
        <v>26</v>
      </c>
      <c r="B40" s="122" t="n">
        <v>6889.39</v>
      </c>
      <c r="C40" s="123" t="n">
        <v>246114</v>
      </c>
      <c r="D40" s="241" t="n">
        <f aca="false">C40-C39</f>
        <v>0</v>
      </c>
      <c r="E40" s="123" t="n">
        <f aca="false">C40-152000</f>
        <v>94114</v>
      </c>
      <c r="F40" s="277" t="n">
        <f aca="false">D40/$D$2</f>
        <v>0</v>
      </c>
      <c r="G40" s="155" t="n">
        <v>33.2</v>
      </c>
      <c r="H40" s="311" t="n">
        <v>0</v>
      </c>
      <c r="I40" s="155" t="n">
        <f aca="false">G40+H40</f>
        <v>33.2</v>
      </c>
      <c r="J40" s="156" t="n">
        <f aca="false">IF(L40&gt;0,L40,0)</f>
        <v>0</v>
      </c>
      <c r="K40" s="155" t="n">
        <f aca="false">I40+J40</f>
        <v>33.2</v>
      </c>
      <c r="L40" s="155" t="n">
        <f aca="false">F40-(I40-AK40)</f>
        <v>0</v>
      </c>
      <c r="M40" s="279" t="n">
        <v>3.2</v>
      </c>
      <c r="N40" s="155" t="n">
        <v>0</v>
      </c>
      <c r="O40" s="155" t="n">
        <f aca="false">0*1.05</f>
        <v>0</v>
      </c>
      <c r="P40" s="186" t="n">
        <v>0</v>
      </c>
      <c r="Q40" s="151" t="n">
        <f aca="false">912800/325851/1.9835*1.02</f>
        <v>1.44053740689839</v>
      </c>
      <c r="R40" s="151" t="n">
        <f aca="false">IF(((2*1.04)-T40)&gt;=4.2,4.2,(2*1.04)-T40)</f>
        <v>1.58072304</v>
      </c>
      <c r="S40" s="151" t="n">
        <f aca="false">IF(((2*1.04)-T40)&gt;=4.2,((2*1.04)-T40)-4.2,0)</f>
        <v>0</v>
      </c>
      <c r="T40" s="151" t="n">
        <f aca="false">(0.4529*1.06)*1.04</f>
        <v>0.49927696</v>
      </c>
      <c r="U40" s="111" t="n">
        <f aca="false">M40-(Q40+R40+S40+T40)</f>
        <v>-0.320537406898385</v>
      </c>
      <c r="V40" s="155" t="n">
        <v>0</v>
      </c>
      <c r="W40" s="155" t="n">
        <v>0</v>
      </c>
      <c r="X40" s="155" t="n">
        <f aca="false">M40-N40-P40-O40-Q40-R40-S40-T40-U40+V40+W40</f>
        <v>0</v>
      </c>
      <c r="Y40" s="155" t="n">
        <f aca="false">X40-AO40</f>
        <v>0</v>
      </c>
      <c r="Z40" s="155"/>
      <c r="AA40" s="155"/>
      <c r="AB40" s="156"/>
      <c r="AC40" s="156"/>
      <c r="AD40" s="123"/>
      <c r="AE40" s="155" t="n">
        <v>0</v>
      </c>
      <c r="AF40" s="279"/>
      <c r="AG40" s="281"/>
      <c r="AH40" s="155" t="n">
        <v>30</v>
      </c>
      <c r="AI40" s="123" t="n">
        <f aca="false">AI39-AH40</f>
        <v>2579.25787748928</v>
      </c>
      <c r="AJ40" s="123"/>
      <c r="AK40" s="154" t="n">
        <f aca="false">N40+O40+P40+Q40+R40+S40+T40+U40+X40+AE40+AH40</f>
        <v>33.2</v>
      </c>
      <c r="AL40" s="155" t="n">
        <f aca="false">IF(L40&lt;0,L40*-1,0)</f>
        <v>0</v>
      </c>
      <c r="AM40" s="155" t="n">
        <f aca="false">AK40+AL40</f>
        <v>33.2</v>
      </c>
      <c r="AN40" s="284"/>
      <c r="AO40" s="156"/>
      <c r="AP40" s="248"/>
      <c r="AV40" s="249" t="n">
        <v>0</v>
      </c>
      <c r="AW40" s="123" t="n">
        <v>37</v>
      </c>
      <c r="AX40" s="241" t="n">
        <v>2</v>
      </c>
      <c r="AY40" s="250"/>
      <c r="AZ40" s="282" t="n">
        <f aca="false">SUM(N40,P40:U40)</f>
        <v>3.2</v>
      </c>
      <c r="BA40" s="208" t="n">
        <v>0.487</v>
      </c>
      <c r="BB40" s="283" t="n">
        <v>19125</v>
      </c>
    </row>
    <row r="41" customFormat="false" ht="12.95" hidden="false" customHeight="true" outlineLevel="0" collapsed="false">
      <c r="A41" s="207" t="n">
        <f aca="false">A40+1</f>
        <v>27</v>
      </c>
      <c r="B41" s="122" t="n">
        <v>6889.41</v>
      </c>
      <c r="C41" s="123" t="n">
        <v>246182</v>
      </c>
      <c r="D41" s="241" t="n">
        <f aca="false">C41-C40</f>
        <v>68</v>
      </c>
      <c r="E41" s="123" t="n">
        <f aca="false">C41-152000</f>
        <v>94182</v>
      </c>
      <c r="F41" s="277" t="n">
        <f aca="false">D41/$D$2</f>
        <v>34.2828333753466</v>
      </c>
      <c r="G41" s="155" t="n">
        <v>67.6728333753466</v>
      </c>
      <c r="H41" s="311" t="n">
        <v>0</v>
      </c>
      <c r="I41" s="155" t="n">
        <f aca="false">G41+H41</f>
        <v>67.6728333753466</v>
      </c>
      <c r="J41" s="156" t="n">
        <f aca="false">IF(L41&gt;0,L41,0)</f>
        <v>0</v>
      </c>
      <c r="K41" s="155" t="n">
        <f aca="false">I41+J41</f>
        <v>67.6728333753466</v>
      </c>
      <c r="L41" s="155" t="n">
        <f aca="false">F41-(I41-AK41)</f>
        <v>0</v>
      </c>
      <c r="M41" s="279" t="n">
        <v>3.29</v>
      </c>
      <c r="N41" s="155" t="n">
        <v>0</v>
      </c>
      <c r="O41" s="155" t="n">
        <f aca="false">0*1.05</f>
        <v>0</v>
      </c>
      <c r="P41" s="186" t="n">
        <v>0</v>
      </c>
      <c r="Q41" s="151" t="n">
        <f aca="false">976600/325851/1.9835*1.02</f>
        <v>1.54122352276179</v>
      </c>
      <c r="R41" s="151" t="n">
        <f aca="false">IF(((2*1.04)-T41)&gt;=4.2,4.2,(2*1.04)-T41)</f>
        <v>1.58072304</v>
      </c>
      <c r="S41" s="151" t="n">
        <f aca="false">IF(((2*1.04)-T41)&gt;=4.2,((2*1.04)-T41)-4.2,0)</f>
        <v>0</v>
      </c>
      <c r="T41" s="151" t="n">
        <f aca="false">(0.4529*1.06)*1.04</f>
        <v>0.49927696</v>
      </c>
      <c r="U41" s="111" t="n">
        <f aca="false">M41-(Q41+R41+S41+T41)</f>
        <v>-0.331223522761791</v>
      </c>
      <c r="V41" s="155" t="n">
        <v>0</v>
      </c>
      <c r="W41" s="155" t="n">
        <v>0</v>
      </c>
      <c r="X41" s="155" t="n">
        <f aca="false">M41-N41-P41-O41-Q41-R41-S41-T41-U41+V41+W41</f>
        <v>0</v>
      </c>
      <c r="Y41" s="155" t="n">
        <f aca="false">X41-AO41</f>
        <v>0</v>
      </c>
      <c r="Z41" s="155"/>
      <c r="AA41" s="155"/>
      <c r="AB41" s="156"/>
      <c r="AC41" s="156"/>
      <c r="AD41" s="123"/>
      <c r="AE41" s="155" t="n">
        <v>0</v>
      </c>
      <c r="AF41" s="279"/>
      <c r="AG41" s="281"/>
      <c r="AH41" s="155" t="n">
        <v>30.1</v>
      </c>
      <c r="AI41" s="123" t="n">
        <f aca="false">AI40-AH41</f>
        <v>2549.15787748928</v>
      </c>
      <c r="AJ41" s="123"/>
      <c r="AK41" s="154" t="n">
        <f aca="false">N41+O41+P41+Q41+R41+S41+T41+U41+X41+AE41+AH41</f>
        <v>33.39</v>
      </c>
      <c r="AL41" s="155" t="n">
        <f aca="false">IF(L41&lt;0,L41*-1,0)</f>
        <v>0</v>
      </c>
      <c r="AM41" s="155" t="n">
        <f aca="false">AK41+AL41</f>
        <v>33.39</v>
      </c>
      <c r="AN41" s="284"/>
      <c r="AO41" s="156"/>
      <c r="AP41" s="248"/>
      <c r="AV41" s="249" t="n">
        <v>0</v>
      </c>
      <c r="AW41" s="123" t="n">
        <v>40</v>
      </c>
      <c r="AX41" s="241" t="n">
        <v>7</v>
      </c>
      <c r="AY41" s="250"/>
      <c r="AZ41" s="282" t="n">
        <f aca="false">SUM(N41,P41:U41)</f>
        <v>3.29</v>
      </c>
      <c r="BA41" s="208" t="n">
        <v>0.487</v>
      </c>
      <c r="BB41" s="283" t="n">
        <v>19137</v>
      </c>
    </row>
    <row r="42" customFormat="false" ht="12.95" hidden="false" customHeight="true" outlineLevel="0" collapsed="false">
      <c r="A42" s="207" t="n">
        <f aca="false">A41+1</f>
        <v>28</v>
      </c>
      <c r="B42" s="122" t="n">
        <v>6889.44</v>
      </c>
      <c r="C42" s="123" t="n">
        <v>246283</v>
      </c>
      <c r="D42" s="241" t="n">
        <f aca="false">C42-C41</f>
        <v>101</v>
      </c>
      <c r="E42" s="123" t="n">
        <f aca="false">C42-152000</f>
        <v>94283</v>
      </c>
      <c r="F42" s="277" t="n">
        <f aca="false">D42/$D$2</f>
        <v>50.9200907486766</v>
      </c>
      <c r="G42" s="155" t="n">
        <v>84.2100907486766</v>
      </c>
      <c r="H42" s="311" t="n">
        <v>0</v>
      </c>
      <c r="I42" s="155" t="n">
        <f aca="false">G42+H42</f>
        <v>84.2100907486766</v>
      </c>
      <c r="J42" s="156" t="n">
        <f aca="false">IF(L42&gt;0,L42,0)</f>
        <v>0</v>
      </c>
      <c r="K42" s="155" t="n">
        <f aca="false">I42+J42</f>
        <v>84.2100907486766</v>
      </c>
      <c r="L42" s="155" t="n">
        <f aca="false">F42-(I42-AK42)</f>
        <v>0</v>
      </c>
      <c r="M42" s="279" t="n">
        <v>3.19</v>
      </c>
      <c r="N42" s="155" t="n">
        <v>0</v>
      </c>
      <c r="O42" s="155" t="n">
        <f aca="false">0*1.05</f>
        <v>0</v>
      </c>
      <c r="P42" s="186" t="n">
        <v>0</v>
      </c>
      <c r="Q42" s="151" t="n">
        <f aca="false">1008300/325851/1.9835*1.02</f>
        <v>1.59125095023624</v>
      </c>
      <c r="R42" s="151" t="n">
        <f aca="false">IF(((2*1.04)-T42)&gt;=4.2,4.2,(2*1.04)-T42)</f>
        <v>1.58072304</v>
      </c>
      <c r="S42" s="151" t="n">
        <f aca="false">IF(((2*1.04)-T42)&gt;=4.2,((2*1.04)-T42)-4.2,0)</f>
        <v>0</v>
      </c>
      <c r="T42" s="151" t="n">
        <f aca="false">(0.4529*1.06)*1.04</f>
        <v>0.49927696</v>
      </c>
      <c r="U42" s="111" t="n">
        <f aca="false">M42-(Q42+R42+S42+T42)</f>
        <v>-0.481250950236243</v>
      </c>
      <c r="V42" s="155" t="n">
        <v>0</v>
      </c>
      <c r="W42" s="155" t="n">
        <v>0</v>
      </c>
      <c r="X42" s="155" t="n">
        <f aca="false">M42-N42-P42-O42-Q42-R42-S42-T42-U42+V42+W42</f>
        <v>0</v>
      </c>
      <c r="Y42" s="155" t="n">
        <f aca="false">X42-AO42</f>
        <v>0</v>
      </c>
      <c r="Z42" s="155"/>
      <c r="AA42" s="155"/>
      <c r="AB42" s="156"/>
      <c r="AC42" s="156"/>
      <c r="AD42" s="123"/>
      <c r="AE42" s="155" t="n">
        <v>0</v>
      </c>
      <c r="AF42" s="279"/>
      <c r="AG42" s="281"/>
      <c r="AH42" s="155" t="n">
        <v>30.1</v>
      </c>
      <c r="AI42" s="123" t="n">
        <f aca="false">AI41-AH42</f>
        <v>2519.05787748928</v>
      </c>
      <c r="AJ42" s="123"/>
      <c r="AK42" s="154" t="n">
        <f aca="false">N42+O42+P42+Q42+R42+S42+T42+U42+X42+AE42+AH42</f>
        <v>33.29</v>
      </c>
      <c r="AL42" s="155" t="n">
        <f aca="false">IF(L42&lt;0,L42*-1,0)</f>
        <v>0</v>
      </c>
      <c r="AM42" s="155" t="n">
        <f aca="false">AK42+AL42</f>
        <v>33.29</v>
      </c>
      <c r="AN42" s="284"/>
      <c r="AO42" s="156"/>
      <c r="AP42" s="248"/>
      <c r="AV42" s="249" t="n">
        <v>0</v>
      </c>
      <c r="AW42" s="123" t="n">
        <v>43</v>
      </c>
      <c r="AX42" s="241" t="n">
        <v>9</v>
      </c>
      <c r="AY42" s="250"/>
      <c r="AZ42" s="282" t="n">
        <f aca="false">SUM(N42,P42:U42)</f>
        <v>3.19</v>
      </c>
      <c r="BA42" s="208" t="n">
        <v>0.487</v>
      </c>
      <c r="BB42" s="283" t="n">
        <v>19125</v>
      </c>
    </row>
    <row r="43" customFormat="false" ht="12.95" hidden="false" customHeight="true" outlineLevel="0" collapsed="false">
      <c r="A43" s="207" t="n">
        <f aca="false">A42+1</f>
        <v>29</v>
      </c>
      <c r="B43" s="122" t="n">
        <v>6889.44</v>
      </c>
      <c r="C43" s="123" t="n">
        <v>246283</v>
      </c>
      <c r="D43" s="241" t="n">
        <f aca="false">C43-C42</f>
        <v>0</v>
      </c>
      <c r="E43" s="123" t="n">
        <f aca="false">C43-152000</f>
        <v>94283</v>
      </c>
      <c r="F43" s="277" t="n">
        <f aca="false">D43/$D$2</f>
        <v>0</v>
      </c>
      <c r="G43" s="155" t="n">
        <v>33.64</v>
      </c>
      <c r="H43" s="311" t="n">
        <v>0</v>
      </c>
      <c r="I43" s="155" t="n">
        <f aca="false">G43+H43</f>
        <v>33.64</v>
      </c>
      <c r="J43" s="156" t="n">
        <f aca="false">IF(L43&gt;0,L43,0)</f>
        <v>0</v>
      </c>
      <c r="K43" s="155" t="n">
        <f aca="false">I43+J43</f>
        <v>33.64</v>
      </c>
      <c r="L43" s="155" t="n">
        <f aca="false">F43-(I43-AK43)</f>
        <v>0</v>
      </c>
      <c r="M43" s="279" t="n">
        <v>3.54</v>
      </c>
      <c r="N43" s="155" t="n">
        <v>0</v>
      </c>
      <c r="O43" s="155" t="n">
        <f aca="false">0*1.05</f>
        <v>0</v>
      </c>
      <c r="P43" s="186" t="n">
        <v>0</v>
      </c>
      <c r="Q43" s="151" t="n">
        <f aca="false">960800/325851/1.9835*1.02</f>
        <v>1.51628871663888</v>
      </c>
      <c r="R43" s="151" t="n">
        <f aca="false">IF(((2*1.04)-T43)&gt;=4.2,4.2,(2*1.04)-T43)</f>
        <v>1.50101952</v>
      </c>
      <c r="S43" s="151" t="n">
        <f aca="false">IF(((2*1.04)-T43)&gt;=4.2,((2*1.04)-T43)-4.2,0)</f>
        <v>0</v>
      </c>
      <c r="T43" s="151" t="n">
        <f aca="false">(0.5252*1.06)*1.04</f>
        <v>0.57898048</v>
      </c>
      <c r="U43" s="111" t="n">
        <f aca="false">M43-(Q43+R43+S43+T43)</f>
        <v>-0.0562887166388792</v>
      </c>
      <c r="V43" s="155" t="n">
        <v>0</v>
      </c>
      <c r="W43" s="155" t="n">
        <v>0</v>
      </c>
      <c r="X43" s="155" t="n">
        <f aca="false">M43-N43-P43-O43-Q43-R43-S43-T43-U43+V43+W43</f>
        <v>0</v>
      </c>
      <c r="Y43" s="155" t="n">
        <f aca="false">X43-AO43</f>
        <v>0</v>
      </c>
      <c r="Z43" s="155"/>
      <c r="AA43" s="155"/>
      <c r="AB43" s="156"/>
      <c r="AC43" s="156"/>
      <c r="AD43" s="123"/>
      <c r="AE43" s="155" t="n">
        <v>0</v>
      </c>
      <c r="AF43" s="279"/>
      <c r="AG43" s="281"/>
      <c r="AH43" s="155" t="n">
        <v>30.1</v>
      </c>
      <c r="AI43" s="123" t="n">
        <f aca="false">AI42-AH43</f>
        <v>2488.95787748928</v>
      </c>
      <c r="AJ43" s="123"/>
      <c r="AK43" s="154" t="n">
        <f aca="false">N43+O43+P43+Q43+R43+S43+T43+U43+X43+AE43+AH43</f>
        <v>33.64</v>
      </c>
      <c r="AL43" s="155" t="n">
        <f aca="false">IF(L43&lt;0,L43*-1,0)</f>
        <v>0</v>
      </c>
      <c r="AM43" s="155" t="n">
        <f aca="false">AK43+AL43</f>
        <v>33.64</v>
      </c>
      <c r="AN43" s="284"/>
      <c r="AO43" s="156"/>
      <c r="AP43" s="248"/>
      <c r="AV43" s="249" t="n">
        <v>0</v>
      </c>
      <c r="AW43" s="123" t="n">
        <v>46</v>
      </c>
      <c r="AX43" s="241" t="n">
        <v>20</v>
      </c>
      <c r="AY43" s="250"/>
      <c r="AZ43" s="282" t="n">
        <f aca="false">SUM(N43,P43:U43)</f>
        <v>3.54</v>
      </c>
      <c r="BA43" s="208" t="n">
        <v>0.487</v>
      </c>
      <c r="BB43" s="283" t="n">
        <v>19132</v>
      </c>
    </row>
    <row r="44" customFormat="false" ht="12.95" hidden="false" customHeight="true" outlineLevel="0" collapsed="false">
      <c r="A44" s="207" t="n">
        <v>30</v>
      </c>
      <c r="B44" s="122" t="n">
        <v>6889.49</v>
      </c>
      <c r="C44" s="123" t="n">
        <v>246451</v>
      </c>
      <c r="D44" s="241" t="n">
        <f aca="false">C44-C43</f>
        <v>168</v>
      </c>
      <c r="E44" s="123" t="n">
        <f aca="false">C44-152000</f>
        <v>94451</v>
      </c>
      <c r="F44" s="277" t="n">
        <f aca="false">D44/$D$2</f>
        <v>84.6987648096799</v>
      </c>
      <c r="G44" s="155" t="n">
        <v>118.51876480968</v>
      </c>
      <c r="H44" s="311" t="n">
        <v>0</v>
      </c>
      <c r="I44" s="155" t="n">
        <f aca="false">G44+H44</f>
        <v>118.51876480968</v>
      </c>
      <c r="J44" s="156" t="n">
        <f aca="false">IF(L44&gt;0,L44,0)</f>
        <v>0</v>
      </c>
      <c r="K44" s="155" t="n">
        <f aca="false">I44+J44</f>
        <v>118.51876480968</v>
      </c>
      <c r="L44" s="155" t="n">
        <f aca="false">F44-(I44-AK44)</f>
        <v>0</v>
      </c>
      <c r="M44" s="279" t="n">
        <v>3.72</v>
      </c>
      <c r="N44" s="155" t="n">
        <v>0</v>
      </c>
      <c r="O44" s="155" t="n">
        <f aca="false">0*1.05</f>
        <v>0</v>
      </c>
      <c r="P44" s="186" t="n">
        <v>0</v>
      </c>
      <c r="Q44" s="151" t="n">
        <f aca="false">958900/325851/1.9835*1.02</f>
        <v>1.51329022729498</v>
      </c>
      <c r="R44" s="151" t="n">
        <f aca="false">IF(((2*1.04)-T44)&gt;=4.2,4.2,(2*1.04)-T44)</f>
        <v>1.50101952</v>
      </c>
      <c r="S44" s="151" t="n">
        <f aca="false">IF(((2*1.04)-T44)&gt;=4.2,((2*1.04)-T44)-4.2,0)</f>
        <v>0</v>
      </c>
      <c r="T44" s="151" t="n">
        <f aca="false">(0.5252*1.06)*1.04</f>
        <v>0.57898048</v>
      </c>
      <c r="U44" s="111" t="n">
        <f aca="false">M44-(Q44+R44+S44+T44)</f>
        <v>0.126709772705016</v>
      </c>
      <c r="V44" s="155" t="n">
        <v>0</v>
      </c>
      <c r="W44" s="155" t="n">
        <v>0</v>
      </c>
      <c r="X44" s="155" t="n">
        <f aca="false">M44-N44-P44-O44-Q44-R44-S44-T44-U44+V44+W44</f>
        <v>0</v>
      </c>
      <c r="Y44" s="155" t="n">
        <f aca="false">X44-AO44</f>
        <v>0</v>
      </c>
      <c r="Z44" s="155"/>
      <c r="AA44" s="155"/>
      <c r="AB44" s="156"/>
      <c r="AC44" s="156"/>
      <c r="AD44" s="123"/>
      <c r="AE44" s="155" t="n">
        <v>0</v>
      </c>
      <c r="AF44" s="279"/>
      <c r="AG44" s="281"/>
      <c r="AH44" s="155" t="n">
        <v>30.1</v>
      </c>
      <c r="AI44" s="123" t="n">
        <f aca="false">AI43-AH44</f>
        <v>2458.85787748928</v>
      </c>
      <c r="AJ44" s="123"/>
      <c r="AK44" s="154" t="n">
        <f aca="false">N44+O44+P44+Q44+R44+S44+T44+U44+X44+AE44+AH44</f>
        <v>33.82</v>
      </c>
      <c r="AL44" s="155" t="n">
        <f aca="false">IF(L44&lt;0,L44*-1,0)</f>
        <v>0</v>
      </c>
      <c r="AM44" s="155" t="n">
        <f aca="false">AK44+AL44</f>
        <v>33.82</v>
      </c>
      <c r="AN44" s="284"/>
      <c r="AO44" s="156"/>
      <c r="AP44" s="248"/>
      <c r="AV44" s="249" t="n">
        <v>0</v>
      </c>
      <c r="AW44" s="123" t="n">
        <v>50</v>
      </c>
      <c r="AX44" s="241" t="n">
        <v>26</v>
      </c>
      <c r="AY44" s="250"/>
      <c r="AZ44" s="282" t="n">
        <f aca="false">SUM(N44,P44:U44)</f>
        <v>3.72</v>
      </c>
      <c r="BA44" s="208" t="n">
        <v>0.531</v>
      </c>
      <c r="BB44" s="283" t="n">
        <v>19131</v>
      </c>
    </row>
    <row r="45" customFormat="false" ht="12.95" hidden="false" customHeight="true" outlineLevel="0" collapsed="false">
      <c r="A45" s="207" t="n">
        <v>31</v>
      </c>
      <c r="B45" s="122" t="n">
        <v>6889.54</v>
      </c>
      <c r="C45" s="123" t="n">
        <v>246619</v>
      </c>
      <c r="D45" s="241" t="n">
        <f aca="false">C45-C44</f>
        <v>168</v>
      </c>
      <c r="E45" s="123" t="n">
        <f aca="false">C45-152000</f>
        <v>94619</v>
      </c>
      <c r="F45" s="277" t="n">
        <f aca="false">D45/$D$2</f>
        <v>84.6987648096799</v>
      </c>
      <c r="G45" s="155" t="n">
        <v>117.50876480968</v>
      </c>
      <c r="H45" s="311" t="n">
        <v>0</v>
      </c>
      <c r="I45" s="155" t="n">
        <f aca="false">G45+H45</f>
        <v>117.50876480968</v>
      </c>
      <c r="J45" s="156" t="n">
        <f aca="false">IF(L45&gt;0,L45,0)</f>
        <v>0</v>
      </c>
      <c r="K45" s="155" t="n">
        <f aca="false">I45+J45</f>
        <v>117.50876480968</v>
      </c>
      <c r="L45" s="155" t="n">
        <f aca="false">F45-(I45-AK45)</f>
        <v>0</v>
      </c>
      <c r="M45" s="279" t="n">
        <v>2.71</v>
      </c>
      <c r="N45" s="155" t="n">
        <v>0</v>
      </c>
      <c r="O45" s="155" t="n">
        <f aca="false">0*1.05</f>
        <v>0</v>
      </c>
      <c r="P45" s="186" t="n">
        <v>0</v>
      </c>
      <c r="Q45" s="151" t="n">
        <f aca="false">1047200/325851/1.9835*1.02</f>
        <v>1.65264107417177</v>
      </c>
      <c r="R45" s="151" t="n">
        <f aca="false">IF(((2*1.04)-T44)&gt;=4.2,4.2,(2*1.04)-T44)</f>
        <v>1.50101952</v>
      </c>
      <c r="S45" s="151" t="n">
        <f aca="false">IF(((2*1.04)-T44)&gt;=4.2,((2*1.04)-T44)-4.2,0)</f>
        <v>0</v>
      </c>
      <c r="T45" s="151" t="n">
        <f aca="false">(0.5252*1.06)*1.04</f>
        <v>0.57898048</v>
      </c>
      <c r="U45" s="111" t="n">
        <f aca="false">M45-(Q45+R45+S45+T45)</f>
        <v>-1.02264107417177</v>
      </c>
      <c r="V45" s="155" t="n">
        <v>0</v>
      </c>
      <c r="W45" s="155" t="n">
        <v>0</v>
      </c>
      <c r="X45" s="155" t="n">
        <f aca="false">M45-N45-P45-O45-Q45-R45-S45-T45-U45+V45+W45</f>
        <v>0</v>
      </c>
      <c r="Y45" s="155" t="n">
        <f aca="false">X45-AO45</f>
        <v>0</v>
      </c>
      <c r="Z45" s="155"/>
      <c r="AA45" s="155"/>
      <c r="AB45" s="156"/>
      <c r="AC45" s="156"/>
      <c r="AD45" s="123"/>
      <c r="AE45" s="155" t="n">
        <v>0</v>
      </c>
      <c r="AF45" s="279"/>
      <c r="AG45" s="281"/>
      <c r="AH45" s="155" t="n">
        <v>30.1</v>
      </c>
      <c r="AI45" s="123" t="n">
        <f aca="false">AI44-AH45</f>
        <v>2428.75787748928</v>
      </c>
      <c r="AJ45" s="123"/>
      <c r="AK45" s="154" t="n">
        <f aca="false">N45+O45+P45+Q45+R45+S45+T45+U45+X45+AE45+AH45</f>
        <v>32.81</v>
      </c>
      <c r="AL45" s="155" t="n">
        <f aca="false">IF(L45&lt;0,L45*-1,0)</f>
        <v>0</v>
      </c>
      <c r="AM45" s="277" t="n">
        <f aca="false">AK45+AL45</f>
        <v>32.81</v>
      </c>
      <c r="AN45" s="284"/>
      <c r="AO45" s="156"/>
      <c r="AP45" s="248"/>
      <c r="AV45" s="249" t="n">
        <v>0.6</v>
      </c>
      <c r="AW45" s="123" t="n">
        <v>43</v>
      </c>
      <c r="AX45" s="241" t="n">
        <v>28</v>
      </c>
      <c r="AY45" s="250"/>
      <c r="AZ45" s="282" t="n">
        <f aca="false">SUM(N45,P45:U45)</f>
        <v>2.71</v>
      </c>
      <c r="BA45" s="208" t="n">
        <v>0.813</v>
      </c>
      <c r="BB45" s="283" t="n">
        <v>19160</v>
      </c>
    </row>
    <row r="46" customFormat="false" ht="3" hidden="false" customHeight="true" outlineLevel="0" collapsed="false">
      <c r="A46" s="261"/>
      <c r="B46" s="286"/>
      <c r="C46" s="263"/>
      <c r="D46" s="264"/>
      <c r="E46" s="263"/>
      <c r="F46" s="265"/>
      <c r="G46" s="264"/>
      <c r="H46" s="266"/>
      <c r="I46" s="264"/>
      <c r="J46" s="264"/>
      <c r="K46" s="264"/>
      <c r="L46" s="264"/>
      <c r="M46" s="264"/>
      <c r="N46" s="264"/>
      <c r="O46" s="264"/>
      <c r="P46" s="268"/>
      <c r="Q46" s="264"/>
      <c r="R46" s="264"/>
      <c r="S46" s="264"/>
      <c r="T46" s="264"/>
      <c r="U46" s="269"/>
      <c r="V46" s="264"/>
      <c r="W46" s="264"/>
      <c r="X46" s="264" t="n">
        <f aca="false">M46-N46-O46-Q46-R46-S46+V46+W46</f>
        <v>0</v>
      </c>
      <c r="Y46" s="264" t="n">
        <f aca="false">N46-O46-P46-R46-S46-U46+W46+X46</f>
        <v>0</v>
      </c>
      <c r="Z46" s="264"/>
      <c r="AA46" s="264"/>
      <c r="AB46" s="271"/>
      <c r="AC46" s="271"/>
      <c r="AD46" s="263"/>
      <c r="AE46" s="264"/>
      <c r="AF46" s="267"/>
      <c r="AG46" s="272"/>
      <c r="AH46" s="264"/>
      <c r="AI46" s="264"/>
      <c r="AJ46" s="264"/>
      <c r="AK46" s="264" t="n">
        <f aca="false">N46+O46+Q46+R46+S46+X46+AE46+AH46</f>
        <v>0</v>
      </c>
      <c r="AL46" s="264"/>
      <c r="AM46" s="265"/>
      <c r="AN46" s="274"/>
      <c r="AO46" s="271"/>
      <c r="AP46" s="274"/>
      <c r="AQ46" s="275"/>
      <c r="AR46" s="275"/>
      <c r="AS46" s="275"/>
      <c r="AT46" s="275"/>
      <c r="AU46" s="274"/>
      <c r="AV46" s="276"/>
      <c r="AW46" s="274"/>
      <c r="AX46" s="274" t="s">
        <v>117</v>
      </c>
      <c r="AY46" s="274" t="s">
        <v>117</v>
      </c>
      <c r="AZ46" s="274" t="s">
        <v>117</v>
      </c>
      <c r="BA46" s="274" t="s">
        <v>117</v>
      </c>
      <c r="BB46" s="274" t="s">
        <v>117</v>
      </c>
    </row>
    <row r="47" customFormat="false" ht="12.95" hidden="false" customHeight="true" outlineLevel="0" collapsed="false">
      <c r="A47" s="209" t="s">
        <v>104</v>
      </c>
      <c r="B47" s="239"/>
      <c r="C47" s="123"/>
      <c r="D47" s="123"/>
      <c r="E47" s="123"/>
      <c r="F47" s="240" t="n">
        <f aca="false">SUM(F15:F45)</f>
        <v>1319.3849256365</v>
      </c>
      <c r="G47" s="123" t="n">
        <f aca="false">SUM(G15:G45)</f>
        <v>2371.0849256365</v>
      </c>
      <c r="H47" s="123" t="n">
        <f aca="false">SUM(H15:H45)</f>
        <v>0</v>
      </c>
      <c r="I47" s="123" t="n">
        <f aca="false">SUM(I15:I45)</f>
        <v>2371.0849256365</v>
      </c>
      <c r="J47" s="123" t="n">
        <f aca="false">SUM(J15:J45)</f>
        <v>0</v>
      </c>
      <c r="K47" s="123" t="n">
        <f aca="false">SUM(K15:K45)</f>
        <v>2371.0849256365</v>
      </c>
      <c r="L47" s="123" t="n">
        <f aca="false">SUM(L15:L45)</f>
        <v>0</v>
      </c>
      <c r="M47" s="242" t="n">
        <f aca="false">SUM(M15:M45)</f>
        <v>114</v>
      </c>
      <c r="N47" s="123" t="n">
        <f aca="false">SUM(N15:N45)</f>
        <v>0</v>
      </c>
      <c r="O47" s="123" t="n">
        <f aca="false">SUM(O15:O45)</f>
        <v>0</v>
      </c>
      <c r="P47" s="186"/>
      <c r="Q47" s="123" t="n">
        <f aca="false">SUM(Q15:Q45)</f>
        <v>49.134035465199</v>
      </c>
      <c r="R47" s="123" t="n">
        <f aca="false">SUM(R15:R45)</f>
        <v>53.02244896</v>
      </c>
      <c r="S47" s="123" t="n">
        <f aca="false">SUM(S15:S45)</f>
        <v>0</v>
      </c>
      <c r="T47" s="123" t="n">
        <f aca="false">SUM(T15:T45)</f>
        <v>16.76155104</v>
      </c>
      <c r="U47" s="313" t="n">
        <f aca="false">SUM(U15:U45)</f>
        <v>-4.918035465199</v>
      </c>
      <c r="V47" s="123" t="n">
        <f aca="false">SUM(V15:V45)</f>
        <v>0</v>
      </c>
      <c r="W47" s="123" t="n">
        <f aca="false">SUM(W15:W45)</f>
        <v>0</v>
      </c>
      <c r="X47" s="123" t="n">
        <f aca="false">SUM(X15:X45)</f>
        <v>0</v>
      </c>
      <c r="Y47" s="123" t="n">
        <f aca="false">SUM(Y15:Y45)</f>
        <v>0</v>
      </c>
      <c r="Z47" s="123"/>
      <c r="AA47" s="123"/>
      <c r="AB47" s="156"/>
      <c r="AC47" s="123" t="n">
        <f aca="false">SUM(AC15:AC45)</f>
        <v>0</v>
      </c>
      <c r="AD47" s="123"/>
      <c r="AE47" s="123"/>
      <c r="AF47" s="242"/>
      <c r="AG47" s="245"/>
      <c r="AH47" s="123" t="n">
        <f aca="false">SUM(AH15:AH45)</f>
        <v>937.7</v>
      </c>
      <c r="AI47" s="123"/>
      <c r="AJ47" s="93" t="n">
        <f aca="false">SUM(AJ15:AJ45)</f>
        <v>0</v>
      </c>
      <c r="AK47" s="123" t="n">
        <f aca="false">SUM(AK15:AK45)</f>
        <v>1051.7</v>
      </c>
      <c r="AL47" s="123" t="n">
        <f aca="false">SUM(AL15:AL45)</f>
        <v>0</v>
      </c>
      <c r="AM47" s="240" t="n">
        <f aca="false">SUM(AM15:AM45)</f>
        <v>1051.7</v>
      </c>
      <c r="AN47" s="156" t="n">
        <f aca="false">SUM(AN15:AN45)</f>
        <v>0</v>
      </c>
      <c r="AO47" s="156" t="n">
        <f aca="false">SUM(AO15:AO45)</f>
        <v>0</v>
      </c>
      <c r="AP47" s="248"/>
      <c r="AV47" s="249" t="n">
        <f aca="false">SUM(AV15:AV45)</f>
        <v>2.12</v>
      </c>
      <c r="AW47" s="241" t="n">
        <f aca="false">AVERAGE(AW15:AW45)</f>
        <v>40</v>
      </c>
      <c r="AX47" s="241" t="n">
        <f aca="false">AVERAGE(AX15:AX45)</f>
        <v>12.4516129032258</v>
      </c>
      <c r="AY47" s="250" t="s">
        <v>105</v>
      </c>
      <c r="AZ47" s="287" t="n">
        <f aca="false">SUM(AZ15:AZ45)</f>
        <v>114</v>
      </c>
      <c r="BA47" s="208" t="n">
        <f aca="false">SUM(BA15:BA45)</f>
        <v>15.467</v>
      </c>
      <c r="BB47" s="283"/>
    </row>
    <row r="48" customFormat="false" ht="12.95" hidden="false" customHeight="true" outlineLevel="0" collapsed="false">
      <c r="A48" s="209" t="s">
        <v>106</v>
      </c>
      <c r="B48" s="239"/>
      <c r="C48" s="123"/>
      <c r="D48" s="123" t="n">
        <f aca="false">SUM(D15:D45)</f>
        <v>2617</v>
      </c>
      <c r="E48" s="123"/>
      <c r="F48" s="240" t="n">
        <f aca="false">F47*$D$2</f>
        <v>2617</v>
      </c>
      <c r="G48" s="123" t="n">
        <f aca="false">G47*$D$2</f>
        <v>4703.04695</v>
      </c>
      <c r="H48" s="123" t="n">
        <f aca="false">H47*$D$2</f>
        <v>0</v>
      </c>
      <c r="I48" s="123" t="n">
        <f aca="false">I47*$D$2</f>
        <v>4703.04695</v>
      </c>
      <c r="J48" s="123" t="n">
        <f aca="false">J47*$D$2</f>
        <v>0</v>
      </c>
      <c r="K48" s="123" t="n">
        <f aca="false">K47*$D$2</f>
        <v>4703.04695</v>
      </c>
      <c r="L48" s="123" t="n">
        <f aca="false">L47*$D$2</f>
        <v>0</v>
      </c>
      <c r="M48" s="242" t="n">
        <f aca="false">M47*$D$2</f>
        <v>226.119</v>
      </c>
      <c r="N48" s="123" t="n">
        <f aca="false">N47*$D$2</f>
        <v>0</v>
      </c>
      <c r="O48" s="123" t="n">
        <f aca="false">O47*$D$2</f>
        <v>0</v>
      </c>
      <c r="P48" s="186"/>
      <c r="Q48" s="123" t="n">
        <f aca="false">Q47*$D$2</f>
        <v>97.4573593452222</v>
      </c>
      <c r="R48" s="123" t="n">
        <f aca="false">R47*$D$2</f>
        <v>105.17002751216</v>
      </c>
      <c r="S48" s="123" t="n">
        <f aca="false">S47*$D$2</f>
        <v>0</v>
      </c>
      <c r="T48" s="123" t="n">
        <f aca="false">T47*$D$2</f>
        <v>33.24653648784</v>
      </c>
      <c r="U48" s="313" t="n">
        <f aca="false">U47*$D$2</f>
        <v>-9.75492334522221</v>
      </c>
      <c r="V48" s="123" t="n">
        <f aca="false">V47*$D$2</f>
        <v>0</v>
      </c>
      <c r="W48" s="123" t="n">
        <f aca="false">W47*$D$2</f>
        <v>0</v>
      </c>
      <c r="X48" s="123" t="n">
        <f aca="false">X47*$D$2</f>
        <v>0</v>
      </c>
      <c r="Y48" s="123" t="n">
        <f aca="false">Y47*$D$2</f>
        <v>0</v>
      </c>
      <c r="Z48" s="123"/>
      <c r="AA48" s="123"/>
      <c r="AB48" s="156"/>
      <c r="AC48" s="123" t="n">
        <f aca="false">AC47*$D$2</f>
        <v>0</v>
      </c>
      <c r="AD48" s="123"/>
      <c r="AE48" s="123"/>
      <c r="AF48" s="242"/>
      <c r="AG48" s="245"/>
      <c r="AH48" s="123" t="n">
        <f aca="false">AH47*$D$2</f>
        <v>1859.92795</v>
      </c>
      <c r="AI48" s="123"/>
      <c r="AJ48" s="93" t="n">
        <f aca="false">AJ47*$D$2</f>
        <v>0</v>
      </c>
      <c r="AK48" s="123" t="n">
        <f aca="false">AK47*$D$2</f>
        <v>2086.04695</v>
      </c>
      <c r="AL48" s="123" t="n">
        <f aca="false">AL47*$D$2</f>
        <v>0</v>
      </c>
      <c r="AM48" s="240" t="n">
        <f aca="false">AM47*$D$2</f>
        <v>2086.04695</v>
      </c>
      <c r="AN48" s="156" t="n">
        <f aca="false">AN47*$D$2</f>
        <v>0</v>
      </c>
      <c r="AO48" s="156" t="n">
        <f aca="false">AO47*$D$2</f>
        <v>0</v>
      </c>
      <c r="AP48" s="248"/>
      <c r="AV48" s="249"/>
      <c r="AW48" s="241" t="n">
        <f aca="false">MAX(AW15:AW45)</f>
        <v>54</v>
      </c>
      <c r="AX48" s="241" t="n">
        <f aca="false">MAX(AX15:AX45)</f>
        <v>29</v>
      </c>
      <c r="AY48" s="250" t="s">
        <v>107</v>
      </c>
      <c r="AZ48" s="287" t="n">
        <f aca="false">AZ47*$D$2</f>
        <v>226.119</v>
      </c>
      <c r="BA48" s="208" t="n">
        <f aca="false">BA47*D2</f>
        <v>30.6787945</v>
      </c>
      <c r="BB48" s="283"/>
    </row>
    <row r="49" customFormat="false" ht="3" hidden="false" customHeight="true" outlineLevel="0" collapsed="false">
      <c r="A49" s="261"/>
      <c r="B49" s="286"/>
      <c r="C49" s="263"/>
      <c r="D49" s="263"/>
      <c r="E49" s="263"/>
      <c r="F49" s="289"/>
      <c r="G49" s="263"/>
      <c r="H49" s="263"/>
      <c r="I49" s="263"/>
      <c r="J49" s="263"/>
      <c r="K49" s="263"/>
      <c r="L49" s="263"/>
      <c r="M49" s="290"/>
      <c r="N49" s="263"/>
      <c r="O49" s="263"/>
      <c r="P49" s="268"/>
      <c r="Q49" s="263"/>
      <c r="R49" s="263"/>
      <c r="S49" s="263"/>
      <c r="T49" s="263"/>
      <c r="U49" s="314"/>
      <c r="V49" s="263"/>
      <c r="W49" s="263"/>
      <c r="X49" s="263"/>
      <c r="Y49" s="263"/>
      <c r="Z49" s="263"/>
      <c r="AA49" s="263"/>
      <c r="AB49" s="271"/>
      <c r="AC49" s="263"/>
      <c r="AD49" s="263"/>
      <c r="AE49" s="263"/>
      <c r="AF49" s="290"/>
      <c r="AG49" s="291"/>
      <c r="AH49" s="263"/>
      <c r="AI49" s="264"/>
      <c r="AJ49" s="137"/>
      <c r="AK49" s="263"/>
      <c r="AL49" s="263"/>
      <c r="AM49" s="289"/>
      <c r="AN49" s="271"/>
      <c r="AO49" s="271"/>
      <c r="AP49" s="263"/>
      <c r="AQ49" s="292"/>
      <c r="AR49" s="292"/>
      <c r="AS49" s="275"/>
      <c r="AT49" s="275"/>
      <c r="AU49" s="274"/>
      <c r="AV49" s="293"/>
      <c r="AW49" s="263"/>
      <c r="AX49" s="263"/>
      <c r="AY49" s="263"/>
      <c r="AZ49" s="263"/>
      <c r="BA49" s="263"/>
      <c r="BB49" s="263"/>
    </row>
    <row r="50" customFormat="false" ht="12.95" hidden="false" customHeight="true" outlineLevel="0" collapsed="false">
      <c r="A50" s="209" t="s">
        <v>108</v>
      </c>
      <c r="B50" s="239"/>
      <c r="C50" s="123"/>
      <c r="D50" s="123"/>
      <c r="E50" s="123"/>
      <c r="F50" s="240"/>
      <c r="G50" s="123"/>
      <c r="H50" s="123"/>
      <c r="I50" s="123"/>
      <c r="J50" s="123"/>
      <c r="K50" s="123"/>
      <c r="L50" s="123"/>
      <c r="M50" s="242"/>
      <c r="N50" s="123"/>
      <c r="O50" s="123"/>
      <c r="P50" s="186"/>
      <c r="Q50" s="123"/>
      <c r="R50" s="123"/>
      <c r="S50" s="123"/>
      <c r="T50" s="123"/>
      <c r="U50" s="313"/>
      <c r="V50" s="123"/>
      <c r="W50" s="123"/>
      <c r="X50" s="123"/>
      <c r="Y50" s="123"/>
      <c r="Z50" s="123"/>
      <c r="AA50" s="123"/>
      <c r="AB50" s="156"/>
      <c r="AC50" s="123"/>
      <c r="AD50" s="123"/>
      <c r="AE50" s="123"/>
      <c r="AF50" s="242"/>
      <c r="AG50" s="245"/>
      <c r="AH50" s="123"/>
      <c r="AI50" s="123"/>
      <c r="AJ50" s="93"/>
      <c r="AK50" s="123"/>
      <c r="AL50" s="123"/>
      <c r="AM50" s="240"/>
      <c r="AN50" s="156"/>
      <c r="AO50" s="156"/>
      <c r="AP50" s="248"/>
      <c r="AV50" s="249"/>
      <c r="AW50" s="241" t="n">
        <f aca="false">MIN(AW15:AW45)</f>
        <v>29</v>
      </c>
      <c r="AX50" s="241" t="n">
        <f aca="false">MIN(AX15:AX45)</f>
        <v>-6</v>
      </c>
      <c r="AY50" s="250" t="s">
        <v>109</v>
      </c>
      <c r="AZ50" s="287"/>
      <c r="BB50" s="283"/>
    </row>
    <row r="51" customFormat="false" ht="12.95" hidden="false" customHeight="true" outlineLevel="0" collapsed="false">
      <c r="A51" s="209" t="s">
        <v>110</v>
      </c>
      <c r="B51" s="239"/>
      <c r="C51" s="123"/>
      <c r="D51" s="123"/>
      <c r="E51" s="123"/>
      <c r="F51" s="240"/>
      <c r="G51" s="123"/>
      <c r="H51" s="123"/>
      <c r="I51" s="123"/>
      <c r="J51" s="123"/>
      <c r="K51" s="123"/>
      <c r="L51" s="123"/>
      <c r="M51" s="242"/>
      <c r="N51" s="123"/>
      <c r="O51" s="123"/>
      <c r="P51" s="186"/>
      <c r="Q51" s="123"/>
      <c r="R51" s="123"/>
      <c r="S51" s="123"/>
      <c r="T51" s="123"/>
      <c r="U51" s="313"/>
      <c r="V51" s="123"/>
      <c r="W51" s="123"/>
      <c r="X51" s="123"/>
      <c r="Y51" s="123"/>
      <c r="Z51" s="123"/>
      <c r="AA51" s="123"/>
      <c r="AB51" s="156"/>
      <c r="AC51" s="123"/>
      <c r="AD51" s="123"/>
      <c r="AE51" s="123"/>
      <c r="AF51" s="242"/>
      <c r="AG51" s="245"/>
      <c r="AH51" s="123"/>
      <c r="AI51" s="123"/>
      <c r="AJ51" s="93"/>
      <c r="AK51" s="123"/>
      <c r="AL51" s="123"/>
      <c r="AM51" s="240"/>
      <c r="AN51" s="156"/>
      <c r="AO51" s="156"/>
      <c r="AP51" s="248"/>
      <c r="AV51" s="249"/>
      <c r="AW51" s="241"/>
      <c r="AX51" s="241"/>
      <c r="AY51" s="250"/>
      <c r="AZ51" s="287"/>
      <c r="BB51" s="283"/>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314"/>
      <c r="V52" s="263"/>
      <c r="W52" s="263"/>
      <c r="X52" s="263"/>
      <c r="Y52" s="263"/>
      <c r="Z52" s="263"/>
      <c r="AA52" s="263"/>
      <c r="AB52" s="271"/>
      <c r="AC52" s="263"/>
      <c r="AD52" s="263"/>
      <c r="AE52" s="263"/>
      <c r="AF52" s="290"/>
      <c r="AG52" s="291"/>
      <c r="AH52" s="263"/>
      <c r="AI52" s="263"/>
      <c r="AJ52" s="137"/>
      <c r="AK52" s="263"/>
      <c r="AL52" s="263"/>
      <c r="AM52" s="289"/>
      <c r="AN52" s="271"/>
      <c r="AO52" s="271"/>
      <c r="AP52" s="294"/>
      <c r="AQ52" s="295"/>
      <c r="AR52" s="295"/>
      <c r="AS52" s="275"/>
      <c r="AT52" s="275"/>
      <c r="AU52" s="274"/>
      <c r="AV52" s="276"/>
      <c r="AW52" s="294"/>
      <c r="AX52" s="294"/>
      <c r="AY52" s="294"/>
      <c r="AZ52" s="294"/>
      <c r="BA52" s="294"/>
      <c r="BB52" s="294"/>
    </row>
    <row r="53" customFormat="false" ht="12.95" hidden="false" customHeight="true" outlineLevel="0" collapsed="false">
      <c r="A53" s="209" t="s">
        <v>111</v>
      </c>
      <c r="B53" s="239"/>
      <c r="C53" s="123"/>
      <c r="D53" s="123"/>
      <c r="E53" s="123"/>
      <c r="F53" s="240" t="n">
        <f aca="false">F13+F47</f>
        <v>1739.85379379884</v>
      </c>
      <c r="G53" s="123" t="n">
        <f aca="false">G13+G47</f>
        <v>6526.79279480716</v>
      </c>
      <c r="H53" s="241" t="n">
        <f aca="false">H13+H47</f>
        <v>1.359</v>
      </c>
      <c r="I53" s="123" t="n">
        <f aca="false">I13+I47</f>
        <v>6528.15179480716</v>
      </c>
      <c r="J53" s="123" t="n">
        <f aca="false">J13+J47</f>
        <v>242.311325938997</v>
      </c>
      <c r="K53" s="123" t="n">
        <f aca="false">K13+K47</f>
        <v>6770.46312074616</v>
      </c>
      <c r="L53" s="123" t="n">
        <f aca="false">L13+L47</f>
        <v>-45.6810010083185</v>
      </c>
      <c r="M53" s="242" t="n">
        <f aca="false">M13+M47</f>
        <v>340.55</v>
      </c>
      <c r="N53" s="123" t="n">
        <f aca="false">N13+N47</f>
        <v>0</v>
      </c>
      <c r="O53" s="123" t="n">
        <v>0</v>
      </c>
      <c r="P53" s="186"/>
      <c r="Q53" s="123" t="n">
        <f aca="false">Q13+Q47</f>
        <v>143.44141760277</v>
      </c>
      <c r="R53" s="123" t="n">
        <f aca="false">R13+R47</f>
        <v>148.69703888</v>
      </c>
      <c r="S53" s="123" t="n">
        <f aca="false">S13+S47</f>
        <v>0</v>
      </c>
      <c r="T53" s="123" t="n">
        <f aca="false">T13+T47</f>
        <v>51.91896112</v>
      </c>
      <c r="U53" s="313" t="n">
        <f aca="false">U13+U47</f>
        <v>-3.50741760276956</v>
      </c>
      <c r="V53" s="123" t="n">
        <f aca="false">V13+V47</f>
        <v>1612.52</v>
      </c>
      <c r="W53" s="123" t="n">
        <f aca="false">W13+W47</f>
        <v>0.047</v>
      </c>
      <c r="X53" s="123" t="n">
        <f aca="false">X13+X47</f>
        <v>1588.7929</v>
      </c>
      <c r="Y53" s="123" t="n">
        <f aca="false">Y13+Y47</f>
        <v>1588.7929</v>
      </c>
      <c r="Z53" s="123"/>
      <c r="AA53" s="123"/>
      <c r="AB53" s="156"/>
      <c r="AC53" s="155" t="n">
        <f aca="false">AC13+AC47</f>
        <v>1714.07656152266</v>
      </c>
      <c r="AD53" s="123"/>
      <c r="AE53" s="123"/>
      <c r="AF53" s="242"/>
      <c r="AG53" s="245"/>
      <c r="AH53" s="123" t="n">
        <f aca="false">AH13+AH47</f>
        <v>2789.5</v>
      </c>
      <c r="AI53" s="123" t="n">
        <f aca="false">AI45</f>
        <v>2428.75787748928</v>
      </c>
      <c r="AJ53" s="93" t="n">
        <f aca="false">AJ14+AJ47</f>
        <v>0</v>
      </c>
      <c r="AK53" s="123" t="n">
        <f aca="false">AK13+AK47</f>
        <v>4742.617</v>
      </c>
      <c r="AL53" s="123" t="n">
        <f aca="false">AL13+AL47</f>
        <v>287.992326947315</v>
      </c>
      <c r="AM53" s="240" t="n">
        <f aca="false">AM13+AM47</f>
        <v>5030.60932694731</v>
      </c>
      <c r="AN53" s="156" t="n">
        <f aca="false">AN13+AN47</f>
        <v>1611.4</v>
      </c>
      <c r="AO53" s="156" t="n">
        <f aca="false">AO13+AO47</f>
        <v>0</v>
      </c>
      <c r="AP53" s="248"/>
      <c r="AV53" s="249" t="n">
        <f aca="false">AV13+AV47</f>
        <v>6.555</v>
      </c>
      <c r="AW53" s="241"/>
      <c r="AX53" s="241"/>
      <c r="AY53" s="250"/>
      <c r="AZ53" s="287" t="n">
        <f aca="false">AZ13+AZ47</f>
        <v>340.55</v>
      </c>
      <c r="BA53" s="260" t="n">
        <f aca="false">BA47+BA13</f>
        <v>35.097</v>
      </c>
      <c r="BB53" s="283"/>
    </row>
    <row r="54" customFormat="false" ht="12.95" hidden="false" customHeight="true" outlineLevel="0" collapsed="false">
      <c r="A54" s="209" t="s">
        <v>112</v>
      </c>
      <c r="B54" s="239"/>
      <c r="C54" s="123"/>
      <c r="D54" s="123" t="n">
        <f aca="false">D13+D48</f>
        <v>3451</v>
      </c>
      <c r="E54" s="123" t="n">
        <f aca="false">E45</f>
        <v>94619</v>
      </c>
      <c r="F54" s="240" t="n">
        <f aca="false">F53*$D$2</f>
        <v>3451</v>
      </c>
      <c r="G54" s="123" t="n">
        <f aca="false">G53*$D$2</f>
        <v>12945.8935085</v>
      </c>
      <c r="H54" s="241" t="n">
        <f aca="false">H53*$D$2</f>
        <v>2.6955765</v>
      </c>
      <c r="I54" s="123" t="n">
        <f aca="false">I53*$D$2</f>
        <v>12948.589085</v>
      </c>
      <c r="J54" s="123" t="n">
        <f aca="false">J53*$D$2</f>
        <v>480.624515</v>
      </c>
      <c r="K54" s="123" t="n">
        <f aca="false">K53*$D$2</f>
        <v>13429.2136</v>
      </c>
      <c r="L54" s="123" t="n">
        <f aca="false">L53*$D$2</f>
        <v>-90.6082654999997</v>
      </c>
      <c r="M54" s="242" t="n">
        <f aca="false">M53*$D$2</f>
        <v>675.480925</v>
      </c>
      <c r="N54" s="123" t="n">
        <f aca="false">N53*$D$2</f>
        <v>0</v>
      </c>
      <c r="O54" s="123" t="n">
        <f aca="false">O53*$D$2</f>
        <v>0</v>
      </c>
      <c r="P54" s="186"/>
      <c r="Q54" s="123" t="n">
        <f aca="false">Q53*$D$2</f>
        <v>284.516051815093</v>
      </c>
      <c r="R54" s="123" t="n">
        <f aca="false">R53*$D$2</f>
        <v>294.94057661848</v>
      </c>
      <c r="S54" s="255" t="n">
        <f aca="false">S53*$D$2</f>
        <v>0</v>
      </c>
      <c r="T54" s="255" t="n">
        <f aca="false">T53*$D$2</f>
        <v>102.98125938152</v>
      </c>
      <c r="U54" s="315" t="n">
        <f aca="false">U53*$D$2</f>
        <v>-6.95696281509342</v>
      </c>
      <c r="V54" s="123" t="n">
        <f aca="false">V53*$D$2</f>
        <v>3198.43342</v>
      </c>
      <c r="W54" s="123" t="n">
        <f aca="false">W53*$D$2</f>
        <v>0.0932245</v>
      </c>
      <c r="X54" s="123" t="n">
        <f aca="false">X53*$D$2</f>
        <v>3151.37071715</v>
      </c>
      <c r="Y54" s="123" t="n">
        <f aca="false">Y53*$D$2</f>
        <v>3151.37071715</v>
      </c>
      <c r="Z54" s="123"/>
      <c r="AA54" s="123"/>
      <c r="AB54" s="156"/>
      <c r="AC54" s="123" t="n">
        <f aca="false">AC53*$D$2</f>
        <v>3399.87085978019</v>
      </c>
      <c r="AD54" s="123"/>
      <c r="AE54" s="123"/>
      <c r="AF54" s="296"/>
      <c r="AG54" s="297"/>
      <c r="AH54" s="123" t="n">
        <f aca="false">AH53*$D$2</f>
        <v>5532.97325</v>
      </c>
      <c r="AI54" s="123" t="n">
        <f aca="false">AI53*$D$2</f>
        <v>4817.44124999999</v>
      </c>
      <c r="AJ54" s="93" t="n">
        <f aca="false">AJ53*$D$2</f>
        <v>0</v>
      </c>
      <c r="AK54" s="123" t="n">
        <f aca="false">AK53*$D$2</f>
        <v>9406.9808195</v>
      </c>
      <c r="AL54" s="123" t="n">
        <f aca="false">AL53*$D$2</f>
        <v>571.2327805</v>
      </c>
      <c r="AM54" s="298" t="n">
        <f aca="false">AM53*$D$2</f>
        <v>9978.2136</v>
      </c>
      <c r="AN54" s="156" t="n">
        <f aca="false">AN53*$D$2</f>
        <v>3196.2119</v>
      </c>
      <c r="AO54" s="156" t="n">
        <f aca="false">AO53*$D$2</f>
        <v>0</v>
      </c>
      <c r="AP54" s="248"/>
      <c r="AV54" s="249"/>
      <c r="AW54" s="241"/>
      <c r="AX54" s="241"/>
      <c r="AY54" s="250"/>
      <c r="AZ54" s="258" t="n">
        <f aca="false">AZ53*$D$2</f>
        <v>675.480925</v>
      </c>
      <c r="BA54" s="208" t="n">
        <f aca="false">BA53*D2</f>
        <v>69.6148995</v>
      </c>
      <c r="BB54" s="283"/>
    </row>
    <row r="55" customFormat="false" ht="3" hidden="false" customHeight="true" outlineLevel="0" collapsed="false">
      <c r="A55" s="261"/>
      <c r="B55" s="286"/>
      <c r="C55" s="263"/>
      <c r="D55" s="264"/>
      <c r="E55" s="263"/>
      <c r="F55" s="265"/>
      <c r="G55" s="264"/>
      <c r="H55" s="266"/>
      <c r="I55" s="264"/>
      <c r="J55" s="264"/>
      <c r="K55" s="264"/>
      <c r="L55" s="264"/>
      <c r="M55" s="267"/>
      <c r="N55" s="264"/>
      <c r="O55" s="264"/>
      <c r="P55" s="268"/>
      <c r="Q55" s="264"/>
      <c r="R55" s="264"/>
      <c r="S55" s="264"/>
      <c r="T55" s="264"/>
      <c r="U55" s="269"/>
      <c r="V55" s="264"/>
      <c r="W55" s="264"/>
      <c r="X55" s="264"/>
      <c r="Y55" s="264"/>
      <c r="Z55" s="264"/>
      <c r="AA55" s="264"/>
      <c r="AB55" s="271"/>
      <c r="AC55" s="271"/>
      <c r="AD55" s="263"/>
      <c r="AE55" s="264"/>
      <c r="AF55" s="267"/>
      <c r="AG55" s="272"/>
      <c r="AH55" s="264"/>
      <c r="AI55" s="263"/>
      <c r="AJ55" s="263"/>
      <c r="AK55" s="264"/>
      <c r="AL55" s="264"/>
      <c r="AM55" s="264"/>
      <c r="AN55" s="286"/>
      <c r="AO55" s="271"/>
      <c r="AP55" s="264"/>
      <c r="AQ55" s="299"/>
      <c r="AR55" s="299"/>
      <c r="AS55" s="275"/>
      <c r="AT55" s="275"/>
      <c r="AU55" s="274"/>
      <c r="AV55" s="286"/>
      <c r="AW55" s="264"/>
      <c r="AX55" s="264"/>
      <c r="AY55" s="264"/>
      <c r="AZ55" s="264"/>
      <c r="BA55" s="264"/>
      <c r="BB55" s="264"/>
    </row>
    <row r="56" customFormat="false" ht="11.1" hidden="false" customHeight="true" outlineLevel="0" collapsed="false">
      <c r="A56" s="209"/>
      <c r="B56" s="300"/>
      <c r="D56" s="209"/>
      <c r="F56" s="209"/>
      <c r="G56" s="209"/>
      <c r="I56" s="209"/>
      <c r="J56" s="209"/>
      <c r="K56" s="209"/>
      <c r="L56" s="209"/>
      <c r="M56" s="209"/>
      <c r="N56" s="209"/>
      <c r="O56" s="209"/>
      <c r="Q56" s="209"/>
      <c r="R56" s="209"/>
      <c r="S56" s="209"/>
      <c r="T56" s="209"/>
      <c r="V56" s="209"/>
      <c r="W56" s="209"/>
      <c r="X56" s="209"/>
      <c r="Y56" s="209"/>
      <c r="Z56" s="209"/>
      <c r="AA56" s="209"/>
      <c r="AD56" s="176"/>
      <c r="AE56" s="209"/>
      <c r="AF56" s="209"/>
      <c r="AG56" s="209"/>
      <c r="AH56" s="209"/>
      <c r="AI56" s="176"/>
      <c r="AJ56" s="254"/>
      <c r="AK56" s="209"/>
      <c r="AL56" s="209"/>
      <c r="AM56" s="209"/>
      <c r="AN56" s="207"/>
      <c r="AO56" s="216"/>
      <c r="AX56" s="206"/>
      <c r="AY56" s="206"/>
    </row>
    <row r="57" customFormat="false" ht="11.1" hidden="false" customHeight="true" outlineLevel="0" collapsed="false">
      <c r="A57" s="209"/>
      <c r="B57" s="301"/>
      <c r="F57" s="209"/>
      <c r="G57" s="209"/>
      <c r="I57" s="210"/>
      <c r="J57" s="209"/>
      <c r="K57" s="201"/>
      <c r="L57" s="209"/>
      <c r="M57" s="209"/>
      <c r="N57" s="209"/>
      <c r="O57" s="209"/>
      <c r="Q57" s="209"/>
      <c r="R57" s="209"/>
      <c r="S57" s="209"/>
      <c r="T57" s="209"/>
      <c r="V57" s="209"/>
      <c r="W57" s="209"/>
      <c r="X57" s="209"/>
      <c r="Y57" s="209"/>
      <c r="Z57" s="209"/>
      <c r="AA57" s="209"/>
      <c r="AD57" s="176"/>
      <c r="AE57" s="209"/>
      <c r="AF57" s="209"/>
      <c r="AG57" s="209"/>
      <c r="AH57" s="209"/>
      <c r="AI57" s="176"/>
      <c r="AJ57" s="254"/>
      <c r="AK57" s="209"/>
      <c r="AL57" s="209"/>
      <c r="AM57" s="209"/>
      <c r="AN57" s="207"/>
      <c r="AO57" s="216"/>
      <c r="AX57" s="206"/>
      <c r="AY57" s="206"/>
    </row>
    <row r="58" customFormat="false" ht="11.1" hidden="false" customHeight="true" outlineLevel="0" collapsed="false">
      <c r="D58" s="176"/>
      <c r="Q58" s="120"/>
      <c r="R58" s="120"/>
      <c r="S58" s="120"/>
      <c r="T58" s="120"/>
      <c r="X58" s="58"/>
      <c r="Y58" s="58"/>
      <c r="Z58" s="58"/>
      <c r="AA58" s="58"/>
      <c r="AD58" s="176"/>
      <c r="AH58" s="58"/>
      <c r="AI58" s="176"/>
      <c r="AJ58" s="254"/>
      <c r="AM58" s="58"/>
      <c r="AN58" s="207"/>
      <c r="AO58" s="216"/>
      <c r="AX58" s="206"/>
      <c r="AY58" s="206"/>
    </row>
    <row r="59" customFormat="false" ht="11.1" hidden="false" customHeight="true" outlineLevel="0" collapsed="false">
      <c r="B59" s="8"/>
      <c r="D59" s="176"/>
    </row>
    <row r="60" customFormat="false" ht="11.1" hidden="false" customHeight="true" outlineLevel="0" collapsed="false">
      <c r="G60" s="30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316"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8" width="4.32"/>
    <col collapsed="false" customWidth="true" hidden="false" outlineLevel="0" max="21" min="21" style="8" width="5.16"/>
    <col collapsed="false" customWidth="true" hidden="false" outlineLevel="0" max="23" min="22" style="58" width="5.49"/>
    <col collapsed="false" customWidth="true" hidden="false" outlineLevel="0" max="27" min="24" style="176" width="6.32"/>
    <col collapsed="false" customWidth="true" hidden="false" outlineLevel="0" max="28" min="28" style="58" width="5.49"/>
    <col collapsed="false" customWidth="true" hidden="false" outlineLevel="0" max="29" min="29" style="120" width="5.99"/>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206" width="5.49"/>
    <col collapsed="false" customWidth="true" hidden="false" outlineLevel="0" max="41" min="41" style="206" width="5.32"/>
    <col collapsed="false" customWidth="true" hidden="false" outlineLevel="0" max="42" min="42" style="58" width="6.32"/>
    <col collapsed="false" customWidth="true" hidden="false" outlineLevel="0" max="43" min="43" style="317" width="6.32"/>
    <col collapsed="false" customWidth="true" hidden="false" outlineLevel="0" max="44" min="44" style="317" width="5.49"/>
    <col collapsed="false" customWidth="true" hidden="false" outlineLevel="0" max="45" min="45" style="76" width="5.32"/>
    <col collapsed="false" customWidth="true" hidden="false" outlineLevel="0" max="46" min="46" style="204" width="5.82"/>
    <col collapsed="false" customWidth="true" hidden="false" outlineLevel="0" max="47" min="47" style="58" width="4.99"/>
    <col collapsed="false" customWidth="true" hidden="false" outlineLevel="0" max="48" min="48" style="203" width="5.32"/>
    <col collapsed="false" customWidth="true" hidden="false" outlineLevel="0" max="49" min="49" style="206" width="3.82"/>
    <col collapsed="false" customWidth="true" hidden="false" outlineLevel="0" max="50" min="50" style="207" width="3.82"/>
    <col collapsed="false" customWidth="true" hidden="false" outlineLevel="0" max="51" min="51" style="208" width="3.82"/>
    <col collapsed="false" customWidth="true" hidden="false" outlineLevel="0" max="52" min="52" style="318" width="5.49"/>
    <col collapsed="false" customWidth="false" hidden="false" outlineLevel="0" max="257" min="53" style="208" width="9.32"/>
  </cols>
  <sheetData>
    <row r="1" customFormat="false" ht="14.1" hidden="false" customHeight="true" outlineLevel="0" collapsed="false">
      <c r="A1" s="209" t="s">
        <v>117</v>
      </c>
      <c r="B1" s="209"/>
      <c r="D1" s="209"/>
      <c r="F1" s="209"/>
      <c r="G1" s="209"/>
      <c r="I1" s="209"/>
      <c r="J1" s="209"/>
      <c r="K1" s="211" t="s">
        <v>0</v>
      </c>
      <c r="L1" s="209"/>
      <c r="M1" s="209"/>
      <c r="N1" s="209"/>
      <c r="O1" s="209"/>
      <c r="Q1" s="209"/>
      <c r="R1" s="209"/>
      <c r="V1" s="209"/>
      <c r="W1" s="209"/>
      <c r="AB1" s="209"/>
      <c r="AD1" s="209"/>
      <c r="AE1" s="209"/>
      <c r="AF1" s="209"/>
      <c r="AG1" s="209"/>
      <c r="AI1" s="209"/>
      <c r="AJ1" s="212"/>
      <c r="AK1" s="209"/>
      <c r="AL1" s="209"/>
      <c r="AN1" s="319"/>
      <c r="AO1" s="319"/>
      <c r="AP1" s="212"/>
      <c r="AZ1" s="320"/>
    </row>
    <row r="2" customFormat="false" ht="14.1" hidden="false" customHeight="true" outlineLevel="0" collapsed="false">
      <c r="A2" s="212" t="s">
        <v>1</v>
      </c>
      <c r="B2" s="209"/>
      <c r="D2" s="213" t="n">
        <v>1.9835</v>
      </c>
      <c r="F2" s="209"/>
      <c r="G2" s="209"/>
      <c r="I2" s="209"/>
      <c r="J2" s="209"/>
      <c r="K2" s="321" t="s">
        <v>120</v>
      </c>
      <c r="L2" s="322"/>
      <c r="M2" s="215"/>
      <c r="N2" s="215"/>
      <c r="O2" s="215"/>
      <c r="P2" s="323"/>
      <c r="Q2" s="215"/>
      <c r="R2" s="215"/>
      <c r="S2" s="323"/>
      <c r="T2" s="323"/>
      <c r="U2" s="323"/>
      <c r="V2" s="215"/>
      <c r="W2" s="215"/>
      <c r="X2" s="97"/>
      <c r="Y2" s="97"/>
      <c r="Z2" s="97"/>
      <c r="AA2" s="97"/>
      <c r="AB2" s="215"/>
      <c r="AC2" s="216"/>
      <c r="AD2" s="215"/>
      <c r="AE2" s="209"/>
      <c r="AF2" s="209"/>
      <c r="AG2" s="209"/>
      <c r="AI2" s="209"/>
      <c r="AJ2" s="212"/>
      <c r="AK2" s="209"/>
      <c r="AL2" s="209"/>
      <c r="AN2" s="319"/>
      <c r="AO2" s="319"/>
      <c r="AP2" s="212"/>
    </row>
    <row r="3" customFormat="false" ht="14.1" hidden="false" customHeight="true" outlineLevel="0" collapsed="false">
      <c r="A3" s="217"/>
      <c r="B3" s="217"/>
      <c r="C3" s="218"/>
      <c r="D3" s="219"/>
      <c r="E3" s="218"/>
      <c r="F3" s="217"/>
      <c r="G3" s="217"/>
      <c r="H3" s="324"/>
      <c r="I3" s="217"/>
      <c r="J3" s="217"/>
      <c r="K3" s="217"/>
      <c r="L3" s="217"/>
      <c r="M3" s="217"/>
      <c r="N3" s="217"/>
      <c r="O3" s="217"/>
      <c r="P3" s="221"/>
      <c r="Q3" s="217"/>
      <c r="R3" s="217"/>
      <c r="S3" s="221"/>
      <c r="T3" s="221"/>
      <c r="U3" s="221"/>
      <c r="V3" s="217"/>
      <c r="W3" s="217"/>
      <c r="X3" s="218"/>
      <c r="Y3" s="218"/>
      <c r="Z3" s="218"/>
      <c r="AA3" s="218"/>
      <c r="AB3" s="217"/>
      <c r="AC3" s="222"/>
      <c r="AD3" s="217"/>
      <c r="AE3" s="217"/>
      <c r="AF3" s="217"/>
      <c r="AG3" s="217"/>
      <c r="AH3" s="218"/>
      <c r="AI3" s="217"/>
      <c r="AJ3" s="223"/>
      <c r="AK3" s="217"/>
      <c r="AL3" s="217"/>
      <c r="AM3" s="221"/>
      <c r="AN3" s="325"/>
      <c r="AO3" s="325"/>
      <c r="AP3" s="223"/>
      <c r="AQ3" s="326"/>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121</v>
      </c>
      <c r="Y4" s="42"/>
      <c r="Z4" s="42"/>
      <c r="AA4" s="42"/>
      <c r="AB4" s="43"/>
      <c r="AC4" s="44"/>
      <c r="AD4" s="44"/>
      <c r="AE4" s="39"/>
      <c r="AF4" s="39"/>
      <c r="AG4" s="39"/>
      <c r="AH4" s="35"/>
      <c r="AI4" s="39"/>
      <c r="AJ4" s="45"/>
      <c r="AK4" s="39"/>
      <c r="AL4" s="39"/>
      <c r="AM4" s="41"/>
      <c r="AN4" s="46"/>
      <c r="AO4" s="47"/>
      <c r="AP4" s="48" t="s">
        <v>6</v>
      </c>
      <c r="AQ4" s="49"/>
      <c r="AR4" s="50"/>
      <c r="AS4" s="51"/>
      <c r="AT4" s="52"/>
      <c r="AU4" s="52"/>
      <c r="AV4" s="54"/>
      <c r="AW4" s="55" t="s">
        <v>7</v>
      </c>
      <c r="AX4" s="56"/>
      <c r="AY4" s="327"/>
      <c r="AZ4" s="57"/>
      <c r="BA4" s="75"/>
      <c r="BB4" s="232"/>
    </row>
    <row r="5" customFormat="false" ht="12.95" hidden="false" customHeight="true" outlineLevel="0" collapsed="false">
      <c r="A5" s="60" t="s">
        <v>8</v>
      </c>
      <c r="B5" s="61" t="s">
        <v>9</v>
      </c>
      <c r="C5" s="62" t="s">
        <v>9</v>
      </c>
      <c r="D5" s="63" t="s">
        <v>10</v>
      </c>
      <c r="E5" s="62" t="s">
        <v>11</v>
      </c>
      <c r="F5" s="64" t="s">
        <v>12</v>
      </c>
      <c r="G5" s="60" t="s">
        <v>13</v>
      </c>
      <c r="H5" s="65" t="s">
        <v>14</v>
      </c>
      <c r="I5" s="60" t="s">
        <v>15</v>
      </c>
      <c r="J5" s="60" t="s">
        <v>16</v>
      </c>
      <c r="K5" s="60" t="s">
        <v>17</v>
      </c>
      <c r="L5" s="87" t="s">
        <v>16</v>
      </c>
      <c r="M5" s="233" t="s">
        <v>18</v>
      </c>
      <c r="N5" s="233"/>
      <c r="O5" s="233"/>
      <c r="P5" s="233"/>
      <c r="Q5" s="233"/>
      <c r="R5" s="233"/>
      <c r="S5" s="233"/>
      <c r="T5" s="233"/>
      <c r="U5" s="233"/>
      <c r="V5" s="65" t="s">
        <v>19</v>
      </c>
      <c r="W5" s="60" t="s">
        <v>20</v>
      </c>
      <c r="X5" s="60" t="s">
        <v>17</v>
      </c>
      <c r="Y5" s="60" t="s">
        <v>17</v>
      </c>
      <c r="Z5" s="67" t="s">
        <v>21</v>
      </c>
      <c r="AA5" s="60" t="s">
        <v>21</v>
      </c>
      <c r="AB5" s="67" t="s">
        <v>21</v>
      </c>
      <c r="AC5" s="69" t="s">
        <v>22</v>
      </c>
      <c r="AD5" s="69" t="s">
        <v>21</v>
      </c>
      <c r="AE5" s="60" t="s">
        <v>23</v>
      </c>
      <c r="AF5" s="70" t="s">
        <v>24</v>
      </c>
      <c r="AG5" s="71"/>
      <c r="AH5" s="60" t="s">
        <v>25</v>
      </c>
      <c r="AI5" s="72" t="s">
        <v>26</v>
      </c>
      <c r="AJ5" s="72" t="s">
        <v>27</v>
      </c>
      <c r="AK5" s="60" t="s">
        <v>15</v>
      </c>
      <c r="AL5" s="60" t="s">
        <v>16</v>
      </c>
      <c r="AM5" s="63" t="s">
        <v>17</v>
      </c>
      <c r="AN5" s="73" t="s">
        <v>28</v>
      </c>
      <c r="AO5" s="69" t="s">
        <v>21</v>
      </c>
      <c r="AP5" s="67" t="s">
        <v>29</v>
      </c>
      <c r="AQ5" s="74" t="s">
        <v>29</v>
      </c>
      <c r="AR5" s="69" t="s">
        <v>30</v>
      </c>
      <c r="AS5" s="75" t="s">
        <v>31</v>
      </c>
      <c r="AT5" s="75" t="s">
        <v>32</v>
      </c>
      <c r="AU5" s="76" t="s">
        <v>33</v>
      </c>
      <c r="AV5" s="77" t="s">
        <v>34</v>
      </c>
      <c r="AW5" s="78" t="s">
        <v>35</v>
      </c>
      <c r="AX5" s="78" t="s">
        <v>36</v>
      </c>
      <c r="AY5" s="161"/>
      <c r="AZ5" s="328"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122</v>
      </c>
      <c r="B6" s="61" t="s">
        <v>39</v>
      </c>
      <c r="C6" s="62"/>
      <c r="D6" s="63" t="s">
        <v>40</v>
      </c>
      <c r="E6" s="62" t="s">
        <v>41</v>
      </c>
      <c r="F6" s="64" t="s">
        <v>42</v>
      </c>
      <c r="G6" s="60" t="s">
        <v>43</v>
      </c>
      <c r="H6" s="65" t="s">
        <v>44</v>
      </c>
      <c r="I6" s="60" t="s">
        <v>45</v>
      </c>
      <c r="J6" s="60" t="s">
        <v>45</v>
      </c>
      <c r="K6" s="60" t="s">
        <v>45</v>
      </c>
      <c r="L6" s="87" t="s">
        <v>46</v>
      </c>
      <c r="M6" s="63" t="s">
        <v>47</v>
      </c>
      <c r="N6" s="63" t="s">
        <v>48</v>
      </c>
      <c r="O6" s="63" t="s">
        <v>49</v>
      </c>
      <c r="P6" s="85" t="s">
        <v>50</v>
      </c>
      <c r="Q6" s="63" t="s">
        <v>51</v>
      </c>
      <c r="R6" s="63" t="s">
        <v>52</v>
      </c>
      <c r="S6" s="63"/>
      <c r="T6" s="63" t="s">
        <v>49</v>
      </c>
      <c r="U6" s="86" t="s">
        <v>53</v>
      </c>
      <c r="V6" s="60" t="s">
        <v>54</v>
      </c>
      <c r="W6" s="60" t="s">
        <v>55</v>
      </c>
      <c r="X6" s="60" t="s">
        <v>21</v>
      </c>
      <c r="Y6" s="60" t="s">
        <v>21</v>
      </c>
      <c r="Z6" s="67" t="s">
        <v>56</v>
      </c>
      <c r="AA6" s="60" t="s">
        <v>56</v>
      </c>
      <c r="AB6" s="67" t="s">
        <v>57</v>
      </c>
      <c r="AC6" s="69"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161"/>
      <c r="AZ6" s="328"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5"/>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9"/>
      <c r="AD7" s="69"/>
      <c r="AE7" s="87"/>
      <c r="AF7" s="90" t="n">
        <v>1.7</v>
      </c>
      <c r="AG7" s="90" t="n">
        <v>1.3</v>
      </c>
      <c r="AH7" s="83"/>
      <c r="AI7" s="93"/>
      <c r="AJ7" s="72"/>
      <c r="AK7" s="60"/>
      <c r="AL7" s="60"/>
      <c r="AM7" s="63"/>
      <c r="AN7" s="88"/>
      <c r="AO7" s="69"/>
      <c r="AP7" s="67" t="s">
        <v>86</v>
      </c>
      <c r="AQ7" s="74" t="s">
        <v>87</v>
      </c>
      <c r="AR7" s="69" t="s">
        <v>88</v>
      </c>
      <c r="AS7" s="75" t="s">
        <v>89</v>
      </c>
      <c r="AT7" s="75" t="s">
        <v>90</v>
      </c>
      <c r="AU7" s="76" t="s">
        <v>81</v>
      </c>
      <c r="AV7" s="89"/>
      <c r="AW7" s="78"/>
      <c r="AX7" s="78"/>
      <c r="AY7" s="161"/>
      <c r="AZ7" s="328"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5"/>
      <c r="I8" s="60"/>
      <c r="J8" s="60"/>
      <c r="K8" s="60"/>
      <c r="L8" s="87"/>
      <c r="M8" s="63"/>
      <c r="N8" s="63"/>
      <c r="O8" s="63"/>
      <c r="P8" s="85"/>
      <c r="Q8" s="63" t="s">
        <v>62</v>
      </c>
      <c r="R8" s="63" t="s">
        <v>62</v>
      </c>
      <c r="S8" s="63"/>
      <c r="T8" s="63"/>
      <c r="U8" s="86"/>
      <c r="V8" s="60"/>
      <c r="W8" s="60"/>
      <c r="X8" s="72" t="s">
        <v>92</v>
      </c>
      <c r="Y8" s="62" t="s">
        <v>81</v>
      </c>
      <c r="Z8" s="67"/>
      <c r="AA8" s="62" t="s">
        <v>93</v>
      </c>
      <c r="AB8" s="67" t="s">
        <v>94</v>
      </c>
      <c r="AC8" s="69"/>
      <c r="AD8" s="69"/>
      <c r="AE8" s="87"/>
      <c r="AF8" s="90"/>
      <c r="AG8" s="90"/>
      <c r="AH8" s="83"/>
      <c r="AI8" s="93"/>
      <c r="AJ8" s="72"/>
      <c r="AK8" s="60"/>
      <c r="AL8" s="60"/>
      <c r="AM8" s="63"/>
      <c r="AN8" s="88"/>
      <c r="AO8" s="69"/>
      <c r="AP8" s="67"/>
      <c r="AQ8" s="74"/>
      <c r="AR8" s="69"/>
      <c r="AS8" s="75"/>
      <c r="AT8" s="75"/>
      <c r="AU8" s="76"/>
      <c r="AV8" s="89"/>
      <c r="AW8" s="78"/>
      <c r="AX8" s="78"/>
      <c r="AY8" s="161"/>
      <c r="AZ8" s="328"/>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5"/>
      <c r="I9" s="60"/>
      <c r="J9" s="60"/>
      <c r="K9" s="60"/>
      <c r="L9" s="87"/>
      <c r="M9" s="63"/>
      <c r="N9" s="63"/>
      <c r="O9" s="63"/>
      <c r="P9" s="85"/>
      <c r="Q9" s="63"/>
      <c r="R9" s="92" t="n">
        <v>4.2</v>
      </c>
      <c r="S9" s="63"/>
      <c r="T9" s="63"/>
      <c r="U9" s="86"/>
      <c r="V9" s="60"/>
      <c r="W9" s="60"/>
      <c r="X9" s="72"/>
      <c r="Y9" s="62" t="s">
        <v>92</v>
      </c>
      <c r="Z9" s="67"/>
      <c r="AA9" s="62" t="s">
        <v>92</v>
      </c>
      <c r="AB9" s="67" t="s">
        <v>95</v>
      </c>
      <c r="AC9" s="69"/>
      <c r="AD9" s="69"/>
      <c r="AE9" s="87"/>
      <c r="AF9" s="90"/>
      <c r="AG9" s="90"/>
      <c r="AH9" s="83"/>
      <c r="AI9" s="93"/>
      <c r="AJ9" s="72"/>
      <c r="AK9" s="60"/>
      <c r="AL9" s="60"/>
      <c r="AM9" s="63"/>
      <c r="AN9" s="88"/>
      <c r="AO9" s="69"/>
      <c r="AP9" s="67"/>
      <c r="AQ9" s="74"/>
      <c r="AR9" s="69"/>
      <c r="AS9" s="75"/>
      <c r="AT9" s="75"/>
      <c r="AU9" s="76"/>
      <c r="AV9" s="89"/>
      <c r="AW9" s="78"/>
      <c r="AX9" s="78"/>
      <c r="AY9" s="161"/>
      <c r="AZ9" s="328"/>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84"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329" t="s">
        <v>42</v>
      </c>
      <c r="AD10" s="63" t="s">
        <v>42</v>
      </c>
      <c r="AE10" s="87" t="s">
        <v>42</v>
      </c>
      <c r="AF10" s="63" t="s">
        <v>42</v>
      </c>
      <c r="AG10" s="63" t="s">
        <v>42</v>
      </c>
      <c r="AH10" s="83" t="s">
        <v>42</v>
      </c>
      <c r="AI10" s="63" t="s">
        <v>42</v>
      </c>
      <c r="AJ10" s="63" t="s">
        <v>42</v>
      </c>
      <c r="AK10" s="63" t="s">
        <v>42</v>
      </c>
      <c r="AL10" s="63" t="s">
        <v>42</v>
      </c>
      <c r="AM10" s="64" t="s">
        <v>42</v>
      </c>
      <c r="AN10" s="69" t="s">
        <v>42</v>
      </c>
      <c r="AO10" s="69" t="s">
        <v>42</v>
      </c>
      <c r="AP10" s="69" t="s">
        <v>42</v>
      </c>
      <c r="AQ10" s="74" t="s">
        <v>99</v>
      </c>
      <c r="AR10" s="69" t="s">
        <v>42</v>
      </c>
      <c r="AS10" s="69" t="s">
        <v>42</v>
      </c>
      <c r="AT10" s="69" t="s">
        <v>42</v>
      </c>
      <c r="AU10" s="69" t="s">
        <v>42</v>
      </c>
      <c r="AV10" s="89"/>
      <c r="AW10" s="78"/>
      <c r="AX10" s="78"/>
      <c r="AY10" s="161"/>
      <c r="AZ10" s="328"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5"/>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9"/>
      <c r="AD11" s="67"/>
      <c r="AE11" s="98"/>
      <c r="AF11" s="90"/>
      <c r="AG11" s="90"/>
      <c r="AH11" s="83"/>
      <c r="AI11" s="93"/>
      <c r="AJ11" s="99"/>
      <c r="AK11" s="60"/>
      <c r="AL11" s="60"/>
      <c r="AM11" s="63"/>
      <c r="AN11" s="88"/>
      <c r="AO11" s="69"/>
      <c r="AP11" s="67"/>
      <c r="AQ11" s="74"/>
      <c r="AR11" s="74"/>
      <c r="AS11" s="100"/>
      <c r="AT11" s="100"/>
      <c r="AU11" s="100"/>
      <c r="AV11" s="89"/>
      <c r="AW11" s="78"/>
      <c r="AX11" s="78"/>
      <c r="AY11" s="161"/>
      <c r="AZ11" s="328"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330"/>
      <c r="I12" s="123"/>
      <c r="J12" s="123"/>
      <c r="K12" s="123"/>
      <c r="L12" s="123"/>
      <c r="M12" s="242"/>
      <c r="N12" s="123"/>
      <c r="O12" s="123"/>
      <c r="P12" s="186"/>
      <c r="Q12" s="123"/>
      <c r="R12" s="123"/>
      <c r="S12" s="186"/>
      <c r="T12" s="186"/>
      <c r="U12" s="243"/>
      <c r="V12" s="123"/>
      <c r="W12" s="123"/>
      <c r="X12" s="123"/>
      <c r="Y12" s="123"/>
      <c r="Z12" s="123"/>
      <c r="AA12" s="123"/>
      <c r="AB12" s="123"/>
      <c r="AC12" s="156"/>
      <c r="AD12" s="123"/>
      <c r="AE12" s="123"/>
      <c r="AF12" s="242"/>
      <c r="AG12" s="245"/>
      <c r="AH12" s="123"/>
      <c r="AI12" s="123"/>
      <c r="AJ12" s="246"/>
      <c r="AK12" s="123"/>
      <c r="AL12" s="123"/>
      <c r="AM12" s="123"/>
      <c r="AN12" s="303"/>
      <c r="AO12" s="241"/>
      <c r="AP12" s="155"/>
      <c r="AQ12" s="248"/>
      <c r="AR12" s="248"/>
      <c r="AS12" s="331"/>
      <c r="AU12" s="91"/>
      <c r="AV12" s="304"/>
      <c r="AW12" s="241"/>
      <c r="AX12" s="241"/>
      <c r="AY12" s="283"/>
      <c r="AZ12" s="332"/>
      <c r="BA12" s="333"/>
      <c r="BB12" s="253"/>
    </row>
    <row r="13" s="260" customFormat="true" ht="12.95" hidden="false" customHeight="true" outlineLevel="0" collapsed="false">
      <c r="A13" s="176" t="s">
        <v>103</v>
      </c>
      <c r="B13" s="334" t="n">
        <f aca="false">JAN!B45</f>
        <v>6889.54</v>
      </c>
      <c r="C13" s="123" t="n">
        <f aca="false">JAN!C45</f>
        <v>246619</v>
      </c>
      <c r="D13" s="123" t="n">
        <f aca="false">JAN!D54</f>
        <v>3451</v>
      </c>
      <c r="E13" s="123" t="n">
        <f aca="false">JAN!E54</f>
        <v>94619</v>
      </c>
      <c r="F13" s="240" t="n">
        <f aca="false">JAN!F53</f>
        <v>1739.85379379884</v>
      </c>
      <c r="G13" s="123" t="n">
        <f aca="false">JAN!G53</f>
        <v>6526.79279480716</v>
      </c>
      <c r="H13" s="335" t="n">
        <f aca="false">JAN!H53</f>
        <v>1.359</v>
      </c>
      <c r="I13" s="123" t="n">
        <f aca="false">JAN!I53</f>
        <v>6528.15179480716</v>
      </c>
      <c r="J13" s="255" t="n">
        <f aca="false">JAN!J53</f>
        <v>242.311325938997</v>
      </c>
      <c r="K13" s="123" t="n">
        <f aca="false">JAN!K53</f>
        <v>6770.46312074616</v>
      </c>
      <c r="L13" s="297" t="n">
        <f aca="false">JAN!L53</f>
        <v>-45.6810010083185</v>
      </c>
      <c r="M13" s="123" t="n">
        <f aca="false">JAN!M53</f>
        <v>340.55</v>
      </c>
      <c r="N13" s="255" t="n">
        <f aca="false">JAN!N53</f>
        <v>0</v>
      </c>
      <c r="O13" s="123" t="n">
        <f aca="false">JAN!O53</f>
        <v>0</v>
      </c>
      <c r="P13" s="123" t="n">
        <f aca="false">JAN!P53</f>
        <v>0</v>
      </c>
      <c r="Q13" s="123" t="n">
        <f aca="false">JAN!Q53</f>
        <v>143.44141760277</v>
      </c>
      <c r="R13" s="255" t="n">
        <f aca="false">JAN!R53</f>
        <v>148.69703888</v>
      </c>
      <c r="S13" s="123" t="n">
        <f aca="false">JAN!S53</f>
        <v>0</v>
      </c>
      <c r="T13" s="123" t="n">
        <f aca="false">JAN!T53</f>
        <v>51.91896112</v>
      </c>
      <c r="U13" s="297" t="n">
        <f aca="false">JAN!U53</f>
        <v>-3.50741760276956</v>
      </c>
      <c r="V13" s="123" t="n">
        <f aca="false">JAN!V53</f>
        <v>1612.52</v>
      </c>
      <c r="W13" s="255" t="n">
        <f aca="false">JAN!W53</f>
        <v>0.047</v>
      </c>
      <c r="X13" s="123" t="n">
        <f aca="false">JAN!X53</f>
        <v>1588.7929</v>
      </c>
      <c r="Y13" s="255" t="n">
        <f aca="false">JAN!Y53</f>
        <v>1588.7929</v>
      </c>
      <c r="Z13" s="123"/>
      <c r="AA13" s="123"/>
      <c r="AB13" s="123"/>
      <c r="AC13" s="306" t="n">
        <f aca="false">JAN!AC53</f>
        <v>1714.07656152266</v>
      </c>
      <c r="AD13" s="123"/>
      <c r="AE13" s="123"/>
      <c r="AF13" s="242"/>
      <c r="AG13" s="245"/>
      <c r="AH13" s="255" t="n">
        <f aca="false">JAN!AH53</f>
        <v>2789.5</v>
      </c>
      <c r="AI13" s="255" t="n">
        <f aca="false">JAN!AI53</f>
        <v>2428.75787748928</v>
      </c>
      <c r="AJ13" s="255" t="n">
        <f aca="false">JAN!AJ53</f>
        <v>0</v>
      </c>
      <c r="AK13" s="255" t="n">
        <f aca="false">JAN!AK53</f>
        <v>4742.617</v>
      </c>
      <c r="AL13" s="255" t="n">
        <f aca="false">JAN!AL53</f>
        <v>287.992326947315</v>
      </c>
      <c r="AM13" s="255" t="n">
        <f aca="false">JAN!AM53</f>
        <v>5030.60932694731</v>
      </c>
      <c r="AN13" s="303" t="n">
        <f aca="false">JAN!AN53</f>
        <v>1611.4</v>
      </c>
      <c r="AO13" s="306" t="n">
        <f aca="false">JAN!AO53</f>
        <v>0</v>
      </c>
      <c r="AP13" s="123"/>
      <c r="AQ13" s="155"/>
      <c r="AR13" s="155"/>
      <c r="AS13" s="123"/>
      <c r="AT13" s="176"/>
      <c r="AU13" s="124"/>
      <c r="AV13" s="307" t="n">
        <f aca="false">JAN!AV53</f>
        <v>6.555</v>
      </c>
      <c r="AW13" s="241"/>
      <c r="AX13" s="241"/>
      <c r="AY13" s="336"/>
      <c r="AZ13" s="308" t="n">
        <f aca="false">JAN!AZ53</f>
        <v>340.55</v>
      </c>
      <c r="BA13" s="252" t="n">
        <f aca="false">JAN!BA53</f>
        <v>35.097</v>
      </c>
      <c r="BB13" s="259"/>
    </row>
    <row r="14" customFormat="false" ht="3" hidden="false" customHeight="true" outlineLevel="0" collapsed="false">
      <c r="A14" s="261"/>
      <c r="B14" s="262"/>
      <c r="C14" s="263"/>
      <c r="D14" s="264"/>
      <c r="E14" s="263"/>
      <c r="F14" s="265"/>
      <c r="G14" s="264"/>
      <c r="H14" s="337"/>
      <c r="I14" s="264"/>
      <c r="J14" s="264"/>
      <c r="K14" s="264"/>
      <c r="L14" s="264"/>
      <c r="M14" s="267"/>
      <c r="N14" s="264"/>
      <c r="O14" s="264"/>
      <c r="P14" s="268"/>
      <c r="Q14" s="264"/>
      <c r="R14" s="264"/>
      <c r="S14" s="268"/>
      <c r="T14" s="268"/>
      <c r="U14" s="269"/>
      <c r="V14" s="264"/>
      <c r="W14" s="264"/>
      <c r="X14" s="264"/>
      <c r="Y14" s="264"/>
      <c r="Z14" s="264"/>
      <c r="AA14" s="264"/>
      <c r="AB14" s="263"/>
      <c r="AC14" s="271"/>
      <c r="AD14" s="263"/>
      <c r="AE14" s="264"/>
      <c r="AF14" s="267"/>
      <c r="AG14" s="272"/>
      <c r="AH14" s="264"/>
      <c r="AI14" s="263"/>
      <c r="AJ14" s="338"/>
      <c r="AK14" s="264"/>
      <c r="AL14" s="264"/>
      <c r="AM14" s="264"/>
      <c r="AN14" s="309"/>
      <c r="AO14" s="274"/>
      <c r="AP14" s="274"/>
      <c r="AQ14" s="274"/>
      <c r="AR14" s="274"/>
      <c r="AS14" s="274"/>
      <c r="AT14" s="339"/>
      <c r="AU14" s="340"/>
      <c r="AV14" s="294"/>
      <c r="AW14" s="274"/>
      <c r="AX14" s="274"/>
      <c r="AY14" s="274"/>
      <c r="AZ14" s="274"/>
      <c r="BA14" s="274"/>
      <c r="BB14" s="274"/>
    </row>
    <row r="15" customFormat="false" ht="12.75" hidden="false" customHeight="true" outlineLevel="0" collapsed="false">
      <c r="A15" s="207" t="n">
        <v>1</v>
      </c>
      <c r="B15" s="122" t="n">
        <v>6889.6</v>
      </c>
      <c r="C15" s="123" t="n">
        <v>246821</v>
      </c>
      <c r="D15" s="241" t="n">
        <f aca="false">C15-C13</f>
        <v>202</v>
      </c>
      <c r="E15" s="123" t="n">
        <f aca="false">C15-152000</f>
        <v>94821</v>
      </c>
      <c r="F15" s="277" t="n">
        <f aca="false">D15/$D$2</f>
        <v>101.840181497353</v>
      </c>
      <c r="G15" s="155" t="n">
        <v>135.790181497353</v>
      </c>
      <c r="H15" s="330" t="n">
        <v>0</v>
      </c>
      <c r="I15" s="155" t="n">
        <f aca="false">G15+H15</f>
        <v>135.790181497353</v>
      </c>
      <c r="J15" s="156" t="n">
        <f aca="false">IF(L15&gt;0,L15,0)</f>
        <v>0</v>
      </c>
      <c r="K15" s="155" t="n">
        <f aca="false">I15+J15</f>
        <v>135.790181497353</v>
      </c>
      <c r="L15" s="155" t="n">
        <f aca="false">F15-(I15-AK15)</f>
        <v>0</v>
      </c>
      <c r="M15" s="279" t="n">
        <v>3.75</v>
      </c>
      <c r="N15" s="155" t="n">
        <v>0</v>
      </c>
      <c r="O15" s="155" t="n">
        <f aca="false">0*1.05</f>
        <v>0</v>
      </c>
      <c r="P15" s="186" t="n">
        <v>0</v>
      </c>
      <c r="Q15" s="301" t="n">
        <f aca="false">999700/325851/1.9835*1.02</f>
        <v>1.5776788405744</v>
      </c>
      <c r="R15" s="151" t="n">
        <f aca="false">IF(((2*1.04)-T15)&gt;=4.2,4.2,(2*1.04)-T15)</f>
        <v>1.52527232</v>
      </c>
      <c r="S15" s="96" t="n">
        <f aca="false">IF(((2*1.04)-T15)&gt;=4.2,((2*1.04)-T15)-4.2,0)</f>
        <v>0</v>
      </c>
      <c r="T15" s="151" t="n">
        <f aca="false">(0.5032*1.06)*1.04</f>
        <v>0.55472768</v>
      </c>
      <c r="U15" s="111" t="n">
        <f aca="false">M15-(Q15+R15+S15+T15)</f>
        <v>0.0923211594255964</v>
      </c>
      <c r="V15" s="155" t="n">
        <v>0</v>
      </c>
      <c r="W15" s="155" t="n">
        <v>0</v>
      </c>
      <c r="X15" s="155" t="n">
        <f aca="false">M15-N15-O15-P15-Q15-R15-S15-T15-U15+V15+W15</f>
        <v>0</v>
      </c>
      <c r="Y15" s="155" t="n">
        <f aca="false">X15-AO15</f>
        <v>0</v>
      </c>
      <c r="Z15" s="155"/>
      <c r="AA15" s="155"/>
      <c r="AB15" s="123"/>
      <c r="AC15" s="156"/>
      <c r="AD15" s="123"/>
      <c r="AE15" s="155" t="n">
        <v>0</v>
      </c>
      <c r="AF15" s="279"/>
      <c r="AG15" s="281"/>
      <c r="AH15" s="155" t="n">
        <v>30.2</v>
      </c>
      <c r="AI15" s="123" t="n">
        <f aca="false">AI13-AH15</f>
        <v>2398.55787748928</v>
      </c>
      <c r="AJ15" s="246"/>
      <c r="AK15" s="154" t="n">
        <f aca="false">N15+O15+P15+Q15+R15+S15+T15+U15+X15+AE15+AH15</f>
        <v>33.95</v>
      </c>
      <c r="AL15" s="155" t="n">
        <f aca="false">IF(L15&lt;0,L15*-1,0)</f>
        <v>0</v>
      </c>
      <c r="AM15" s="155" t="n">
        <f aca="false">AK15+AL15</f>
        <v>33.95</v>
      </c>
      <c r="AN15" s="284"/>
      <c r="AO15" s="241"/>
      <c r="AP15" s="248"/>
      <c r="AQ15" s="123"/>
      <c r="AR15" s="123"/>
      <c r="AS15" s="331"/>
      <c r="AU15" s="91"/>
      <c r="AV15" s="304" t="n">
        <v>0.42</v>
      </c>
      <c r="AW15" s="241" t="n">
        <v>37</v>
      </c>
      <c r="AX15" s="241" t="n">
        <v>17</v>
      </c>
      <c r="AY15" s="283"/>
      <c r="AZ15" s="282" t="n">
        <f aca="false">SUM(N15,P15:U15)</f>
        <v>3.75</v>
      </c>
      <c r="BA15" s="208" t="n">
        <v>0.811</v>
      </c>
      <c r="BB15" s="283" t="n">
        <v>19196</v>
      </c>
    </row>
    <row r="16" customFormat="false" ht="12.95" hidden="false" customHeight="true" outlineLevel="0" collapsed="false">
      <c r="A16" s="207" t="n">
        <f aca="false">A15+1</f>
        <v>2</v>
      </c>
      <c r="B16" s="122" t="n">
        <v>6889.61</v>
      </c>
      <c r="C16" s="123" t="n">
        <v>246855</v>
      </c>
      <c r="D16" s="241" t="n">
        <f aca="false">C16-C15</f>
        <v>34</v>
      </c>
      <c r="E16" s="123" t="n">
        <f aca="false">C16-152000</f>
        <v>94855</v>
      </c>
      <c r="F16" s="277" t="n">
        <f aca="false">D16/$D$2</f>
        <v>17.1414166876733</v>
      </c>
      <c r="G16" s="155" t="n">
        <v>50.3814166876733</v>
      </c>
      <c r="H16" s="330" t="n">
        <v>0</v>
      </c>
      <c r="I16" s="155" t="n">
        <f aca="false">G16+H16</f>
        <v>50.3814166876733</v>
      </c>
      <c r="J16" s="156" t="n">
        <f aca="false">IF(L16&gt;0,L16,0)</f>
        <v>0</v>
      </c>
      <c r="K16" s="155" t="n">
        <f aca="false">I16+J16</f>
        <v>50.3814166876733</v>
      </c>
      <c r="L16" s="155" t="n">
        <f aca="false">F16-(I16-AK16)</f>
        <v>0</v>
      </c>
      <c r="M16" s="279" t="n">
        <v>3.14</v>
      </c>
      <c r="N16" s="155" t="n">
        <v>0</v>
      </c>
      <c r="O16" s="155" t="n">
        <f aca="false">0*1.05</f>
        <v>0</v>
      </c>
      <c r="P16" s="186" t="n">
        <v>0</v>
      </c>
      <c r="Q16" s="301" t="n">
        <f aca="false">949700/325851/1.9835*1.02</f>
        <v>1.49877122626139</v>
      </c>
      <c r="R16" s="151" t="n">
        <f aca="false">IF(((1.8*1.04)-T16)&gt;=4.2,4.2,(1.8*1.04)-T16)</f>
        <v>1.31727232</v>
      </c>
      <c r="S16" s="96" t="n">
        <f aca="false">IF(((1.8*1.04)-T16)&gt;=4.2,((1.8*1.04)-T16)-4.2,0)</f>
        <v>0</v>
      </c>
      <c r="T16" s="151" t="n">
        <f aca="false">(0.5032*1.06)*1.04</f>
        <v>0.55472768</v>
      </c>
      <c r="U16" s="111" t="n">
        <f aca="false">M16-(Q16+R16+S16+T16)</f>
        <v>-0.23077122626139</v>
      </c>
      <c r="V16" s="155" t="n">
        <v>0</v>
      </c>
      <c r="W16" s="155" t="n">
        <v>0</v>
      </c>
      <c r="X16" s="155" t="n">
        <f aca="false">M16-N16-O16-P16-Q16-R16-S16-T16-U16+V16+W16</f>
        <v>0</v>
      </c>
      <c r="Y16" s="155" t="n">
        <f aca="false">X16-AO16</f>
        <v>0</v>
      </c>
      <c r="Z16" s="155"/>
      <c r="AA16" s="155"/>
      <c r="AB16" s="123"/>
      <c r="AC16" s="156"/>
      <c r="AD16" s="123"/>
      <c r="AE16" s="155" t="n">
        <v>0</v>
      </c>
      <c r="AF16" s="279"/>
      <c r="AG16" s="281"/>
      <c r="AH16" s="155" t="n">
        <v>30.1</v>
      </c>
      <c r="AI16" s="123" t="n">
        <f aca="false">AI15-AH16</f>
        <v>2368.45787748928</v>
      </c>
      <c r="AJ16" s="246"/>
      <c r="AK16" s="154" t="n">
        <f aca="false">N16+O16+P16+Q16+R16+S16+T16+U16+X16+AE16+AH16</f>
        <v>33.24</v>
      </c>
      <c r="AL16" s="155" t="n">
        <f aca="false">IF(L16&lt;0,L16*-1,0)</f>
        <v>0</v>
      </c>
      <c r="AM16" s="155" t="n">
        <f aca="false">AK16+AL16</f>
        <v>33.24</v>
      </c>
      <c r="AN16" s="284"/>
      <c r="AO16" s="241"/>
      <c r="AP16" s="248"/>
      <c r="AQ16" s="123"/>
      <c r="AR16" s="123"/>
      <c r="AS16" s="331"/>
      <c r="AU16" s="91"/>
      <c r="AV16" s="304" t="n">
        <v>0</v>
      </c>
      <c r="AW16" s="241" t="n">
        <v>21</v>
      </c>
      <c r="AX16" s="241" t="n">
        <v>6</v>
      </c>
      <c r="AY16" s="283"/>
      <c r="AZ16" s="282" t="n">
        <f aca="false">SUM(N16,P16:U16)</f>
        <v>3.14</v>
      </c>
      <c r="BA16" s="208" t="n">
        <v>0.813</v>
      </c>
      <c r="BB16" s="283" t="n">
        <v>19212</v>
      </c>
    </row>
    <row r="17" customFormat="false" ht="12.95" hidden="false" customHeight="true" outlineLevel="0" collapsed="false">
      <c r="A17" s="207" t="n">
        <f aca="false">A16+1</f>
        <v>3</v>
      </c>
      <c r="B17" s="122" t="n">
        <v>6889.61</v>
      </c>
      <c r="C17" s="123" t="n">
        <v>246855</v>
      </c>
      <c r="D17" s="241" t="n">
        <f aca="false">C17-C16</f>
        <v>0</v>
      </c>
      <c r="E17" s="123" t="n">
        <f aca="false">C17-152000</f>
        <v>94855</v>
      </c>
      <c r="F17" s="277" t="n">
        <f aca="false">D17/$D$2</f>
        <v>0</v>
      </c>
      <c r="G17" s="155" t="n">
        <v>33.06</v>
      </c>
      <c r="H17" s="330" t="n">
        <v>0</v>
      </c>
      <c r="I17" s="155" t="n">
        <f aca="false">G17+H17</f>
        <v>33.06</v>
      </c>
      <c r="J17" s="156" t="n">
        <f aca="false">IF(L17&gt;0,L17,0)</f>
        <v>0</v>
      </c>
      <c r="K17" s="155" t="n">
        <f aca="false">I17+J17</f>
        <v>33.06</v>
      </c>
      <c r="L17" s="155" t="n">
        <f aca="false">F17-(I17-AK17)</f>
        <v>0</v>
      </c>
      <c r="M17" s="279" t="n">
        <v>2.96</v>
      </c>
      <c r="N17" s="155" t="n">
        <v>0</v>
      </c>
      <c r="O17" s="155" t="n">
        <f aca="false">0*1.05</f>
        <v>0</v>
      </c>
      <c r="P17" s="186" t="n">
        <v>0</v>
      </c>
      <c r="Q17" s="301" t="n">
        <f aca="false">933500/325851/1.9835*1.02</f>
        <v>1.47320515922397</v>
      </c>
      <c r="R17" s="151" t="n">
        <f aca="false">IF(((2*1.04)-T17)&gt;=4.2,4.2,(2*1.04)-T17)</f>
        <v>1.52527232</v>
      </c>
      <c r="S17" s="96" t="n">
        <f aca="false">IF(((2*1.04)-T17)&gt;=4.2,((2*1.04)-T17)-4.2,0)</f>
        <v>0</v>
      </c>
      <c r="T17" s="151" t="n">
        <f aca="false">(0.5032*1.06)*1.04</f>
        <v>0.55472768</v>
      </c>
      <c r="U17" s="111" t="n">
        <f aca="false">M17-(Q17+R17+S17+T17)</f>
        <v>-0.593205159223973</v>
      </c>
      <c r="V17" s="155" t="n">
        <v>0</v>
      </c>
      <c r="W17" s="155" t="n">
        <v>0</v>
      </c>
      <c r="X17" s="155" t="n">
        <f aca="false">M17-N17-O17-P17-Q17-R17-S17-T17-U17+V17+W17</f>
        <v>0</v>
      </c>
      <c r="Y17" s="155" t="n">
        <f aca="false">X17-AO17</f>
        <v>0</v>
      </c>
      <c r="Z17" s="155"/>
      <c r="AA17" s="155"/>
      <c r="AB17" s="123"/>
      <c r="AC17" s="156"/>
      <c r="AD17" s="123"/>
      <c r="AE17" s="155" t="n">
        <v>0</v>
      </c>
      <c r="AF17" s="279"/>
      <c r="AG17" s="281"/>
      <c r="AH17" s="155" t="n">
        <v>30.1</v>
      </c>
      <c r="AI17" s="123" t="n">
        <f aca="false">AI16-AH17</f>
        <v>2338.35787748928</v>
      </c>
      <c r="AJ17" s="246"/>
      <c r="AK17" s="154" t="n">
        <f aca="false">N17+O17+P17+Q17+R17+S17+T17+U17+X17+AE17+AH17</f>
        <v>33.06</v>
      </c>
      <c r="AL17" s="155" t="n">
        <f aca="false">IF(L17&lt;0,L17*-1,0)</f>
        <v>0</v>
      </c>
      <c r="AM17" s="155" t="n">
        <f aca="false">AK17+AL17</f>
        <v>33.06</v>
      </c>
      <c r="AN17" s="284"/>
      <c r="AO17" s="241"/>
      <c r="AP17" s="248"/>
      <c r="AQ17" s="123"/>
      <c r="AR17" s="123"/>
      <c r="AS17" s="331"/>
      <c r="AU17" s="91"/>
      <c r="AV17" s="304" t="n">
        <v>0</v>
      </c>
      <c r="AW17" s="241" t="n">
        <v>26</v>
      </c>
      <c r="AX17" s="241" t="n">
        <v>-3</v>
      </c>
      <c r="AY17" s="283"/>
      <c r="AZ17" s="282" t="n">
        <f aca="false">SUM(N17,P17:U17)</f>
        <v>2.96</v>
      </c>
      <c r="BA17" s="208" t="n">
        <v>0.813</v>
      </c>
      <c r="BB17" s="283" t="n">
        <v>19223</v>
      </c>
    </row>
    <row r="18" customFormat="false" ht="12.95" hidden="false" customHeight="true" outlineLevel="0" collapsed="false">
      <c r="A18" s="341" t="n">
        <f aca="false">A17+1</f>
        <v>4</v>
      </c>
      <c r="B18" s="342" t="n">
        <v>6889.64</v>
      </c>
      <c r="C18" s="123" t="n">
        <v>246956</v>
      </c>
      <c r="D18" s="241" t="n">
        <f aca="false">C18-C17</f>
        <v>101</v>
      </c>
      <c r="E18" s="123" t="n">
        <f aca="false">C18-152000</f>
        <v>94956</v>
      </c>
      <c r="F18" s="277" t="n">
        <f aca="false">D18/$D$2</f>
        <v>50.9200907486766</v>
      </c>
      <c r="G18" s="155" t="n">
        <v>83.7400907486766</v>
      </c>
      <c r="H18" s="330" t="n">
        <v>0</v>
      </c>
      <c r="I18" s="155" t="n">
        <f aca="false">G18+H18</f>
        <v>83.7400907486766</v>
      </c>
      <c r="J18" s="156" t="n">
        <f aca="false">IF(L18&gt;0,L18,0)</f>
        <v>0</v>
      </c>
      <c r="K18" s="155" t="n">
        <f aca="false">I18+J18</f>
        <v>83.7400907486766</v>
      </c>
      <c r="L18" s="155" t="n">
        <f aca="false">F18-(I18-AK18)</f>
        <v>0</v>
      </c>
      <c r="M18" s="279" t="n">
        <v>2.72</v>
      </c>
      <c r="N18" s="155" t="n">
        <v>0</v>
      </c>
      <c r="O18" s="155" t="n">
        <f aca="false">0*1.05</f>
        <v>0</v>
      </c>
      <c r="P18" s="186" t="n">
        <v>0</v>
      </c>
      <c r="Q18" s="301" t="n">
        <f aca="false">1068600/325851/1.9835*1.02</f>
        <v>1.68641353309774</v>
      </c>
      <c r="R18" s="151" t="n">
        <f aca="false">IF(((1.6*1.04)-T18)&gt;=4.2,4.2,(1.6*1.04)-T18)</f>
        <v>1.10927232</v>
      </c>
      <c r="S18" s="96" t="n">
        <f aca="false">IF(((1.6*1.04)-T18)&gt;=4.2,((1.6*1.04)-T18)-4.2,0)</f>
        <v>0</v>
      </c>
      <c r="T18" s="151" t="n">
        <f aca="false">(0.5032*1.06)*1.04</f>
        <v>0.55472768</v>
      </c>
      <c r="U18" s="111" t="n">
        <f aca="false">M18-(Q18+R18+S18+T18)</f>
        <v>-0.630413533097737</v>
      </c>
      <c r="V18" s="155" t="n">
        <v>0</v>
      </c>
      <c r="W18" s="155" t="n">
        <v>0</v>
      </c>
      <c r="X18" s="155" t="n">
        <f aca="false">M18-N18-O18-P18-Q18-R18-S18-T18-U18+V18+W18</f>
        <v>0</v>
      </c>
      <c r="Y18" s="155" t="n">
        <f aca="false">X18-AO18</f>
        <v>0</v>
      </c>
      <c r="Z18" s="155"/>
      <c r="AA18" s="155"/>
      <c r="AB18" s="123"/>
      <c r="AC18" s="156"/>
      <c r="AD18" s="123"/>
      <c r="AE18" s="155" t="n">
        <v>0</v>
      </c>
      <c r="AF18" s="279"/>
      <c r="AG18" s="281"/>
      <c r="AH18" s="155" t="n">
        <v>30.1</v>
      </c>
      <c r="AI18" s="123" t="n">
        <f aca="false">AI17-AH18</f>
        <v>2308.25787748928</v>
      </c>
      <c r="AJ18" s="246"/>
      <c r="AK18" s="154" t="n">
        <f aca="false">N18+O18+P18+Q18+R18+S18+T18+U18+X18+AE18+AH18</f>
        <v>32.82</v>
      </c>
      <c r="AL18" s="155" t="n">
        <f aca="false">IF(L18&lt;0,L18*-1,0)</f>
        <v>0</v>
      </c>
      <c r="AM18" s="155" t="n">
        <f aca="false">AK18+AL18</f>
        <v>32.82</v>
      </c>
      <c r="AN18" s="284"/>
      <c r="AO18" s="241"/>
      <c r="AP18" s="248"/>
      <c r="AQ18" s="123"/>
      <c r="AR18" s="123"/>
      <c r="AS18" s="331"/>
      <c r="AU18" s="91"/>
      <c r="AV18" s="304" t="n">
        <v>0</v>
      </c>
      <c r="AW18" s="241" t="n">
        <v>27</v>
      </c>
      <c r="AX18" s="241" t="n">
        <v>-6</v>
      </c>
      <c r="AY18" s="283"/>
      <c r="AZ18" s="282" t="n">
        <f aca="false">SUM(N18,P18:U18)</f>
        <v>2.72</v>
      </c>
      <c r="BA18" s="208" t="n">
        <v>0.813</v>
      </c>
      <c r="BB18" s="283" t="n">
        <v>19221</v>
      </c>
    </row>
    <row r="19" customFormat="false" ht="12.95" hidden="false" customHeight="true" outlineLevel="0" collapsed="false">
      <c r="A19" s="341" t="n">
        <f aca="false">A18+1</f>
        <v>5</v>
      </c>
      <c r="B19" s="342" t="n">
        <v>6889.64</v>
      </c>
      <c r="C19" s="123" t="n">
        <v>246956</v>
      </c>
      <c r="D19" s="241" t="n">
        <f aca="false">C19-C18</f>
        <v>0</v>
      </c>
      <c r="E19" s="123" t="n">
        <f aca="false">C19-152000</f>
        <v>94956</v>
      </c>
      <c r="F19" s="277" t="n">
        <f aca="false">D19/$D$2</f>
        <v>0</v>
      </c>
      <c r="G19" s="155" t="n">
        <v>33.93</v>
      </c>
      <c r="H19" s="330" t="n">
        <v>0</v>
      </c>
      <c r="I19" s="155" t="n">
        <f aca="false">G19+H19</f>
        <v>33.93</v>
      </c>
      <c r="J19" s="156" t="n">
        <f aca="false">IF(L19&gt;0,L19,0)</f>
        <v>0</v>
      </c>
      <c r="K19" s="155" t="n">
        <f aca="false">I19+J19</f>
        <v>33.93</v>
      </c>
      <c r="L19" s="155" t="n">
        <f aca="false">F19-(I19-AK19)</f>
        <v>0</v>
      </c>
      <c r="M19" s="279" t="n">
        <v>3.83</v>
      </c>
      <c r="N19" s="155" t="n">
        <v>0</v>
      </c>
      <c r="O19" s="155" t="n">
        <f aca="false">0*1.05</f>
        <v>0</v>
      </c>
      <c r="P19" s="186" t="n">
        <v>0</v>
      </c>
      <c r="Q19" s="301" t="n">
        <f aca="false">1106100/325851/1.9835*1.02</f>
        <v>1.7455942438325</v>
      </c>
      <c r="R19" s="151" t="n">
        <f aca="false">IF(((1.8*1.04)-T19)&gt;=4.2,4.2,(1.8*1.04)-T19)</f>
        <v>1.37724288</v>
      </c>
      <c r="S19" s="96" t="n">
        <f aca="false">IF(((1.8*1.04)-T19)&gt;=4.2,((1.8*1.04)-T19)-4.2,0)</f>
        <v>0</v>
      </c>
      <c r="T19" s="151" t="n">
        <f aca="false">(0.4488*1.06)*1.04</f>
        <v>0.49475712</v>
      </c>
      <c r="U19" s="111" t="n">
        <f aca="false">M19-(Q19+R19+S19+T19)</f>
        <v>0.212405756167502</v>
      </c>
      <c r="V19" s="155" t="n">
        <v>0</v>
      </c>
      <c r="W19" s="155" t="n">
        <v>0</v>
      </c>
      <c r="X19" s="155" t="n">
        <f aca="false">M19-N19-O19-P19-Q19-R19-S19-T19-U19+V19+W19</f>
        <v>0</v>
      </c>
      <c r="Y19" s="155" t="n">
        <f aca="false">X19-AO19</f>
        <v>0</v>
      </c>
      <c r="Z19" s="155"/>
      <c r="AA19" s="155"/>
      <c r="AB19" s="123"/>
      <c r="AC19" s="156"/>
      <c r="AD19" s="123"/>
      <c r="AE19" s="155" t="n">
        <v>0</v>
      </c>
      <c r="AF19" s="279"/>
      <c r="AG19" s="281"/>
      <c r="AH19" s="155" t="n">
        <v>30.1</v>
      </c>
      <c r="AI19" s="123" t="n">
        <f aca="false">AI18-AH19</f>
        <v>2278.15787748928</v>
      </c>
      <c r="AJ19" s="246"/>
      <c r="AK19" s="154" t="n">
        <f aca="false">N19+O19+P19+Q19+R19+S19+T19+U19+X19+AE19+AH19</f>
        <v>33.93</v>
      </c>
      <c r="AL19" s="155" t="n">
        <f aca="false">IF(L19&lt;0,L19*-1,0)</f>
        <v>0</v>
      </c>
      <c r="AM19" s="155" t="n">
        <f aca="false">AK19+AL19</f>
        <v>33.93</v>
      </c>
      <c r="AN19" s="284"/>
      <c r="AO19" s="241"/>
      <c r="AP19" s="248"/>
      <c r="AQ19" s="123"/>
      <c r="AR19" s="123"/>
      <c r="AS19" s="331"/>
      <c r="AU19" s="91"/>
      <c r="AV19" s="304" t="n">
        <v>0</v>
      </c>
      <c r="AW19" s="241" t="n">
        <v>35</v>
      </c>
      <c r="AX19" s="241" t="n">
        <v>3</v>
      </c>
      <c r="AY19" s="283"/>
      <c r="AZ19" s="282" t="n">
        <f aca="false">SUM(N19,P19:U19)</f>
        <v>3.83</v>
      </c>
      <c r="BA19" s="208" t="n">
        <v>0.813</v>
      </c>
      <c r="BB19" s="283" t="n">
        <v>19222</v>
      </c>
    </row>
    <row r="20" customFormat="false" ht="12.95" hidden="false" customHeight="true" outlineLevel="0" collapsed="false">
      <c r="A20" s="207" t="n">
        <f aca="false">A19+1</f>
        <v>6</v>
      </c>
      <c r="B20" s="122" t="n">
        <v>6889.66</v>
      </c>
      <c r="C20" s="123" t="n">
        <v>247023</v>
      </c>
      <c r="D20" s="241" t="n">
        <f aca="false">C20-C19</f>
        <v>67</v>
      </c>
      <c r="E20" s="123" t="n">
        <f aca="false">C20-152000</f>
        <v>95023</v>
      </c>
      <c r="F20" s="277" t="n">
        <f aca="false">D20/$D$2</f>
        <v>33.7786740610033</v>
      </c>
      <c r="G20" s="155" t="n">
        <v>67.6986740610033</v>
      </c>
      <c r="H20" s="330" t="n">
        <v>0</v>
      </c>
      <c r="I20" s="155" t="n">
        <f aca="false">G20+H20</f>
        <v>67.6986740610033</v>
      </c>
      <c r="J20" s="156" t="n">
        <f aca="false">IF(L20&gt;0,L20,0)</f>
        <v>0</v>
      </c>
      <c r="K20" s="155" t="n">
        <f aca="false">I20+J20</f>
        <v>67.6986740610033</v>
      </c>
      <c r="L20" s="155" t="n">
        <f aca="false">F20-(I20-AK20)</f>
        <v>0</v>
      </c>
      <c r="M20" s="279" t="n">
        <v>3.72</v>
      </c>
      <c r="N20" s="155" t="n">
        <v>0</v>
      </c>
      <c r="O20" s="155" t="n">
        <f aca="false">0*1.05</f>
        <v>0</v>
      </c>
      <c r="P20" s="186" t="n">
        <v>0</v>
      </c>
      <c r="Q20" s="301" t="n">
        <f aca="false">930800/325851/1.9835*1.02</f>
        <v>1.46894414805107</v>
      </c>
      <c r="R20" s="151" t="n">
        <f aca="false">IF(((2*1.04)-T20)&gt;=4.2,4.2,(2*1.04)-T20)</f>
        <v>1.58524288</v>
      </c>
      <c r="S20" s="96" t="n">
        <f aca="false">IF(((2*1.04)-T20)&gt;=4.2,((2*1.04)-T20)-4.2,0)</f>
        <v>0</v>
      </c>
      <c r="T20" s="151" t="n">
        <f aca="false">(0.4488*1.06)*1.04</f>
        <v>0.49475712</v>
      </c>
      <c r="U20" s="111" t="n">
        <f aca="false">M20-(Q20+R20+S20+T20)</f>
        <v>0.17105585194893</v>
      </c>
      <c r="V20" s="155" t="n">
        <v>0</v>
      </c>
      <c r="W20" s="155" t="n">
        <v>0</v>
      </c>
      <c r="X20" s="155" t="n">
        <f aca="false">M20-N20-O20-P20-Q20-R20-S20-T20-U20+V20+W20</f>
        <v>0</v>
      </c>
      <c r="Y20" s="155" t="n">
        <f aca="false">X20-AO20</f>
        <v>0</v>
      </c>
      <c r="Z20" s="155"/>
      <c r="AA20" s="155"/>
      <c r="AB20" s="123"/>
      <c r="AC20" s="156"/>
      <c r="AD20" s="123"/>
      <c r="AE20" s="155" t="n">
        <v>0</v>
      </c>
      <c r="AF20" s="279"/>
      <c r="AG20" s="281"/>
      <c r="AH20" s="155" t="n">
        <v>30.2</v>
      </c>
      <c r="AI20" s="123" t="n">
        <f aca="false">AI19-AH20</f>
        <v>2247.95787748928</v>
      </c>
      <c r="AJ20" s="246"/>
      <c r="AK20" s="154" t="n">
        <f aca="false">N20+O20+P20+Q20+R20+S20+T20+U20+X20+AE20+AH20</f>
        <v>33.92</v>
      </c>
      <c r="AL20" s="155" t="n">
        <f aca="false">IF(L20&lt;0,L20*-1,0)</f>
        <v>0</v>
      </c>
      <c r="AM20" s="155" t="n">
        <f aca="false">AK20+AL20</f>
        <v>33.92</v>
      </c>
      <c r="AN20" s="284"/>
      <c r="AO20" s="241"/>
      <c r="AP20" s="155"/>
      <c r="AQ20" s="123"/>
      <c r="AR20" s="123"/>
      <c r="AS20" s="331"/>
      <c r="AU20" s="91"/>
      <c r="AV20" s="304" t="n">
        <v>0</v>
      </c>
      <c r="AW20" s="241" t="n">
        <v>41</v>
      </c>
      <c r="AX20" s="241" t="n">
        <v>4</v>
      </c>
      <c r="AY20" s="283"/>
      <c r="AZ20" s="282" t="n">
        <f aca="false">SUM(N20,P20:U20)</f>
        <v>3.72</v>
      </c>
      <c r="BA20" s="208" t="n">
        <v>0.813</v>
      </c>
      <c r="BB20" s="283" t="n">
        <v>19240</v>
      </c>
    </row>
    <row r="21" customFormat="false" ht="12.95" hidden="false" customHeight="true" outlineLevel="0" collapsed="false">
      <c r="A21" s="207" t="n">
        <f aca="false">A20+1</f>
        <v>7</v>
      </c>
      <c r="B21" s="122" t="n">
        <v>6889.69</v>
      </c>
      <c r="C21" s="123" t="n">
        <v>247124</v>
      </c>
      <c r="D21" s="241" t="n">
        <f aca="false">C21-C20</f>
        <v>101</v>
      </c>
      <c r="E21" s="123" t="n">
        <f aca="false">C21-152000</f>
        <v>95124</v>
      </c>
      <c r="F21" s="277" t="n">
        <f aca="false">D21/$D$2</f>
        <v>50.9200907486766</v>
      </c>
      <c r="G21" s="155" t="n">
        <v>85.1600907486766</v>
      </c>
      <c r="H21" s="330" t="n">
        <v>0</v>
      </c>
      <c r="I21" s="155" t="n">
        <f aca="false">G21+H21</f>
        <v>85.1600907486766</v>
      </c>
      <c r="J21" s="156" t="n">
        <f aca="false">IF(L21&gt;0,L21,0)</f>
        <v>0</v>
      </c>
      <c r="K21" s="155" t="n">
        <f aca="false">I21+J21</f>
        <v>85.1600907486766</v>
      </c>
      <c r="L21" s="155" t="n">
        <f aca="false">F21-(I21-AK21)</f>
        <v>0</v>
      </c>
      <c r="M21" s="279" t="n">
        <v>3.84</v>
      </c>
      <c r="N21" s="155" t="n">
        <v>0</v>
      </c>
      <c r="O21" s="155" t="n">
        <f aca="false">0*1.05</f>
        <v>0</v>
      </c>
      <c r="P21" s="186" t="n">
        <v>0</v>
      </c>
      <c r="Q21" s="301" t="n">
        <f aca="false">1474700/325851/1.9835*1.02</f>
        <v>2.32730117654804</v>
      </c>
      <c r="R21" s="151" t="n">
        <f aca="false">IF(((1.9*1.04)-T21)&gt;=4.2,4.2,(1.9*1.04)-T21)</f>
        <v>1.48124288</v>
      </c>
      <c r="S21" s="96" t="n">
        <f aca="false">IF(((1.9*1.04)-T21)&gt;=4.2,((1.9*1.04)-T21)-4.2,0)</f>
        <v>0</v>
      </c>
      <c r="T21" s="151" t="n">
        <f aca="false">(0.4488*1.06)*1.04</f>
        <v>0.49475712</v>
      </c>
      <c r="U21" s="111" t="n">
        <f aca="false">M21-(Q21+R21+S21+T21)</f>
        <v>-0.463301176548038</v>
      </c>
      <c r="V21" s="155" t="n">
        <v>0</v>
      </c>
      <c r="W21" s="155" t="n">
        <v>0</v>
      </c>
      <c r="X21" s="155" t="n">
        <f aca="false">M21-N21-O21-P21-Q21-R21-S21-T21-U21+V21+W21</f>
        <v>0</v>
      </c>
      <c r="Y21" s="155" t="n">
        <f aca="false">X21-AO21</f>
        <v>0</v>
      </c>
      <c r="Z21" s="155"/>
      <c r="AA21" s="155"/>
      <c r="AB21" s="123"/>
      <c r="AC21" s="156"/>
      <c r="AD21" s="123"/>
      <c r="AE21" s="155" t="n">
        <v>0</v>
      </c>
      <c r="AF21" s="279"/>
      <c r="AG21" s="281"/>
      <c r="AH21" s="155" t="n">
        <v>30.4</v>
      </c>
      <c r="AI21" s="123" t="n">
        <f aca="false">AI20-AH21</f>
        <v>2217.55787748928</v>
      </c>
      <c r="AJ21" s="246"/>
      <c r="AK21" s="154" t="n">
        <f aca="false">N21+O21+P21+Q21+R21+S21+T21+U21+X21+AE21+AH21</f>
        <v>34.24</v>
      </c>
      <c r="AL21" s="155" t="n">
        <f aca="false">IF(L21&lt;0,L21*-1,0)</f>
        <v>0</v>
      </c>
      <c r="AM21" s="155" t="n">
        <f aca="false">AK21+AL21</f>
        <v>34.24</v>
      </c>
      <c r="AN21" s="284"/>
      <c r="AO21" s="241"/>
      <c r="AP21" s="155"/>
      <c r="AQ21" s="123"/>
      <c r="AR21" s="123"/>
      <c r="AS21" s="331"/>
      <c r="AU21" s="91"/>
      <c r="AV21" s="304" t="n">
        <v>0</v>
      </c>
      <c r="AW21" s="241" t="n">
        <v>49</v>
      </c>
      <c r="AX21" s="241" t="n">
        <v>9</v>
      </c>
      <c r="AY21" s="283"/>
      <c r="AZ21" s="282" t="n">
        <f aca="false">SUM(N21,P21:U21)</f>
        <v>3.84</v>
      </c>
      <c r="BA21" s="208" t="n">
        <v>0.813</v>
      </c>
      <c r="BB21" s="283" t="n">
        <v>19239</v>
      </c>
    </row>
    <row r="22" customFormat="false" ht="12.95" hidden="false" customHeight="true" outlineLevel="0" collapsed="false">
      <c r="A22" s="207" t="n">
        <f aca="false">A21+1</f>
        <v>8</v>
      </c>
      <c r="B22" s="122" t="n">
        <v>6889.71</v>
      </c>
      <c r="C22" s="123" t="n">
        <v>247192</v>
      </c>
      <c r="D22" s="241" t="n">
        <f aca="false">C22-C21</f>
        <v>68</v>
      </c>
      <c r="E22" s="123" t="n">
        <f aca="false">C22-152000</f>
        <v>95192</v>
      </c>
      <c r="F22" s="277" t="n">
        <f aca="false">D22/$D$2</f>
        <v>34.2828333753466</v>
      </c>
      <c r="G22" s="155" t="n">
        <v>69.2828333753466</v>
      </c>
      <c r="H22" s="330" t="n">
        <v>0</v>
      </c>
      <c r="I22" s="155" t="n">
        <f aca="false">G22+H22</f>
        <v>69.2828333753466</v>
      </c>
      <c r="J22" s="156" t="n">
        <f aca="false">IF(L22&gt;0,L22,0)</f>
        <v>0</v>
      </c>
      <c r="K22" s="155" t="n">
        <f aca="false">I22+J22</f>
        <v>69.2828333753466</v>
      </c>
      <c r="L22" s="155" t="n">
        <f aca="false">F22-(I22-AK22)</f>
        <v>0</v>
      </c>
      <c r="M22" s="279" t="n">
        <v>4.4</v>
      </c>
      <c r="N22" s="155" t="n">
        <v>0</v>
      </c>
      <c r="O22" s="155" t="n">
        <f aca="false">0*1.05</f>
        <v>0</v>
      </c>
      <c r="P22" s="186" t="n">
        <v>0</v>
      </c>
      <c r="Q22" s="301" t="n">
        <f aca="false">1331300/325851/1.9835*1.02</f>
        <v>2.10099413869831</v>
      </c>
      <c r="R22" s="151" t="n">
        <f aca="false">IF(((2*1.04)-T22)&gt;=4.2,4.2,(2*1.04)-T22)</f>
        <v>1.58524288</v>
      </c>
      <c r="S22" s="96" t="n">
        <f aca="false">IF(((2*1.04)-T22)&gt;=4.2,((2*1.04)-T22)-4.2,0)</f>
        <v>0</v>
      </c>
      <c r="T22" s="151" t="n">
        <f aca="false">(0.4488*1.06)*1.04</f>
        <v>0.49475712</v>
      </c>
      <c r="U22" s="111" t="n">
        <f aca="false">M22-(Q22+R22+S22+T22)</f>
        <v>0.219005861301687</v>
      </c>
      <c r="V22" s="155" t="n">
        <v>0</v>
      </c>
      <c r="W22" s="155" t="n">
        <v>0</v>
      </c>
      <c r="X22" s="155" t="n">
        <f aca="false">M22-N22-O22-P22-Q22-R22-S22-T22-U22+V22+W22</f>
        <v>0</v>
      </c>
      <c r="Y22" s="155" t="n">
        <f aca="false">X22-AO22</f>
        <v>0</v>
      </c>
      <c r="Z22" s="155"/>
      <c r="AA22" s="155"/>
      <c r="AB22" s="123"/>
      <c r="AC22" s="156"/>
      <c r="AD22" s="123"/>
      <c r="AE22" s="155" t="n">
        <v>0</v>
      </c>
      <c r="AF22" s="279"/>
      <c r="AG22" s="281"/>
      <c r="AH22" s="155" t="n">
        <v>30.6</v>
      </c>
      <c r="AI22" s="123" t="n">
        <f aca="false">AI21-AH22</f>
        <v>2186.95787748928</v>
      </c>
      <c r="AJ22" s="246"/>
      <c r="AK22" s="154" t="n">
        <f aca="false">N22+O22+P22+Q22+R22+S22+T22+U22+X22+AE22+AH22</f>
        <v>35</v>
      </c>
      <c r="AL22" s="155" t="n">
        <f aca="false">IF(L22&lt;0,L22*-1,0)</f>
        <v>0</v>
      </c>
      <c r="AM22" s="155" t="n">
        <f aca="false">AK22+AL22</f>
        <v>35</v>
      </c>
      <c r="AN22" s="284"/>
      <c r="AO22" s="241"/>
      <c r="AP22" s="155"/>
      <c r="AQ22" s="123"/>
      <c r="AR22" s="123"/>
      <c r="AS22" s="331"/>
      <c r="AU22" s="91"/>
      <c r="AV22" s="304" t="n">
        <v>0</v>
      </c>
      <c r="AW22" s="241" t="n">
        <v>48</v>
      </c>
      <c r="AX22" s="241" t="n">
        <v>18</v>
      </c>
      <c r="AY22" s="283"/>
      <c r="AZ22" s="282" t="n">
        <f aca="false">SUM(N22,P22:U22)</f>
        <v>4.4</v>
      </c>
      <c r="BA22" s="208" t="n">
        <v>0.813</v>
      </c>
      <c r="BB22" s="283" t="n">
        <v>19248</v>
      </c>
    </row>
    <row r="23" customFormat="false" ht="12.95" hidden="false" customHeight="true" outlineLevel="0" collapsed="false">
      <c r="A23" s="207" t="n">
        <f aca="false">A22+1</f>
        <v>9</v>
      </c>
      <c r="B23" s="122" t="n">
        <v>6889.73</v>
      </c>
      <c r="C23" s="123" t="n">
        <v>247259</v>
      </c>
      <c r="D23" s="241" t="n">
        <f aca="false">C23-C22</f>
        <v>67</v>
      </c>
      <c r="E23" s="123" t="n">
        <f aca="false">C23-152000</f>
        <v>95259</v>
      </c>
      <c r="F23" s="277" t="n">
        <f aca="false">D23/$D$2</f>
        <v>33.7786740610033</v>
      </c>
      <c r="G23" s="155" t="n">
        <v>68.2386740610033</v>
      </c>
      <c r="H23" s="330" t="n">
        <v>0</v>
      </c>
      <c r="I23" s="155" t="n">
        <f aca="false">G23+H23</f>
        <v>68.2386740610033</v>
      </c>
      <c r="J23" s="156" t="n">
        <f aca="false">IF(L23&gt;0,L23,0)</f>
        <v>0</v>
      </c>
      <c r="K23" s="155" t="n">
        <f aca="false">I23+J23</f>
        <v>68.2386740610033</v>
      </c>
      <c r="L23" s="155" t="n">
        <f aca="false">F23-(I23-AK23)</f>
        <v>0</v>
      </c>
      <c r="M23" s="279" t="n">
        <v>3.86</v>
      </c>
      <c r="N23" s="155" t="n">
        <v>0</v>
      </c>
      <c r="O23" s="155" t="n">
        <f aca="false">0*1.05</f>
        <v>0</v>
      </c>
      <c r="P23" s="186" t="n">
        <v>0</v>
      </c>
      <c r="Q23" s="301" t="n">
        <f aca="false">1011900/325851/1.9835*1.02</f>
        <v>1.59693229846678</v>
      </c>
      <c r="R23" s="151" t="n">
        <f aca="false">IF(((2.2*1.04)-T23)&gt;=4.2,4.2,(2.2*1.04)-T23)</f>
        <v>1.79324288</v>
      </c>
      <c r="S23" s="96" t="n">
        <f aca="false">IF(((2.2*1.04)-T23)&gt;=4.2,((2.2*1.04)-T23)-4.2,0)</f>
        <v>0</v>
      </c>
      <c r="T23" s="151" t="n">
        <f aca="false">(0.4488*1.06)*1.04</f>
        <v>0.49475712</v>
      </c>
      <c r="U23" s="111" t="n">
        <f aca="false">M23-(Q23+R23+S23+T23)</f>
        <v>-0.0249322984667795</v>
      </c>
      <c r="V23" s="155" t="n">
        <v>0</v>
      </c>
      <c r="W23" s="155" t="n">
        <v>0</v>
      </c>
      <c r="X23" s="155" t="n">
        <f aca="false">M23-N23-O23-P23-Q23-R23-S23-T23-U23+V23+W23</f>
        <v>0</v>
      </c>
      <c r="Y23" s="155" t="n">
        <f aca="false">X23-AO23</f>
        <v>0</v>
      </c>
      <c r="Z23" s="155"/>
      <c r="AA23" s="155"/>
      <c r="AB23" s="123"/>
      <c r="AC23" s="156"/>
      <c r="AD23" s="123"/>
      <c r="AE23" s="155" t="n">
        <v>0</v>
      </c>
      <c r="AF23" s="279"/>
      <c r="AG23" s="281"/>
      <c r="AH23" s="155" t="n">
        <v>30.6</v>
      </c>
      <c r="AI23" s="123" t="n">
        <f aca="false">AI22-AH23</f>
        <v>2156.35787748928</v>
      </c>
      <c r="AJ23" s="246"/>
      <c r="AK23" s="154" t="n">
        <f aca="false">N23+O23+P23+Q23+R23+S23+T23+U23+X23+AE23+AH23</f>
        <v>34.46</v>
      </c>
      <c r="AL23" s="155" t="n">
        <f aca="false">IF(L23&lt;0,L23*-1,0)</f>
        <v>0</v>
      </c>
      <c r="AM23" s="155" t="n">
        <f aca="false">AK23+AL23</f>
        <v>34.46</v>
      </c>
      <c r="AN23" s="284"/>
      <c r="AO23" s="241"/>
      <c r="AP23" s="155"/>
      <c r="AQ23" s="123"/>
      <c r="AR23" s="123"/>
      <c r="AS23" s="331"/>
      <c r="AU23" s="91"/>
      <c r="AV23" s="304" t="n">
        <v>0</v>
      </c>
      <c r="AW23" s="248" t="n">
        <v>52</v>
      </c>
      <c r="AX23" s="241" t="n">
        <v>24</v>
      </c>
      <c r="AY23" s="283"/>
      <c r="AZ23" s="282" t="n">
        <f aca="false">SUM(N23,P23:U23)</f>
        <v>3.86</v>
      </c>
      <c r="BA23" s="208" t="n">
        <v>0.813</v>
      </c>
      <c r="BB23" s="283" t="n">
        <v>19236</v>
      </c>
    </row>
    <row r="24" customFormat="false" ht="12.95" hidden="false" customHeight="true" outlineLevel="0" collapsed="false">
      <c r="A24" s="207" t="n">
        <f aca="false">A23+1</f>
        <v>10</v>
      </c>
      <c r="B24" s="122" t="n">
        <v>6889.75</v>
      </c>
      <c r="C24" s="123" t="n">
        <v>247326</v>
      </c>
      <c r="D24" s="241" t="n">
        <f aca="false">C24-C23</f>
        <v>67</v>
      </c>
      <c r="E24" s="123" t="n">
        <f aca="false">C24-152000</f>
        <v>95326</v>
      </c>
      <c r="F24" s="277" t="n">
        <f aca="false">D24/$D$2</f>
        <v>33.7786740610033</v>
      </c>
      <c r="G24" s="155" t="n">
        <v>67.9386740610033</v>
      </c>
      <c r="H24" s="330" t="n">
        <v>0</v>
      </c>
      <c r="I24" s="155" t="n">
        <f aca="false">G24+H24</f>
        <v>67.9386740610033</v>
      </c>
      <c r="J24" s="156" t="n">
        <f aca="false">IF(L24&gt;0,L24,0)</f>
        <v>0</v>
      </c>
      <c r="K24" s="155" t="n">
        <f aca="false">I24+J24</f>
        <v>67.9386740610033</v>
      </c>
      <c r="L24" s="155" t="n">
        <f aca="false">F24-(I24-AK24)</f>
        <v>0</v>
      </c>
      <c r="M24" s="279" t="n">
        <v>4.06</v>
      </c>
      <c r="N24" s="155" t="n">
        <v>0</v>
      </c>
      <c r="O24" s="155" t="n">
        <f aca="false">0*1.05</f>
        <v>0</v>
      </c>
      <c r="P24" s="186" t="n">
        <v>0</v>
      </c>
      <c r="Q24" s="301" t="n">
        <f aca="false">1135000/325851/1.9835*1.02</f>
        <v>1.79120284490542</v>
      </c>
      <c r="R24" s="151" t="n">
        <f aca="false">IF(((2.2*1.04)-T24)&gt;=4.2,4.2,(2.2*1.04)-T24)</f>
        <v>1.79324288</v>
      </c>
      <c r="S24" s="96" t="n">
        <f aca="false">IF(((2.2*1.04)-T24)&gt;=4.2,((2.2*1.04)-T24)-4.2,0)</f>
        <v>0</v>
      </c>
      <c r="T24" s="151" t="n">
        <f aca="false">(0.4488*1.06)*1.04</f>
        <v>0.49475712</v>
      </c>
      <c r="U24" s="111" t="n">
        <f aca="false">M24-(Q24+R24+S24+T24)</f>
        <v>-0.0192028449054202</v>
      </c>
      <c r="V24" s="155" t="n">
        <v>0</v>
      </c>
      <c r="W24" s="155" t="n">
        <v>0</v>
      </c>
      <c r="X24" s="155" t="n">
        <f aca="false">M24-N24-O24-P24-Q24-R24-S24-T24-U24+V24+W24</f>
        <v>-3.88578058618805E-016</v>
      </c>
      <c r="Y24" s="155" t="n">
        <f aca="false">X24-AO24</f>
        <v>-3.88578058618805E-016</v>
      </c>
      <c r="Z24" s="155"/>
      <c r="AA24" s="155"/>
      <c r="AB24" s="123"/>
      <c r="AC24" s="156"/>
      <c r="AD24" s="123"/>
      <c r="AE24" s="155" t="n">
        <v>0</v>
      </c>
      <c r="AF24" s="279"/>
      <c r="AG24" s="281"/>
      <c r="AH24" s="155" t="n">
        <v>30.1</v>
      </c>
      <c r="AI24" s="123" t="n">
        <f aca="false">AI23-AH24</f>
        <v>2126.25787748928</v>
      </c>
      <c r="AJ24" s="246"/>
      <c r="AK24" s="154" t="n">
        <f aca="false">N24+O24+P24+Q24+R24+S24+T24+U24+X24+AE24+AH24</f>
        <v>34.16</v>
      </c>
      <c r="AL24" s="155" t="n">
        <f aca="false">IF(L24&lt;0,L24*-1,0)</f>
        <v>0</v>
      </c>
      <c r="AM24" s="155" t="n">
        <f aca="false">AK24+AL24</f>
        <v>34.16</v>
      </c>
      <c r="AN24" s="284"/>
      <c r="AO24" s="241"/>
      <c r="AP24" s="155"/>
      <c r="AQ24" s="123"/>
      <c r="AR24" s="123"/>
      <c r="AS24" s="331"/>
      <c r="AU24" s="91"/>
      <c r="AV24" s="304" t="n">
        <v>0</v>
      </c>
      <c r="AW24" s="241" t="n">
        <v>49</v>
      </c>
      <c r="AX24" s="241" t="n">
        <v>19</v>
      </c>
      <c r="AY24" s="283"/>
      <c r="AZ24" s="282" t="n">
        <f aca="false">SUM(N24,P24:U24)</f>
        <v>4.06</v>
      </c>
      <c r="BA24" s="208" t="n">
        <v>0.813</v>
      </c>
      <c r="BB24" s="283" t="n">
        <v>19235</v>
      </c>
    </row>
    <row r="25" customFormat="false" ht="12.95" hidden="false" customHeight="true" outlineLevel="0" collapsed="false">
      <c r="A25" s="207" t="n">
        <f aca="false">A24+1</f>
        <v>11</v>
      </c>
      <c r="B25" s="122" t="n">
        <v>6889.75</v>
      </c>
      <c r="C25" s="123" t="n">
        <v>247326</v>
      </c>
      <c r="D25" s="241" t="n">
        <f aca="false">C25-C24</f>
        <v>0</v>
      </c>
      <c r="E25" s="123" t="n">
        <f aca="false">C25-152000</f>
        <v>95326</v>
      </c>
      <c r="F25" s="277" t="n">
        <f aca="false">D25/$D$2</f>
        <v>0</v>
      </c>
      <c r="G25" s="155" t="n">
        <v>34.07</v>
      </c>
      <c r="H25" s="330" t="n">
        <v>0</v>
      </c>
      <c r="I25" s="155" t="n">
        <f aca="false">G25+H25</f>
        <v>34.07</v>
      </c>
      <c r="J25" s="156" t="n">
        <f aca="false">IF(L25&gt;0,L25,0)</f>
        <v>0</v>
      </c>
      <c r="K25" s="155" t="n">
        <f aca="false">I25+J25</f>
        <v>34.07</v>
      </c>
      <c r="L25" s="155" t="n">
        <f aca="false">F25-(I25-AK25)</f>
        <v>0</v>
      </c>
      <c r="M25" s="279" t="n">
        <v>3.97</v>
      </c>
      <c r="N25" s="155" t="n">
        <v>0</v>
      </c>
      <c r="O25" s="155" t="n">
        <f aca="false">0*1.05</f>
        <v>0</v>
      </c>
      <c r="P25" s="186" t="n">
        <v>0</v>
      </c>
      <c r="Q25" s="301" t="n">
        <f aca="false">1183200/325851/1.9835*1.02</f>
        <v>1.86726978510317</v>
      </c>
      <c r="R25" s="151" t="n">
        <f aca="false">IF(((2.1*1.04)-T25)&gt;=4.2,4.2,(2.1*1.04)-T25)</f>
        <v>1.68924288</v>
      </c>
      <c r="S25" s="96" t="n">
        <f aca="false">IF(((2.1*1.04)-T25)&gt;=4.2,((2.1*1.04)-T25)-4.2,0)</f>
        <v>0</v>
      </c>
      <c r="T25" s="151" t="n">
        <f aca="false">(0.4488*1.06)*1.04</f>
        <v>0.49475712</v>
      </c>
      <c r="U25" s="111" t="n">
        <f aca="false">M25-(Q25+R25+S25+T25)</f>
        <v>-0.0812697851031659</v>
      </c>
      <c r="V25" s="155" t="n">
        <v>0</v>
      </c>
      <c r="W25" s="155" t="n">
        <v>0</v>
      </c>
      <c r="X25" s="155" t="n">
        <f aca="false">M25-N25-O25-P25-Q25-R25-S25-T25-U25+V25+W25</f>
        <v>4.9960036108132E-016</v>
      </c>
      <c r="Y25" s="155" t="n">
        <f aca="false">X25-AO25</f>
        <v>4.9960036108132E-016</v>
      </c>
      <c r="Z25" s="155"/>
      <c r="AA25" s="155"/>
      <c r="AB25" s="123"/>
      <c r="AC25" s="156"/>
      <c r="AD25" s="123"/>
      <c r="AE25" s="155" t="n">
        <v>0</v>
      </c>
      <c r="AF25" s="279"/>
      <c r="AG25" s="281"/>
      <c r="AH25" s="155" t="n">
        <v>30.1</v>
      </c>
      <c r="AI25" s="123" t="n">
        <f aca="false">AI24-AH25</f>
        <v>2096.15787748928</v>
      </c>
      <c r="AJ25" s="246"/>
      <c r="AK25" s="154" t="n">
        <f aca="false">N25+O25+P25+Q25+R25+S25+T25+U25+X25+AE25+AH25</f>
        <v>34.07</v>
      </c>
      <c r="AL25" s="155" t="n">
        <f aca="false">IF(L25&lt;0,L25*-1,0)</f>
        <v>0</v>
      </c>
      <c r="AM25" s="155" t="n">
        <f aca="false">AK25+AL25</f>
        <v>34.07</v>
      </c>
      <c r="AN25" s="284"/>
      <c r="AO25" s="241"/>
      <c r="AP25" s="155"/>
      <c r="AQ25" s="123"/>
      <c r="AR25" s="123"/>
      <c r="AS25" s="331"/>
      <c r="AU25" s="91"/>
      <c r="AV25" s="304" t="n">
        <v>0</v>
      </c>
      <c r="AW25" s="241" t="n">
        <v>50</v>
      </c>
      <c r="AX25" s="241" t="n">
        <v>18</v>
      </c>
      <c r="AY25" s="283"/>
      <c r="AZ25" s="282" t="n">
        <f aca="false">SUM(N25,P25:U25)</f>
        <v>3.97</v>
      </c>
      <c r="BA25" s="208" t="n">
        <v>0.813</v>
      </c>
      <c r="BB25" s="283" t="n">
        <v>19243</v>
      </c>
    </row>
    <row r="26" customFormat="false" ht="12.95" hidden="false" customHeight="true" outlineLevel="0" collapsed="false">
      <c r="A26" s="207" t="n">
        <f aca="false">A25+1</f>
        <v>12</v>
      </c>
      <c r="B26" s="122" t="n">
        <v>6889.75</v>
      </c>
      <c r="C26" s="123" t="n">
        <v>247326</v>
      </c>
      <c r="D26" s="241" t="n">
        <f aca="false">C26-C25</f>
        <v>0</v>
      </c>
      <c r="E26" s="123" t="n">
        <f aca="false">C26-152000</f>
        <v>95326</v>
      </c>
      <c r="F26" s="277" t="n">
        <f aca="false">D26/$D$2</f>
        <v>0</v>
      </c>
      <c r="G26" s="155" t="n">
        <v>34.16</v>
      </c>
      <c r="H26" s="330" t="n">
        <v>0</v>
      </c>
      <c r="I26" s="155" t="n">
        <f aca="false">G26+H26</f>
        <v>34.16</v>
      </c>
      <c r="J26" s="156" t="n">
        <f aca="false">IF(L26&gt;0,L26,0)</f>
        <v>0</v>
      </c>
      <c r="K26" s="155" t="n">
        <f aca="false">I26+J26</f>
        <v>34.16</v>
      </c>
      <c r="L26" s="155" t="n">
        <f aca="false">F26-(I26-AK26)</f>
        <v>0</v>
      </c>
      <c r="M26" s="279" t="n">
        <v>4.06</v>
      </c>
      <c r="N26" s="155" t="n">
        <v>0</v>
      </c>
      <c r="O26" s="155" t="n">
        <f aca="false">0*1.05</f>
        <v>0</v>
      </c>
      <c r="P26" s="186" t="n">
        <v>0</v>
      </c>
      <c r="Q26" s="301" t="n">
        <f aca="false">1001400/325851/1.9835*1.02</f>
        <v>1.58036169946105</v>
      </c>
      <c r="R26" s="151" t="n">
        <f aca="false">IF(((2.2*1.04)-T26)&gt;=4.2,4.2,(2.2*1.04)-T26)</f>
        <v>1.76733648</v>
      </c>
      <c r="S26" s="96" t="n">
        <f aca="false">IF(((2.2*1.04)-T26)&gt;=4.2,((2.2*1.04)-T26)-4.2,0)</f>
        <v>0</v>
      </c>
      <c r="T26" s="151" t="n">
        <f aca="false">(0.4723*1.06)*1.04</f>
        <v>0.52066352</v>
      </c>
      <c r="U26" s="111" t="n">
        <f aca="false">M26-(Q26+R26+S26+T26)</f>
        <v>0.191638300538953</v>
      </c>
      <c r="V26" s="155" t="n">
        <v>0</v>
      </c>
      <c r="W26" s="155" t="n">
        <v>0</v>
      </c>
      <c r="X26" s="155" t="n">
        <f aca="false">M26-N26-O26-P26-Q26-R26-S26-T26-U26+V26+W26</f>
        <v>0</v>
      </c>
      <c r="Y26" s="155" t="n">
        <f aca="false">X26-AO26</f>
        <v>0</v>
      </c>
      <c r="Z26" s="155"/>
      <c r="AA26" s="155"/>
      <c r="AB26" s="123"/>
      <c r="AC26" s="156"/>
      <c r="AD26" s="123"/>
      <c r="AE26" s="155" t="n">
        <v>0</v>
      </c>
      <c r="AF26" s="279"/>
      <c r="AG26" s="281"/>
      <c r="AH26" s="155" t="n">
        <v>30.1</v>
      </c>
      <c r="AI26" s="123" t="n">
        <f aca="false">AI25-AH26</f>
        <v>2066.05787748928</v>
      </c>
      <c r="AJ26" s="246"/>
      <c r="AK26" s="154" t="n">
        <f aca="false">N26+O26+P26+Q26+R26+S26+T26+U26+X26+AE26+AH26</f>
        <v>34.16</v>
      </c>
      <c r="AL26" s="155" t="n">
        <f aca="false">IF(L26&lt;0,L26*-1,0)</f>
        <v>0</v>
      </c>
      <c r="AM26" s="155" t="n">
        <f aca="false">AK26+AL26</f>
        <v>34.16</v>
      </c>
      <c r="AN26" s="284"/>
      <c r="AO26" s="241"/>
      <c r="AP26" s="155"/>
      <c r="AQ26" s="123"/>
      <c r="AR26" s="123"/>
      <c r="AS26" s="331"/>
      <c r="AU26" s="91"/>
      <c r="AV26" s="304" t="n">
        <v>0</v>
      </c>
      <c r="AW26" s="241" t="n">
        <v>54</v>
      </c>
      <c r="AX26" s="241" t="n">
        <v>23</v>
      </c>
      <c r="AY26" s="283"/>
      <c r="AZ26" s="282" t="n">
        <f aca="false">SUM(N26,P26:U26)</f>
        <v>4.06</v>
      </c>
      <c r="BA26" s="208" t="n">
        <v>0.838</v>
      </c>
      <c r="BB26" s="283" t="n">
        <v>19254</v>
      </c>
    </row>
    <row r="27" customFormat="false" ht="12.95" hidden="false" customHeight="true" outlineLevel="0" collapsed="false">
      <c r="A27" s="207" t="n">
        <f aca="false">A26+1</f>
        <v>13</v>
      </c>
      <c r="B27" s="122" t="n">
        <v>6889.79</v>
      </c>
      <c r="C27" s="123" t="n">
        <v>247461</v>
      </c>
      <c r="D27" s="241" t="n">
        <f aca="false">C27-C26</f>
        <v>135</v>
      </c>
      <c r="E27" s="123" t="n">
        <f aca="false">C27-152000</f>
        <v>95461</v>
      </c>
      <c r="F27" s="277" t="n">
        <f aca="false">D27/$D$2</f>
        <v>68.0615074363499</v>
      </c>
      <c r="G27" s="155" t="n">
        <v>102.42150743635</v>
      </c>
      <c r="H27" s="330" t="n">
        <v>0</v>
      </c>
      <c r="I27" s="155" t="n">
        <f aca="false">G27+H27</f>
        <v>102.42150743635</v>
      </c>
      <c r="J27" s="156" t="n">
        <f aca="false">IF(L27&gt;0,L27,0)</f>
        <v>0</v>
      </c>
      <c r="K27" s="155" t="n">
        <f aca="false">I27+J27</f>
        <v>102.42150743635</v>
      </c>
      <c r="L27" s="155" t="n">
        <f aca="false">F27-(I27-AK27)</f>
        <v>0</v>
      </c>
      <c r="M27" s="279" t="n">
        <v>4.06</v>
      </c>
      <c r="N27" s="155" t="n">
        <v>0</v>
      </c>
      <c r="O27" s="155" t="n">
        <f aca="false">0*1.05</f>
        <v>0</v>
      </c>
      <c r="P27" s="186" t="n">
        <v>0</v>
      </c>
      <c r="Q27" s="301" t="n">
        <f aca="false">1065700/325851/1.9835*1.02</f>
        <v>1.68183689146758</v>
      </c>
      <c r="R27" s="151" t="n">
        <f aca="false">IF(((2.2*1.04)-T27)&gt;=4.2,4.2,(2.2*1.04)-T27)</f>
        <v>1.76733648</v>
      </c>
      <c r="S27" s="96" t="n">
        <f aca="false">IF(((2.2*1.04)-T27)&gt;=4.2,((2.2*1.04)-T27)-4.2,0)</f>
        <v>0</v>
      </c>
      <c r="T27" s="151" t="n">
        <f aca="false">(0.4723*1.06)*1.04</f>
        <v>0.52066352</v>
      </c>
      <c r="U27" s="111" t="n">
        <f aca="false">M27-(Q27+R27+S27+T27)</f>
        <v>0.0901631085324164</v>
      </c>
      <c r="V27" s="155" t="n">
        <v>0</v>
      </c>
      <c r="W27" s="155" t="n">
        <v>0</v>
      </c>
      <c r="X27" s="155" t="n">
        <f aca="false">M27-N27-O27-P27-Q27-R27-S27-T27-U27+V27+W27</f>
        <v>4.44089209850063E-016</v>
      </c>
      <c r="Y27" s="155" t="n">
        <f aca="false">X27-AO27</f>
        <v>4.44089209850063E-016</v>
      </c>
      <c r="Z27" s="155"/>
      <c r="AA27" s="155"/>
      <c r="AB27" s="123"/>
      <c r="AC27" s="156"/>
      <c r="AD27" s="123"/>
      <c r="AE27" s="155" t="n">
        <v>0</v>
      </c>
      <c r="AF27" s="279"/>
      <c r="AG27" s="281"/>
      <c r="AH27" s="155" t="n">
        <v>30.3</v>
      </c>
      <c r="AI27" s="123" t="n">
        <f aca="false">AI26-AH27</f>
        <v>2035.75787748928</v>
      </c>
      <c r="AJ27" s="246"/>
      <c r="AK27" s="154" t="n">
        <f aca="false">N27+O27+P27+Q27+R27+S27+T27+U27+X27+AE27+AH27</f>
        <v>34.36</v>
      </c>
      <c r="AL27" s="155" t="n">
        <f aca="false">IF(L27&lt;0,L27*-1,0)</f>
        <v>0</v>
      </c>
      <c r="AM27" s="155" t="n">
        <f aca="false">AK27+AL27</f>
        <v>34.36</v>
      </c>
      <c r="AN27" s="284"/>
      <c r="AO27" s="241"/>
      <c r="AP27" s="155"/>
      <c r="AQ27" s="123"/>
      <c r="AR27" s="123"/>
      <c r="AS27" s="331"/>
      <c r="AU27" s="91"/>
      <c r="AV27" s="304" t="n">
        <v>0</v>
      </c>
      <c r="AW27" s="241" t="n">
        <v>58</v>
      </c>
      <c r="AX27" s="241" t="n">
        <v>25</v>
      </c>
      <c r="AY27" s="283"/>
      <c r="AZ27" s="282" t="n">
        <f aca="false">SUM(N27,P27:U27)</f>
        <v>4.06</v>
      </c>
      <c r="BA27" s="208" t="n">
        <v>0.984</v>
      </c>
      <c r="BB27" s="283" t="n">
        <v>19243</v>
      </c>
    </row>
    <row r="28" customFormat="false" ht="12.95" hidden="false" customHeight="true" outlineLevel="0" collapsed="false">
      <c r="A28" s="207" t="n">
        <f aca="false">A27+1</f>
        <v>14</v>
      </c>
      <c r="B28" s="122" t="n">
        <v>6889.85</v>
      </c>
      <c r="C28" s="123" t="n">
        <v>247663</v>
      </c>
      <c r="D28" s="241" t="n">
        <f aca="false">C28-C27</f>
        <v>202</v>
      </c>
      <c r="E28" s="123" t="n">
        <f aca="false">C28-152000</f>
        <v>95663</v>
      </c>
      <c r="F28" s="277" t="n">
        <f aca="false">D28/$D$2</f>
        <v>101.840181497353</v>
      </c>
      <c r="G28" s="155" t="n">
        <v>136.500181497353</v>
      </c>
      <c r="H28" s="330" t="n">
        <v>0</v>
      </c>
      <c r="I28" s="155" t="n">
        <f aca="false">G28+H28</f>
        <v>136.500181497353</v>
      </c>
      <c r="J28" s="156" t="n">
        <f aca="false">IF(L28&gt;0,L28,0)</f>
        <v>0</v>
      </c>
      <c r="K28" s="155" t="n">
        <f aca="false">I28+J28</f>
        <v>136.500181497353</v>
      </c>
      <c r="L28" s="155" t="n">
        <f aca="false">F28-(I28-AK28)</f>
        <v>0</v>
      </c>
      <c r="M28" s="279" t="n">
        <v>4.06</v>
      </c>
      <c r="N28" s="155" t="n">
        <v>0</v>
      </c>
      <c r="O28" s="155" t="n">
        <f aca="false">0*1.05</f>
        <v>0</v>
      </c>
      <c r="P28" s="186" t="n">
        <v>0</v>
      </c>
      <c r="Q28" s="301" t="n">
        <f aca="false">1168400/325851/1.9835*1.02</f>
        <v>1.84391313126651</v>
      </c>
      <c r="R28" s="151" t="n">
        <f aca="false">IF(((2.1*1.04)-T28)&gt;=4.2,4.2,(2.1*1.04)-T28)</f>
        <v>1.66333648</v>
      </c>
      <c r="S28" s="96" t="n">
        <f aca="false">IF(((2.1*1.04)-T28)&gt;=4.2,((2.1*1.04)-T28)-4.2,0)</f>
        <v>0</v>
      </c>
      <c r="T28" s="151" t="n">
        <f aca="false">(0.4723*1.06)*1.04</f>
        <v>0.52066352</v>
      </c>
      <c r="U28" s="111" t="n">
        <f aca="false">M28-(Q28+R28+S28+T28)</f>
        <v>0.0320868687334857</v>
      </c>
      <c r="V28" s="155" t="n">
        <v>0</v>
      </c>
      <c r="W28" s="155" t="n">
        <v>0</v>
      </c>
      <c r="X28" s="155" t="n">
        <f aca="false">M28-N28-O28-P28-Q28-R28-S28-T28-U28+V28+W28</f>
        <v>4.44089209850063E-016</v>
      </c>
      <c r="Y28" s="155" t="n">
        <f aca="false">X28-AO28</f>
        <v>4.44089209850063E-016</v>
      </c>
      <c r="Z28" s="155"/>
      <c r="AA28" s="155"/>
      <c r="AB28" s="123"/>
      <c r="AC28" s="156"/>
      <c r="AD28" s="123"/>
      <c r="AE28" s="155" t="n">
        <v>0</v>
      </c>
      <c r="AF28" s="279"/>
      <c r="AG28" s="281"/>
      <c r="AH28" s="155" t="n">
        <v>30.6</v>
      </c>
      <c r="AI28" s="123" t="n">
        <f aca="false">AI27-AH28</f>
        <v>2005.15787748928</v>
      </c>
      <c r="AJ28" s="246"/>
      <c r="AK28" s="154" t="n">
        <f aca="false">N28+O28+P28+Q28+R28+S28+T28+U28+X28+AE28+AH28</f>
        <v>34.66</v>
      </c>
      <c r="AL28" s="155" t="n">
        <f aca="false">IF(L28&lt;0,L28*-1,0)</f>
        <v>0</v>
      </c>
      <c r="AM28" s="155" t="n">
        <f aca="false">AK28+AL28</f>
        <v>34.66</v>
      </c>
      <c r="AN28" s="284"/>
      <c r="AO28" s="241"/>
      <c r="AP28" s="155"/>
      <c r="AQ28" s="123"/>
      <c r="AR28" s="123"/>
      <c r="AS28" s="331"/>
      <c r="AU28" s="91"/>
      <c r="AV28" s="304" t="n">
        <v>0</v>
      </c>
      <c r="AW28" s="248" t="n">
        <v>47</v>
      </c>
      <c r="AX28" s="241" t="n">
        <v>22</v>
      </c>
      <c r="AY28" s="283"/>
      <c r="AZ28" s="282" t="n">
        <f aca="false">SUM(N28,P28:U28)</f>
        <v>4.06</v>
      </c>
      <c r="BA28" s="208" t="n">
        <v>0.975</v>
      </c>
      <c r="BB28" s="283" t="n">
        <v>19236</v>
      </c>
    </row>
    <row r="29" customFormat="false" ht="12.95" hidden="false" customHeight="true" outlineLevel="0" collapsed="false">
      <c r="A29" s="207" t="n">
        <f aca="false">A28+1</f>
        <v>15</v>
      </c>
      <c r="B29" s="122" t="n">
        <v>6889.88</v>
      </c>
      <c r="C29" s="123" t="n">
        <v>247764</v>
      </c>
      <c r="D29" s="241" t="n">
        <f aca="false">C29-C28</f>
        <v>101</v>
      </c>
      <c r="E29" s="123" t="n">
        <f aca="false">C29-152000</f>
        <v>95764</v>
      </c>
      <c r="F29" s="277" t="n">
        <f aca="false">D29/$D$2</f>
        <v>50.9200907486766</v>
      </c>
      <c r="G29" s="155" t="n">
        <v>85.6900907486766</v>
      </c>
      <c r="H29" s="330" t="n">
        <v>0</v>
      </c>
      <c r="I29" s="155" t="n">
        <f aca="false">G29+H29</f>
        <v>85.6900907486766</v>
      </c>
      <c r="J29" s="156" t="n">
        <f aca="false">IF(L29&gt;0,L29,0)</f>
        <v>0</v>
      </c>
      <c r="K29" s="155" t="n">
        <f aca="false">I29+J29</f>
        <v>85.6900907486766</v>
      </c>
      <c r="L29" s="155" t="n">
        <f aca="false">F29-(I29-AK29)</f>
        <v>0</v>
      </c>
      <c r="M29" s="279" t="n">
        <v>4.17</v>
      </c>
      <c r="N29" s="155" t="n">
        <v>0</v>
      </c>
      <c r="O29" s="155" t="n">
        <f aca="false">0*1.05</f>
        <v>0</v>
      </c>
      <c r="P29" s="186" t="n">
        <v>0</v>
      </c>
      <c r="Q29" s="301" t="n">
        <f aca="false">1131200/325851/1.9835*1.02</f>
        <v>1.78520586621763</v>
      </c>
      <c r="R29" s="151" t="n">
        <f aca="false">IF(((2.2*1.04)-T29)&gt;=4.2,4.2,(2.2*1.04)-T29)</f>
        <v>1.76733648</v>
      </c>
      <c r="S29" s="96" t="n">
        <f aca="false">IF(((2.2*1.04)-T29)&gt;=4.2,((2.2*1.04)-T29)-4.2,0)</f>
        <v>0</v>
      </c>
      <c r="T29" s="151" t="n">
        <f aca="false">(0.4723*1.06)*1.04</f>
        <v>0.52066352</v>
      </c>
      <c r="U29" s="111" t="n">
        <f aca="false">M29-(Q29+R29+S29+T29)</f>
        <v>0.0967941337823683</v>
      </c>
      <c r="V29" s="155" t="n">
        <v>0</v>
      </c>
      <c r="W29" s="155" t="n">
        <v>0</v>
      </c>
      <c r="X29" s="155" t="n">
        <f aca="false">M29-N29-O29-P29-Q29-R29-S29-T29-U29+V29+W29</f>
        <v>0</v>
      </c>
      <c r="Y29" s="155" t="n">
        <f aca="false">X29-AO29</f>
        <v>0</v>
      </c>
      <c r="Z29" s="155"/>
      <c r="AA29" s="155"/>
      <c r="AB29" s="123"/>
      <c r="AC29" s="156"/>
      <c r="AD29" s="123"/>
      <c r="AE29" s="155" t="n">
        <v>0</v>
      </c>
      <c r="AF29" s="279"/>
      <c r="AG29" s="281"/>
      <c r="AH29" s="155" t="n">
        <v>30.6</v>
      </c>
      <c r="AI29" s="123" t="n">
        <f aca="false">AI28-AH29</f>
        <v>1974.55787748928</v>
      </c>
      <c r="AJ29" s="246"/>
      <c r="AK29" s="154" t="n">
        <f aca="false">N29+O29+P29+Q29+R29+S29+T29+U29+X29+AE29+AH29</f>
        <v>34.77</v>
      </c>
      <c r="AL29" s="155" t="n">
        <f aca="false">IF(L29&lt;0,L29*-1,0)</f>
        <v>0</v>
      </c>
      <c r="AM29" s="155" t="n">
        <f aca="false">AK29+AL29</f>
        <v>34.77</v>
      </c>
      <c r="AN29" s="284"/>
      <c r="AO29" s="241"/>
      <c r="AP29" s="155"/>
      <c r="AQ29" s="123"/>
      <c r="AR29" s="123"/>
      <c r="AS29" s="331"/>
      <c r="AU29" s="91"/>
      <c r="AV29" s="304" t="n">
        <v>0</v>
      </c>
      <c r="AW29" s="248" t="n">
        <v>51</v>
      </c>
      <c r="AX29" s="241" t="n">
        <v>25</v>
      </c>
      <c r="AY29" s="283"/>
      <c r="AZ29" s="282" t="n">
        <f aca="false">SUM(N29,P29:U29)</f>
        <v>4.17</v>
      </c>
      <c r="BA29" s="208" t="n">
        <v>0.977</v>
      </c>
      <c r="BB29" s="283" t="n">
        <v>19236</v>
      </c>
    </row>
    <row r="30" customFormat="false" ht="12.95" hidden="false" customHeight="true" outlineLevel="0" collapsed="false">
      <c r="A30" s="207" t="n">
        <f aca="false">A29+1</f>
        <v>16</v>
      </c>
      <c r="B30" s="122" t="n">
        <v>6889.92</v>
      </c>
      <c r="C30" s="123" t="n">
        <v>247899</v>
      </c>
      <c r="D30" s="241" t="n">
        <f aca="false">C30-C29</f>
        <v>135</v>
      </c>
      <c r="E30" s="123" t="n">
        <f aca="false">C30-152000</f>
        <v>95899</v>
      </c>
      <c r="F30" s="277" t="n">
        <f aca="false">D30/$D$2</f>
        <v>68.0615074363499</v>
      </c>
      <c r="G30" s="155" t="n">
        <v>108.89550743635</v>
      </c>
      <c r="H30" s="330" t="n">
        <v>0</v>
      </c>
      <c r="I30" s="155" t="n">
        <f aca="false">G30+H30</f>
        <v>108.89550743635</v>
      </c>
      <c r="J30" s="156" t="n">
        <f aca="false">IF(L30&gt;0,L30,0)</f>
        <v>0</v>
      </c>
      <c r="K30" s="155" t="n">
        <f aca="false">I30+J30</f>
        <v>108.89550743635</v>
      </c>
      <c r="L30" s="155" t="n">
        <f aca="false">F30-(I30-AK30)</f>
        <v>0</v>
      </c>
      <c r="M30" s="279" t="n">
        <v>3.24</v>
      </c>
      <c r="N30" s="155" t="n">
        <v>0</v>
      </c>
      <c r="O30" s="155" t="n">
        <f aca="false">0*1.05</f>
        <v>0</v>
      </c>
      <c r="P30" s="186" t="n">
        <v>0</v>
      </c>
      <c r="Q30" s="301" t="n">
        <f aca="false">1162000/325851/1.9835*1.02</f>
        <v>1.83381295663445</v>
      </c>
      <c r="R30" s="151" t="n">
        <f aca="false">IF(((2.1*1.04)-T30)&gt;=4.2,4.2,(2.1*1.04)-T30)</f>
        <v>1.66333648</v>
      </c>
      <c r="S30" s="96" t="n">
        <f aca="false">IF(((2.1*1.04)-T30)&gt;=4.2,((2.1*1.04)-T30)-4.2,0)</f>
        <v>0</v>
      </c>
      <c r="T30" s="151" t="n">
        <f aca="false">(0.4723*1.06)*1.04</f>
        <v>0.52066352</v>
      </c>
      <c r="U30" s="111" t="n">
        <f aca="false">M30-(Q30+R30+S30+T30)</f>
        <v>-0.777812956634448</v>
      </c>
      <c r="V30" s="155" t="n">
        <v>7.09</v>
      </c>
      <c r="W30" s="155" t="n">
        <v>0.004</v>
      </c>
      <c r="X30" s="155" t="n">
        <f aca="false">M30-N30-O30-P30-Q30-R30-S30-T30-U30+V30+W30</f>
        <v>7.094</v>
      </c>
      <c r="Y30" s="155" t="n">
        <f aca="false">X30-AO30</f>
        <v>7.094</v>
      </c>
      <c r="Z30" s="155"/>
      <c r="AA30" s="155"/>
      <c r="AB30" s="123"/>
      <c r="AC30" s="156"/>
      <c r="AD30" s="123"/>
      <c r="AE30" s="155" t="n">
        <v>0</v>
      </c>
      <c r="AF30" s="279"/>
      <c r="AG30" s="281"/>
      <c r="AH30" s="155" t="n">
        <v>30.5</v>
      </c>
      <c r="AI30" s="123" t="n">
        <f aca="false">AI29-AH30</f>
        <v>1944.05787748928</v>
      </c>
      <c r="AJ30" s="246"/>
      <c r="AK30" s="154" t="n">
        <f aca="false">N30+O30+P30+Q30+R30+S30+T30+U30+X30+AE30+AH30</f>
        <v>40.834</v>
      </c>
      <c r="AL30" s="155" t="n">
        <f aca="false">IF(L30&lt;0,L30*-1,0)</f>
        <v>0</v>
      </c>
      <c r="AM30" s="155" t="n">
        <f aca="false">AK30+AL30</f>
        <v>40.834</v>
      </c>
      <c r="AN30" s="284" t="n">
        <f aca="false">V30</f>
        <v>7.09</v>
      </c>
      <c r="AO30" s="241"/>
      <c r="AP30" s="155"/>
      <c r="AQ30" s="123"/>
      <c r="AR30" s="123"/>
      <c r="AS30" s="331"/>
      <c r="AV30" s="249" t="n">
        <v>0</v>
      </c>
      <c r="AW30" s="248" t="n">
        <v>56</v>
      </c>
      <c r="AX30" s="241" t="n">
        <v>28</v>
      </c>
      <c r="AY30" s="283"/>
      <c r="AZ30" s="282" t="n">
        <f aca="false">SUM(N30,P30:U30)</f>
        <v>3.24</v>
      </c>
      <c r="BA30" s="208" t="n">
        <v>0.975</v>
      </c>
      <c r="BB30" s="283" t="n">
        <v>19240</v>
      </c>
    </row>
    <row r="31" customFormat="false" ht="12.95" hidden="false" customHeight="true" outlineLevel="0" collapsed="false">
      <c r="A31" s="207" t="n">
        <f aca="false">A30+1</f>
        <v>17</v>
      </c>
      <c r="B31" s="122" t="n">
        <v>6889.96</v>
      </c>
      <c r="C31" s="123" t="n">
        <v>248033</v>
      </c>
      <c r="D31" s="241" t="n">
        <f aca="false">C31-C30</f>
        <v>134</v>
      </c>
      <c r="E31" s="123" t="n">
        <f aca="false">C31-152000</f>
        <v>96033</v>
      </c>
      <c r="F31" s="277" t="n">
        <f aca="false">D31/$D$2</f>
        <v>67.5573481220066</v>
      </c>
      <c r="G31" s="155" t="n">
        <v>142.081348122007</v>
      </c>
      <c r="H31" s="330" t="n">
        <v>0</v>
      </c>
      <c r="I31" s="155" t="n">
        <f aca="false">G31+H31</f>
        <v>142.081348122007</v>
      </c>
      <c r="J31" s="156" t="n">
        <f aca="false">IF(L31&gt;0,L31,0)</f>
        <v>0</v>
      </c>
      <c r="K31" s="155" t="n">
        <f aca="false">I31+J31</f>
        <v>142.081348122007</v>
      </c>
      <c r="L31" s="155" t="n">
        <f aca="false">F31-(I31-AK31)</f>
        <v>0</v>
      </c>
      <c r="M31" s="279" t="n">
        <v>3.72</v>
      </c>
      <c r="N31" s="155" t="n">
        <v>0</v>
      </c>
      <c r="O31" s="155" t="n">
        <f aca="false">0*1.05</f>
        <v>0</v>
      </c>
      <c r="P31" s="186" t="n">
        <v>0</v>
      </c>
      <c r="Q31" s="301" t="n">
        <f aca="false">1193000/325851/1.9835*1.02</f>
        <v>1.88273567750852</v>
      </c>
      <c r="R31" s="151" t="n">
        <f aca="false">IF(((2.1*1.04)-T31)&gt;=4.2,4.2,(2.1*1.04)-T31)</f>
        <v>1.66333648</v>
      </c>
      <c r="S31" s="96" t="n">
        <f aca="false">IF(((2.1*1.04)-T31)&gt;=4.2,((2.1*1.04)-T31)-4.2,0)</f>
        <v>0</v>
      </c>
      <c r="T31" s="151" t="n">
        <f aca="false">(0.4723*1.06)*1.04</f>
        <v>0.52066352</v>
      </c>
      <c r="U31" s="111" t="n">
        <f aca="false">M31-(Q31+R31+S31+T31)</f>
        <v>-0.346735677508516</v>
      </c>
      <c r="V31" s="155" t="n">
        <v>40.7</v>
      </c>
      <c r="W31" s="155" t="n">
        <v>0.004</v>
      </c>
      <c r="X31" s="155" t="n">
        <f aca="false">M31-N31-O31-P31-Q31-R31-S31-T31-U31+V31+W31</f>
        <v>40.704</v>
      </c>
      <c r="Y31" s="155" t="n">
        <f aca="false">X31-AO31</f>
        <v>40.704</v>
      </c>
      <c r="Z31" s="155"/>
      <c r="AA31" s="155"/>
      <c r="AB31" s="123"/>
      <c r="AC31" s="156"/>
      <c r="AD31" s="123"/>
      <c r="AE31" s="155" t="n">
        <v>0</v>
      </c>
      <c r="AF31" s="279"/>
      <c r="AG31" s="281"/>
      <c r="AH31" s="155" t="n">
        <v>30.1</v>
      </c>
      <c r="AI31" s="123" t="n">
        <f aca="false">AI30-AH31</f>
        <v>1913.95787748928</v>
      </c>
      <c r="AJ31" s="246"/>
      <c r="AK31" s="154" t="n">
        <f aca="false">N31+O31+P31+Q31+R31+S31+T31+U31+X31+AE31+AH31</f>
        <v>74.524</v>
      </c>
      <c r="AL31" s="155" t="n">
        <f aca="false">IF(L31&lt;0,L31*-1,0)</f>
        <v>0</v>
      </c>
      <c r="AM31" s="155" t="n">
        <f aca="false">AK31+AL31</f>
        <v>74.524</v>
      </c>
      <c r="AN31" s="284" t="n">
        <f aca="false">V31</f>
        <v>40.7</v>
      </c>
      <c r="AO31" s="241"/>
      <c r="AP31" s="155"/>
      <c r="AQ31" s="123"/>
      <c r="AR31" s="123"/>
      <c r="AS31" s="331"/>
      <c r="AV31" s="249" t="n">
        <v>0</v>
      </c>
      <c r="AW31" s="248" t="n">
        <v>56</v>
      </c>
      <c r="AX31" s="241" t="n">
        <v>24</v>
      </c>
      <c r="AY31" s="283"/>
      <c r="AZ31" s="282" t="n">
        <f aca="false">SUM(N31,P31:U31)</f>
        <v>3.72</v>
      </c>
      <c r="BA31" s="208" t="n">
        <v>0.987</v>
      </c>
      <c r="BB31" s="283" t="n">
        <v>19256</v>
      </c>
    </row>
    <row r="32" customFormat="false" ht="12.95" hidden="false" customHeight="true" outlineLevel="0" collapsed="false">
      <c r="A32" s="207" t="n">
        <f aca="false">A31+1</f>
        <v>18</v>
      </c>
      <c r="B32" s="122" t="n">
        <v>6889.98</v>
      </c>
      <c r="C32" s="343" t="n">
        <v>248101</v>
      </c>
      <c r="D32" s="241" t="n">
        <f aca="false">C32-C31</f>
        <v>68</v>
      </c>
      <c r="E32" s="123" t="n">
        <f aca="false">C32-152000</f>
        <v>96101</v>
      </c>
      <c r="F32" s="277" t="n">
        <f aca="false">D32/$D$2</f>
        <v>34.2828333753466</v>
      </c>
      <c r="G32" s="155" t="n">
        <v>116.802833375347</v>
      </c>
      <c r="H32" s="330" t="n">
        <v>0</v>
      </c>
      <c r="I32" s="155" t="n">
        <f aca="false">G32+H32</f>
        <v>116.802833375347</v>
      </c>
      <c r="J32" s="156" t="n">
        <f aca="false">IF(L32&gt;0,L32,0)</f>
        <v>0</v>
      </c>
      <c r="K32" s="155" t="n">
        <f aca="false">I32+J32</f>
        <v>116.802833375347</v>
      </c>
      <c r="L32" s="155" t="n">
        <f aca="false">F32-(I32-AK32)</f>
        <v>0</v>
      </c>
      <c r="M32" s="279" t="n">
        <v>3.72</v>
      </c>
      <c r="N32" s="155" t="n">
        <v>0</v>
      </c>
      <c r="O32" s="155" t="n">
        <f aca="false">0*1.05</f>
        <v>0</v>
      </c>
      <c r="P32" s="186" t="n">
        <v>0</v>
      </c>
      <c r="Q32" s="301" t="n">
        <f aca="false">1037500/325851/1.9835*1.02</f>
        <v>1.63733299699504</v>
      </c>
      <c r="R32" s="151" t="n">
        <f aca="false">IF(((2.2*1.04)-T32)&gt;=4.2,4.2,(2.2*1.04)-T32)</f>
        <v>1.76733648</v>
      </c>
      <c r="S32" s="96" t="n">
        <f aca="false">IF(((2.2*1.04)-T32)&gt;=4.2,((2.2*1.04)-T32)-4.2,0)</f>
        <v>0</v>
      </c>
      <c r="T32" s="151" t="n">
        <f aca="false">(0.4723*1.06)*1.04</f>
        <v>0.52066352</v>
      </c>
      <c r="U32" s="111" t="n">
        <f aca="false">M32-(Q32+R32+S32+T32)</f>
        <v>-0.205332996995043</v>
      </c>
      <c r="V32" s="155" t="n">
        <v>48.6</v>
      </c>
      <c r="W32" s="155" t="n">
        <v>0</v>
      </c>
      <c r="X32" s="155" t="n">
        <f aca="false">M32-N32-O32-P32-Q32-R32-S32-T32-U32+V32+W32</f>
        <v>48.6</v>
      </c>
      <c r="Y32" s="155" t="n">
        <f aca="false">X32-AO32</f>
        <v>48.6</v>
      </c>
      <c r="Z32" s="155"/>
      <c r="AA32" s="155"/>
      <c r="AB32" s="123"/>
      <c r="AC32" s="156"/>
      <c r="AD32" s="123"/>
      <c r="AE32" s="155" t="n">
        <v>0</v>
      </c>
      <c r="AF32" s="279"/>
      <c r="AG32" s="281"/>
      <c r="AH32" s="155" t="n">
        <v>30.2</v>
      </c>
      <c r="AI32" s="123" t="n">
        <f aca="false">AI31-AH32</f>
        <v>1883.75787748928</v>
      </c>
      <c r="AJ32" s="246"/>
      <c r="AK32" s="154" t="n">
        <f aca="false">N32+O32+P32+Q32+R32+S32+T32+U32+X32+AE32+AH32</f>
        <v>82.52</v>
      </c>
      <c r="AL32" s="155" t="n">
        <f aca="false">IF(L32&lt;0,L32*-1,0)</f>
        <v>0</v>
      </c>
      <c r="AM32" s="155" t="n">
        <f aca="false">AK32+AL32</f>
        <v>82.52</v>
      </c>
      <c r="AN32" s="284" t="n">
        <f aca="false">V32</f>
        <v>48.6</v>
      </c>
      <c r="AO32" s="241"/>
      <c r="AP32" s="155"/>
      <c r="AQ32" s="123"/>
      <c r="AR32" s="123"/>
      <c r="AS32" s="331"/>
      <c r="AV32" s="249" t="n">
        <v>0.01</v>
      </c>
      <c r="AW32" s="248" t="n">
        <v>58</v>
      </c>
      <c r="AX32" s="241" t="n">
        <v>32</v>
      </c>
      <c r="AY32" s="283"/>
      <c r="AZ32" s="282" t="n">
        <f aca="false">SUM(N32,P32:U32)</f>
        <v>3.72</v>
      </c>
      <c r="BA32" s="208" t="n">
        <v>0.95</v>
      </c>
      <c r="BB32" s="283" t="n">
        <v>19270</v>
      </c>
    </row>
    <row r="33" customFormat="false" ht="12.95" hidden="false" customHeight="true" outlineLevel="0" collapsed="false">
      <c r="A33" s="207" t="n">
        <f aca="false">A32+1</f>
        <v>19</v>
      </c>
      <c r="B33" s="122" t="n">
        <v>6889.98</v>
      </c>
      <c r="C33" s="343" t="n">
        <v>248101</v>
      </c>
      <c r="D33" s="241" t="n">
        <f aca="false">C33-C32</f>
        <v>0</v>
      </c>
      <c r="E33" s="123" t="n">
        <f aca="false">C33-152000</f>
        <v>96101</v>
      </c>
      <c r="F33" s="277" t="n">
        <f aca="false">D33/$D$2</f>
        <v>0</v>
      </c>
      <c r="G33" s="155" t="n">
        <v>82.52</v>
      </c>
      <c r="H33" s="330" t="n">
        <v>0</v>
      </c>
      <c r="I33" s="155" t="n">
        <f aca="false">G33+H33</f>
        <v>82.52</v>
      </c>
      <c r="J33" s="156" t="n">
        <f aca="false">IF(L33&gt;0,L33,0)</f>
        <v>0</v>
      </c>
      <c r="K33" s="155" t="n">
        <f aca="false">I33+J33</f>
        <v>82.52</v>
      </c>
      <c r="L33" s="155" t="n">
        <f aca="false">F33-(I33-AK33)</f>
        <v>0</v>
      </c>
      <c r="M33" s="279" t="n">
        <v>3.72</v>
      </c>
      <c r="N33" s="155" t="n">
        <v>0</v>
      </c>
      <c r="O33" s="155" t="n">
        <f aca="false">0*1.05</f>
        <v>0</v>
      </c>
      <c r="P33" s="186" t="n">
        <v>0</v>
      </c>
      <c r="Q33" s="301" t="n">
        <f aca="false">939300/325851/1.9835*1.02</f>
        <v>1.48235844248428</v>
      </c>
      <c r="R33" s="151" t="n">
        <f aca="false">IF(((2.2*1.04)-T33)&gt;=4.2,4.2,(2.2*1.04)-T33)</f>
        <v>1.753336</v>
      </c>
      <c r="S33" s="96" t="n">
        <f aca="false">IF(((2.2*1.04)-T33)&gt;=4.2,((2.2*1.04)-T33)-4.2,0)</f>
        <v>0</v>
      </c>
      <c r="T33" s="151" t="n">
        <f aca="false">(0.485*1.06)*1.04</f>
        <v>0.534664</v>
      </c>
      <c r="U33" s="111" t="n">
        <f aca="false">M33-(Q33+R33+S33+T33)</f>
        <v>-0.0503584424842827</v>
      </c>
      <c r="V33" s="155" t="n">
        <v>48.6</v>
      </c>
      <c r="W33" s="155" t="n">
        <v>0</v>
      </c>
      <c r="X33" s="155" t="n">
        <f aca="false">M33-N33-O33-P33-Q33-R33-S33-T33-U33+V33+W33</f>
        <v>48.6</v>
      </c>
      <c r="Y33" s="155" t="n">
        <f aca="false">X33-AO33</f>
        <v>48.6</v>
      </c>
      <c r="Z33" s="155"/>
      <c r="AA33" s="155"/>
      <c r="AB33" s="123"/>
      <c r="AC33" s="156"/>
      <c r="AD33" s="123"/>
      <c r="AE33" s="155" t="n">
        <v>0</v>
      </c>
      <c r="AF33" s="279"/>
      <c r="AG33" s="281"/>
      <c r="AH33" s="155" t="n">
        <v>30.2</v>
      </c>
      <c r="AI33" s="123" t="n">
        <f aca="false">AI32-AH33</f>
        <v>1853.55787748928</v>
      </c>
      <c r="AJ33" s="246"/>
      <c r="AK33" s="154" t="n">
        <f aca="false">N33+O33+P33+Q33+R33+S33+T33+U33+X33+AE33+AH33</f>
        <v>82.52</v>
      </c>
      <c r="AL33" s="155" t="n">
        <f aca="false">IF(L33&lt;0,L33*-1,0)</f>
        <v>0</v>
      </c>
      <c r="AM33" s="155" t="n">
        <f aca="false">AK33+AL33</f>
        <v>82.52</v>
      </c>
      <c r="AN33" s="284" t="n">
        <f aca="false">V33</f>
        <v>48.6</v>
      </c>
      <c r="AO33" s="241"/>
      <c r="AP33" s="155"/>
      <c r="AQ33" s="123"/>
      <c r="AR33" s="123"/>
      <c r="AS33" s="331"/>
      <c r="AV33" s="249" t="n">
        <v>0</v>
      </c>
      <c r="AW33" s="248" t="n">
        <v>59</v>
      </c>
      <c r="AX33" s="241" t="n">
        <v>27</v>
      </c>
      <c r="AY33" s="283"/>
      <c r="AZ33" s="282" t="n">
        <f aca="false">SUM(N33,P33:U33)</f>
        <v>3.72</v>
      </c>
      <c r="BA33" s="208" t="n">
        <v>0.735</v>
      </c>
      <c r="BB33" s="283" t="n">
        <v>19268</v>
      </c>
    </row>
    <row r="34" customFormat="false" ht="12.95" hidden="false" customHeight="true" outlineLevel="0" collapsed="false">
      <c r="A34" s="207" t="n">
        <f aca="false">A33+1</f>
        <v>20</v>
      </c>
      <c r="B34" s="122" t="n">
        <v>6890.03</v>
      </c>
      <c r="C34" s="123" t="n">
        <v>248270</v>
      </c>
      <c r="D34" s="241" t="n">
        <f aca="false">C34-C33</f>
        <v>169</v>
      </c>
      <c r="E34" s="123" t="n">
        <f aca="false">C34-152000</f>
        <v>96270</v>
      </c>
      <c r="F34" s="277" t="n">
        <f aca="false">D34/$D$2</f>
        <v>85.2029241240232</v>
      </c>
      <c r="G34" s="155" t="n">
        <v>168.062924124023</v>
      </c>
      <c r="H34" s="330" t="n">
        <v>0</v>
      </c>
      <c r="I34" s="155" t="n">
        <f aca="false">G34+H34</f>
        <v>168.062924124023</v>
      </c>
      <c r="J34" s="156" t="n">
        <f aca="false">IF(L34&gt;0,L34,0)</f>
        <v>0</v>
      </c>
      <c r="K34" s="155" t="n">
        <f aca="false">I34+J34</f>
        <v>168.062924124023</v>
      </c>
      <c r="L34" s="155" t="n">
        <f aca="false">F34-(I34-AK34)</f>
        <v>0</v>
      </c>
      <c r="M34" s="279" t="n">
        <v>3.96</v>
      </c>
      <c r="N34" s="155" t="n">
        <v>0</v>
      </c>
      <c r="O34" s="155" t="n">
        <f aca="false">0*1.05</f>
        <v>0</v>
      </c>
      <c r="P34" s="186" t="n">
        <v>0</v>
      </c>
      <c r="Q34" s="301" t="n">
        <f aca="false">1074300/325851/1.9835*1.02</f>
        <v>1.69540900112942</v>
      </c>
      <c r="R34" s="151" t="n">
        <f aca="false">IF(((2.2*1.04)-T34)&gt;=4.2,4.2,(2.2*1.04)-T34)</f>
        <v>1.753336</v>
      </c>
      <c r="S34" s="96" t="n">
        <f aca="false">IF(((2.2*1.04)-T34)&gt;=4.2,((2.2*1.04)-T34)-4.2,0)</f>
        <v>0</v>
      </c>
      <c r="T34" s="151" t="n">
        <f aca="false">(0.485*1.06)*1.04</f>
        <v>0.534664</v>
      </c>
      <c r="U34" s="111" t="n">
        <f aca="false">M34-(Q34+R34+S34+T34)</f>
        <v>-0.023409001129421</v>
      </c>
      <c r="V34" s="155" t="n">
        <v>48.6</v>
      </c>
      <c r="W34" s="155" t="n">
        <v>0</v>
      </c>
      <c r="X34" s="155" t="n">
        <f aca="false">M34-N34-O34-P34-Q34-R34-S34-T34-U34+V34+W34</f>
        <v>48.6</v>
      </c>
      <c r="Y34" s="155" t="n">
        <f aca="false">X34-AO34</f>
        <v>48.6</v>
      </c>
      <c r="Z34" s="155"/>
      <c r="AA34" s="155"/>
      <c r="AB34" s="123"/>
      <c r="AC34" s="156"/>
      <c r="AD34" s="123"/>
      <c r="AE34" s="155" t="n">
        <v>0</v>
      </c>
      <c r="AF34" s="279"/>
      <c r="AG34" s="281"/>
      <c r="AH34" s="155" t="n">
        <v>30.3</v>
      </c>
      <c r="AI34" s="123" t="n">
        <f aca="false">AI33-AH34</f>
        <v>1823.25787748928</v>
      </c>
      <c r="AJ34" s="246"/>
      <c r="AK34" s="154" t="n">
        <f aca="false">N34+O34+P34+Q34+R34+S34+T34+U34+X34+AE34+AH34</f>
        <v>82.86</v>
      </c>
      <c r="AL34" s="155" t="n">
        <f aca="false">IF(L34&lt;0,L34*-1,0)</f>
        <v>0</v>
      </c>
      <c r="AM34" s="155" t="n">
        <f aca="false">AK34+AL34</f>
        <v>82.86</v>
      </c>
      <c r="AN34" s="284" t="n">
        <f aca="false">V34</f>
        <v>48.6</v>
      </c>
      <c r="AO34" s="241"/>
      <c r="AP34" s="155"/>
      <c r="AQ34" s="123"/>
      <c r="AR34" s="123"/>
      <c r="AS34" s="331"/>
      <c r="AV34" s="249" t="n">
        <v>0</v>
      </c>
      <c r="AW34" s="248" t="n">
        <v>60</v>
      </c>
      <c r="AX34" s="241" t="n">
        <v>28</v>
      </c>
      <c r="AY34" s="283"/>
      <c r="AZ34" s="282" t="n">
        <f aca="false">SUM(N34,P34:U34)</f>
        <v>3.96</v>
      </c>
      <c r="BA34" s="208" t="n">
        <v>0.448</v>
      </c>
      <c r="BB34" s="283" t="n">
        <v>19276</v>
      </c>
    </row>
    <row r="35" customFormat="false" ht="12.95" hidden="false" customHeight="true" outlineLevel="0" collapsed="false">
      <c r="A35" s="207" t="n">
        <f aca="false">A34+1</f>
        <v>21</v>
      </c>
      <c r="B35" s="122" t="n">
        <v>6890.09</v>
      </c>
      <c r="C35" s="123" t="n">
        <v>248474</v>
      </c>
      <c r="D35" s="241" t="n">
        <f aca="false">C35-C34</f>
        <v>204</v>
      </c>
      <c r="E35" s="123" t="n">
        <f aca="false">C35-152000</f>
        <v>96474</v>
      </c>
      <c r="F35" s="277" t="n">
        <f aca="false">D35/$D$2</f>
        <v>102.84850012604</v>
      </c>
      <c r="G35" s="155" t="n">
        <v>186.22850012604</v>
      </c>
      <c r="H35" s="330" t="n">
        <v>0</v>
      </c>
      <c r="I35" s="155" t="n">
        <f aca="false">G35+H35</f>
        <v>186.22850012604</v>
      </c>
      <c r="J35" s="156" t="n">
        <f aca="false">IF(L35&gt;0,L35,0)</f>
        <v>0</v>
      </c>
      <c r="K35" s="155" t="n">
        <f aca="false">I35+J35</f>
        <v>186.22850012604</v>
      </c>
      <c r="L35" s="155" t="n">
        <f aca="false">F35-(I35-AK35)</f>
        <v>0</v>
      </c>
      <c r="M35" s="279" t="n">
        <v>4.58</v>
      </c>
      <c r="N35" s="155" t="n">
        <v>0</v>
      </c>
      <c r="O35" s="155" t="n">
        <f aca="false">0*1.05</f>
        <v>0</v>
      </c>
      <c r="P35" s="186" t="n">
        <v>0</v>
      </c>
      <c r="Q35" s="301" t="n">
        <f aca="false">1391700/325851/1.9835*1.02</f>
        <v>2.19631453678843</v>
      </c>
      <c r="R35" s="151" t="n">
        <f aca="false">IF(((2.2*1.04)-T35)&gt;=4.2,4.2,(2.2*1.04)-T35)</f>
        <v>1.753336</v>
      </c>
      <c r="S35" s="96" t="n">
        <f aca="false">IF(((2.2*1.04)-T35)&gt;=4.2,((2.2*1.04)-T35)-4.2,0)</f>
        <v>0</v>
      </c>
      <c r="T35" s="151" t="n">
        <f aca="false">(0.485*1.06)*1.04</f>
        <v>0.534664</v>
      </c>
      <c r="U35" s="111" t="n">
        <f aca="false">M35-(Q35+R35+S35+T35)</f>
        <v>0.0956854632115656</v>
      </c>
      <c r="V35" s="155" t="n">
        <v>48.6</v>
      </c>
      <c r="W35" s="155" t="n">
        <v>0</v>
      </c>
      <c r="X35" s="155" t="n">
        <f aca="false">M35-N35-O35-P35-Q35-R35-S35-T35-U35+V35+W35</f>
        <v>48.6</v>
      </c>
      <c r="Y35" s="155" t="n">
        <f aca="false">X35-AO35</f>
        <v>48.6</v>
      </c>
      <c r="Z35" s="155"/>
      <c r="AA35" s="155"/>
      <c r="AB35" s="123"/>
      <c r="AC35" s="156"/>
      <c r="AD35" s="123"/>
      <c r="AE35" s="155" t="n">
        <v>0</v>
      </c>
      <c r="AF35" s="279"/>
      <c r="AG35" s="281"/>
      <c r="AH35" s="155" t="n">
        <v>30.2</v>
      </c>
      <c r="AI35" s="123" t="n">
        <f aca="false">AI34-AH35</f>
        <v>1793.05787748928</v>
      </c>
      <c r="AJ35" s="246"/>
      <c r="AK35" s="154" t="n">
        <f aca="false">N35+O35+P35+Q35+R35+S35+T35+U35+X35+AE35+AH35</f>
        <v>83.38</v>
      </c>
      <c r="AL35" s="155" t="n">
        <f aca="false">IF(L35&lt;0,L35*-1,0)</f>
        <v>0</v>
      </c>
      <c r="AM35" s="155" t="n">
        <f aca="false">AK35+AL35</f>
        <v>83.38</v>
      </c>
      <c r="AN35" s="284" t="n">
        <f aca="false">V35</f>
        <v>48.6</v>
      </c>
      <c r="AO35" s="241"/>
      <c r="AP35" s="155"/>
      <c r="AQ35" s="123"/>
      <c r="AR35" s="123"/>
      <c r="AS35" s="331"/>
      <c r="AV35" s="249" t="n">
        <v>0</v>
      </c>
      <c r="AW35" s="241" t="n">
        <v>61</v>
      </c>
      <c r="AX35" s="241" t="n">
        <v>25</v>
      </c>
      <c r="AY35" s="283"/>
      <c r="AZ35" s="282" t="n">
        <f aca="false">SUM(N35,P35:U35)</f>
        <v>4.58</v>
      </c>
      <c r="BA35" s="208" t="n">
        <v>0.457</v>
      </c>
      <c r="BB35" s="283" t="n">
        <v>19297</v>
      </c>
    </row>
    <row r="36" customFormat="false" ht="12.95" hidden="false" customHeight="true" outlineLevel="0" collapsed="false">
      <c r="A36" s="207" t="n">
        <f aca="false">A35+1</f>
        <v>22</v>
      </c>
      <c r="B36" s="122" t="n">
        <v>6890.13</v>
      </c>
      <c r="C36" s="123" t="n">
        <v>248610</v>
      </c>
      <c r="D36" s="241" t="n">
        <f aca="false">C36-C35</f>
        <v>136</v>
      </c>
      <c r="E36" s="123" t="n">
        <f aca="false">C36-152000</f>
        <v>96610</v>
      </c>
      <c r="F36" s="277" t="n">
        <f aca="false">D36/$D$2</f>
        <v>68.5656667506932</v>
      </c>
      <c r="G36" s="155" t="n">
        <v>150.895666750693</v>
      </c>
      <c r="H36" s="330" t="n">
        <v>0</v>
      </c>
      <c r="I36" s="155" t="n">
        <f aca="false">G36+H36</f>
        <v>150.895666750693</v>
      </c>
      <c r="J36" s="156" t="n">
        <f aca="false">IF(L36&gt;0,L36,0)</f>
        <v>0</v>
      </c>
      <c r="K36" s="155" t="n">
        <f aca="false">I36+J36</f>
        <v>150.895666750693</v>
      </c>
      <c r="L36" s="155" t="n">
        <f aca="false">F36-(I36-AK36)</f>
        <v>0</v>
      </c>
      <c r="M36" s="279" t="n">
        <v>3.43</v>
      </c>
      <c r="N36" s="155" t="n">
        <v>0</v>
      </c>
      <c r="O36" s="155" t="n">
        <f aca="false">0*1.05</f>
        <v>0</v>
      </c>
      <c r="P36" s="186" t="n">
        <v>0</v>
      </c>
      <c r="Q36" s="301" t="n">
        <f aca="false">1163500/325851/1.9835*1.02</f>
        <v>1.83618018506384</v>
      </c>
      <c r="R36" s="151" t="n">
        <f aca="false">IF(((1.9*1.04)-T36)&gt;=4.2,4.2,(1.9*1.04)-T36)</f>
        <v>1.441336</v>
      </c>
      <c r="S36" s="96" t="n">
        <f aca="false">IF(((1.9*1.04)-T36)&gt;=4.2,((1.9*1.04)-T36)-4.2,0)</f>
        <v>0</v>
      </c>
      <c r="T36" s="151" t="n">
        <f aca="false">(0.485*1.06)*1.04</f>
        <v>0.534664</v>
      </c>
      <c r="U36" s="111" t="n">
        <f aca="false">M36-(Q36+R36+S36+T36)</f>
        <v>-0.382180185063838</v>
      </c>
      <c r="V36" s="155" t="n">
        <v>48.6</v>
      </c>
      <c r="W36" s="155" t="n">
        <v>0</v>
      </c>
      <c r="X36" s="155" t="n">
        <f aca="false">M36-N36-O36-P36-Q36-R36-S36-T36-U36+V36+W36</f>
        <v>48.6</v>
      </c>
      <c r="Y36" s="155" t="n">
        <f aca="false">X36-AO36</f>
        <v>48.6</v>
      </c>
      <c r="Z36" s="155"/>
      <c r="AA36" s="155"/>
      <c r="AB36" s="123"/>
      <c r="AC36" s="156"/>
      <c r="AD36" s="123"/>
      <c r="AE36" s="155" t="n">
        <v>0</v>
      </c>
      <c r="AF36" s="279"/>
      <c r="AG36" s="281"/>
      <c r="AH36" s="155" t="n">
        <v>30.3</v>
      </c>
      <c r="AI36" s="123" t="n">
        <f aca="false">AI35-AH36</f>
        <v>1762.75787748928</v>
      </c>
      <c r="AJ36" s="246"/>
      <c r="AK36" s="154" t="n">
        <f aca="false">N36+O36+P36+Q36+R36+S36+T36+U36+X36+AE36+AH36</f>
        <v>82.33</v>
      </c>
      <c r="AL36" s="155" t="n">
        <f aca="false">IF(L36&lt;0,L36*-1,0)</f>
        <v>0</v>
      </c>
      <c r="AM36" s="155" t="n">
        <f aca="false">AK36+AL36</f>
        <v>82.33</v>
      </c>
      <c r="AN36" s="284" t="n">
        <f aca="false">V36</f>
        <v>48.6</v>
      </c>
      <c r="AO36" s="241"/>
      <c r="AP36" s="155"/>
      <c r="AQ36" s="123"/>
      <c r="AR36" s="123"/>
      <c r="AS36" s="331"/>
      <c r="AV36" s="249" t="n">
        <v>0.01</v>
      </c>
      <c r="AW36" s="241" t="n">
        <v>53</v>
      </c>
      <c r="AX36" s="241" t="n">
        <v>23</v>
      </c>
      <c r="AY36" s="283"/>
      <c r="AZ36" s="282" t="n">
        <f aca="false">SUM(N36,P36:U36)</f>
        <v>3.43</v>
      </c>
      <c r="BA36" s="208" t="n">
        <v>0.487</v>
      </c>
      <c r="BB36" s="283" t="n">
        <v>19302</v>
      </c>
    </row>
    <row r="37" customFormat="false" ht="12.95" hidden="false" customHeight="true" outlineLevel="0" collapsed="false">
      <c r="A37" s="207" t="n">
        <f aca="false">A36+1</f>
        <v>23</v>
      </c>
      <c r="B37" s="122" t="n">
        <v>6890.17</v>
      </c>
      <c r="C37" s="123" t="n">
        <v>248746</v>
      </c>
      <c r="D37" s="241" t="n">
        <f aca="false">C37-C36</f>
        <v>136</v>
      </c>
      <c r="E37" s="123" t="n">
        <f aca="false">C37-152000</f>
        <v>96746</v>
      </c>
      <c r="F37" s="277" t="n">
        <f aca="false">D37/$D$2</f>
        <v>68.5656667506932</v>
      </c>
      <c r="G37" s="155" t="n">
        <v>141.265666750693</v>
      </c>
      <c r="H37" s="330" t="n">
        <v>9.47</v>
      </c>
      <c r="I37" s="155" t="n">
        <f aca="false">G37+H37</f>
        <v>150.735666750693</v>
      </c>
      <c r="J37" s="156" t="n">
        <f aca="false">IF(L37&gt;0,L37,0)</f>
        <v>0</v>
      </c>
      <c r="K37" s="155" t="n">
        <f aca="false">I37+J37</f>
        <v>150.735666750693</v>
      </c>
      <c r="L37" s="155" t="n">
        <f aca="false">F37-(I37-AK37)</f>
        <v>0</v>
      </c>
      <c r="M37" s="279" t="n">
        <v>3.47</v>
      </c>
      <c r="N37" s="155" t="n">
        <v>0</v>
      </c>
      <c r="O37" s="155" t="n">
        <f aca="false">0*1.05</f>
        <v>0</v>
      </c>
      <c r="P37" s="186" t="n">
        <v>0</v>
      </c>
      <c r="Q37" s="301" t="n">
        <f aca="false">1044700/325851/1.9835*1.02</f>
        <v>1.64869569345612</v>
      </c>
      <c r="R37" s="151" t="n">
        <f aca="false">IF(((2*1.04)-T37)&gt;=4.2,4.2,(2*1.04)-T37)</f>
        <v>1.545336</v>
      </c>
      <c r="S37" s="96" t="n">
        <f aca="false">IF(((2*1.04)-T37)&gt;=4.2,((2*1.04)-T37)-4.2,0)</f>
        <v>0</v>
      </c>
      <c r="T37" s="151" t="n">
        <f aca="false">(0.485*1.06)*1.04</f>
        <v>0.534664</v>
      </c>
      <c r="U37" s="111" t="n">
        <f aca="false">M37-(Q37+R37+S37+T37)</f>
        <v>-0.258695693456116</v>
      </c>
      <c r="V37" s="280" t="n">
        <v>48.6</v>
      </c>
      <c r="W37" s="155" t="n">
        <v>0</v>
      </c>
      <c r="X37" s="155" t="n">
        <f aca="false">M37-N37-O37-P37-Q37-R37-S37-T37-U37+V37+W37</f>
        <v>48.6</v>
      </c>
      <c r="Y37" s="155" t="n">
        <f aca="false">X37-AO37</f>
        <v>48.6</v>
      </c>
      <c r="Z37" s="155"/>
      <c r="AA37" s="155"/>
      <c r="AB37" s="123"/>
      <c r="AC37" s="156"/>
      <c r="AD37" s="123"/>
      <c r="AE37" s="155" t="n">
        <v>0</v>
      </c>
      <c r="AF37" s="279"/>
      <c r="AG37" s="281"/>
      <c r="AH37" s="155" t="n">
        <v>30.1</v>
      </c>
      <c r="AI37" s="123" t="n">
        <f aca="false">AI36-AH37</f>
        <v>1732.65787748928</v>
      </c>
      <c r="AJ37" s="246"/>
      <c r="AK37" s="154" t="n">
        <f aca="false">N37+O37+P37+Q37+R37+S37+T37+U37+X37+AE37+AH37</f>
        <v>82.17</v>
      </c>
      <c r="AL37" s="155" t="n">
        <f aca="false">IF(L37&lt;0,L37*-1,0)</f>
        <v>0</v>
      </c>
      <c r="AM37" s="155" t="n">
        <f aca="false">AK37+AL37</f>
        <v>82.17</v>
      </c>
      <c r="AN37" s="284" t="n">
        <f aca="false">V37</f>
        <v>48.6</v>
      </c>
      <c r="AO37" s="241"/>
      <c r="AP37" s="155"/>
      <c r="AQ37" s="123"/>
      <c r="AR37" s="123"/>
      <c r="AS37" s="331"/>
      <c r="AV37" s="249" t="n">
        <v>0.04</v>
      </c>
      <c r="AW37" s="241" t="n">
        <v>47</v>
      </c>
      <c r="AX37" s="248" t="n">
        <v>23</v>
      </c>
      <c r="AY37" s="283"/>
      <c r="AZ37" s="282" t="n">
        <f aca="false">SUM(N37,P37:U37)</f>
        <v>3.47</v>
      </c>
      <c r="BA37" s="208" t="n">
        <v>0.455</v>
      </c>
      <c r="BB37" s="283" t="n">
        <v>19310</v>
      </c>
    </row>
    <row r="38" customFormat="false" ht="12.95" hidden="false" customHeight="true" outlineLevel="0" collapsed="false">
      <c r="A38" s="207" t="n">
        <f aca="false">A37+1</f>
        <v>24</v>
      </c>
      <c r="B38" s="122" t="n">
        <v>6890.21</v>
      </c>
      <c r="C38" s="123" t="n">
        <v>248882</v>
      </c>
      <c r="D38" s="241" t="n">
        <f aca="false">C38-C37</f>
        <v>136</v>
      </c>
      <c r="E38" s="123" t="n">
        <f aca="false">C38-152000</f>
        <v>96882</v>
      </c>
      <c r="F38" s="277" t="n">
        <f aca="false">D38/$D$2</f>
        <v>68.5656667506932</v>
      </c>
      <c r="G38" s="155" t="n">
        <v>140.365666750693</v>
      </c>
      <c r="H38" s="330" t="n">
        <v>11.4</v>
      </c>
      <c r="I38" s="155" t="n">
        <f aca="false">G38+H38</f>
        <v>151.765666750693</v>
      </c>
      <c r="J38" s="156" t="n">
        <f aca="false">IF(L38&gt;0,L38,0)</f>
        <v>0</v>
      </c>
      <c r="K38" s="155" t="n">
        <f aca="false">I38+J38</f>
        <v>151.765666750693</v>
      </c>
      <c r="L38" s="155" t="n">
        <f aca="false">F38-(I38-AK38)</f>
        <v>0</v>
      </c>
      <c r="M38" s="279" t="n">
        <v>4.5</v>
      </c>
      <c r="N38" s="155" t="n">
        <v>0</v>
      </c>
      <c r="O38" s="155" t="n">
        <f aca="false">0.961*1.05</f>
        <v>1.00905</v>
      </c>
      <c r="P38" s="186" t="n">
        <v>0</v>
      </c>
      <c r="Q38" s="301" t="n">
        <f aca="false">1228300/325851/1.9835*1.02</f>
        <v>1.9384444532135</v>
      </c>
      <c r="R38" s="151" t="n">
        <f aca="false">IF(((2*1.04)-T38)&gt;=4.2,4.2,(2*1.04)-T38)</f>
        <v>1.545336</v>
      </c>
      <c r="S38" s="96" t="n">
        <f aca="false">IF(((2*1.04)-T38)&gt;=4.2,((2*1.04)-T38)-4.2,0)</f>
        <v>0</v>
      </c>
      <c r="T38" s="151" t="n">
        <f aca="false">(0.485*1.06)*1.04</f>
        <v>0.534664</v>
      </c>
      <c r="U38" s="111" t="n">
        <f aca="false">M38-(Q38+R38+S38+T38)</f>
        <v>0.481555546786495</v>
      </c>
      <c r="V38" s="155" t="n">
        <v>48.6</v>
      </c>
      <c r="W38" s="155" t="n">
        <v>0</v>
      </c>
      <c r="X38" s="155" t="n">
        <f aca="false">M38-N38-O38-P38-Q38-R38-S38-T38-U38+V38+W38</f>
        <v>47.59095</v>
      </c>
      <c r="Y38" s="155" t="n">
        <f aca="false">X38-AO38</f>
        <v>47.59095</v>
      </c>
      <c r="Z38" s="155"/>
      <c r="AA38" s="155"/>
      <c r="AB38" s="123"/>
      <c r="AC38" s="156"/>
      <c r="AD38" s="123"/>
      <c r="AE38" s="155" t="n">
        <v>0</v>
      </c>
      <c r="AF38" s="279"/>
      <c r="AG38" s="281"/>
      <c r="AH38" s="155" t="n">
        <v>30.1</v>
      </c>
      <c r="AI38" s="123" t="n">
        <f aca="false">AI37-AH38</f>
        <v>1702.55787748928</v>
      </c>
      <c r="AJ38" s="246"/>
      <c r="AK38" s="154" t="n">
        <f aca="false">N38+O38+P38+Q38+R38+S38+T38+U38+X38+AE38+AH38</f>
        <v>83.2</v>
      </c>
      <c r="AL38" s="155" t="n">
        <f aca="false">IF(L38&lt;0,L38*-1,0)</f>
        <v>0</v>
      </c>
      <c r="AM38" s="155" t="n">
        <f aca="false">AK38+AL38</f>
        <v>83.2</v>
      </c>
      <c r="AN38" s="284" t="n">
        <f aca="false">V38</f>
        <v>48.6</v>
      </c>
      <c r="AO38" s="241"/>
      <c r="AP38" s="155"/>
      <c r="AQ38" s="123"/>
      <c r="AR38" s="123"/>
      <c r="AS38" s="331"/>
      <c r="AV38" s="249" t="n">
        <v>0</v>
      </c>
      <c r="AW38" s="241" t="n">
        <v>48</v>
      </c>
      <c r="AX38" s="248" t="n">
        <v>16</v>
      </c>
      <c r="AY38" s="283"/>
      <c r="AZ38" s="282" t="n">
        <f aca="false">SUM(N38,P38:U38)</f>
        <v>4.5</v>
      </c>
      <c r="BA38" s="208" t="n">
        <v>0.404</v>
      </c>
      <c r="BB38" s="283" t="n">
        <v>19328</v>
      </c>
    </row>
    <row r="39" customFormat="false" ht="12.95" hidden="false" customHeight="true" outlineLevel="0" collapsed="false">
      <c r="A39" s="207" t="n">
        <f aca="false">A38+1</f>
        <v>25</v>
      </c>
      <c r="B39" s="122" t="n">
        <v>6890.26</v>
      </c>
      <c r="C39" s="123" t="n">
        <v>249052</v>
      </c>
      <c r="D39" s="241" t="n">
        <f aca="false">C39-C38</f>
        <v>170</v>
      </c>
      <c r="E39" s="123" t="n">
        <f aca="false">C39-152000</f>
        <v>97052</v>
      </c>
      <c r="F39" s="277" t="n">
        <f aca="false">D39/$D$2</f>
        <v>85.7070834383665</v>
      </c>
      <c r="G39" s="155" t="n">
        <v>157.547083438367</v>
      </c>
      <c r="H39" s="330" t="n">
        <v>10.4</v>
      </c>
      <c r="I39" s="155" t="n">
        <f aca="false">G39+H39</f>
        <v>167.947083438367</v>
      </c>
      <c r="J39" s="156" t="n">
        <f aca="false">IF(L39&gt;0,L39,0)</f>
        <v>0</v>
      </c>
      <c r="K39" s="155" t="n">
        <f aca="false">I39+J39</f>
        <v>167.947083438367</v>
      </c>
      <c r="L39" s="155" t="n">
        <f aca="false">F39-(I39-AK39)</f>
        <v>0</v>
      </c>
      <c r="M39" s="279" t="n">
        <v>3.14</v>
      </c>
      <c r="N39" s="155" t="n">
        <v>0</v>
      </c>
      <c r="O39" s="155" t="n">
        <f aca="false">0.69*1.05</f>
        <v>0.7245</v>
      </c>
      <c r="P39" s="186" t="n">
        <v>0</v>
      </c>
      <c r="Q39" s="301" t="n">
        <f aca="false">1041500/325851/1.9835*1.02</f>
        <v>1.64364560614008</v>
      </c>
      <c r="R39" s="151" t="n">
        <f aca="false">IF(((1.9*1.04)-T39)&gt;=4.2,4.2,(1.9*1.04)-T39)</f>
        <v>1.441336</v>
      </c>
      <c r="S39" s="96" t="n">
        <f aca="false">IF(((1.9*1.04)-T39)&gt;=4.2,((1.9*1.04)-T39)-4.2,0)</f>
        <v>0</v>
      </c>
      <c r="T39" s="151" t="n">
        <f aca="false">(0.485*1.06)*1.04</f>
        <v>0.534664</v>
      </c>
      <c r="U39" s="111" t="n">
        <f aca="false">M39-(Q39+R39+S39+T39)</f>
        <v>-0.479645606140084</v>
      </c>
      <c r="V39" s="155" t="n">
        <v>49</v>
      </c>
      <c r="W39" s="155" t="n">
        <v>0</v>
      </c>
      <c r="X39" s="155" t="n">
        <f aca="false">M39-N39-O39-P39-Q39-R39-S39-T39-U39+V39+W39</f>
        <v>48.2755</v>
      </c>
      <c r="Y39" s="155" t="n">
        <f aca="false">X39-AO39</f>
        <v>48.2755</v>
      </c>
      <c r="Z39" s="155"/>
      <c r="AA39" s="155"/>
      <c r="AB39" s="123"/>
      <c r="AC39" s="156"/>
      <c r="AD39" s="123"/>
      <c r="AE39" s="155" t="n">
        <v>0</v>
      </c>
      <c r="AF39" s="279"/>
      <c r="AG39" s="281"/>
      <c r="AH39" s="155" t="n">
        <v>30.1</v>
      </c>
      <c r="AI39" s="123" t="n">
        <f aca="false">AI38-AH39</f>
        <v>1672.45787748928</v>
      </c>
      <c r="AJ39" s="246"/>
      <c r="AK39" s="154" t="n">
        <f aca="false">N39+O39+P39+Q39+R39+S39+T39+U39+X39+AE39+AH39</f>
        <v>82.24</v>
      </c>
      <c r="AL39" s="155" t="n">
        <f aca="false">IF(L39&lt;0,L39*-1,0)</f>
        <v>0</v>
      </c>
      <c r="AM39" s="155" t="n">
        <f aca="false">AK39+AL39</f>
        <v>82.24</v>
      </c>
      <c r="AN39" s="284" t="n">
        <f aca="false">V39</f>
        <v>49</v>
      </c>
      <c r="AO39" s="241"/>
      <c r="AP39" s="155"/>
      <c r="AQ39" s="123"/>
      <c r="AR39" s="123"/>
      <c r="AS39" s="331"/>
      <c r="AV39" s="249" t="n">
        <v>0</v>
      </c>
      <c r="AW39" s="241" t="n">
        <v>53</v>
      </c>
      <c r="AX39" s="248" t="n">
        <v>20</v>
      </c>
      <c r="AY39" s="283"/>
      <c r="AZ39" s="282" t="n">
        <f aca="false">SUM(N39,P39:U39)</f>
        <v>3.14</v>
      </c>
      <c r="BA39" s="208" t="n">
        <v>0.411</v>
      </c>
      <c r="BB39" s="283" t="n">
        <v>19368</v>
      </c>
    </row>
    <row r="40" customFormat="false" ht="12.95" hidden="false" customHeight="true" outlineLevel="0" collapsed="false">
      <c r="A40" s="207" t="n">
        <f aca="false">A39+1</f>
        <v>26</v>
      </c>
      <c r="B40" s="122" t="n">
        <v>6890.3</v>
      </c>
      <c r="C40" s="123" t="n">
        <v>249188</v>
      </c>
      <c r="D40" s="241" t="n">
        <f aca="false">C40-C39</f>
        <v>136</v>
      </c>
      <c r="E40" s="123" t="n">
        <f aca="false">C40-152000</f>
        <v>97188</v>
      </c>
      <c r="F40" s="277" t="n">
        <f aca="false">D40/$D$2</f>
        <v>68.5656667506932</v>
      </c>
      <c r="G40" s="155" t="n">
        <v>142.405666750693</v>
      </c>
      <c r="H40" s="344" t="n">
        <v>9.05</v>
      </c>
      <c r="I40" s="155" t="n">
        <f aca="false">G40+H40</f>
        <v>151.455666750693</v>
      </c>
      <c r="J40" s="156" t="n">
        <f aca="false">IF(L40&gt;0,L40,0)</f>
        <v>0</v>
      </c>
      <c r="K40" s="155" t="n">
        <f aca="false">I40+J40</f>
        <v>151.455666750693</v>
      </c>
      <c r="L40" s="155" t="n">
        <f aca="false">F40-(I40-AK40)</f>
        <v>0</v>
      </c>
      <c r="M40" s="279" t="n">
        <v>3.39</v>
      </c>
      <c r="N40" s="155" t="n">
        <v>0</v>
      </c>
      <c r="O40" s="155" t="n">
        <f aca="false">0*1.05</f>
        <v>0</v>
      </c>
      <c r="P40" s="186" t="n">
        <v>0</v>
      </c>
      <c r="Q40" s="301" t="n">
        <f aca="false">927500/325851/1.9835*1.02</f>
        <v>1.46373624550641</v>
      </c>
      <c r="R40" s="151" t="n">
        <f aca="false">IF(((2*1.04)-T40)&gt;=4.2,4.2,(2*1.04)-T40)</f>
        <v>1.50432672</v>
      </c>
      <c r="S40" s="96" t="n">
        <f aca="false">IF(((2*1.04)-T40)&gt;=4.2,((2*1.04)-T40)-4.2,0)</f>
        <v>0</v>
      </c>
      <c r="T40" s="151" t="n">
        <f aca="false">(0.5222*1.06)*1.04</f>
        <v>0.57567328</v>
      </c>
      <c r="U40" s="111" t="n">
        <f aca="false">M40-(Q40+R40+S40+T40)</f>
        <v>-0.153736245506412</v>
      </c>
      <c r="V40" s="155" t="n">
        <v>49.4</v>
      </c>
      <c r="W40" s="155" t="n">
        <v>0</v>
      </c>
      <c r="X40" s="155" t="n">
        <f aca="false">M40-N40-O40-P40-Q40-R40-S40-T40-U40+V40+W40</f>
        <v>49.4</v>
      </c>
      <c r="Y40" s="155" t="n">
        <f aca="false">X40-AO40</f>
        <v>49.4</v>
      </c>
      <c r="Z40" s="155"/>
      <c r="AA40" s="155"/>
      <c r="AB40" s="123"/>
      <c r="AC40" s="156"/>
      <c r="AD40" s="123"/>
      <c r="AE40" s="155" t="n">
        <v>0</v>
      </c>
      <c r="AF40" s="279"/>
      <c r="AG40" s="281"/>
      <c r="AH40" s="155" t="n">
        <v>30.1</v>
      </c>
      <c r="AI40" s="123" t="n">
        <f aca="false">AI39-AH40</f>
        <v>1642.35787748928</v>
      </c>
      <c r="AJ40" s="246"/>
      <c r="AK40" s="154" t="n">
        <f aca="false">N40+O40+P40+Q40+R40+S40+T40+U40+X40+AE40+AH40</f>
        <v>82.89</v>
      </c>
      <c r="AL40" s="155" t="n">
        <f aca="false">IF(L40&lt;0,L40*-1,0)</f>
        <v>0</v>
      </c>
      <c r="AM40" s="155" t="n">
        <f aca="false">AK40+AL40</f>
        <v>82.89</v>
      </c>
      <c r="AN40" s="284" t="n">
        <f aca="false">V40</f>
        <v>49.4</v>
      </c>
      <c r="AO40" s="241"/>
      <c r="AP40" s="155"/>
      <c r="AQ40" s="123"/>
      <c r="AR40" s="123"/>
      <c r="AS40" s="331"/>
      <c r="AV40" s="249" t="n">
        <v>0</v>
      </c>
      <c r="AW40" s="241" t="n">
        <v>60</v>
      </c>
      <c r="AX40" s="241" t="n">
        <v>26</v>
      </c>
      <c r="AY40" s="283"/>
      <c r="AZ40" s="282" t="n">
        <f aca="false">SUM(N40,P40:U40)</f>
        <v>3.39</v>
      </c>
      <c r="BA40" s="208" t="n">
        <v>0.325</v>
      </c>
      <c r="BB40" s="283" t="n">
        <v>19416</v>
      </c>
    </row>
    <row r="41" customFormat="false" ht="12.95" hidden="false" customHeight="true" outlineLevel="0" collapsed="false">
      <c r="A41" s="207" t="n">
        <f aca="false">A40+1</f>
        <v>27</v>
      </c>
      <c r="B41" s="122" t="n">
        <v>6890.34</v>
      </c>
      <c r="C41" s="123" t="n">
        <v>249324</v>
      </c>
      <c r="D41" s="241" t="n">
        <f aca="false">C41-C40</f>
        <v>136</v>
      </c>
      <c r="E41" s="123" t="n">
        <f aca="false">C41-152000</f>
        <v>97324</v>
      </c>
      <c r="F41" s="277" t="n">
        <f aca="false">D41/$D$2</f>
        <v>68.5656667506932</v>
      </c>
      <c r="G41" s="155" t="n">
        <v>143.425666750693</v>
      </c>
      <c r="H41" s="344" t="n">
        <v>8.25</v>
      </c>
      <c r="I41" s="155" t="n">
        <f aca="false">G41+H41</f>
        <v>151.675666750693</v>
      </c>
      <c r="J41" s="156" t="n">
        <f aca="false">IF(L41&gt;0,L41,0)</f>
        <v>0</v>
      </c>
      <c r="K41" s="155" t="n">
        <f aca="false">I41+J41</f>
        <v>151.675666750693</v>
      </c>
      <c r="L41" s="155" t="n">
        <f aca="false">F41-(I41-AK41)</f>
        <v>0</v>
      </c>
      <c r="M41" s="279" t="n">
        <v>3.51</v>
      </c>
      <c r="N41" s="155" t="n">
        <v>0</v>
      </c>
      <c r="O41" s="155" t="n">
        <f aca="false">0*1.05</f>
        <v>0</v>
      </c>
      <c r="P41" s="186" t="n">
        <v>0</v>
      </c>
      <c r="Q41" s="301" t="n">
        <f aca="false">1069200/325851/1.9835*1.02</f>
        <v>1.68736042446949</v>
      </c>
      <c r="R41" s="151" t="n">
        <f aca="false">IF(((2*1.04)-T41)&gt;=4.2,4.2,(2*1.04)-T41)</f>
        <v>1.50432672</v>
      </c>
      <c r="S41" s="96" t="n">
        <f aca="false">IF(((2*1.04)-T41)&gt;=4.2,((2*1.04)-T41)-4.2,0)</f>
        <v>0</v>
      </c>
      <c r="T41" s="151" t="n">
        <f aca="false">(0.5222*1.06)*1.04</f>
        <v>0.57567328</v>
      </c>
      <c r="U41" s="111" t="n">
        <f aca="false">M41-(Q41+R41+S41+T41)</f>
        <v>-0.257360424469494</v>
      </c>
      <c r="V41" s="155" t="n">
        <v>49.4</v>
      </c>
      <c r="W41" s="155" t="n">
        <v>0</v>
      </c>
      <c r="X41" s="155" t="n">
        <f aca="false">M41-N41-O41-P41-Q41-R41-S41-T41-U41+V41+W41</f>
        <v>49.4</v>
      </c>
      <c r="Y41" s="155" t="n">
        <f aca="false">X41-AO41</f>
        <v>49.4</v>
      </c>
      <c r="Z41" s="155"/>
      <c r="AA41" s="155"/>
      <c r="AB41" s="123"/>
      <c r="AC41" s="156"/>
      <c r="AD41" s="123"/>
      <c r="AE41" s="155" t="n">
        <v>0</v>
      </c>
      <c r="AF41" s="279"/>
      <c r="AG41" s="281"/>
      <c r="AH41" s="155" t="n">
        <v>30.2</v>
      </c>
      <c r="AI41" s="123" t="n">
        <f aca="false">AI40-AH41</f>
        <v>1612.15787748928</v>
      </c>
      <c r="AJ41" s="246"/>
      <c r="AK41" s="154" t="n">
        <f aca="false">N41+O41+P41+Q41+R41+S41+T41+U41+X41+AE41+AH41</f>
        <v>83.11</v>
      </c>
      <c r="AL41" s="155" t="n">
        <f aca="false">IF(L41&lt;0,L41*-1,0)</f>
        <v>0</v>
      </c>
      <c r="AM41" s="155" t="n">
        <f aca="false">AK41+AL41</f>
        <v>83.11</v>
      </c>
      <c r="AN41" s="284" t="n">
        <f aca="false">V41</f>
        <v>49.4</v>
      </c>
      <c r="AO41" s="241"/>
      <c r="AP41" s="155"/>
      <c r="AQ41" s="123"/>
      <c r="AR41" s="123"/>
      <c r="AS41" s="331"/>
      <c r="AV41" s="249" t="n">
        <v>0</v>
      </c>
      <c r="AW41" s="241" t="n">
        <v>60</v>
      </c>
      <c r="AX41" s="241" t="n">
        <v>28</v>
      </c>
      <c r="AY41" s="283"/>
      <c r="AZ41" s="282" t="n">
        <f aca="false">SUM(N41,P41:U41)</f>
        <v>3.51</v>
      </c>
      <c r="BA41" s="208" t="n">
        <v>0.328</v>
      </c>
      <c r="BB41" s="283" t="n">
        <v>19423</v>
      </c>
    </row>
    <row r="42" customFormat="false" ht="12.95" hidden="false" customHeight="true" outlineLevel="0" collapsed="false">
      <c r="A42" s="207" t="n">
        <v>28</v>
      </c>
      <c r="B42" s="122" t="n">
        <v>6890.38</v>
      </c>
      <c r="C42" s="123" t="n">
        <v>249460</v>
      </c>
      <c r="D42" s="241" t="n">
        <f aca="false">C42-C41</f>
        <v>136</v>
      </c>
      <c r="E42" s="123" t="n">
        <f aca="false">C42-152000</f>
        <v>97460</v>
      </c>
      <c r="F42" s="277" t="n">
        <f aca="false">D42/$D$2</f>
        <v>68.5656667506932</v>
      </c>
      <c r="G42" s="155" t="n">
        <v>143.805666750693</v>
      </c>
      <c r="H42" s="344" t="n">
        <v>8.44</v>
      </c>
      <c r="I42" s="155" t="n">
        <f aca="false">G42+H42</f>
        <v>152.245666750693</v>
      </c>
      <c r="J42" s="156" t="n">
        <f aca="false">IF(L42&gt;0,L42,0)</f>
        <v>0</v>
      </c>
      <c r="K42" s="155" t="n">
        <f aca="false">I42+J42</f>
        <v>152.245666750693</v>
      </c>
      <c r="L42" s="155" t="n">
        <f aca="false">F42-(I42-AK42)</f>
        <v>0</v>
      </c>
      <c r="M42" s="279" t="n">
        <v>3.78</v>
      </c>
      <c r="N42" s="155" t="n">
        <v>0</v>
      </c>
      <c r="O42" s="155" t="n">
        <f aca="false">0*1.05</f>
        <v>0</v>
      </c>
      <c r="P42" s="186" t="n">
        <v>0</v>
      </c>
      <c r="Q42" s="301" t="n">
        <f aca="false">1278200/325851/1.9835*1.02</f>
        <v>2.01719425229789</v>
      </c>
      <c r="R42" s="151" t="n">
        <f aca="false">IF(((1.9*1.04)-T42)&gt;=4.2,4.2,(1.9*1.04)-T42)</f>
        <v>1.40032672</v>
      </c>
      <c r="S42" s="96" t="n">
        <f aca="false">IF(((1.9*1.04)-T42)&gt;=4.2,((1.9*1.04)-T42)-4.2,0)</f>
        <v>0</v>
      </c>
      <c r="T42" s="151" t="n">
        <f aca="false">(0.5222*1.06)*1.04</f>
        <v>0.57567328</v>
      </c>
      <c r="U42" s="111" t="n">
        <f aca="false">M42-(Q42+R42+S42+T42)</f>
        <v>-0.213194252297893</v>
      </c>
      <c r="V42" s="155" t="n">
        <v>49.4</v>
      </c>
      <c r="W42" s="155" t="n">
        <v>0</v>
      </c>
      <c r="X42" s="155" t="n">
        <f aca="false">M42-N42-O42-P42-Q42-R42-S42-T42-U42+V42+W42</f>
        <v>49.4</v>
      </c>
      <c r="Y42" s="155" t="n">
        <f aca="false">X42-AO42</f>
        <v>49.4</v>
      </c>
      <c r="Z42" s="155"/>
      <c r="AA42" s="155"/>
      <c r="AB42" s="123"/>
      <c r="AC42" s="156"/>
      <c r="AD42" s="123"/>
      <c r="AE42" s="155" t="n">
        <v>0</v>
      </c>
      <c r="AF42" s="279"/>
      <c r="AG42" s="281"/>
      <c r="AH42" s="155" t="n">
        <v>30.5</v>
      </c>
      <c r="AI42" s="123" t="n">
        <f aca="false">AI41-AH42</f>
        <v>1581.65787748928</v>
      </c>
      <c r="AJ42" s="246"/>
      <c r="AK42" s="154" t="n">
        <f aca="false">N42+O42+P42+Q42+R42+S42+T42+U42+X42+AE42+AH42</f>
        <v>83.68</v>
      </c>
      <c r="AL42" s="155" t="n">
        <f aca="false">IF(L42&lt;0,L42*-1,0)</f>
        <v>0</v>
      </c>
      <c r="AM42" s="155" t="n">
        <f aca="false">AK42+AL42</f>
        <v>83.68</v>
      </c>
      <c r="AN42" s="284" t="n">
        <f aca="false">V42</f>
        <v>49.4</v>
      </c>
      <c r="AO42" s="241"/>
      <c r="AP42" s="155"/>
      <c r="AQ42" s="123"/>
      <c r="AR42" s="123"/>
      <c r="AS42" s="331"/>
      <c r="AV42" s="249" t="n">
        <v>0</v>
      </c>
      <c r="AW42" s="241" t="n">
        <v>59</v>
      </c>
      <c r="AX42" s="241" t="n">
        <v>29</v>
      </c>
      <c r="AY42" s="283"/>
      <c r="AZ42" s="282" t="n">
        <f aca="false">SUM(N42,P42:U42)</f>
        <v>3.78</v>
      </c>
      <c r="BA42" s="208" t="n">
        <v>0.367</v>
      </c>
      <c r="BB42" s="283" t="n">
        <v>19425</v>
      </c>
    </row>
    <row r="43" customFormat="false" ht="12.95" hidden="false" customHeight="true" outlineLevel="0" collapsed="false">
      <c r="A43" s="207" t="n">
        <v>29</v>
      </c>
      <c r="B43" s="122" t="n">
        <v>6890.42</v>
      </c>
      <c r="C43" s="123" t="n">
        <v>249596</v>
      </c>
      <c r="D43" s="241" t="n">
        <f aca="false">C43-C42</f>
        <v>136</v>
      </c>
      <c r="E43" s="123" t="n">
        <f aca="false">C43-152000</f>
        <v>97596</v>
      </c>
      <c r="F43" s="277" t="n">
        <f aca="false">D43/$D$2</f>
        <v>68.5656667506932</v>
      </c>
      <c r="G43" s="155" t="n">
        <v>143.905666750693</v>
      </c>
      <c r="H43" s="344" t="n">
        <v>9.56</v>
      </c>
      <c r="I43" s="155" t="n">
        <f aca="false">G43+H43</f>
        <v>153.465666750693</v>
      </c>
      <c r="J43" s="156" t="n">
        <f aca="false">IF(L43&gt;0,L43,0)</f>
        <v>0</v>
      </c>
      <c r="K43" s="155" t="n">
        <f aca="false">I43+J43</f>
        <v>153.465666750693</v>
      </c>
      <c r="L43" s="155" t="n">
        <f aca="false">F43-(I43-AK43)</f>
        <v>0</v>
      </c>
      <c r="M43" s="279" t="n">
        <v>3.9</v>
      </c>
      <c r="N43" s="155" t="n">
        <v>0</v>
      </c>
      <c r="O43" s="155" t="n">
        <f aca="false">0*1.05</f>
        <v>0</v>
      </c>
      <c r="P43" s="186" t="n">
        <v>0</v>
      </c>
      <c r="Q43" s="301" t="n">
        <f aca="false">963900/325851/1.9835*1.02</f>
        <v>1.52118098872629</v>
      </c>
      <c r="R43" s="151" t="n">
        <f aca="false">IF(((2*1.04)-T43)&gt;=4.2,4.2,(2*1.04)-T43)</f>
        <v>1.50432672</v>
      </c>
      <c r="S43" s="96" t="n">
        <f aca="false">IF(((2*1.04)-T43)&gt;=4.2,((2*1.04)-T43)-4.2,0)</f>
        <v>0</v>
      </c>
      <c r="T43" s="151" t="n">
        <f aca="false">(0.5222*1.06)*1.04</f>
        <v>0.57567328</v>
      </c>
      <c r="U43" s="111" t="n">
        <f aca="false">M43-(Q43+R43+S43+T43)</f>
        <v>0.298819011273714</v>
      </c>
      <c r="V43" s="155" t="n">
        <v>50.4</v>
      </c>
      <c r="W43" s="155" t="n">
        <v>0</v>
      </c>
      <c r="X43" s="155" t="n">
        <f aca="false">M43-N43-O43-P43-Q43-R43-S43-T43-U43+V43+W43</f>
        <v>50.4</v>
      </c>
      <c r="Y43" s="155" t="n">
        <f aca="false">X43-AO43</f>
        <v>50.4</v>
      </c>
      <c r="Z43" s="155"/>
      <c r="AA43" s="155"/>
      <c r="AB43" s="123"/>
      <c r="AC43" s="156"/>
      <c r="AD43" s="123"/>
      <c r="AE43" s="155" t="n">
        <v>0</v>
      </c>
      <c r="AF43" s="279"/>
      <c r="AG43" s="281"/>
      <c r="AH43" s="280" t="n">
        <v>30.6</v>
      </c>
      <c r="AI43" s="123" t="n">
        <f aca="false">AI42-AH43</f>
        <v>1551.05787748928</v>
      </c>
      <c r="AJ43" s="246"/>
      <c r="AK43" s="154" t="n">
        <f aca="false">N43+O43+P43+Q43+R43+S43+T43+U43+X43+AE43+AH43</f>
        <v>84.9</v>
      </c>
      <c r="AL43" s="155" t="n">
        <f aca="false">IF(L43&lt;0,L43*-1,0)</f>
        <v>0</v>
      </c>
      <c r="AM43" s="155" t="n">
        <f aca="false">AK43+AL43</f>
        <v>84.9</v>
      </c>
      <c r="AN43" s="284" t="n">
        <f aca="false">V43</f>
        <v>50.4</v>
      </c>
      <c r="AO43" s="241"/>
      <c r="AP43" s="155"/>
      <c r="AQ43" s="123"/>
      <c r="AR43" s="123"/>
      <c r="AS43" s="331"/>
      <c r="AV43" s="249" t="n">
        <v>0</v>
      </c>
      <c r="AW43" s="241" t="n">
        <v>60</v>
      </c>
      <c r="AX43" s="241" t="n">
        <v>30</v>
      </c>
      <c r="AY43" s="283"/>
      <c r="AZ43" s="282" t="n">
        <f aca="false">SUM(N43,P43:U43)</f>
        <v>3.9</v>
      </c>
      <c r="BA43" s="208" t="n">
        <v>0.391</v>
      </c>
      <c r="BB43" s="283" t="n">
        <v>19404</v>
      </c>
    </row>
    <row r="44" customFormat="false" ht="3" hidden="false" customHeight="true" outlineLevel="0" collapsed="false">
      <c r="A44" s="345"/>
      <c r="B44" s="286"/>
      <c r="C44" s="263"/>
      <c r="D44" s="263"/>
      <c r="E44" s="263"/>
      <c r="F44" s="289"/>
      <c r="G44" s="263"/>
      <c r="H44" s="274"/>
      <c r="I44" s="263"/>
      <c r="J44" s="263"/>
      <c r="K44" s="263"/>
      <c r="L44" s="263"/>
      <c r="M44" s="290"/>
      <c r="N44" s="263"/>
      <c r="O44" s="263"/>
      <c r="P44" s="268"/>
      <c r="Q44" s="263"/>
      <c r="R44" s="263"/>
      <c r="S44" s="274"/>
      <c r="T44" s="274"/>
      <c r="U44" s="269"/>
      <c r="V44" s="263"/>
      <c r="W44" s="263"/>
      <c r="X44" s="263"/>
      <c r="Y44" s="263"/>
      <c r="Z44" s="263"/>
      <c r="AA44" s="263"/>
      <c r="AB44" s="263"/>
      <c r="AC44" s="271"/>
      <c r="AD44" s="263"/>
      <c r="AE44" s="263"/>
      <c r="AF44" s="290"/>
      <c r="AG44" s="291"/>
      <c r="AH44" s="263"/>
      <c r="AI44" s="264"/>
      <c r="AJ44" s="346"/>
      <c r="AK44" s="263"/>
      <c r="AL44" s="263"/>
      <c r="AM44" s="289"/>
      <c r="AN44" s="274"/>
      <c r="AO44" s="274"/>
      <c r="AP44" s="263"/>
      <c r="AQ44" s="263"/>
      <c r="AR44" s="263"/>
      <c r="AS44" s="274"/>
      <c r="AT44" s="339"/>
      <c r="AU44" s="339"/>
      <c r="AV44" s="293"/>
      <c r="AW44" s="263"/>
      <c r="AX44" s="263"/>
      <c r="AY44" s="263"/>
      <c r="AZ44" s="263"/>
      <c r="BA44" s="263"/>
      <c r="BB44" s="263"/>
    </row>
    <row r="45" customFormat="false" ht="12.95" hidden="false" customHeight="true" outlineLevel="0" collapsed="false">
      <c r="A45" s="209" t="s">
        <v>104</v>
      </c>
      <c r="B45" s="303"/>
      <c r="C45" s="241"/>
      <c r="D45" s="241"/>
      <c r="E45" s="241"/>
      <c r="F45" s="250" t="n">
        <f aca="false">SUM(F15:F43)</f>
        <v>1500.8822788001</v>
      </c>
      <c r="G45" s="241" t="n">
        <f aca="false">SUM(G15:G43)</f>
        <v>3056.2702788001</v>
      </c>
      <c r="H45" s="241" t="n">
        <f aca="false">SUM(H15:H43)</f>
        <v>66.57</v>
      </c>
      <c r="I45" s="241" t="n">
        <f aca="false">SUM(I15:I43)</f>
        <v>3122.8402788001</v>
      </c>
      <c r="J45" s="241" t="n">
        <f aca="false">SUM(J15:J43)</f>
        <v>0</v>
      </c>
      <c r="K45" s="241" t="n">
        <f aca="false">SUM(K15:K43)</f>
        <v>3122.8402788001</v>
      </c>
      <c r="L45" s="241" t="n">
        <f aca="false">SUM(L15:L43)</f>
        <v>0</v>
      </c>
      <c r="M45" s="347" t="n">
        <f aca="false">SUM(M15:M43)</f>
        <v>108.66</v>
      </c>
      <c r="N45" s="241" t="n">
        <f aca="false">SUM(N15:N43)</f>
        <v>0</v>
      </c>
      <c r="O45" s="241" t="n">
        <f aca="false">SUM(O15:O43)</f>
        <v>1.73355</v>
      </c>
      <c r="P45" s="241" t="n">
        <f aca="false">SUM(P15:P43)</f>
        <v>0</v>
      </c>
      <c r="Q45" s="241" t="n">
        <f aca="false">SUM(Q15:Q43)</f>
        <v>50.5100264435893</v>
      </c>
      <c r="R45" s="241" t="n">
        <f aca="false">SUM(R15:R43)</f>
        <v>45.98780368</v>
      </c>
      <c r="S45" s="241" t="n">
        <f aca="false">SUM(S15:S43)</f>
        <v>0</v>
      </c>
      <c r="T45" s="241" t="n">
        <f aca="false">SUM(T15:T43)</f>
        <v>15.37219632</v>
      </c>
      <c r="U45" s="348" t="n">
        <f aca="false">SUM(U15:U43)</f>
        <v>-3.21002644358934</v>
      </c>
      <c r="V45" s="241" t="n">
        <f aca="false">SUM(V15:V43)</f>
        <v>635.59</v>
      </c>
      <c r="W45" s="241" t="n">
        <f aca="false">SUM(W15:W43)</f>
        <v>0.008</v>
      </c>
      <c r="X45" s="241" t="n">
        <f aca="false">SUM(X15:X43)</f>
        <v>633.86445</v>
      </c>
      <c r="Y45" s="241" t="n">
        <f aca="false">SUM(Y15:Y43)</f>
        <v>633.86445</v>
      </c>
      <c r="Z45" s="241"/>
      <c r="AA45" s="241"/>
      <c r="AB45" s="241"/>
      <c r="AC45" s="156" t="n">
        <f aca="false">SUM(AC15:AC43)</f>
        <v>0</v>
      </c>
      <c r="AD45" s="241"/>
      <c r="AE45" s="241"/>
      <c r="AF45" s="279"/>
      <c r="AG45" s="281"/>
      <c r="AH45" s="241" t="n">
        <f aca="false">SUM(AH15:AH43)</f>
        <v>877.7</v>
      </c>
      <c r="AI45" s="241"/>
      <c r="AJ45" s="241" t="n">
        <f aca="false">SUM(AJ15:AJ43)</f>
        <v>0</v>
      </c>
      <c r="AK45" s="241" t="n">
        <f aca="false">SUM(AK15:AK43)</f>
        <v>1621.958</v>
      </c>
      <c r="AL45" s="241" t="n">
        <f aca="false">SUM(AL15:AL43)</f>
        <v>0</v>
      </c>
      <c r="AM45" s="250" t="n">
        <f aca="false">SUM(AM15:AM43)</f>
        <v>1621.958</v>
      </c>
      <c r="AN45" s="241" t="n">
        <f aca="false">SUM(AN15:AN43)</f>
        <v>635.59</v>
      </c>
      <c r="AO45" s="241" t="n">
        <f aca="false">SUM(AO15:AO43)</f>
        <v>0</v>
      </c>
      <c r="AP45" s="155"/>
      <c r="AQ45" s="155"/>
      <c r="AR45" s="155"/>
      <c r="AS45" s="331"/>
      <c r="AV45" s="249" t="n">
        <f aca="false">SUM(AV15:AV43)</f>
        <v>0.48</v>
      </c>
      <c r="AW45" s="241" t="n">
        <f aca="false">AVERAGE(AW15:AW43)</f>
        <v>49.4827586206897</v>
      </c>
      <c r="AX45" s="241" t="n">
        <f aca="false">AVERAGE(AX15:AX43)</f>
        <v>19.4137931034483</v>
      </c>
      <c r="AY45" s="349" t="s">
        <v>123</v>
      </c>
      <c r="AZ45" s="350" t="n">
        <f aca="false">SUM(AZ15:AZ42)</f>
        <v>104.76</v>
      </c>
      <c r="BA45" s="208" t="n">
        <f aca="false">SUM(BA15:BA43)</f>
        <v>20.435</v>
      </c>
      <c r="BB45" s="283"/>
    </row>
    <row r="46" customFormat="false" ht="12.95" hidden="false" customHeight="true" outlineLevel="0" collapsed="false">
      <c r="A46" s="209" t="s">
        <v>106</v>
      </c>
      <c r="B46" s="303"/>
      <c r="C46" s="241"/>
      <c r="D46" s="241" t="n">
        <f aca="false">SUM(D15:D42)</f>
        <v>2841</v>
      </c>
      <c r="E46" s="241"/>
      <c r="F46" s="250" t="n">
        <f aca="false">F45*$D$2</f>
        <v>2977</v>
      </c>
      <c r="G46" s="241" t="n">
        <f aca="false">G45*$D$2</f>
        <v>6062.112098</v>
      </c>
      <c r="H46" s="241" t="n">
        <f aca="false">H45*$D$2</f>
        <v>132.041595</v>
      </c>
      <c r="I46" s="241" t="n">
        <f aca="false">I45*$D$2</f>
        <v>6194.153693</v>
      </c>
      <c r="J46" s="241" t="n">
        <f aca="false">J45*$D$2</f>
        <v>0</v>
      </c>
      <c r="K46" s="241" t="n">
        <f aca="false">K45*$D$2</f>
        <v>6194.153693</v>
      </c>
      <c r="L46" s="241" t="n">
        <f aca="false">L45*$D$2</f>
        <v>0</v>
      </c>
      <c r="M46" s="351" t="n">
        <f aca="false">M45*$D$2</f>
        <v>215.52711</v>
      </c>
      <c r="N46" s="241" t="n">
        <f aca="false">N45*$D$2</f>
        <v>0</v>
      </c>
      <c r="O46" s="241" t="n">
        <f aca="false">O45*$D$2</f>
        <v>3.438496425</v>
      </c>
      <c r="P46" s="186"/>
      <c r="Q46" s="241" t="n">
        <f aca="false">Q45*$D$2</f>
        <v>100.186637450859</v>
      </c>
      <c r="R46" s="241" t="n">
        <f aca="false">R45*$D$2</f>
        <v>91.21680859928</v>
      </c>
      <c r="S46" s="241" t="n">
        <f aca="false">S45*$D$2</f>
        <v>0</v>
      </c>
      <c r="T46" s="241" t="n">
        <f aca="false">T45*$D$2</f>
        <v>30.49075140072</v>
      </c>
      <c r="U46" s="352" t="n">
        <f aca="false">U45*$D$2</f>
        <v>-6.36708745085945</v>
      </c>
      <c r="V46" s="241" t="n">
        <f aca="false">V45*$D$2</f>
        <v>1260.692765</v>
      </c>
      <c r="W46" s="241" t="n">
        <f aca="false">W45*$D$2</f>
        <v>0.015868</v>
      </c>
      <c r="X46" s="241" t="n">
        <f aca="false">X45*$D$2</f>
        <v>1257.270136575</v>
      </c>
      <c r="Y46" s="241" t="n">
        <f aca="false">Y45*$D$2</f>
        <v>1257.270136575</v>
      </c>
      <c r="Z46" s="241"/>
      <c r="AA46" s="241"/>
      <c r="AB46" s="241"/>
      <c r="AC46" s="156" t="n">
        <f aca="false">AC45*$D$2</f>
        <v>0</v>
      </c>
      <c r="AD46" s="241"/>
      <c r="AE46" s="241"/>
      <c r="AF46" s="279"/>
      <c r="AG46" s="281"/>
      <c r="AH46" s="241" t="n">
        <f aca="false">AH45*$D$2</f>
        <v>1740.91795</v>
      </c>
      <c r="AI46" s="241"/>
      <c r="AJ46" s="241" t="n">
        <f aca="false">AJ45*$D$2</f>
        <v>0</v>
      </c>
      <c r="AK46" s="241" t="n">
        <f aca="false">AK45*$D$2</f>
        <v>3217.153693</v>
      </c>
      <c r="AL46" s="241" t="n">
        <f aca="false">AL45*$D$2</f>
        <v>0</v>
      </c>
      <c r="AM46" s="250" t="n">
        <f aca="false">AM45*$D$2</f>
        <v>3217.153693</v>
      </c>
      <c r="AN46" s="241" t="n">
        <f aca="false">AN45*$D$2</f>
        <v>1260.692765</v>
      </c>
      <c r="AO46" s="241" t="n">
        <f aca="false">AO45*$D$2</f>
        <v>0</v>
      </c>
      <c r="AP46" s="155"/>
      <c r="AQ46" s="155"/>
      <c r="AR46" s="155"/>
      <c r="AS46" s="331"/>
      <c r="AV46" s="249"/>
      <c r="AW46" s="241" t="n">
        <f aca="false">MAX(AW15:AW42)</f>
        <v>61</v>
      </c>
      <c r="AX46" s="241" t="n">
        <f aca="false">MAX(AX15:AX42)</f>
        <v>32</v>
      </c>
      <c r="AY46" s="250" t="s">
        <v>107</v>
      </c>
      <c r="AZ46" s="350" t="n">
        <f aca="false">AZ45*$D$2</f>
        <v>207.79146</v>
      </c>
      <c r="BA46" s="208" t="n">
        <f aca="false">BA45*D2</f>
        <v>40.5328225</v>
      </c>
      <c r="BB46" s="283"/>
    </row>
    <row r="47" customFormat="false" ht="3" hidden="false" customHeight="true" outlineLevel="0" collapsed="false">
      <c r="A47" s="261"/>
      <c r="B47" s="286"/>
      <c r="C47" s="263"/>
      <c r="D47" s="263"/>
      <c r="E47" s="263"/>
      <c r="F47" s="289"/>
      <c r="G47" s="263"/>
      <c r="H47" s="274"/>
      <c r="I47" s="263"/>
      <c r="J47" s="263"/>
      <c r="K47" s="263"/>
      <c r="L47" s="263"/>
      <c r="M47" s="290"/>
      <c r="N47" s="263"/>
      <c r="O47" s="263"/>
      <c r="P47" s="268"/>
      <c r="Q47" s="263"/>
      <c r="R47" s="263"/>
      <c r="S47" s="274"/>
      <c r="T47" s="274"/>
      <c r="U47" s="269"/>
      <c r="V47" s="263"/>
      <c r="W47" s="263"/>
      <c r="X47" s="263"/>
      <c r="Y47" s="263"/>
      <c r="Z47" s="263"/>
      <c r="AA47" s="263"/>
      <c r="AB47" s="263"/>
      <c r="AC47" s="271"/>
      <c r="AD47" s="263"/>
      <c r="AE47" s="263"/>
      <c r="AF47" s="290"/>
      <c r="AG47" s="291"/>
      <c r="AH47" s="263"/>
      <c r="AI47" s="264"/>
      <c r="AJ47" s="263"/>
      <c r="AK47" s="263"/>
      <c r="AL47" s="263"/>
      <c r="AM47" s="289"/>
      <c r="AN47" s="274"/>
      <c r="AO47" s="274"/>
      <c r="AP47" s="263"/>
      <c r="AQ47" s="263"/>
      <c r="AR47" s="263"/>
      <c r="AS47" s="274"/>
      <c r="AT47" s="339"/>
      <c r="AU47" s="339"/>
      <c r="AV47" s="293"/>
      <c r="AW47" s="263"/>
      <c r="AX47" s="263"/>
      <c r="AY47" s="263"/>
      <c r="AZ47" s="263"/>
      <c r="BA47" s="263"/>
      <c r="BB47" s="263"/>
    </row>
    <row r="48" customFormat="false" ht="12.95" hidden="false" customHeight="true" outlineLevel="0" collapsed="false">
      <c r="A48" s="209" t="s">
        <v>108</v>
      </c>
      <c r="B48" s="303"/>
      <c r="C48" s="241"/>
      <c r="D48" s="241"/>
      <c r="E48" s="241"/>
      <c r="F48" s="250"/>
      <c r="G48" s="241"/>
      <c r="H48" s="241"/>
      <c r="I48" s="241"/>
      <c r="J48" s="241"/>
      <c r="K48" s="241"/>
      <c r="L48" s="241"/>
      <c r="M48" s="351"/>
      <c r="N48" s="241"/>
      <c r="O48" s="241"/>
      <c r="P48" s="186"/>
      <c r="Q48" s="241"/>
      <c r="R48" s="241"/>
      <c r="S48" s="241"/>
      <c r="T48" s="241"/>
      <c r="U48" s="243"/>
      <c r="V48" s="241"/>
      <c r="W48" s="241"/>
      <c r="X48" s="241"/>
      <c r="Y48" s="241"/>
      <c r="Z48" s="241"/>
      <c r="AA48" s="241"/>
      <c r="AB48" s="241"/>
      <c r="AC48" s="156"/>
      <c r="AD48" s="241"/>
      <c r="AE48" s="241"/>
      <c r="AF48" s="279"/>
      <c r="AG48" s="281"/>
      <c r="AH48" s="241"/>
      <c r="AI48" s="241"/>
      <c r="AJ48" s="241"/>
      <c r="AK48" s="241"/>
      <c r="AL48" s="241"/>
      <c r="AM48" s="250"/>
      <c r="AN48" s="241"/>
      <c r="AO48" s="241"/>
      <c r="AP48" s="241"/>
      <c r="AQ48" s="241"/>
      <c r="AR48" s="241"/>
      <c r="AS48" s="353"/>
      <c r="AV48" s="303"/>
      <c r="AW48" s="241" t="n">
        <f aca="false">MIN(AW15:AW42)</f>
        <v>21</v>
      </c>
      <c r="AX48" s="241" t="n">
        <f aca="false">MIN(AX15:AX42)</f>
        <v>-6</v>
      </c>
      <c r="AY48" s="250" t="s">
        <v>109</v>
      </c>
      <c r="AZ48" s="350"/>
      <c r="BB48" s="283"/>
    </row>
    <row r="49" customFormat="false" ht="12.95" hidden="false" customHeight="true" outlineLevel="0" collapsed="false">
      <c r="A49" s="209" t="s">
        <v>110</v>
      </c>
      <c r="B49" s="303"/>
      <c r="C49" s="241"/>
      <c r="D49" s="241"/>
      <c r="E49" s="241"/>
      <c r="F49" s="250"/>
      <c r="G49" s="241"/>
      <c r="H49" s="241"/>
      <c r="I49" s="241"/>
      <c r="J49" s="241"/>
      <c r="K49" s="241"/>
      <c r="L49" s="241"/>
      <c r="M49" s="351"/>
      <c r="N49" s="241"/>
      <c r="O49" s="241"/>
      <c r="P49" s="186"/>
      <c r="Q49" s="241"/>
      <c r="R49" s="241"/>
      <c r="S49" s="241"/>
      <c r="T49" s="241"/>
      <c r="U49" s="243"/>
      <c r="V49" s="241"/>
      <c r="W49" s="241"/>
      <c r="X49" s="241"/>
      <c r="Y49" s="241"/>
      <c r="Z49" s="241"/>
      <c r="AA49" s="241"/>
      <c r="AB49" s="241"/>
      <c r="AC49" s="156"/>
      <c r="AD49" s="241"/>
      <c r="AE49" s="241"/>
      <c r="AF49" s="279"/>
      <c r="AG49" s="281"/>
      <c r="AH49" s="241"/>
      <c r="AI49" s="241"/>
      <c r="AJ49" s="241"/>
      <c r="AK49" s="241"/>
      <c r="AL49" s="241"/>
      <c r="AM49" s="250"/>
      <c r="AN49" s="241"/>
      <c r="AO49" s="241"/>
      <c r="AP49" s="241"/>
      <c r="AQ49" s="241"/>
      <c r="AR49" s="241"/>
      <c r="AS49" s="353"/>
      <c r="AV49" s="303"/>
      <c r="AW49" s="241"/>
      <c r="AX49" s="241"/>
      <c r="AY49" s="283"/>
      <c r="AZ49" s="350"/>
      <c r="BB49" s="283"/>
    </row>
    <row r="50" customFormat="false" ht="3" hidden="false" customHeight="true" outlineLevel="0" collapsed="false">
      <c r="A50" s="261"/>
      <c r="B50" s="309"/>
      <c r="C50" s="274"/>
      <c r="D50" s="274"/>
      <c r="E50" s="274"/>
      <c r="F50" s="310"/>
      <c r="G50" s="274"/>
      <c r="H50" s="274"/>
      <c r="I50" s="274"/>
      <c r="J50" s="274"/>
      <c r="K50" s="274"/>
      <c r="L50" s="274"/>
      <c r="M50" s="354"/>
      <c r="N50" s="274"/>
      <c r="O50" s="274"/>
      <c r="P50" s="268"/>
      <c r="Q50" s="274"/>
      <c r="R50" s="274"/>
      <c r="S50" s="274"/>
      <c r="T50" s="274"/>
      <c r="U50" s="269"/>
      <c r="V50" s="274"/>
      <c r="W50" s="274"/>
      <c r="X50" s="274"/>
      <c r="Y50" s="274"/>
      <c r="Z50" s="274"/>
      <c r="AA50" s="274"/>
      <c r="AB50" s="274"/>
      <c r="AC50" s="271"/>
      <c r="AD50" s="274"/>
      <c r="AE50" s="274"/>
      <c r="AF50" s="354"/>
      <c r="AG50" s="314"/>
      <c r="AH50" s="274"/>
      <c r="AI50" s="274"/>
      <c r="AJ50" s="274"/>
      <c r="AK50" s="274"/>
      <c r="AL50" s="274"/>
      <c r="AM50" s="310"/>
      <c r="AN50" s="274"/>
      <c r="AO50" s="274"/>
      <c r="AP50" s="274"/>
      <c r="AQ50" s="274"/>
      <c r="AR50" s="274"/>
      <c r="AS50" s="274"/>
      <c r="AT50" s="339"/>
      <c r="AU50" s="339"/>
      <c r="AV50" s="309"/>
      <c r="AW50" s="274"/>
      <c r="AX50" s="274"/>
      <c r="AY50" s="274"/>
      <c r="AZ50" s="274"/>
      <c r="BA50" s="294"/>
      <c r="BB50" s="274"/>
    </row>
    <row r="51" customFormat="false" ht="12.95" hidden="false" customHeight="true" outlineLevel="0" collapsed="false">
      <c r="A51" s="209" t="s">
        <v>111</v>
      </c>
      <c r="B51" s="303"/>
      <c r="C51" s="241"/>
      <c r="D51" s="241"/>
      <c r="E51" s="241"/>
      <c r="F51" s="250" t="n">
        <f aca="false">F13+F45</f>
        <v>3240.73607259894</v>
      </c>
      <c r="G51" s="241" t="n">
        <f aca="false">G13+G45</f>
        <v>9583.06307360726</v>
      </c>
      <c r="H51" s="241" t="n">
        <f aca="false">H13+H45</f>
        <v>67.929</v>
      </c>
      <c r="I51" s="241" t="n">
        <f aca="false">I13+I45</f>
        <v>9650.99207360726</v>
      </c>
      <c r="J51" s="241" t="n">
        <f aca="false">J13+J45</f>
        <v>242.311325938997</v>
      </c>
      <c r="K51" s="241" t="n">
        <f aca="false">K13+K45</f>
        <v>9893.30339954626</v>
      </c>
      <c r="L51" s="241" t="n">
        <f aca="false">L13+L45</f>
        <v>-45.6810010083185</v>
      </c>
      <c r="M51" s="351" t="n">
        <f aca="false">M13+M45</f>
        <v>449.21</v>
      </c>
      <c r="N51" s="241" t="n">
        <f aca="false">N13+N45</f>
        <v>0</v>
      </c>
      <c r="O51" s="241" t="n">
        <f aca="false">O13+O45</f>
        <v>1.73355</v>
      </c>
      <c r="P51" s="241" t="n">
        <f aca="false">P13+P45</f>
        <v>0</v>
      </c>
      <c r="Q51" s="241" t="n">
        <f aca="false">Q13+Q45</f>
        <v>193.951444046359</v>
      </c>
      <c r="R51" s="241" t="n">
        <f aca="false">R13+R45</f>
        <v>194.68484256</v>
      </c>
      <c r="S51" s="241" t="n">
        <f aca="false">S13+S45</f>
        <v>0</v>
      </c>
      <c r="T51" s="241" t="n">
        <f aca="false">T13+T45</f>
        <v>67.29115744</v>
      </c>
      <c r="U51" s="352" t="n">
        <f aca="false">U13+U45</f>
        <v>-6.7174440463589</v>
      </c>
      <c r="V51" s="241" t="n">
        <f aca="false">V13+V45</f>
        <v>2248.11</v>
      </c>
      <c r="W51" s="241" t="n">
        <f aca="false">W13+W45</f>
        <v>0.055</v>
      </c>
      <c r="X51" s="241" t="n">
        <f aca="false">X13+X45</f>
        <v>2222.65735</v>
      </c>
      <c r="Y51" s="241" t="n">
        <f aca="false">Y13+Y45</f>
        <v>2222.65735</v>
      </c>
      <c r="Z51" s="241"/>
      <c r="AA51" s="241"/>
      <c r="AB51" s="241"/>
      <c r="AC51" s="156" t="n">
        <f aca="false">AC13+AC45</f>
        <v>1714.07656152266</v>
      </c>
      <c r="AD51" s="241"/>
      <c r="AE51" s="241"/>
      <c r="AF51" s="279"/>
      <c r="AG51" s="281"/>
      <c r="AH51" s="241" t="n">
        <f aca="false">AH13+AH45</f>
        <v>3667.2</v>
      </c>
      <c r="AI51" s="241" t="n">
        <f aca="false">AI43</f>
        <v>1551.05787748928</v>
      </c>
      <c r="AJ51" s="241" t="n">
        <f aca="false">AJ13+AJ45</f>
        <v>0</v>
      </c>
      <c r="AK51" s="241" t="n">
        <f aca="false">AK13+AK45</f>
        <v>6364.575</v>
      </c>
      <c r="AL51" s="241" t="n">
        <f aca="false">AL13+AL45</f>
        <v>287.992326947315</v>
      </c>
      <c r="AM51" s="250" t="n">
        <f aca="false">AM13+AM45</f>
        <v>6652.56732694732</v>
      </c>
      <c r="AN51" s="241" t="n">
        <f aca="false">AN13+AN45</f>
        <v>2246.99</v>
      </c>
      <c r="AO51" s="241" t="n">
        <f aca="false">AO13+AO45</f>
        <v>0</v>
      </c>
      <c r="AP51" s="241"/>
      <c r="AQ51" s="241"/>
      <c r="AR51" s="241"/>
      <c r="AS51" s="353"/>
      <c r="AV51" s="355" t="n">
        <f aca="false">AV13+AV45</f>
        <v>7.035</v>
      </c>
      <c r="AW51" s="241"/>
      <c r="AX51" s="241"/>
      <c r="AY51" s="283"/>
      <c r="AZ51" s="350" t="n">
        <f aca="false">AZ13+AZ45</f>
        <v>445.31</v>
      </c>
      <c r="BA51" s="260" t="n">
        <f aca="false">BA45+BA13</f>
        <v>55.532</v>
      </c>
      <c r="BB51" s="283"/>
    </row>
    <row r="52" customFormat="false" ht="12.95" hidden="false" customHeight="true" outlineLevel="0" collapsed="false">
      <c r="A52" s="209" t="s">
        <v>112</v>
      </c>
      <c r="B52" s="303"/>
      <c r="C52" s="241"/>
      <c r="D52" s="241" t="n">
        <f aca="false">D13+D46</f>
        <v>6292</v>
      </c>
      <c r="E52" s="123" t="n">
        <f aca="false">E42</f>
        <v>97460</v>
      </c>
      <c r="F52" s="250" t="n">
        <f aca="false">F51*$D$2</f>
        <v>6428</v>
      </c>
      <c r="G52" s="241" t="n">
        <f aca="false">G51*$D$2</f>
        <v>19008.0056065</v>
      </c>
      <c r="H52" s="241" t="n">
        <f aca="false">H51*$D$2</f>
        <v>134.7371715</v>
      </c>
      <c r="I52" s="241" t="n">
        <f aca="false">I51*$D$2</f>
        <v>19142.742778</v>
      </c>
      <c r="J52" s="241" t="n">
        <f aca="false">J51*$D$2</f>
        <v>480.624515</v>
      </c>
      <c r="K52" s="241" t="n">
        <f aca="false">K51*$D$2</f>
        <v>19623.367293</v>
      </c>
      <c r="L52" s="241" t="n">
        <f aca="false">L51*$D$2</f>
        <v>-90.6082654999997</v>
      </c>
      <c r="M52" s="351" t="n">
        <f aca="false">M51*$D$2</f>
        <v>891.008035</v>
      </c>
      <c r="N52" s="241" t="n">
        <f aca="false">N51*$D$2</f>
        <v>0</v>
      </c>
      <c r="O52" s="241" t="n">
        <f aca="false">O51*$D$2</f>
        <v>3.438496425</v>
      </c>
      <c r="P52" s="241" t="n">
        <f aca="false">P51*$D$2</f>
        <v>0</v>
      </c>
      <c r="Q52" s="241" t="n">
        <f aca="false">Q51*$D$2</f>
        <v>384.702689265953</v>
      </c>
      <c r="R52" s="241" t="n">
        <f aca="false">R51*$D$2</f>
        <v>386.15738521776</v>
      </c>
      <c r="S52" s="241" t="n">
        <f aca="false">S51*$D$2</f>
        <v>0</v>
      </c>
      <c r="T52" s="241" t="n">
        <f aca="false">T51*$D$2</f>
        <v>133.47201078224</v>
      </c>
      <c r="U52" s="352" t="n">
        <f aca="false">U51*$D$2</f>
        <v>-13.3240502659529</v>
      </c>
      <c r="V52" s="241" t="n">
        <f aca="false">V51*$D$2</f>
        <v>4459.126185</v>
      </c>
      <c r="W52" s="241" t="n">
        <f aca="false">W51*$D$2</f>
        <v>0.1090925</v>
      </c>
      <c r="X52" s="241" t="n">
        <f aca="false">X51*$D$2</f>
        <v>4408.640853725</v>
      </c>
      <c r="Y52" s="241" t="n">
        <f aca="false">Y51*$D$2</f>
        <v>4408.640853725</v>
      </c>
      <c r="Z52" s="241"/>
      <c r="AA52" s="241"/>
      <c r="AB52" s="241"/>
      <c r="AC52" s="156" t="n">
        <f aca="false">AC51*$D$2</f>
        <v>3399.87085978019</v>
      </c>
      <c r="AD52" s="241"/>
      <c r="AE52" s="241"/>
      <c r="AF52" s="279"/>
      <c r="AG52" s="281"/>
      <c r="AH52" s="241" t="n">
        <f aca="false">AH51*$D$2</f>
        <v>7273.8912</v>
      </c>
      <c r="AI52" s="241" t="n">
        <f aca="false">AI51*$D$2</f>
        <v>3076.52329999999</v>
      </c>
      <c r="AJ52" s="241" t="n">
        <f aca="false">AJ51*$D$2</f>
        <v>0</v>
      </c>
      <c r="AK52" s="241" t="n">
        <f aca="false">AK51*$D$2</f>
        <v>12624.1345125</v>
      </c>
      <c r="AL52" s="241" t="n">
        <f aca="false">AL51*$D$2</f>
        <v>571.2327805</v>
      </c>
      <c r="AM52" s="356" t="n">
        <f aca="false">AM51*$D$2</f>
        <v>13195.367293</v>
      </c>
      <c r="AN52" s="241" t="n">
        <f aca="false">AN51*$D$2</f>
        <v>4456.904665</v>
      </c>
      <c r="AO52" s="241" t="n">
        <f aca="false">AO51*$D$2</f>
        <v>0</v>
      </c>
      <c r="AP52" s="241"/>
      <c r="AQ52" s="241"/>
      <c r="AR52" s="241"/>
      <c r="AS52" s="353"/>
      <c r="AT52" s="357"/>
      <c r="AV52" s="303"/>
      <c r="AW52" s="241"/>
      <c r="AX52" s="241"/>
      <c r="AY52" s="283"/>
      <c r="AZ52" s="350" t="n">
        <f aca="false">AZ51*$D$2</f>
        <v>883.272385</v>
      </c>
      <c r="BA52" s="208" t="n">
        <f aca="false">BA51*D2</f>
        <v>110.147722</v>
      </c>
      <c r="BB52" s="283"/>
    </row>
    <row r="53" customFormat="false" ht="3" hidden="false" customHeight="true" outlineLevel="0" collapsed="false">
      <c r="A53" s="261"/>
      <c r="B53" s="286"/>
      <c r="C53" s="263"/>
      <c r="D53" s="264"/>
      <c r="E53" s="263"/>
      <c r="F53" s="265"/>
      <c r="G53" s="264"/>
      <c r="H53" s="358"/>
      <c r="I53" s="264"/>
      <c r="J53" s="264"/>
      <c r="K53" s="264"/>
      <c r="L53" s="264"/>
      <c r="M53" s="267"/>
      <c r="N53" s="264"/>
      <c r="O53" s="264"/>
      <c r="P53" s="268"/>
      <c r="Q53" s="264"/>
      <c r="R53" s="264"/>
      <c r="S53" s="268"/>
      <c r="T53" s="268"/>
      <c r="U53" s="269"/>
      <c r="V53" s="264"/>
      <c r="W53" s="264"/>
      <c r="X53" s="264"/>
      <c r="Y53" s="264"/>
      <c r="Z53" s="264"/>
      <c r="AA53" s="264"/>
      <c r="AB53" s="263"/>
      <c r="AC53" s="271"/>
      <c r="AD53" s="263"/>
      <c r="AE53" s="264"/>
      <c r="AF53" s="267"/>
      <c r="AG53" s="272"/>
      <c r="AH53" s="264"/>
      <c r="AI53" s="263"/>
      <c r="AJ53" s="338"/>
      <c r="AK53" s="264"/>
      <c r="AL53" s="264"/>
      <c r="AM53" s="264"/>
      <c r="AN53" s="309"/>
      <c r="AO53" s="274"/>
      <c r="AP53" s="264"/>
      <c r="AQ53" s="264"/>
      <c r="AR53" s="264"/>
      <c r="AS53" s="274"/>
      <c r="AT53" s="339"/>
      <c r="AU53" s="339"/>
      <c r="AV53" s="286"/>
      <c r="AW53" s="264"/>
      <c r="AX53" s="264"/>
      <c r="AY53" s="264"/>
      <c r="AZ53" s="264"/>
      <c r="BA53" s="264"/>
      <c r="BB53" s="264"/>
    </row>
    <row r="54" customFormat="false" ht="11.1" hidden="false" customHeight="true" outlineLevel="0" collapsed="false">
      <c r="A54" s="209"/>
      <c r="B54" s="300"/>
      <c r="D54" s="209"/>
      <c r="F54" s="209"/>
      <c r="G54" s="209"/>
      <c r="I54" s="209"/>
      <c r="J54" s="209"/>
      <c r="K54" s="209"/>
      <c r="L54" s="209"/>
      <c r="M54" s="209"/>
      <c r="N54" s="209"/>
      <c r="O54" s="209"/>
      <c r="Q54" s="209"/>
      <c r="R54" s="209"/>
      <c r="V54" s="209"/>
      <c r="W54" s="209"/>
      <c r="X54" s="209"/>
      <c r="Y54" s="209"/>
      <c r="Z54" s="209"/>
      <c r="AA54" s="209"/>
      <c r="AB54" s="176"/>
      <c r="AD54" s="176"/>
      <c r="AE54" s="209"/>
      <c r="AF54" s="209"/>
      <c r="AG54" s="209"/>
      <c r="AH54" s="209"/>
      <c r="AI54" s="176"/>
      <c r="AJ54" s="254"/>
      <c r="AK54" s="209"/>
      <c r="AL54" s="209"/>
      <c r="AM54" s="209"/>
      <c r="AP54" s="212"/>
      <c r="AQ54" s="359"/>
      <c r="AR54" s="359"/>
    </row>
    <row r="55" customFormat="false" ht="11.1" hidden="false" customHeight="true" outlineLevel="0" collapsed="false">
      <c r="A55" s="209"/>
      <c r="B55" s="301"/>
      <c r="F55" s="209"/>
      <c r="G55" s="209"/>
      <c r="H55" s="360"/>
      <c r="I55" s="176"/>
      <c r="J55" s="209"/>
      <c r="K55" s="201"/>
      <c r="L55" s="209"/>
      <c r="M55" s="209"/>
      <c r="N55" s="209"/>
      <c r="O55" s="209"/>
      <c r="Q55" s="209"/>
      <c r="R55" s="209"/>
      <c r="V55" s="209"/>
      <c r="W55" s="209"/>
      <c r="X55" s="209"/>
      <c r="Y55" s="209"/>
      <c r="Z55" s="209"/>
      <c r="AA55" s="209"/>
      <c r="AB55" s="176"/>
      <c r="AD55" s="176"/>
      <c r="AE55" s="209"/>
      <c r="AF55" s="209"/>
      <c r="AG55" s="209"/>
      <c r="AH55" s="209"/>
      <c r="AI55" s="176"/>
      <c r="AJ55" s="254"/>
      <c r="AK55" s="209"/>
      <c r="AL55" s="209"/>
      <c r="AM55" s="209"/>
      <c r="AN55" s="207"/>
      <c r="AO55" s="207"/>
      <c r="AP55" s="212"/>
      <c r="AQ55" s="359"/>
      <c r="AR55" s="359"/>
      <c r="AX55" s="206"/>
    </row>
    <row r="56" customFormat="false" ht="11.1" hidden="false" customHeight="true" outlineLevel="0" collapsed="false">
      <c r="D56" s="176"/>
      <c r="I56" s="176"/>
      <c r="X56" s="58"/>
      <c r="Y56" s="58"/>
      <c r="Z56" s="58"/>
      <c r="AA56" s="58"/>
      <c r="AB56" s="176"/>
      <c r="AD56" s="176"/>
      <c r="AH56" s="58"/>
      <c r="AI56" s="176"/>
      <c r="AJ56" s="254"/>
      <c r="AM56" s="58"/>
      <c r="AN56" s="207"/>
      <c r="AO56" s="207"/>
      <c r="AP56" s="204"/>
      <c r="AQ56" s="76"/>
      <c r="AR56" s="76"/>
      <c r="AX56" s="206"/>
    </row>
    <row r="57" customFormat="false" ht="11.1" hidden="false" customHeight="true" outlineLevel="0" collapsed="false">
      <c r="B57" s="8"/>
      <c r="D57" s="176"/>
      <c r="I57" s="176"/>
      <c r="X57" s="58"/>
      <c r="Y57" s="58"/>
      <c r="Z57" s="58"/>
      <c r="AA57" s="58"/>
      <c r="AB57" s="176"/>
      <c r="AD57" s="176"/>
      <c r="AH57" s="58"/>
      <c r="AI57" s="176"/>
      <c r="AJ57" s="254"/>
      <c r="AM57" s="58"/>
      <c r="AN57" s="207"/>
      <c r="AO57" s="207"/>
      <c r="AP57" s="204"/>
      <c r="AQ57" s="76"/>
      <c r="AR57" s="76"/>
      <c r="AX57" s="206"/>
    </row>
    <row r="58" customFormat="false" ht="11.1" hidden="false" customHeight="true" outlineLevel="0" collapsed="false">
      <c r="G58" s="302"/>
      <c r="X58" s="58"/>
      <c r="Y58" s="58"/>
      <c r="Z58" s="58"/>
      <c r="AA58" s="58"/>
      <c r="AB58" s="176"/>
      <c r="AD58" s="176"/>
      <c r="AH58" s="58"/>
      <c r="AI58" s="176"/>
      <c r="AJ58" s="254"/>
      <c r="AM58" s="58"/>
      <c r="AN58" s="207"/>
      <c r="AO58" s="207"/>
      <c r="AP58" s="204"/>
      <c r="AQ58" s="76"/>
      <c r="AR58" s="76"/>
      <c r="AX58" s="206"/>
    </row>
    <row r="59" customFormat="false" ht="11.1" hidden="false" customHeight="true" outlineLevel="0" collapsed="false">
      <c r="X59" s="58"/>
      <c r="Y59" s="58"/>
      <c r="Z59" s="58"/>
      <c r="AA59" s="58"/>
      <c r="AB59" s="176"/>
      <c r="AD59" s="176"/>
      <c r="AH59" s="58"/>
      <c r="AI59" s="176"/>
      <c r="AJ59" s="254"/>
      <c r="AM59" s="58"/>
      <c r="AN59" s="207"/>
      <c r="AO59" s="207"/>
      <c r="AX59" s="206"/>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03"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58" width="4.32"/>
    <col collapsed="false" customWidth="true" hidden="false" outlineLevel="0" max="21" min="21" style="323" width="5.16"/>
    <col collapsed="false" customWidth="true" hidden="false" outlineLevel="0" max="23" min="22" style="58" width="5.49"/>
    <col collapsed="false" customWidth="true" hidden="false" outlineLevel="0" max="27" min="24" style="176" width="6.32"/>
    <col collapsed="false" customWidth="true" hidden="false" outlineLevel="0" max="28" min="28" style="58" width="5.49"/>
    <col collapsed="false" customWidth="true" hidden="false" outlineLevel="0" max="29" min="29" style="120" width="5.82"/>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361"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206" width="5.49"/>
    <col collapsed="false" customWidth="true" hidden="false" outlineLevel="0" max="41" min="41" style="120" width="5.49"/>
    <col collapsed="false" customWidth="true" hidden="false" outlineLevel="0" max="43" min="42" style="58" width="6.32"/>
    <col collapsed="false" customWidth="true" hidden="false" outlineLevel="0" max="44" min="44" style="58" width="5.49"/>
    <col collapsed="false" customWidth="true" hidden="false" outlineLevel="0" max="45" min="45" style="58" width="5.32"/>
    <col collapsed="false" customWidth="true" hidden="false" outlineLevel="0" max="46" min="46" style="317" width="5.82"/>
    <col collapsed="false" customWidth="true" hidden="false" outlineLevel="0" max="47" min="47" style="204" width="4.99"/>
    <col collapsed="false" customWidth="true" hidden="false" outlineLevel="0" max="48" min="48" style="203" width="5.32"/>
    <col collapsed="false" customWidth="true" hidden="false" outlineLevel="0" max="49" min="49" style="206" width="3.82"/>
    <col collapsed="false" customWidth="true" hidden="false" outlineLevel="0" max="50" min="50" style="207" width="3.82"/>
    <col collapsed="false" customWidth="true" hidden="false" outlineLevel="0" max="51" min="51" style="208" width="3.82"/>
    <col collapsed="false" customWidth="true" hidden="false" outlineLevel="0" max="52" min="52" style="208" width="5.49"/>
    <col collapsed="false" customWidth="false" hidden="false" outlineLevel="0" max="257" min="53" style="208" width="9.32"/>
  </cols>
  <sheetData>
    <row r="1" customFormat="false" ht="14.1" hidden="false" customHeight="true" outlineLevel="0" collapsed="false">
      <c r="A1" s="209"/>
      <c r="B1" s="209"/>
      <c r="D1" s="209"/>
      <c r="F1" s="209"/>
      <c r="G1" s="209"/>
      <c r="I1" s="209"/>
      <c r="J1" s="209"/>
      <c r="K1" s="211" t="s">
        <v>0</v>
      </c>
      <c r="L1" s="209"/>
      <c r="M1" s="209"/>
      <c r="N1" s="209"/>
      <c r="O1" s="209"/>
      <c r="Q1" s="209"/>
      <c r="R1" s="209"/>
      <c r="S1" s="209"/>
      <c r="T1" s="209"/>
      <c r="V1" s="209"/>
      <c r="W1" s="209"/>
      <c r="AB1" s="209"/>
      <c r="AD1" s="209"/>
      <c r="AE1" s="209"/>
      <c r="AF1" s="209"/>
      <c r="AG1" s="209"/>
      <c r="AI1" s="209"/>
      <c r="AK1" s="209"/>
      <c r="AL1" s="209"/>
      <c r="AN1" s="319"/>
      <c r="AO1" s="361"/>
      <c r="AP1" s="212"/>
    </row>
    <row r="2" customFormat="false" ht="14.1" hidden="false" customHeight="true" outlineLevel="0" collapsed="false">
      <c r="A2" s="212" t="s">
        <v>1</v>
      </c>
      <c r="B2" s="209"/>
      <c r="D2" s="213" t="n">
        <v>1.9835</v>
      </c>
      <c r="F2" s="209"/>
      <c r="G2" s="209"/>
      <c r="I2" s="209"/>
      <c r="J2" s="209"/>
      <c r="K2" s="322" t="s">
        <v>124</v>
      </c>
      <c r="L2" s="322"/>
      <c r="M2" s="322"/>
      <c r="N2" s="322"/>
      <c r="O2" s="322"/>
      <c r="P2" s="322"/>
      <c r="Q2" s="322"/>
      <c r="R2" s="322"/>
      <c r="S2" s="322"/>
      <c r="T2" s="322"/>
      <c r="V2" s="215"/>
      <c r="W2" s="215"/>
      <c r="X2" s="97"/>
      <c r="Y2" s="97"/>
      <c r="Z2" s="97"/>
      <c r="AA2" s="97"/>
      <c r="AB2" s="215"/>
      <c r="AC2" s="216"/>
      <c r="AD2" s="215"/>
      <c r="AE2" s="209"/>
      <c r="AF2" s="209"/>
      <c r="AG2" s="209"/>
      <c r="AI2" s="209"/>
      <c r="AK2" s="209"/>
      <c r="AL2" s="209"/>
      <c r="AN2" s="319"/>
      <c r="AO2" s="361"/>
      <c r="AP2" s="212"/>
    </row>
    <row r="3" customFormat="false" ht="14.1" hidden="false" customHeight="true" outlineLevel="0" collapsed="false">
      <c r="A3" s="217"/>
      <c r="B3" s="217"/>
      <c r="C3" s="218"/>
      <c r="D3" s="219"/>
      <c r="E3" s="218"/>
      <c r="F3" s="217"/>
      <c r="G3" s="217"/>
      <c r="H3" s="226"/>
      <c r="I3" s="217"/>
      <c r="J3" s="217"/>
      <c r="K3" s="217"/>
      <c r="L3" s="217"/>
      <c r="M3" s="217"/>
      <c r="N3" s="217"/>
      <c r="O3" s="217"/>
      <c r="P3" s="221"/>
      <c r="Q3" s="217"/>
      <c r="R3" s="217"/>
      <c r="S3" s="217"/>
      <c r="T3" s="217"/>
      <c r="U3" s="362"/>
      <c r="V3" s="217"/>
      <c r="W3" s="217"/>
      <c r="X3" s="218"/>
      <c r="Y3" s="218"/>
      <c r="Z3" s="218"/>
      <c r="AA3" s="218"/>
      <c r="AB3" s="217"/>
      <c r="AC3" s="222"/>
      <c r="AD3" s="217"/>
      <c r="AE3" s="217"/>
      <c r="AF3" s="217"/>
      <c r="AG3" s="217"/>
      <c r="AH3" s="218"/>
      <c r="AI3" s="217"/>
      <c r="AJ3" s="363"/>
      <c r="AK3" s="217"/>
      <c r="AL3" s="217"/>
      <c r="AM3" s="221"/>
      <c r="AN3" s="325"/>
      <c r="AO3" s="363"/>
      <c r="AP3" s="223"/>
      <c r="AQ3" s="224"/>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121</v>
      </c>
      <c r="Y4" s="42"/>
      <c r="Z4" s="42"/>
      <c r="AA4" s="42"/>
      <c r="AB4" s="43"/>
      <c r="AC4" s="44"/>
      <c r="AD4" s="44"/>
      <c r="AE4" s="39"/>
      <c r="AF4" s="39"/>
      <c r="AG4" s="39"/>
      <c r="AH4" s="35"/>
      <c r="AI4" s="39"/>
      <c r="AJ4" s="45"/>
      <c r="AK4" s="39"/>
      <c r="AL4" s="39"/>
      <c r="AM4" s="41"/>
      <c r="AN4" s="46"/>
      <c r="AO4" s="47"/>
      <c r="AP4" s="48" t="s">
        <v>6</v>
      </c>
      <c r="AQ4" s="49"/>
      <c r="AR4" s="50"/>
      <c r="AS4" s="51"/>
      <c r="AT4" s="52"/>
      <c r="AU4" s="52"/>
      <c r="AV4" s="54"/>
      <c r="AW4" s="55" t="s">
        <v>7</v>
      </c>
      <c r="AX4" s="56"/>
      <c r="AY4" s="327"/>
      <c r="AZ4" s="364"/>
      <c r="BA4" s="75"/>
      <c r="BB4" s="232"/>
    </row>
    <row r="5" customFormat="false" ht="12.95" hidden="false" customHeight="true" outlineLevel="0" collapsed="false">
      <c r="A5" s="60" t="s">
        <v>8</v>
      </c>
      <c r="B5" s="61" t="s">
        <v>9</v>
      </c>
      <c r="C5" s="62" t="s">
        <v>9</v>
      </c>
      <c r="D5" s="63" t="s">
        <v>10</v>
      </c>
      <c r="E5" s="62" t="s">
        <v>11</v>
      </c>
      <c r="F5" s="64" t="s">
        <v>12</v>
      </c>
      <c r="G5" s="65" t="s">
        <v>13</v>
      </c>
      <c r="H5" s="60" t="s">
        <v>14</v>
      </c>
      <c r="I5" s="60" t="s">
        <v>15</v>
      </c>
      <c r="J5" s="60" t="s">
        <v>16</v>
      </c>
      <c r="K5" s="60" t="s">
        <v>17</v>
      </c>
      <c r="L5" s="87" t="s">
        <v>16</v>
      </c>
      <c r="M5" s="233" t="s">
        <v>18</v>
      </c>
      <c r="N5" s="233"/>
      <c r="O5" s="233"/>
      <c r="P5" s="233"/>
      <c r="Q5" s="233"/>
      <c r="R5" s="233"/>
      <c r="S5" s="233"/>
      <c r="T5" s="233"/>
      <c r="U5" s="233"/>
      <c r="V5" s="60" t="s">
        <v>19</v>
      </c>
      <c r="W5" s="65" t="s">
        <v>20</v>
      </c>
      <c r="X5" s="60" t="s">
        <v>17</v>
      </c>
      <c r="Y5" s="60" t="s">
        <v>17</v>
      </c>
      <c r="Z5" s="67" t="s">
        <v>21</v>
      </c>
      <c r="AA5" s="60" t="s">
        <v>21</v>
      </c>
      <c r="AB5" s="67" t="s">
        <v>21</v>
      </c>
      <c r="AC5" s="69" t="s">
        <v>22</v>
      </c>
      <c r="AD5" s="69" t="s">
        <v>21</v>
      </c>
      <c r="AE5" s="60" t="s">
        <v>23</v>
      </c>
      <c r="AF5" s="70" t="s">
        <v>24</v>
      </c>
      <c r="AG5" s="71"/>
      <c r="AH5" s="60" t="s">
        <v>25</v>
      </c>
      <c r="AI5" s="72" t="s">
        <v>26</v>
      </c>
      <c r="AJ5" s="72" t="s">
        <v>27</v>
      </c>
      <c r="AK5" s="60" t="s">
        <v>15</v>
      </c>
      <c r="AL5" s="60" t="s">
        <v>16</v>
      </c>
      <c r="AM5" s="63" t="s">
        <v>17</v>
      </c>
      <c r="AN5" s="88" t="s">
        <v>28</v>
      </c>
      <c r="AO5" s="69" t="s">
        <v>21</v>
      </c>
      <c r="AP5" s="67" t="s">
        <v>29</v>
      </c>
      <c r="AQ5" s="74" t="s">
        <v>29</v>
      </c>
      <c r="AR5" s="69" t="s">
        <v>30</v>
      </c>
      <c r="AS5" s="75" t="s">
        <v>31</v>
      </c>
      <c r="AT5" s="75" t="s">
        <v>32</v>
      </c>
      <c r="AU5" s="76" t="s">
        <v>33</v>
      </c>
      <c r="AV5" s="77" t="s">
        <v>34</v>
      </c>
      <c r="AW5" s="78" t="s">
        <v>35</v>
      </c>
      <c r="AX5" s="78" t="s">
        <v>36</v>
      </c>
      <c r="AY5" s="161"/>
      <c r="AZ5" s="328"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125</v>
      </c>
      <c r="B6" s="61" t="s">
        <v>39</v>
      </c>
      <c r="C6" s="62"/>
      <c r="D6" s="63" t="s">
        <v>40</v>
      </c>
      <c r="E6" s="62" t="s">
        <v>41</v>
      </c>
      <c r="F6" s="64" t="s">
        <v>42</v>
      </c>
      <c r="G6" s="60" t="s">
        <v>43</v>
      </c>
      <c r="H6" s="60" t="s">
        <v>44</v>
      </c>
      <c r="I6" s="60" t="s">
        <v>45</v>
      </c>
      <c r="J6" s="60" t="s">
        <v>45</v>
      </c>
      <c r="K6" s="60" t="s">
        <v>45</v>
      </c>
      <c r="L6" s="87" t="s">
        <v>46</v>
      </c>
      <c r="M6" s="84" t="s">
        <v>47</v>
      </c>
      <c r="N6" s="63" t="s">
        <v>48</v>
      </c>
      <c r="O6" s="63" t="s">
        <v>49</v>
      </c>
      <c r="P6" s="85" t="s">
        <v>50</v>
      </c>
      <c r="Q6" s="63" t="s">
        <v>51</v>
      </c>
      <c r="R6" s="63" t="s">
        <v>52</v>
      </c>
      <c r="S6" s="63"/>
      <c r="T6" s="63" t="s">
        <v>49</v>
      </c>
      <c r="U6" s="365" t="s">
        <v>53</v>
      </c>
      <c r="V6" s="60" t="s">
        <v>54</v>
      </c>
      <c r="W6" s="60" t="s">
        <v>55</v>
      </c>
      <c r="X6" s="60" t="s">
        <v>21</v>
      </c>
      <c r="Y6" s="60" t="s">
        <v>21</v>
      </c>
      <c r="Z6" s="67" t="s">
        <v>56</v>
      </c>
      <c r="AA6" s="60" t="s">
        <v>56</v>
      </c>
      <c r="AB6" s="67" t="s">
        <v>57</v>
      </c>
      <c r="AC6" s="69"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161"/>
      <c r="AZ6" s="328"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9"/>
      <c r="AD7" s="69"/>
      <c r="AE7" s="87"/>
      <c r="AF7" s="90" t="n">
        <v>1.7</v>
      </c>
      <c r="AG7" s="90" t="n">
        <v>1.3</v>
      </c>
      <c r="AH7" s="83"/>
      <c r="AI7" s="93"/>
      <c r="AJ7" s="72"/>
      <c r="AK7" s="60"/>
      <c r="AL7" s="60"/>
      <c r="AM7" s="63"/>
      <c r="AN7" s="88"/>
      <c r="AO7" s="69"/>
      <c r="AP7" s="67" t="s">
        <v>86</v>
      </c>
      <c r="AQ7" s="74" t="s">
        <v>87</v>
      </c>
      <c r="AR7" s="69" t="s">
        <v>88</v>
      </c>
      <c r="AS7" s="75" t="s">
        <v>89</v>
      </c>
      <c r="AT7" s="75" t="s">
        <v>90</v>
      </c>
      <c r="AU7" s="76" t="s">
        <v>81</v>
      </c>
      <c r="AV7" s="89"/>
      <c r="AW7" s="78"/>
      <c r="AX7" s="78"/>
      <c r="AY7" s="161"/>
      <c r="AZ7" s="328"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0"/>
      <c r="W8" s="60"/>
      <c r="X8" s="72" t="s">
        <v>92</v>
      </c>
      <c r="Y8" s="62" t="s">
        <v>81</v>
      </c>
      <c r="Z8" s="67"/>
      <c r="AA8" s="62" t="s">
        <v>93</v>
      </c>
      <c r="AB8" s="67" t="s">
        <v>94</v>
      </c>
      <c r="AC8" s="69"/>
      <c r="AD8" s="69"/>
      <c r="AE8" s="87"/>
      <c r="AF8" s="90"/>
      <c r="AG8" s="90"/>
      <c r="AH8" s="83"/>
      <c r="AI8" s="93"/>
      <c r="AJ8" s="72"/>
      <c r="AK8" s="60"/>
      <c r="AL8" s="60"/>
      <c r="AM8" s="63"/>
      <c r="AN8" s="88"/>
      <c r="AO8" s="69"/>
      <c r="AP8" s="67"/>
      <c r="AQ8" s="74"/>
      <c r="AR8" s="69"/>
      <c r="AS8" s="75"/>
      <c r="AT8" s="75"/>
      <c r="AU8" s="76"/>
      <c r="AV8" s="89"/>
      <c r="AW8" s="78"/>
      <c r="AX8" s="78"/>
      <c r="AY8" s="161"/>
      <c r="AZ8" s="328"/>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0"/>
      <c r="W9" s="60"/>
      <c r="X9" s="72"/>
      <c r="Y9" s="62" t="s">
        <v>92</v>
      </c>
      <c r="Z9" s="67"/>
      <c r="AA9" s="62" t="s">
        <v>92</v>
      </c>
      <c r="AB9" s="67" t="s">
        <v>95</v>
      </c>
      <c r="AC9" s="69"/>
      <c r="AD9" s="69"/>
      <c r="AE9" s="87"/>
      <c r="AF9" s="90"/>
      <c r="AG9" s="90"/>
      <c r="AH9" s="83"/>
      <c r="AI9" s="93"/>
      <c r="AJ9" s="72"/>
      <c r="AK9" s="60"/>
      <c r="AL9" s="60"/>
      <c r="AM9" s="63"/>
      <c r="AN9" s="88"/>
      <c r="AO9" s="69"/>
      <c r="AP9" s="67"/>
      <c r="AQ9" s="74"/>
      <c r="AR9" s="69"/>
      <c r="AS9" s="75"/>
      <c r="AT9" s="75"/>
      <c r="AU9" s="76"/>
      <c r="AV9" s="89"/>
      <c r="AW9" s="78"/>
      <c r="AX9" s="78"/>
      <c r="AY9" s="161"/>
      <c r="AZ9" s="328"/>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329" t="s">
        <v>42</v>
      </c>
      <c r="AD10" s="63" t="s">
        <v>42</v>
      </c>
      <c r="AE10" s="87" t="s">
        <v>42</v>
      </c>
      <c r="AF10" s="63" t="s">
        <v>42</v>
      </c>
      <c r="AG10" s="63" t="s">
        <v>42</v>
      </c>
      <c r="AH10" s="83" t="s">
        <v>42</v>
      </c>
      <c r="AI10" s="63" t="s">
        <v>42</v>
      </c>
      <c r="AJ10" s="63" t="s">
        <v>42</v>
      </c>
      <c r="AK10" s="63" t="s">
        <v>42</v>
      </c>
      <c r="AL10" s="63" t="s">
        <v>42</v>
      </c>
      <c r="AM10" s="63" t="s">
        <v>42</v>
      </c>
      <c r="AN10" s="88" t="s">
        <v>42</v>
      </c>
      <c r="AO10" s="69" t="s">
        <v>42</v>
      </c>
      <c r="AP10" s="69" t="s">
        <v>42</v>
      </c>
      <c r="AQ10" s="74" t="s">
        <v>99</v>
      </c>
      <c r="AR10" s="69" t="s">
        <v>42</v>
      </c>
      <c r="AS10" s="69" t="s">
        <v>42</v>
      </c>
      <c r="AT10" s="69" t="s">
        <v>42</v>
      </c>
      <c r="AU10" s="69" t="s">
        <v>42</v>
      </c>
      <c r="AV10" s="89"/>
      <c r="AW10" s="78"/>
      <c r="AX10" s="78"/>
      <c r="AY10" s="161"/>
      <c r="AZ10" s="328"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9"/>
      <c r="AD11" s="67"/>
      <c r="AE11" s="98"/>
      <c r="AF11" s="90"/>
      <c r="AG11" s="90"/>
      <c r="AH11" s="83"/>
      <c r="AI11" s="93"/>
      <c r="AJ11" s="99"/>
      <c r="AK11" s="60"/>
      <c r="AL11" s="60"/>
      <c r="AM11" s="63"/>
      <c r="AN11" s="88"/>
      <c r="AO11" s="69"/>
      <c r="AP11" s="67"/>
      <c r="AQ11" s="74"/>
      <c r="AR11" s="74"/>
      <c r="AS11" s="100"/>
      <c r="AT11" s="100"/>
      <c r="AU11" s="100"/>
      <c r="AV11" s="89"/>
      <c r="AW11" s="78"/>
      <c r="AX11" s="78"/>
      <c r="AY11" s="161"/>
      <c r="AZ11" s="328"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304"/>
      <c r="I12" s="123"/>
      <c r="J12" s="123"/>
      <c r="K12" s="123"/>
      <c r="L12" s="123"/>
      <c r="M12" s="242"/>
      <c r="N12" s="123"/>
      <c r="O12" s="123"/>
      <c r="P12" s="186"/>
      <c r="Q12" s="123"/>
      <c r="R12" s="123"/>
      <c r="S12" s="123"/>
      <c r="T12" s="123"/>
      <c r="U12" s="366"/>
      <c r="V12" s="123"/>
      <c r="W12" s="123"/>
      <c r="X12" s="123"/>
      <c r="Y12" s="123"/>
      <c r="Z12" s="123"/>
      <c r="AA12" s="123"/>
      <c r="AB12" s="123"/>
      <c r="AC12" s="156"/>
      <c r="AD12" s="123"/>
      <c r="AE12" s="123"/>
      <c r="AF12" s="242"/>
      <c r="AG12" s="245"/>
      <c r="AH12" s="123"/>
      <c r="AI12" s="123"/>
      <c r="AJ12" s="367"/>
      <c r="AK12" s="123"/>
      <c r="AL12" s="123"/>
      <c r="AM12" s="123"/>
      <c r="AN12" s="303"/>
      <c r="AO12" s="156"/>
      <c r="AP12" s="155"/>
      <c r="AQ12" s="248"/>
      <c r="AR12" s="248"/>
      <c r="AS12" s="248"/>
      <c r="AV12" s="249"/>
      <c r="AW12" s="241"/>
      <c r="AX12" s="241"/>
      <c r="AY12" s="283"/>
      <c r="AZ12" s="368"/>
      <c r="BA12" s="333"/>
      <c r="BB12" s="253"/>
    </row>
    <row r="13" s="260" customFormat="true" ht="12.95" hidden="false" customHeight="true" outlineLevel="0" collapsed="false">
      <c r="A13" s="254" t="s">
        <v>103</v>
      </c>
      <c r="B13" s="334" t="n">
        <f aca="false">FEB!B42</f>
        <v>6890.38</v>
      </c>
      <c r="C13" s="123" t="n">
        <f aca="false">FEB!C42</f>
        <v>249460</v>
      </c>
      <c r="D13" s="123" t="n">
        <f aca="false">FEB!D52</f>
        <v>6292</v>
      </c>
      <c r="E13" s="123" t="n">
        <f aca="false">FEB!E52</f>
        <v>97460</v>
      </c>
      <c r="F13" s="240" t="n">
        <f aca="false">FEB!F51</f>
        <v>3240.73607259894</v>
      </c>
      <c r="G13" s="123" t="n">
        <f aca="false">FEB!G51</f>
        <v>9583.06307360726</v>
      </c>
      <c r="H13" s="369" t="n">
        <f aca="false">FEB!H51</f>
        <v>67.929</v>
      </c>
      <c r="I13" s="123" t="n">
        <f aca="false">FEB!I51</f>
        <v>9650.99207360726</v>
      </c>
      <c r="J13" s="123" t="n">
        <f aca="false">FEB!J51</f>
        <v>242.311325938997</v>
      </c>
      <c r="K13" s="123" t="n">
        <f aca="false">FEB!K51</f>
        <v>9893.30339954626</v>
      </c>
      <c r="L13" s="123" t="n">
        <f aca="false">FEB!L51</f>
        <v>-45.6810010083185</v>
      </c>
      <c r="M13" s="242" t="n">
        <f aca="false">FEB!M51</f>
        <v>449.21</v>
      </c>
      <c r="N13" s="123" t="n">
        <f aca="false">FEB!N51</f>
        <v>0</v>
      </c>
      <c r="O13" s="123" t="n">
        <f aca="false">FEB!O51</f>
        <v>1.73355</v>
      </c>
      <c r="P13" s="123" t="n">
        <f aca="false">FEB!P51</f>
        <v>0</v>
      </c>
      <c r="Q13" s="123" t="n">
        <f aca="false">FEB!Q51</f>
        <v>193.951444046359</v>
      </c>
      <c r="R13" s="123" t="n">
        <f aca="false">FEB!R51</f>
        <v>194.68484256</v>
      </c>
      <c r="S13" s="123" t="n">
        <f aca="false">FEB!S51</f>
        <v>0</v>
      </c>
      <c r="T13" s="123" t="n">
        <f aca="false">FEB!T51</f>
        <v>67.29115744</v>
      </c>
      <c r="U13" s="352" t="n">
        <f aca="false">FEB!U51</f>
        <v>-6.7174440463589</v>
      </c>
      <c r="V13" s="123" t="n">
        <f aca="false">FEB!V51</f>
        <v>2248.11</v>
      </c>
      <c r="W13" s="123" t="n">
        <f aca="false">FEB!W51</f>
        <v>0.055</v>
      </c>
      <c r="X13" s="123" t="n">
        <f aca="false">FEB!X51</f>
        <v>2222.65735</v>
      </c>
      <c r="Y13" s="123" t="n">
        <f aca="false">FEB!Y51</f>
        <v>2222.65735</v>
      </c>
      <c r="Z13" s="123"/>
      <c r="AA13" s="123"/>
      <c r="AB13" s="123"/>
      <c r="AC13" s="156" t="n">
        <f aca="false">FEB!AC51</f>
        <v>1714.07656152266</v>
      </c>
      <c r="AD13" s="123"/>
      <c r="AE13" s="123"/>
      <c r="AF13" s="242"/>
      <c r="AG13" s="245"/>
      <c r="AH13" s="296" t="n">
        <f aca="false">FEB!AH51</f>
        <v>3667.2</v>
      </c>
      <c r="AI13" s="123" t="n">
        <f aca="false">FEB!AI51</f>
        <v>1551.05787748928</v>
      </c>
      <c r="AJ13" s="156" t="n">
        <f aca="false">FEB!AJ51</f>
        <v>0</v>
      </c>
      <c r="AK13" s="123" t="n">
        <f aca="false">FEB!AK51</f>
        <v>6364.575</v>
      </c>
      <c r="AL13" s="123" t="n">
        <f aca="false">FEB!AL51</f>
        <v>287.992326947315</v>
      </c>
      <c r="AM13" s="123" t="n">
        <f aca="false">FEB!AM51</f>
        <v>6652.56732694732</v>
      </c>
      <c r="AN13" s="303" t="n">
        <f aca="false">FEB!AN51</f>
        <v>2246.99</v>
      </c>
      <c r="AO13" s="156" t="n">
        <f aca="false">FEB!AO51</f>
        <v>0</v>
      </c>
      <c r="AP13" s="123"/>
      <c r="AQ13" s="155"/>
      <c r="AR13" s="155"/>
      <c r="AS13" s="123"/>
      <c r="AT13" s="97"/>
      <c r="AU13" s="176"/>
      <c r="AV13" s="249" t="n">
        <f aca="false">FEB!AV51</f>
        <v>7.035</v>
      </c>
      <c r="AW13" s="241"/>
      <c r="AX13" s="241"/>
      <c r="AY13" s="336"/>
      <c r="AZ13" s="258" t="n">
        <f aca="false">FEB!AZ51</f>
        <v>445.31</v>
      </c>
      <c r="BA13" s="252" t="n">
        <f aca="false">FEB!BA51</f>
        <v>55.532</v>
      </c>
      <c r="BB13" s="259"/>
    </row>
    <row r="14" customFormat="false" ht="3" hidden="false" customHeight="true" outlineLevel="0" collapsed="false">
      <c r="A14" s="261"/>
      <c r="B14" s="262"/>
      <c r="C14" s="263"/>
      <c r="D14" s="264"/>
      <c r="E14" s="263"/>
      <c r="F14" s="265"/>
      <c r="G14" s="264"/>
      <c r="H14" s="294"/>
      <c r="I14" s="264"/>
      <c r="J14" s="264"/>
      <c r="K14" s="264"/>
      <c r="L14" s="264"/>
      <c r="M14" s="267"/>
      <c r="N14" s="264"/>
      <c r="O14" s="264"/>
      <c r="P14" s="268"/>
      <c r="Q14" s="264"/>
      <c r="R14" s="264"/>
      <c r="S14" s="264"/>
      <c r="T14" s="264"/>
      <c r="U14" s="370"/>
      <c r="V14" s="264"/>
      <c r="W14" s="264"/>
      <c r="X14" s="264"/>
      <c r="Y14" s="264"/>
      <c r="Z14" s="264"/>
      <c r="AA14" s="264"/>
      <c r="AB14" s="263"/>
      <c r="AC14" s="271"/>
      <c r="AD14" s="263"/>
      <c r="AE14" s="264"/>
      <c r="AF14" s="267"/>
      <c r="AG14" s="272"/>
      <c r="AH14" s="264"/>
      <c r="AI14" s="263"/>
      <c r="AJ14" s="271"/>
      <c r="AK14" s="264"/>
      <c r="AL14" s="264"/>
      <c r="AM14" s="264"/>
      <c r="AN14" s="309"/>
      <c r="AO14" s="271"/>
      <c r="AP14" s="274"/>
      <c r="AQ14" s="274"/>
      <c r="AR14" s="274"/>
      <c r="AS14" s="274"/>
      <c r="AT14" s="371"/>
      <c r="AU14" s="371"/>
      <c r="AV14" s="276"/>
      <c r="AW14" s="274"/>
      <c r="AX14" s="274"/>
      <c r="AY14" s="274"/>
      <c r="AZ14" s="274"/>
      <c r="BA14" s="274"/>
      <c r="BB14" s="274"/>
    </row>
    <row r="15" customFormat="false" ht="12.95" hidden="false" customHeight="true" outlineLevel="0" collapsed="false">
      <c r="A15" s="207" t="n">
        <v>1</v>
      </c>
      <c r="B15" s="122" t="n">
        <v>6890.54</v>
      </c>
      <c r="C15" s="123" t="n">
        <v>250005</v>
      </c>
      <c r="D15" s="241" t="n">
        <f aca="false">C15-C13</f>
        <v>545</v>
      </c>
      <c r="E15" s="123" t="n">
        <f aca="false">C15-152000</f>
        <v>98005</v>
      </c>
      <c r="F15" s="277" t="n">
        <f aca="false">D15/$D$2</f>
        <v>274.766826317116</v>
      </c>
      <c r="G15" s="155" t="n">
        <v>352.816826317116</v>
      </c>
      <c r="H15" s="372" t="n">
        <v>8.67</v>
      </c>
      <c r="I15" s="155" t="n">
        <f aca="false">G15+H15</f>
        <v>361.486826317116</v>
      </c>
      <c r="J15" s="156" t="n">
        <f aca="false">IF(L15&gt;0,L15,0)</f>
        <v>0</v>
      </c>
      <c r="K15" s="155" t="n">
        <f aca="false">I15+J15</f>
        <v>361.486826317116</v>
      </c>
      <c r="L15" s="155" t="n">
        <f aca="false">F15-(I15-AK15)</f>
        <v>0</v>
      </c>
      <c r="M15" s="279" t="n">
        <v>3.72</v>
      </c>
      <c r="N15" s="155" t="n">
        <v>0</v>
      </c>
      <c r="O15" s="155" t="n">
        <f aca="false">0*1.05</f>
        <v>0</v>
      </c>
      <c r="P15" s="186" t="n">
        <v>0</v>
      </c>
      <c r="Q15" s="373" t="n">
        <f aca="false">1013900/325851/1.9835*1.02</f>
        <v>1.6000886030393</v>
      </c>
      <c r="R15" s="151" t="n">
        <f aca="false">IF(((2*1.04)-T15)&gt;=4.2,4.2,(2*1.04)-T15)</f>
        <v>1.46232528</v>
      </c>
      <c r="S15" s="151" t="n">
        <f aca="false">IF(((2*1.04)-T15)&gt;=4.2,((2*1.04)-T15)-4.2,0)</f>
        <v>0</v>
      </c>
      <c r="T15" s="151" t="n">
        <f aca="false">(0.5603*1.06)*1.04</f>
        <v>0.61767472</v>
      </c>
      <c r="U15" s="111" t="n">
        <f aca="false">M15-(Q15+R15+S15+T15)</f>
        <v>0.0399113969607003</v>
      </c>
      <c r="V15" s="155" t="n">
        <v>51</v>
      </c>
      <c r="W15" s="155" t="n">
        <v>0</v>
      </c>
      <c r="X15" s="155" t="n">
        <f aca="false">M15-N15-O15-P15-Q15-R15-S15-T15-U15+V15+W15</f>
        <v>51</v>
      </c>
      <c r="Y15" s="155" t="n">
        <f aca="false">X15-AO15</f>
        <v>51</v>
      </c>
      <c r="Z15" s="155"/>
      <c r="AA15" s="155"/>
      <c r="AB15" s="123"/>
      <c r="AC15" s="156"/>
      <c r="AD15" s="123"/>
      <c r="AE15" s="155" t="n">
        <v>0</v>
      </c>
      <c r="AF15" s="279"/>
      <c r="AG15" s="281"/>
      <c r="AH15" s="155" t="n">
        <v>32</v>
      </c>
      <c r="AI15" s="123" t="n">
        <f aca="false">AI13-AH15</f>
        <v>1519.05787748928</v>
      </c>
      <c r="AJ15" s="156"/>
      <c r="AK15" s="154" t="n">
        <f aca="false">N15+O15+P15+Q15+R15+S15+T15+U15+X15+AE15+AH15</f>
        <v>86.72</v>
      </c>
      <c r="AL15" s="155" t="n">
        <f aca="false">IF(L15&lt;0,L15*-1,0)</f>
        <v>0</v>
      </c>
      <c r="AM15" s="155" t="n">
        <f aca="false">AK15+AL15</f>
        <v>86.72</v>
      </c>
      <c r="AN15" s="284" t="n">
        <f aca="false">V15</f>
        <v>51</v>
      </c>
      <c r="AO15" s="156"/>
      <c r="AP15" s="248"/>
      <c r="AQ15" s="123"/>
      <c r="AR15" s="123"/>
      <c r="AS15" s="248"/>
      <c r="AU15" s="58"/>
      <c r="AV15" s="249" t="n">
        <v>0</v>
      </c>
      <c r="AW15" s="241" t="n">
        <v>60</v>
      </c>
      <c r="AX15" s="241" t="n">
        <v>29</v>
      </c>
      <c r="AY15" s="283"/>
      <c r="AZ15" s="282" t="n">
        <f aca="false">SUM(N15,P15:U15)</f>
        <v>3.72</v>
      </c>
      <c r="BA15" s="208" t="n">
        <v>0.443</v>
      </c>
      <c r="BB15" s="283" t="n">
        <v>19361</v>
      </c>
    </row>
    <row r="16" customFormat="false" ht="12.95" hidden="false" customHeight="true" outlineLevel="0" collapsed="false">
      <c r="A16" s="207" t="n">
        <f aca="false">A15+1</f>
        <v>2</v>
      </c>
      <c r="B16" s="122" t="n">
        <v>6890.64</v>
      </c>
      <c r="C16" s="123" t="n">
        <v>250345</v>
      </c>
      <c r="D16" s="241" t="n">
        <f aca="false">C16-C15</f>
        <v>340</v>
      </c>
      <c r="E16" s="123" t="n">
        <f aca="false">C16-152000</f>
        <v>98345</v>
      </c>
      <c r="F16" s="277" t="n">
        <f aca="false">D16/$D$2</f>
        <v>171.414166876733</v>
      </c>
      <c r="G16" s="155" t="n">
        <v>170</v>
      </c>
      <c r="H16" s="372" t="n">
        <v>5.03</v>
      </c>
      <c r="I16" s="155" t="n">
        <f aca="false">G16+H16</f>
        <v>175.03</v>
      </c>
      <c r="J16" s="156" t="n">
        <f aca="false">IF(L16&gt;0,L16,0)</f>
        <v>80.964166876733</v>
      </c>
      <c r="K16" s="155" t="n">
        <f aca="false">I16+J16</f>
        <v>255.994166876733</v>
      </c>
      <c r="L16" s="155" t="n">
        <f aca="false">F16-(I16-AK16)</f>
        <v>80.964166876733</v>
      </c>
      <c r="M16" s="279" t="n">
        <v>2.78</v>
      </c>
      <c r="N16" s="155" t="n">
        <v>0</v>
      </c>
      <c r="O16" s="155" t="n">
        <f aca="false">0*1.05</f>
        <v>0</v>
      </c>
      <c r="P16" s="186" t="n">
        <v>0</v>
      </c>
      <c r="Q16" s="373" t="n">
        <f aca="false">1059700/325851/1.9835*1.02</f>
        <v>1.67236797775002</v>
      </c>
      <c r="R16" s="151" t="n">
        <f aca="false">IF(((2*1.04)-T16)&gt;=4.2,4.2,(2*1.04)-T16)</f>
        <v>1.46232528</v>
      </c>
      <c r="S16" s="151" t="n">
        <f aca="false">IF(((2*1.04)-T16)&gt;=4.2,((2*1.04)-T16)-4.2,0)</f>
        <v>0</v>
      </c>
      <c r="T16" s="151" t="n">
        <f aca="false">(0.5603*1.06)*1.04</f>
        <v>0.61767472</v>
      </c>
      <c r="U16" s="111" t="n">
        <f aca="false">M16-(Q16+R16+S16+T16)</f>
        <v>-0.972367977750021</v>
      </c>
      <c r="V16" s="155" t="n">
        <v>51</v>
      </c>
      <c r="W16" s="155" t="n">
        <v>0</v>
      </c>
      <c r="X16" s="155" t="n">
        <f aca="false">M16-N16-O16-P16-Q16-R16-S16-T16-U16+V16+W16</f>
        <v>51</v>
      </c>
      <c r="Y16" s="155" t="n">
        <f aca="false">X16-AO16</f>
        <v>51</v>
      </c>
      <c r="Z16" s="155"/>
      <c r="AA16" s="155"/>
      <c r="AB16" s="123"/>
      <c r="AC16" s="156"/>
      <c r="AD16" s="123"/>
      <c r="AE16" s="155" t="n">
        <v>0</v>
      </c>
      <c r="AF16" s="279"/>
      <c r="AG16" s="281"/>
      <c r="AH16" s="155" t="n">
        <v>30.8</v>
      </c>
      <c r="AI16" s="123" t="n">
        <f aca="false">AI15-AH16</f>
        <v>1488.25787748928</v>
      </c>
      <c r="AJ16" s="156"/>
      <c r="AK16" s="154" t="n">
        <f aca="false">N16+O16+P16+Q16+R16+S16+T16+U16+X16+AE16+AH16</f>
        <v>84.58</v>
      </c>
      <c r="AL16" s="155" t="n">
        <f aca="false">IF(L16&lt;0,L16*-1,0)</f>
        <v>0</v>
      </c>
      <c r="AM16" s="155" t="n">
        <f aca="false">AK16+AL16</f>
        <v>84.58</v>
      </c>
      <c r="AN16" s="284" t="n">
        <f aca="false">V16</f>
        <v>51</v>
      </c>
      <c r="AO16" s="156"/>
      <c r="AP16" s="248"/>
      <c r="AQ16" s="123"/>
      <c r="AR16" s="123"/>
      <c r="AS16" s="248"/>
      <c r="AU16" s="58"/>
      <c r="AV16" s="249" t="n">
        <v>0</v>
      </c>
      <c r="AW16" s="241" t="n">
        <v>61</v>
      </c>
      <c r="AX16" s="241" t="n">
        <v>28</v>
      </c>
      <c r="AY16" s="283"/>
      <c r="AZ16" s="282" t="n">
        <f aca="false">SUM(N16,P16:U16)</f>
        <v>2.78</v>
      </c>
      <c r="BA16" s="208" t="n">
        <v>0.376</v>
      </c>
      <c r="BB16" s="283" t="n">
        <v>19372</v>
      </c>
    </row>
    <row r="17" customFormat="false" ht="12.95" hidden="false" customHeight="true" outlineLevel="0" collapsed="false">
      <c r="A17" s="207" t="n">
        <f aca="false">A16+1</f>
        <v>3</v>
      </c>
      <c r="B17" s="122" t="n">
        <v>6890.76</v>
      </c>
      <c r="C17" s="123" t="n">
        <v>250753</v>
      </c>
      <c r="D17" s="241" t="n">
        <f aca="false">C17-C16</f>
        <v>408</v>
      </c>
      <c r="E17" s="123" t="n">
        <f aca="false">C17-152000</f>
        <v>98753</v>
      </c>
      <c r="F17" s="277" t="n">
        <f aca="false">D17/$D$2</f>
        <v>205.69700025208</v>
      </c>
      <c r="G17" s="155" t="n">
        <v>168</v>
      </c>
      <c r="H17" s="372" t="n">
        <v>4.8</v>
      </c>
      <c r="I17" s="155" t="n">
        <f aca="false">G17+H17</f>
        <v>172.8</v>
      </c>
      <c r="J17" s="156" t="n">
        <f aca="false">IF(L17&gt;0,L17,0)</f>
        <v>131.44700025208</v>
      </c>
      <c r="K17" s="155" t="n">
        <f aca="false">I17+J17</f>
        <v>304.24700025208</v>
      </c>
      <c r="L17" s="155" t="n">
        <f aca="false">F17-(I17-AK17)</f>
        <v>131.44700025208</v>
      </c>
      <c r="M17" s="279" t="n">
        <v>3.75</v>
      </c>
      <c r="N17" s="155" t="n">
        <v>0</v>
      </c>
      <c r="O17" s="155" t="n">
        <f aca="false">0*1.05</f>
        <v>0</v>
      </c>
      <c r="P17" s="186" t="n">
        <v>0</v>
      </c>
      <c r="Q17" s="373" t="n">
        <f aca="false">1131400/325851/1.9835*1.02</f>
        <v>1.78552149667488</v>
      </c>
      <c r="R17" s="151" t="n">
        <f aca="false">IF(((1.9*1.04)-T17)&gt;=4.2,4.2,(1.9*1.04)-T17)</f>
        <v>1.35832528</v>
      </c>
      <c r="S17" s="151" t="n">
        <f aca="false">IF(((1.9*1.04)-T17)&gt;=4.2,((1.9*1.04)-T17)-4.2,0)</f>
        <v>0</v>
      </c>
      <c r="T17" s="151" t="n">
        <f aca="false">(0.5603*1.06)*1.04</f>
        <v>0.61767472</v>
      </c>
      <c r="U17" s="111" t="n">
        <f aca="false">M17-(Q17+R17+S17+T17)</f>
        <v>-0.0115214966748831</v>
      </c>
      <c r="V17" s="155" t="n">
        <v>51</v>
      </c>
      <c r="W17" s="155" t="n">
        <v>0</v>
      </c>
      <c r="X17" s="155" t="n">
        <f aca="false">M17-N17-O17-P17-Q17-R17-S17-T17-U17+V17+W17</f>
        <v>51</v>
      </c>
      <c r="Y17" s="155" t="n">
        <f aca="false">X17-AO17</f>
        <v>51</v>
      </c>
      <c r="Z17" s="155"/>
      <c r="AA17" s="155"/>
      <c r="AB17" s="123"/>
      <c r="AC17" s="156"/>
      <c r="AD17" s="123"/>
      <c r="AE17" s="155" t="n">
        <v>0</v>
      </c>
      <c r="AF17" s="279"/>
      <c r="AG17" s="281"/>
      <c r="AH17" s="155" t="n">
        <v>43.8</v>
      </c>
      <c r="AI17" s="123" t="n">
        <f aca="false">AI16-AH17</f>
        <v>1444.45787748928</v>
      </c>
      <c r="AJ17" s="156"/>
      <c r="AK17" s="154" t="n">
        <f aca="false">N17+O17+P17+Q17+R17+S17+T17+U17+X17+AE17+AH17</f>
        <v>98.55</v>
      </c>
      <c r="AL17" s="155" t="n">
        <f aca="false">IF(L17&lt;0,L17*-1,0)</f>
        <v>0</v>
      </c>
      <c r="AM17" s="155" t="n">
        <f aca="false">AK17+AL17</f>
        <v>98.55</v>
      </c>
      <c r="AN17" s="284" t="n">
        <f aca="false">V17</f>
        <v>51</v>
      </c>
      <c r="AO17" s="156"/>
      <c r="AP17" s="248"/>
      <c r="AQ17" s="123"/>
      <c r="AR17" s="123"/>
      <c r="AS17" s="248"/>
      <c r="AU17" s="58"/>
      <c r="AV17" s="249" t="n">
        <v>0</v>
      </c>
      <c r="AW17" s="241" t="n">
        <v>66</v>
      </c>
      <c r="AX17" s="241" t="n">
        <v>31</v>
      </c>
      <c r="AY17" s="283"/>
      <c r="AZ17" s="282" t="n">
        <f aca="false">SUM(N17,P17:U17)</f>
        <v>3.75</v>
      </c>
      <c r="BA17" s="208" t="n">
        <v>0.46</v>
      </c>
      <c r="BB17" s="283" t="n">
        <v>19393</v>
      </c>
    </row>
    <row r="18" customFormat="false" ht="12.95" hidden="false" customHeight="true" outlineLevel="0" collapsed="false">
      <c r="A18" s="207" t="n">
        <f aca="false">A17+1</f>
        <v>4</v>
      </c>
      <c r="B18" s="122" t="n">
        <v>6890.87</v>
      </c>
      <c r="C18" s="123" t="n">
        <v>251127</v>
      </c>
      <c r="D18" s="241" t="n">
        <f aca="false">C18-C17</f>
        <v>374</v>
      </c>
      <c r="E18" s="123" t="n">
        <f aca="false">C18-152000</f>
        <v>99127</v>
      </c>
      <c r="F18" s="277" t="n">
        <f aca="false">D18/$D$2</f>
        <v>188.555583564406</v>
      </c>
      <c r="G18" s="155" t="n">
        <v>184</v>
      </c>
      <c r="H18" s="372" t="n">
        <v>5.08</v>
      </c>
      <c r="I18" s="155" t="n">
        <f aca="false">G18+H18</f>
        <v>189.08</v>
      </c>
      <c r="J18" s="156" t="n">
        <f aca="false">IF(L18&gt;0,L18,0)</f>
        <v>102.935583564406</v>
      </c>
      <c r="K18" s="155" t="n">
        <f aca="false">I18+J18</f>
        <v>292.015583564406</v>
      </c>
      <c r="L18" s="155" t="n">
        <f aca="false">F18-(I18-AK18)</f>
        <v>102.935583564406</v>
      </c>
      <c r="M18" s="279" t="n">
        <v>4.06</v>
      </c>
      <c r="N18" s="155" t="n">
        <v>0</v>
      </c>
      <c r="O18" s="155" t="n">
        <f aca="false">0*1.05</f>
        <v>0</v>
      </c>
      <c r="P18" s="186" t="n">
        <v>0</v>
      </c>
      <c r="Q18" s="373" t="n">
        <f aca="false">988400/325851/1.9835*1.02</f>
        <v>1.55984571973966</v>
      </c>
      <c r="R18" s="151" t="n">
        <f aca="false">IF(((2*1.04)-T18)&gt;=4.2,4.2,(2*1.04)-T18)</f>
        <v>1.5607696</v>
      </c>
      <c r="S18" s="151" t="n">
        <f aca="false">IF(((2*1.04)-T18)&gt;=4.2,((2*1.04)-T18)-4.2,0)</f>
        <v>0</v>
      </c>
      <c r="T18" s="151" t="n">
        <f aca="false">(0.471*1.06)*1.04</f>
        <v>0.5192304</v>
      </c>
      <c r="U18" s="111" t="n">
        <f aca="false">M18-(Q18+R18+S18+T18)</f>
        <v>0.420154280260337</v>
      </c>
      <c r="V18" s="155" t="n">
        <v>51</v>
      </c>
      <c r="W18" s="155" t="n">
        <v>0</v>
      </c>
      <c r="X18" s="155" t="n">
        <f aca="false">M18-N18-O18-P18-Q18-R18-S18-T18-U18+V18+W18</f>
        <v>51</v>
      </c>
      <c r="Y18" s="155" t="n">
        <f aca="false">X18-AO18</f>
        <v>51</v>
      </c>
      <c r="Z18" s="155"/>
      <c r="AA18" s="155"/>
      <c r="AB18" s="123"/>
      <c r="AC18" s="156"/>
      <c r="AD18" s="123"/>
      <c r="AE18" s="155" t="n">
        <v>0</v>
      </c>
      <c r="AF18" s="279"/>
      <c r="AG18" s="281"/>
      <c r="AH18" s="155" t="n">
        <v>48.4</v>
      </c>
      <c r="AI18" s="123" t="n">
        <f aca="false">AI17-AH18</f>
        <v>1396.05787748928</v>
      </c>
      <c r="AJ18" s="156"/>
      <c r="AK18" s="154" t="n">
        <f aca="false">N18+O18+P18+Q18+R18+S18+T18+U18+X18+AE18+AH18</f>
        <v>103.46</v>
      </c>
      <c r="AL18" s="155" t="n">
        <f aca="false">IF(L18&lt;0,L18*-1,0)</f>
        <v>0</v>
      </c>
      <c r="AM18" s="155" t="n">
        <f aca="false">AK18+AL18</f>
        <v>103.46</v>
      </c>
      <c r="AN18" s="284" t="n">
        <f aca="false">V18</f>
        <v>51</v>
      </c>
      <c r="AO18" s="156"/>
      <c r="AP18" s="248"/>
      <c r="AQ18" s="123"/>
      <c r="AR18" s="123"/>
      <c r="AS18" s="248"/>
      <c r="AU18" s="58"/>
      <c r="AV18" s="249" t="n">
        <v>0</v>
      </c>
      <c r="AW18" s="241" t="n">
        <v>65</v>
      </c>
      <c r="AX18" s="241" t="n">
        <v>31</v>
      </c>
      <c r="AY18" s="283"/>
      <c r="AZ18" s="282" t="n">
        <f aca="false">SUM(N18,P18:U18)</f>
        <v>4.06</v>
      </c>
      <c r="BA18" s="208" t="n">
        <v>0.524</v>
      </c>
      <c r="BB18" s="283" t="n">
        <v>19391</v>
      </c>
    </row>
    <row r="19" customFormat="false" ht="12.95" hidden="false" customHeight="true" outlineLevel="0" collapsed="false">
      <c r="A19" s="207" t="n">
        <f aca="false">A18+1</f>
        <v>5</v>
      </c>
      <c r="B19" s="122" t="n">
        <v>6890.94</v>
      </c>
      <c r="C19" s="123" t="n">
        <v>251365</v>
      </c>
      <c r="D19" s="241" t="n">
        <f aca="false">C19-C18</f>
        <v>238</v>
      </c>
      <c r="E19" s="123" t="n">
        <f aca="false">C19-152000</f>
        <v>99365</v>
      </c>
      <c r="F19" s="277" t="n">
        <f aca="false">D19/$D$2</f>
        <v>119.989916813713</v>
      </c>
      <c r="G19" s="155" t="n">
        <v>184</v>
      </c>
      <c r="H19" s="372" t="n">
        <v>5.93</v>
      </c>
      <c r="I19" s="155" t="n">
        <f aca="false">G19+H19</f>
        <v>189.93</v>
      </c>
      <c r="J19" s="156" t="n">
        <f aca="false">IF(L19&gt;0,L19,0)</f>
        <v>33.3399168137131</v>
      </c>
      <c r="K19" s="155" t="n">
        <f aca="false">I19+J19</f>
        <v>223.269916813713</v>
      </c>
      <c r="L19" s="155" t="n">
        <f aca="false">F19-(I19-AK19)</f>
        <v>33.3399168137131</v>
      </c>
      <c r="M19" s="279" t="n">
        <v>3.08</v>
      </c>
      <c r="N19" s="155" t="n">
        <v>0</v>
      </c>
      <c r="O19" s="155" t="n">
        <f aca="false">0*1.05</f>
        <v>0</v>
      </c>
      <c r="P19" s="186" t="n">
        <v>0</v>
      </c>
      <c r="Q19" s="373" t="n">
        <f aca="false">980500/325851/1.9835*1.02</f>
        <v>1.54737831667821</v>
      </c>
      <c r="R19" s="151" t="n">
        <f aca="false">IF(((1.9*1.04)-T19)&gt;=4.2,4.2,(1.9*1.04)-T19)</f>
        <v>1.4567696</v>
      </c>
      <c r="S19" s="151" t="n">
        <f aca="false">IF(((1.9*1.04)-T19)&gt;=4.2,((1.9*1.04)-T19)-4.2,0)</f>
        <v>0</v>
      </c>
      <c r="T19" s="151" t="n">
        <f aca="false">(0.471*1.06)*1.04</f>
        <v>0.5192304</v>
      </c>
      <c r="U19" s="111" t="n">
        <f aca="false">M19-(Q19+R19+S19+T19)</f>
        <v>-0.443378316678206</v>
      </c>
      <c r="V19" s="155" t="n">
        <v>51</v>
      </c>
      <c r="W19" s="155" t="n">
        <v>0</v>
      </c>
      <c r="X19" s="155" t="n">
        <f aca="false">M19-N19-O19-P19-Q19-R19-S19-T19-U19+V19+W19</f>
        <v>51</v>
      </c>
      <c r="Y19" s="155" t="n">
        <f aca="false">X19-AO19</f>
        <v>51</v>
      </c>
      <c r="Z19" s="155"/>
      <c r="AA19" s="155"/>
      <c r="AB19" s="123"/>
      <c r="AC19" s="156"/>
      <c r="AD19" s="123"/>
      <c r="AE19" s="155" t="n">
        <v>0</v>
      </c>
      <c r="AF19" s="279"/>
      <c r="AG19" s="281"/>
      <c r="AH19" s="155" t="n">
        <v>49.2</v>
      </c>
      <c r="AI19" s="123" t="n">
        <f aca="false">AI18-AH19</f>
        <v>1346.85787748928</v>
      </c>
      <c r="AJ19" s="156"/>
      <c r="AK19" s="154" t="n">
        <f aca="false">N19+O19+P19+Q19+R19+S19+T19+U19+X19+AE19+AH19</f>
        <v>103.28</v>
      </c>
      <c r="AL19" s="155" t="n">
        <f aca="false">IF(L19&lt;0,L19*-1,0)</f>
        <v>0</v>
      </c>
      <c r="AM19" s="155" t="n">
        <f aca="false">AK19+AL19</f>
        <v>103.28</v>
      </c>
      <c r="AN19" s="284" t="n">
        <f aca="false">V19</f>
        <v>51</v>
      </c>
      <c r="AO19" s="156"/>
      <c r="AP19" s="248"/>
      <c r="AQ19" s="123"/>
      <c r="AR19" s="123"/>
      <c r="AS19" s="248"/>
      <c r="AU19" s="58"/>
      <c r="AV19" s="249" t="n">
        <v>0</v>
      </c>
      <c r="AW19" s="206" t="n">
        <v>65</v>
      </c>
      <c r="AX19" s="207" t="n">
        <v>32</v>
      </c>
      <c r="AY19" s="283"/>
      <c r="AZ19" s="282" t="n">
        <f aca="false">SUM(N19,P19:U19)</f>
        <v>3.08</v>
      </c>
      <c r="BA19" s="208" t="n">
        <v>0.516</v>
      </c>
      <c r="BB19" s="283" t="n">
        <v>19384</v>
      </c>
    </row>
    <row r="20" customFormat="false" ht="12.95" hidden="false" customHeight="true" outlineLevel="0" collapsed="false">
      <c r="A20" s="207" t="n">
        <f aca="false">A19+1</f>
        <v>6</v>
      </c>
      <c r="B20" s="122" t="n">
        <v>6891.14</v>
      </c>
      <c r="C20" s="123" t="n">
        <v>252050</v>
      </c>
      <c r="D20" s="241" t="n">
        <f aca="false">C20-C19</f>
        <v>685</v>
      </c>
      <c r="E20" s="123" t="n">
        <f aca="false">C20-152000</f>
        <v>100050</v>
      </c>
      <c r="F20" s="277" t="n">
        <f aca="false">D20/$D$2</f>
        <v>345.349130325183</v>
      </c>
      <c r="G20" s="280" t="n">
        <v>192</v>
      </c>
      <c r="H20" s="372" t="n">
        <v>7.9</v>
      </c>
      <c r="I20" s="155" t="n">
        <f aca="false">G20+H20</f>
        <v>199.9</v>
      </c>
      <c r="J20" s="156" t="n">
        <f aca="false">IF(L20&gt;0,L20,0)</f>
        <v>249.109130325183</v>
      </c>
      <c r="K20" s="155" t="n">
        <f aca="false">I20+J20</f>
        <v>449.009130325183</v>
      </c>
      <c r="L20" s="155" t="n">
        <f aca="false">F20-(I20-AK20)</f>
        <v>249.109130325183</v>
      </c>
      <c r="M20" s="279" t="n">
        <v>3.36</v>
      </c>
      <c r="N20" s="155" t="n">
        <v>0</v>
      </c>
      <c r="O20" s="155" t="n">
        <f aca="false">0*1.05</f>
        <v>0</v>
      </c>
      <c r="P20" s="186" t="n">
        <v>0</v>
      </c>
      <c r="Q20" s="373" t="n">
        <f aca="false">1069700/325851/1.9835*1.02</f>
        <v>1.68814950061262</v>
      </c>
      <c r="R20" s="151" t="n">
        <f aca="false">IF(((1.9*1.04)-T20)&gt;=4.2,4.2,(1.9*1.04)-T20)</f>
        <v>1.4567696</v>
      </c>
      <c r="S20" s="151" t="n">
        <f aca="false">IF(((1.9*1.04)-T20)&gt;=4.2,((1.9*1.04)-T20)-4.2,0)</f>
        <v>0</v>
      </c>
      <c r="T20" s="151" t="n">
        <f aca="false">(0.471*1.06)*1.04</f>
        <v>0.5192304</v>
      </c>
      <c r="U20" s="111" t="n">
        <f aca="false">M20-(Q20+R20+S20+T20)</f>
        <v>-0.304149500612624</v>
      </c>
      <c r="V20" s="155" t="n">
        <v>51.1</v>
      </c>
      <c r="W20" s="155" t="n">
        <v>0</v>
      </c>
      <c r="X20" s="155" t="n">
        <f aca="false">M20-N20-O20-P20-Q20-R20-S20-T20-U20+V20+W20</f>
        <v>51.1</v>
      </c>
      <c r="Y20" s="155" t="n">
        <f aca="false">X20-AO20</f>
        <v>51.1</v>
      </c>
      <c r="Z20" s="155"/>
      <c r="AA20" s="155"/>
      <c r="AB20" s="123"/>
      <c r="AC20" s="156"/>
      <c r="AD20" s="123"/>
      <c r="AE20" s="155" t="n">
        <v>0</v>
      </c>
      <c r="AF20" s="279"/>
      <c r="AG20" s="281"/>
      <c r="AH20" s="155" t="n">
        <v>49.2</v>
      </c>
      <c r="AI20" s="123" t="n">
        <f aca="false">AI19-AH20</f>
        <v>1297.65787748928</v>
      </c>
      <c r="AJ20" s="156"/>
      <c r="AK20" s="154" t="n">
        <f aca="false">N20+O20+P20+Q20+R20+S20+T20+U20+X20+AE20+AH20</f>
        <v>103.66</v>
      </c>
      <c r="AL20" s="155" t="n">
        <f aca="false">IF(L20&lt;0,L20*-1,0)</f>
        <v>0</v>
      </c>
      <c r="AM20" s="155" t="n">
        <f aca="false">AK20+AL20</f>
        <v>103.66</v>
      </c>
      <c r="AN20" s="284" t="n">
        <f aca="false">V20</f>
        <v>51.1</v>
      </c>
      <c r="AO20" s="156"/>
      <c r="AP20" s="155"/>
      <c r="AQ20" s="123"/>
      <c r="AR20" s="123"/>
      <c r="AS20" s="248"/>
      <c r="AU20" s="58"/>
      <c r="AV20" s="249" t="n">
        <v>0.07</v>
      </c>
      <c r="AW20" s="241" t="n">
        <v>56</v>
      </c>
      <c r="AX20" s="241" t="n">
        <v>36</v>
      </c>
      <c r="AY20" s="283"/>
      <c r="AZ20" s="282" t="n">
        <f aca="false">SUM(N20,P20:U20)</f>
        <v>3.36</v>
      </c>
      <c r="BA20" s="208" t="n">
        <v>0.623</v>
      </c>
      <c r="BB20" s="283" t="n">
        <v>19419</v>
      </c>
    </row>
    <row r="21" customFormat="false" ht="12.95" hidden="false" customHeight="true" outlineLevel="0" collapsed="false">
      <c r="A21" s="207" t="n">
        <f aca="false">A20+1</f>
        <v>7</v>
      </c>
      <c r="B21" s="122" t="n">
        <v>6891.28</v>
      </c>
      <c r="C21" s="123" t="n">
        <v>252530</v>
      </c>
      <c r="D21" s="241" t="n">
        <f aca="false">C21-C20</f>
        <v>480</v>
      </c>
      <c r="E21" s="123" t="n">
        <f aca="false">C21-152000</f>
        <v>100530</v>
      </c>
      <c r="F21" s="277" t="n">
        <f aca="false">D21/$D$2</f>
        <v>241.9964708848</v>
      </c>
      <c r="G21" s="155" t="n">
        <v>193</v>
      </c>
      <c r="H21" s="372" t="n">
        <v>9.74</v>
      </c>
      <c r="I21" s="155" t="n">
        <f aca="false">G21+H21</f>
        <v>202.74</v>
      </c>
      <c r="J21" s="156" t="n">
        <f aca="false">IF(L21&gt;0,L21,0)</f>
        <v>143.8464708848</v>
      </c>
      <c r="K21" s="155" t="n">
        <f aca="false">I21+J21</f>
        <v>346.5864708848</v>
      </c>
      <c r="L21" s="155" t="n">
        <f aca="false">F21-(I21-AK21)</f>
        <v>143.8464708848</v>
      </c>
      <c r="M21" s="279" t="n">
        <v>3.89</v>
      </c>
      <c r="N21" s="155" t="n">
        <v>0</v>
      </c>
      <c r="O21" s="155" t="n">
        <f aca="false">0*1.05</f>
        <v>0</v>
      </c>
      <c r="P21" s="186" t="n">
        <v>0</v>
      </c>
      <c r="Q21" s="373" t="n">
        <f aca="false">1066200/325851/1.9835*1.02</f>
        <v>1.68262596761071</v>
      </c>
      <c r="R21" s="151" t="n">
        <f aca="false">IF(((2*1.04)-T21)&gt;=4.2,4.2,(2*1.04)-T21)</f>
        <v>1.5607696</v>
      </c>
      <c r="S21" s="151" t="n">
        <f aca="false">IF(((2*1.04)-T21)&gt;=4.2,((2*1.04)-T21)-4.2,0)</f>
        <v>0</v>
      </c>
      <c r="T21" s="151" t="n">
        <f aca="false">(0.471*1.06)*1.04</f>
        <v>0.5192304</v>
      </c>
      <c r="U21" s="111" t="n">
        <f aca="false">M21-(Q21+R21+S21+T21)</f>
        <v>0.127374032389287</v>
      </c>
      <c r="V21" s="155" t="n">
        <v>51.5</v>
      </c>
      <c r="W21" s="155" t="n">
        <v>0</v>
      </c>
      <c r="X21" s="155" t="n">
        <f aca="false">M21-N21-O21-P21-Q21-R21-S21-T21-U21+V21+W21</f>
        <v>51.5</v>
      </c>
      <c r="Y21" s="155" t="n">
        <f aca="false">X21-AO21</f>
        <v>51.5</v>
      </c>
      <c r="Z21" s="155"/>
      <c r="AA21" s="155"/>
      <c r="AB21" s="123"/>
      <c r="AC21" s="156"/>
      <c r="AD21" s="123"/>
      <c r="AE21" s="155" t="n">
        <v>0</v>
      </c>
      <c r="AF21" s="279"/>
      <c r="AG21" s="281"/>
      <c r="AH21" s="155" t="n">
        <v>49.2</v>
      </c>
      <c r="AI21" s="123" t="n">
        <f aca="false">AI20-AH21</f>
        <v>1248.45787748928</v>
      </c>
      <c r="AJ21" s="156"/>
      <c r="AK21" s="154" t="n">
        <f aca="false">N21+O21+P21+Q21+R21+S21+T21+U21+X21+AE21+AH21</f>
        <v>104.59</v>
      </c>
      <c r="AL21" s="155" t="n">
        <f aca="false">IF(L21&lt;0,L21*-1,0)</f>
        <v>0</v>
      </c>
      <c r="AM21" s="155" t="n">
        <f aca="false">AK21+AL21</f>
        <v>104.59</v>
      </c>
      <c r="AN21" s="284" t="n">
        <f aca="false">V21</f>
        <v>51.5</v>
      </c>
      <c r="AO21" s="156"/>
      <c r="AP21" s="155"/>
      <c r="AQ21" s="123"/>
      <c r="AR21" s="123"/>
      <c r="AS21" s="248"/>
      <c r="AU21" s="58"/>
      <c r="AV21" s="249" t="n">
        <v>0.05</v>
      </c>
      <c r="AW21" s="241" t="n">
        <v>50</v>
      </c>
      <c r="AX21" s="241" t="n">
        <v>29</v>
      </c>
      <c r="AY21" s="283"/>
      <c r="AZ21" s="282" t="n">
        <f aca="false">SUM(N21,P21:U21)</f>
        <v>3.89</v>
      </c>
      <c r="BA21" s="208" t="n">
        <v>0.604</v>
      </c>
      <c r="BB21" s="283" t="n">
        <v>19450</v>
      </c>
    </row>
    <row r="22" customFormat="false" ht="12.95" hidden="false" customHeight="true" outlineLevel="0" collapsed="false">
      <c r="A22" s="207" t="n">
        <f aca="false">A21+1</f>
        <v>8</v>
      </c>
      <c r="B22" s="122" t="n">
        <v>6891.38</v>
      </c>
      <c r="C22" s="123" t="n">
        <v>252874</v>
      </c>
      <c r="D22" s="241" t="n">
        <f aca="false">C22-C21</f>
        <v>344</v>
      </c>
      <c r="E22" s="123" t="n">
        <f aca="false">C22-152000</f>
        <v>100874</v>
      </c>
      <c r="F22" s="277" t="n">
        <f aca="false">D22/$D$2</f>
        <v>173.430804134106</v>
      </c>
      <c r="G22" s="155" t="n">
        <v>156</v>
      </c>
      <c r="H22" s="372" t="n">
        <v>7.81</v>
      </c>
      <c r="I22" s="155" t="n">
        <f aca="false">G22+H22</f>
        <v>163.81</v>
      </c>
      <c r="J22" s="156" t="n">
        <f aca="false">IF(L22&gt;0,L22,0)</f>
        <v>114.040804134106</v>
      </c>
      <c r="K22" s="155" t="n">
        <f aca="false">I22+J22</f>
        <v>277.850804134106</v>
      </c>
      <c r="L22" s="155" t="n">
        <f aca="false">F22-(I22-AK22)</f>
        <v>114.040804134106</v>
      </c>
      <c r="M22" s="279" t="n">
        <v>3.72</v>
      </c>
      <c r="N22" s="155" t="n">
        <v>0</v>
      </c>
      <c r="O22" s="155" t="n">
        <f aca="false">0*1.05</f>
        <v>0</v>
      </c>
      <c r="P22" s="186" t="n">
        <v>0</v>
      </c>
      <c r="Q22" s="373" t="n">
        <f aca="false">1098300/325851/1.9835*1.02</f>
        <v>1.73328465599967</v>
      </c>
      <c r="R22" s="151" t="n">
        <f aca="false">IF(((2*1.04)-T22)&gt;=4.2,4.2,(2*1.04)-T22)</f>
        <v>1.5607696</v>
      </c>
      <c r="S22" s="151" t="n">
        <f aca="false">IF(((2*1.04)-T22)&gt;=4.2,((2*1.04)-T22)-4.2,0)</f>
        <v>0</v>
      </c>
      <c r="T22" s="151" t="n">
        <f aca="false">(0.471*1.06)*1.04</f>
        <v>0.5192304</v>
      </c>
      <c r="U22" s="111" t="n">
        <f aca="false">M22-(Q22+R22+S22+T22)</f>
        <v>-0.0932846559996676</v>
      </c>
      <c r="V22" s="155" t="n">
        <v>51.5</v>
      </c>
      <c r="W22" s="155" t="n">
        <v>0</v>
      </c>
      <c r="X22" s="155" t="n">
        <f aca="false">M22-N22-O22-P22-Q22-R22-S22-T22-U22+V22+W22</f>
        <v>51.5</v>
      </c>
      <c r="Y22" s="155" t="n">
        <f aca="false">X22-AO22</f>
        <v>51.5</v>
      </c>
      <c r="Z22" s="155"/>
      <c r="AA22" s="155"/>
      <c r="AB22" s="123"/>
      <c r="AC22" s="156"/>
      <c r="AD22" s="123"/>
      <c r="AE22" s="155" t="n">
        <v>0</v>
      </c>
      <c r="AF22" s="279"/>
      <c r="AG22" s="281"/>
      <c r="AH22" s="155" t="n">
        <v>49.2</v>
      </c>
      <c r="AI22" s="123" t="n">
        <f aca="false">AI21-AH22</f>
        <v>1199.25787748928</v>
      </c>
      <c r="AJ22" s="156"/>
      <c r="AK22" s="154" t="n">
        <f aca="false">N22+O22+P22+Q22+R22+S22+T22+U22+X22+AE22+AH22</f>
        <v>104.42</v>
      </c>
      <c r="AL22" s="155" t="n">
        <f aca="false">IF(L22&lt;0,L22*-1,0)</f>
        <v>0</v>
      </c>
      <c r="AM22" s="155" t="n">
        <f aca="false">AK22+AL22</f>
        <v>104.42</v>
      </c>
      <c r="AN22" s="284" t="n">
        <f aca="false">V22</f>
        <v>51.5</v>
      </c>
      <c r="AO22" s="156"/>
      <c r="AP22" s="155"/>
      <c r="AQ22" s="123"/>
      <c r="AR22" s="123"/>
      <c r="AS22" s="248"/>
      <c r="AU22" s="58"/>
      <c r="AV22" s="249" t="n">
        <v>0</v>
      </c>
      <c r="AW22" s="241" t="n">
        <v>55</v>
      </c>
      <c r="AX22" s="241" t="n">
        <v>25</v>
      </c>
      <c r="AY22" s="283"/>
      <c r="AZ22" s="282" t="n">
        <f aca="false">SUM(N22,P22:U22)</f>
        <v>3.72</v>
      </c>
      <c r="BA22" s="208" t="n">
        <v>0.694</v>
      </c>
      <c r="BB22" s="283" t="n">
        <v>19461</v>
      </c>
    </row>
    <row r="23" customFormat="false" ht="12.95" hidden="false" customHeight="true" outlineLevel="0" collapsed="false">
      <c r="A23" s="207" t="n">
        <f aca="false">A22+1</f>
        <v>9</v>
      </c>
      <c r="B23" s="122" t="n">
        <v>6891.47</v>
      </c>
      <c r="C23" s="123" t="n">
        <v>253183</v>
      </c>
      <c r="D23" s="241" t="n">
        <f aca="false">C23-C22</f>
        <v>309</v>
      </c>
      <c r="E23" s="123" t="n">
        <f aca="false">C23-152000</f>
        <v>101183</v>
      </c>
      <c r="F23" s="277" t="n">
        <f aca="false">D23/$D$2</f>
        <v>155.78522813209</v>
      </c>
      <c r="G23" s="155" t="n">
        <v>157</v>
      </c>
      <c r="H23" s="372" t="n">
        <v>6.61</v>
      </c>
      <c r="I23" s="155" t="n">
        <f aca="false">G23+H23</f>
        <v>163.61</v>
      </c>
      <c r="J23" s="156" t="n">
        <f aca="false">IF(L23&gt;0,L23,0)</f>
        <v>95.7452281320897</v>
      </c>
      <c r="K23" s="155" t="n">
        <f aca="false">I23+J23</f>
        <v>259.35522813209</v>
      </c>
      <c r="L23" s="155" t="n">
        <f aca="false">F23-(I23-AK23)</f>
        <v>95.7452281320897</v>
      </c>
      <c r="M23" s="279" t="n">
        <v>2.67</v>
      </c>
      <c r="N23" s="155" t="n">
        <v>0</v>
      </c>
      <c r="O23" s="155" t="n">
        <f aca="false">0*1.05</f>
        <v>0</v>
      </c>
      <c r="P23" s="186" t="n">
        <v>0</v>
      </c>
      <c r="Q23" s="373" t="n">
        <f aca="false">1054400/325851/1.9835*1.02</f>
        <v>1.66400377063284</v>
      </c>
      <c r="R23" s="151" t="n">
        <f aca="false">IF(((1.9*1.04)-T23)&gt;=4.2,4.2,(1.9*1.04)-T23)</f>
        <v>1.4567696</v>
      </c>
      <c r="S23" s="151" t="n">
        <f aca="false">IF(((1.9*1.04)-T23)&gt;=4.2,((1.9*1.04)-T23)-4.2,0)</f>
        <v>0</v>
      </c>
      <c r="T23" s="151" t="n">
        <f aca="false">(0.471*1.06)*1.04</f>
        <v>0.5192304</v>
      </c>
      <c r="U23" s="111" t="n">
        <f aca="false">M23-(Q23+R23+S23+T23)</f>
        <v>-0.970003770632842</v>
      </c>
      <c r="V23" s="155" t="n">
        <v>51.7</v>
      </c>
      <c r="W23" s="155" t="n">
        <v>0</v>
      </c>
      <c r="X23" s="155" t="n">
        <f aca="false">M23-N23-O23-P23-Q23-R23-S23-T23-U23+V23+W23</f>
        <v>51.7</v>
      </c>
      <c r="Y23" s="155" t="n">
        <f aca="false">X23-AO23</f>
        <v>51.7</v>
      </c>
      <c r="Z23" s="155"/>
      <c r="AA23" s="155"/>
      <c r="AB23" s="123"/>
      <c r="AC23" s="156"/>
      <c r="AD23" s="123"/>
      <c r="AE23" s="155" t="n">
        <v>0</v>
      </c>
      <c r="AF23" s="279"/>
      <c r="AG23" s="281"/>
      <c r="AH23" s="155" t="n">
        <v>49.2</v>
      </c>
      <c r="AI23" s="123" t="n">
        <f aca="false">AI22-AH23</f>
        <v>1150.05787748928</v>
      </c>
      <c r="AJ23" s="156"/>
      <c r="AK23" s="154" t="n">
        <f aca="false">N23+O23+P23+Q23+R23+S23+T23+U23+X23+AE23+AH23</f>
        <v>103.57</v>
      </c>
      <c r="AL23" s="155" t="n">
        <f aca="false">IF(L23&lt;0,L23*-1,0)</f>
        <v>0</v>
      </c>
      <c r="AM23" s="155" t="n">
        <f aca="false">AK23+AL23</f>
        <v>103.57</v>
      </c>
      <c r="AN23" s="284" t="n">
        <f aca="false">V23</f>
        <v>51.7</v>
      </c>
      <c r="AO23" s="156"/>
      <c r="AP23" s="155"/>
      <c r="AQ23" s="123"/>
      <c r="AR23" s="123"/>
      <c r="AS23" s="248"/>
      <c r="AU23" s="58"/>
      <c r="AV23" s="249" t="n">
        <v>0</v>
      </c>
      <c r="AW23" s="248" t="n">
        <v>56</v>
      </c>
      <c r="AX23" s="241" t="n">
        <v>25</v>
      </c>
      <c r="AY23" s="283"/>
      <c r="AZ23" s="282" t="n">
        <f aca="false">SUM(N23,P23:U23)</f>
        <v>2.67</v>
      </c>
      <c r="BA23" s="208" t="n">
        <v>0.757</v>
      </c>
      <c r="BB23" s="283" t="n">
        <v>19465</v>
      </c>
    </row>
    <row r="24" customFormat="false" ht="12.95" hidden="false" customHeight="true" outlineLevel="0" collapsed="false">
      <c r="A24" s="207" t="n">
        <f aca="false">A23+1</f>
        <v>10</v>
      </c>
      <c r="B24" s="122" t="n">
        <v>6891.55</v>
      </c>
      <c r="C24" s="123" t="n">
        <v>253458</v>
      </c>
      <c r="D24" s="241" t="n">
        <f aca="false">C24-C23</f>
        <v>275</v>
      </c>
      <c r="E24" s="123" t="n">
        <f aca="false">C24-152000</f>
        <v>101458</v>
      </c>
      <c r="F24" s="277" t="n">
        <f aca="false">D24/$D$2</f>
        <v>138.643811444416</v>
      </c>
      <c r="G24" s="155" t="n">
        <v>150</v>
      </c>
      <c r="H24" s="372" t="n">
        <v>5.69</v>
      </c>
      <c r="I24" s="155" t="n">
        <f aca="false">G24+H24</f>
        <v>155.69</v>
      </c>
      <c r="J24" s="156" t="n">
        <f aca="false">IF(L24&gt;0,L24,0)</f>
        <v>86.9738114444164</v>
      </c>
      <c r="K24" s="155" t="n">
        <f aca="false">I24+J24</f>
        <v>242.663811444416</v>
      </c>
      <c r="L24" s="155" t="n">
        <f aca="false">F24-(I24-AK24)</f>
        <v>86.9738114444164</v>
      </c>
      <c r="M24" s="279" t="n">
        <v>3.42</v>
      </c>
      <c r="N24" s="155" t="n">
        <v>0</v>
      </c>
      <c r="O24" s="155" t="n">
        <f aca="false">0*1.05</f>
        <v>0</v>
      </c>
      <c r="P24" s="186" t="n">
        <v>0</v>
      </c>
      <c r="Q24" s="373" t="n">
        <f aca="false">1221600/325851/1.9835*1.02</f>
        <v>1.92787083289556</v>
      </c>
      <c r="R24" s="151" t="n">
        <f aca="false">IF(((2*1.04)-T24)&gt;=4.2,4.2,(2*1.04)-T24)</f>
        <v>1.5607696</v>
      </c>
      <c r="S24" s="151" t="n">
        <f aca="false">IF(((2*1.04)-T24)&gt;=4.2,((2*1.04)-T24)-4.2,0)</f>
        <v>0</v>
      </c>
      <c r="T24" s="151" t="n">
        <f aca="false">(0.471*1.06)*1.04</f>
        <v>0.5192304</v>
      </c>
      <c r="U24" s="111" t="n">
        <f aca="false">M24-(Q24+R24+S24+T24)</f>
        <v>-0.58787083289556</v>
      </c>
      <c r="V24" s="155" t="n">
        <v>51.7</v>
      </c>
      <c r="W24" s="155" t="n">
        <v>0</v>
      </c>
      <c r="X24" s="155" t="n">
        <f aca="false">M24-N24-O24-P24-Q24-R24-S24-T24-U24+V24+W24</f>
        <v>51.7</v>
      </c>
      <c r="Y24" s="155" t="n">
        <f aca="false">X24-AO24</f>
        <v>51.7</v>
      </c>
      <c r="Z24" s="155"/>
      <c r="AA24" s="155"/>
      <c r="AB24" s="123"/>
      <c r="AC24" s="156"/>
      <c r="AD24" s="123"/>
      <c r="AE24" s="155" t="n">
        <v>0</v>
      </c>
      <c r="AF24" s="279"/>
      <c r="AG24" s="281"/>
      <c r="AH24" s="155" t="n">
        <v>48.9</v>
      </c>
      <c r="AI24" s="123" t="n">
        <f aca="false">AI23-AH24</f>
        <v>1101.15787748928</v>
      </c>
      <c r="AJ24" s="156"/>
      <c r="AK24" s="154" t="n">
        <f aca="false">N24+O24+P24+Q24+R24+S24+T24+U24+X24+AE24+AH24</f>
        <v>104.02</v>
      </c>
      <c r="AL24" s="155" t="n">
        <f aca="false">IF(L24&lt;0,L24*-1,0)</f>
        <v>0</v>
      </c>
      <c r="AM24" s="155" t="n">
        <f aca="false">AK24+AL24</f>
        <v>104.02</v>
      </c>
      <c r="AN24" s="284" t="n">
        <f aca="false">V24</f>
        <v>51.7</v>
      </c>
      <c r="AO24" s="156"/>
      <c r="AP24" s="155"/>
      <c r="AQ24" s="123"/>
      <c r="AR24" s="123"/>
      <c r="AS24" s="248"/>
      <c r="AU24" s="58"/>
      <c r="AV24" s="249" t="n">
        <v>0</v>
      </c>
      <c r="AW24" s="241" t="n">
        <v>69</v>
      </c>
      <c r="AX24" s="241" t="n">
        <v>30</v>
      </c>
      <c r="AY24" s="283"/>
      <c r="AZ24" s="282" t="n">
        <f aca="false">SUM(N24,P24:U24)</f>
        <v>3.42</v>
      </c>
      <c r="BA24" s="208" t="n">
        <v>0.791</v>
      </c>
      <c r="BB24" s="283" t="n">
        <v>19486</v>
      </c>
    </row>
    <row r="25" customFormat="false" ht="12.95" hidden="false" customHeight="true" outlineLevel="0" collapsed="false">
      <c r="A25" s="207" t="n">
        <f aca="false">A24+1</f>
        <v>11</v>
      </c>
      <c r="B25" s="122" t="n">
        <v>6891.69</v>
      </c>
      <c r="C25" s="123" t="n">
        <v>253938</v>
      </c>
      <c r="D25" s="241" t="n">
        <f aca="false">C25-C24</f>
        <v>480</v>
      </c>
      <c r="E25" s="123" t="n">
        <f aca="false">C25-152000</f>
        <v>101938</v>
      </c>
      <c r="F25" s="277" t="n">
        <f aca="false">D25/$D$2</f>
        <v>241.9964708848</v>
      </c>
      <c r="G25" s="155" t="n">
        <v>171</v>
      </c>
      <c r="H25" s="372" t="n">
        <v>7.18</v>
      </c>
      <c r="I25" s="155" t="n">
        <f aca="false">G25+H25</f>
        <v>178.18</v>
      </c>
      <c r="J25" s="156" t="n">
        <f aca="false">IF(L25&gt;0,L25,0)</f>
        <v>168.9764708848</v>
      </c>
      <c r="K25" s="155" t="n">
        <f aca="false">I25+J25</f>
        <v>347.1564708848</v>
      </c>
      <c r="L25" s="155" t="n">
        <f aca="false">F25-(I25-AK25)</f>
        <v>168.9764708848</v>
      </c>
      <c r="M25" s="279" t="n">
        <v>3.16</v>
      </c>
      <c r="N25" s="155" t="n">
        <v>0</v>
      </c>
      <c r="O25" s="155" t="n">
        <f aca="false">0*1.05</f>
        <v>0</v>
      </c>
      <c r="P25" s="186" t="n">
        <v>0</v>
      </c>
      <c r="Q25" s="373" t="n">
        <f aca="false">852900/325851/1.9835*1.02</f>
        <v>1.34600608495139</v>
      </c>
      <c r="R25" s="151" t="n">
        <f aca="false">IF(((2*1.04)-T25)&gt;=4.2,4.2,(2*1.04)-T25)</f>
        <v>1.48404256</v>
      </c>
      <c r="S25" s="151" t="n">
        <f aca="false">IF(((2*1.04)-T25)&gt;=4.2,((2*1.04)-T25)-4.2,0)</f>
        <v>0</v>
      </c>
      <c r="T25" s="151" t="n">
        <f aca="false">(0.5406*1.06)*1.04</f>
        <v>0.59595744</v>
      </c>
      <c r="U25" s="111" t="n">
        <f aca="false">M25-(Q25+R25+S25+T25)</f>
        <v>-0.266006084951394</v>
      </c>
      <c r="V25" s="155" t="n">
        <v>51.8</v>
      </c>
      <c r="W25" s="155" t="n">
        <v>0</v>
      </c>
      <c r="X25" s="155" t="n">
        <f aca="false">M25-N25-O25-P25-Q25-R25-S25-T25-U25+V25+W25</f>
        <v>51.8</v>
      </c>
      <c r="Y25" s="155" t="n">
        <f aca="false">X25-AO25</f>
        <v>51.8</v>
      </c>
      <c r="Z25" s="155"/>
      <c r="AA25" s="155"/>
      <c r="AB25" s="123"/>
      <c r="AC25" s="156"/>
      <c r="AD25" s="123"/>
      <c r="AE25" s="155" t="n">
        <v>0</v>
      </c>
      <c r="AF25" s="279"/>
      <c r="AG25" s="281"/>
      <c r="AH25" s="155" t="n">
        <v>50.2</v>
      </c>
      <c r="AI25" s="123" t="n">
        <f aca="false">AI24-AH25</f>
        <v>1050.95787748928</v>
      </c>
      <c r="AJ25" s="156"/>
      <c r="AK25" s="154" t="n">
        <f aca="false">N25+O25+P25+Q25+R25+S25+T25+U25+X25+AE25+AH25</f>
        <v>105.16</v>
      </c>
      <c r="AL25" s="155" t="n">
        <f aca="false">IF(L25&lt;0,L25*-1,0)</f>
        <v>0</v>
      </c>
      <c r="AM25" s="155" t="n">
        <f aca="false">AK25+AL25</f>
        <v>105.16</v>
      </c>
      <c r="AN25" s="284" t="n">
        <f aca="false">V25</f>
        <v>51.8</v>
      </c>
      <c r="AO25" s="156"/>
      <c r="AP25" s="155"/>
      <c r="AQ25" s="123"/>
      <c r="AR25" s="123"/>
      <c r="AS25" s="248"/>
      <c r="AU25" s="58"/>
      <c r="AV25" s="249" t="n">
        <v>0</v>
      </c>
      <c r="AW25" s="241" t="n">
        <v>70</v>
      </c>
      <c r="AX25" s="241" t="n">
        <v>33</v>
      </c>
      <c r="AY25" s="283"/>
      <c r="AZ25" s="282" t="n">
        <f aca="false">SUM(N25,P25:U25)</f>
        <v>3.16</v>
      </c>
      <c r="BA25" s="208" t="n">
        <v>0.967</v>
      </c>
      <c r="BB25" s="283" t="n">
        <v>19532</v>
      </c>
    </row>
    <row r="26" customFormat="false" ht="12.95" hidden="false" customHeight="true" outlineLevel="0" collapsed="false">
      <c r="A26" s="207" t="n">
        <f aca="false">A25+1</f>
        <v>12</v>
      </c>
      <c r="B26" s="122" t="n">
        <v>6891.88</v>
      </c>
      <c r="C26" s="123" t="n">
        <v>254591</v>
      </c>
      <c r="D26" s="241" t="n">
        <f aca="false">C26-C25</f>
        <v>653</v>
      </c>
      <c r="E26" s="123" t="n">
        <f aca="false">C26-152000</f>
        <v>102591</v>
      </c>
      <c r="F26" s="277" t="n">
        <f aca="false">D26/$D$2</f>
        <v>329.216032266196</v>
      </c>
      <c r="G26" s="155" t="n">
        <v>205</v>
      </c>
      <c r="H26" s="372" t="n">
        <v>11.2</v>
      </c>
      <c r="I26" s="155" t="n">
        <f aca="false">G26+H26</f>
        <v>216.2</v>
      </c>
      <c r="J26" s="156" t="n">
        <f aca="false">IF(L26&gt;0,L26,0)</f>
        <v>218.566032266196</v>
      </c>
      <c r="K26" s="155" t="n">
        <f aca="false">I26+J26</f>
        <v>434.766032266196</v>
      </c>
      <c r="L26" s="155" t="n">
        <f aca="false">F26-(I26-AK26)</f>
        <v>218.566032266196</v>
      </c>
      <c r="M26" s="279" t="n">
        <v>3.35</v>
      </c>
      <c r="N26" s="155" t="n">
        <v>0</v>
      </c>
      <c r="O26" s="155" t="n">
        <f aca="false">0*1.05</f>
        <v>0</v>
      </c>
      <c r="P26" s="186" t="n">
        <v>0</v>
      </c>
      <c r="Q26" s="373" t="n">
        <f aca="false">1019300/325851/1.9835*1.02</f>
        <v>1.60861062538511</v>
      </c>
      <c r="R26" s="151" t="n">
        <f aca="false">IF(((2*1.04)-T26)&gt;=4.2,4.2,(2*1.04)-T26)</f>
        <v>1.48404256</v>
      </c>
      <c r="S26" s="151" t="n">
        <f aca="false">IF(((2*1.04)-T26)&gt;=4.2,((2*1.04)-T26)-4.2,0)</f>
        <v>0</v>
      </c>
      <c r="T26" s="151" t="n">
        <f aca="false">(0.5406*1.06)*1.04</f>
        <v>0.59595744</v>
      </c>
      <c r="U26" s="111" t="n">
        <f aca="false">M26-(Q26+R26+S26+T26)</f>
        <v>-0.338610625385105</v>
      </c>
      <c r="V26" s="155" t="n">
        <v>51.8</v>
      </c>
      <c r="W26" s="155" t="n">
        <v>0</v>
      </c>
      <c r="X26" s="155" t="n">
        <f aca="false">M26-N26-O26-P26-Q26-R26-S26-T26-U26+V26+W26</f>
        <v>51.8</v>
      </c>
      <c r="Y26" s="155" t="n">
        <f aca="false">X26-AO26</f>
        <v>51.8</v>
      </c>
      <c r="Z26" s="155"/>
      <c r="AA26" s="155"/>
      <c r="AB26" s="123"/>
      <c r="AC26" s="156"/>
      <c r="AD26" s="123"/>
      <c r="AE26" s="155" t="n">
        <v>0</v>
      </c>
      <c r="AF26" s="279"/>
      <c r="AG26" s="281"/>
      <c r="AH26" s="155" t="n">
        <v>50.4</v>
      </c>
      <c r="AI26" s="123" t="n">
        <f aca="false">AI25-AH26</f>
        <v>1000.55787748928</v>
      </c>
      <c r="AJ26" s="156"/>
      <c r="AK26" s="154" t="n">
        <f aca="false">N26+O26+P26+Q26+R26+S26+T26+U26+X26+AE26+AH26</f>
        <v>105.55</v>
      </c>
      <c r="AL26" s="155" t="n">
        <f aca="false">IF(L26&lt;0,L26*-1,0)</f>
        <v>0</v>
      </c>
      <c r="AM26" s="155" t="n">
        <f aca="false">AK26+AL26</f>
        <v>105.55</v>
      </c>
      <c r="AN26" s="284" t="n">
        <f aca="false">V26</f>
        <v>51.8</v>
      </c>
      <c r="AO26" s="156"/>
      <c r="AP26" s="155"/>
      <c r="AQ26" s="123"/>
      <c r="AR26" s="123"/>
      <c r="AS26" s="248"/>
      <c r="AU26" s="58"/>
      <c r="AV26" s="249" t="n">
        <v>0.01</v>
      </c>
      <c r="AW26" s="241" t="n">
        <v>54</v>
      </c>
      <c r="AX26" s="241" t="n">
        <v>29</v>
      </c>
      <c r="AY26" s="283"/>
      <c r="AZ26" s="282" t="n">
        <f aca="false">SUM(N26,P26:U26)</f>
        <v>3.35</v>
      </c>
      <c r="BA26" s="208" t="n">
        <v>1.17</v>
      </c>
      <c r="BB26" s="283" t="n">
        <v>19551</v>
      </c>
    </row>
    <row r="27" customFormat="false" ht="12.95" hidden="false" customHeight="true" outlineLevel="0" collapsed="false">
      <c r="A27" s="207" t="n">
        <f aca="false">A26+1</f>
        <v>13</v>
      </c>
      <c r="B27" s="122" t="n">
        <v>6892.03</v>
      </c>
      <c r="C27" s="123" t="n">
        <v>255107</v>
      </c>
      <c r="D27" s="241" t="n">
        <f aca="false">C27-C26</f>
        <v>516</v>
      </c>
      <c r="E27" s="123" t="n">
        <f aca="false">C27-152000</f>
        <v>103107</v>
      </c>
      <c r="F27" s="277" t="n">
        <f aca="false">D27/$D$2</f>
        <v>260.14620620116</v>
      </c>
      <c r="G27" s="155" t="n">
        <v>198</v>
      </c>
      <c r="H27" s="372" t="n">
        <v>9.87</v>
      </c>
      <c r="I27" s="155" t="n">
        <f aca="false">G27+H27</f>
        <v>207.87</v>
      </c>
      <c r="J27" s="156" t="n">
        <f aca="false">IF(L27&gt;0,L27,0)</f>
        <v>157.74620620116</v>
      </c>
      <c r="K27" s="155" t="n">
        <f aca="false">I27+J27</f>
        <v>365.61620620116</v>
      </c>
      <c r="L27" s="155" t="n">
        <f aca="false">F27-(I27-AK27)</f>
        <v>157.74620620116</v>
      </c>
      <c r="M27" s="279" t="n">
        <v>3.07</v>
      </c>
      <c r="N27" s="155" t="n">
        <v>0</v>
      </c>
      <c r="O27" s="155" t="n">
        <f aca="false">0*1.05</f>
        <v>0</v>
      </c>
      <c r="P27" s="186" t="n">
        <v>0</v>
      </c>
      <c r="Q27" s="373" t="n">
        <f aca="false">1087800/325851/1.9835*1.02</f>
        <v>1.71671405699393</v>
      </c>
      <c r="R27" s="151" t="n">
        <f aca="false">IF(((1.9*1.04)-T27)&gt;=4.2,4.2,(1.9*1.04)-T27)</f>
        <v>1.38004256</v>
      </c>
      <c r="S27" s="151" t="n">
        <f aca="false">IF(((1.9*1.04)-T27)&gt;=4.2,((1.9*1.04)-T27)-4.2,0)</f>
        <v>0</v>
      </c>
      <c r="T27" s="151" t="n">
        <f aca="false">(0.5406*1.06)*1.04</f>
        <v>0.59595744</v>
      </c>
      <c r="U27" s="111" t="n">
        <f aca="false">M27-(Q27+R27+S27+T27)</f>
        <v>-0.622714056993935</v>
      </c>
      <c r="V27" s="155" t="n">
        <v>51.8</v>
      </c>
      <c r="W27" s="155" t="n">
        <v>0</v>
      </c>
      <c r="X27" s="155" t="n">
        <f aca="false">M27-N27-O27-P27-Q27-R27-S27-T27-U27+V27+W27</f>
        <v>51.8</v>
      </c>
      <c r="Y27" s="155" t="n">
        <f aca="false">X27-AO27</f>
        <v>51.8</v>
      </c>
      <c r="Z27" s="155"/>
      <c r="AA27" s="155"/>
      <c r="AB27" s="123"/>
      <c r="AC27" s="156"/>
      <c r="AD27" s="123"/>
      <c r="AE27" s="155" t="n">
        <v>0</v>
      </c>
      <c r="AF27" s="279"/>
      <c r="AG27" s="281"/>
      <c r="AH27" s="155" t="n">
        <v>50.6</v>
      </c>
      <c r="AI27" s="123" t="n">
        <f aca="false">AI26-AH27</f>
        <v>949.957877489281</v>
      </c>
      <c r="AJ27" s="156"/>
      <c r="AK27" s="154" t="n">
        <f aca="false">N27+O27+P27+Q27+R27+S27+T27+U27+X27+AE27+AH27</f>
        <v>105.47</v>
      </c>
      <c r="AL27" s="155" t="n">
        <f aca="false">IF(L27&lt;0,L27*-1,0)</f>
        <v>0</v>
      </c>
      <c r="AM27" s="155" t="n">
        <f aca="false">AK27+AL27</f>
        <v>105.47</v>
      </c>
      <c r="AN27" s="284" t="n">
        <f aca="false">V27</f>
        <v>51.8</v>
      </c>
      <c r="AO27" s="156"/>
      <c r="AP27" s="155"/>
      <c r="AQ27" s="123"/>
      <c r="AR27" s="123"/>
      <c r="AS27" s="248"/>
      <c r="AU27" s="58"/>
      <c r="AV27" s="249" t="n">
        <v>0</v>
      </c>
      <c r="AW27" s="241" t="n">
        <v>57</v>
      </c>
      <c r="AX27" s="241" t="n">
        <v>24</v>
      </c>
      <c r="AY27" s="283"/>
      <c r="AZ27" s="282" t="n">
        <f aca="false">SUM(N27,P27:U27)</f>
        <v>3.07</v>
      </c>
      <c r="BA27" s="208" t="n">
        <v>1.3</v>
      </c>
      <c r="BB27" s="283" t="n">
        <v>19550</v>
      </c>
    </row>
    <row r="28" customFormat="false" ht="12.95" hidden="false" customHeight="true" outlineLevel="0" collapsed="false">
      <c r="A28" s="207" t="n">
        <f aca="false">A27+1</f>
        <v>14</v>
      </c>
      <c r="B28" s="122" t="n">
        <v>6892.09</v>
      </c>
      <c r="C28" s="123" t="n">
        <v>255315</v>
      </c>
      <c r="D28" s="241" t="n">
        <f aca="false">C28-C27</f>
        <v>208</v>
      </c>
      <c r="E28" s="123" t="n">
        <f aca="false">C28-152000</f>
        <v>103315</v>
      </c>
      <c r="F28" s="277" t="n">
        <f aca="false">D28/$D$2</f>
        <v>104.865137383413</v>
      </c>
      <c r="G28" s="155" t="n">
        <v>200</v>
      </c>
      <c r="H28" s="372" t="n">
        <v>8.81</v>
      </c>
      <c r="I28" s="155" t="n">
        <f aca="false">G28+H28</f>
        <v>208.81</v>
      </c>
      <c r="J28" s="156" t="n">
        <f aca="false">IF(L28&gt;0,L28,0)</f>
        <v>1.92513738341316</v>
      </c>
      <c r="K28" s="155" t="n">
        <f aca="false">I28+J28</f>
        <v>210.735137383413</v>
      </c>
      <c r="L28" s="155" t="n">
        <f aca="false">F28-(I28-AK28)</f>
        <v>1.92513738341316</v>
      </c>
      <c r="M28" s="279" t="n">
        <v>3.07</v>
      </c>
      <c r="N28" s="155" t="n">
        <v>0</v>
      </c>
      <c r="O28" s="155" t="n">
        <f aca="false">0*1.05</f>
        <v>0</v>
      </c>
      <c r="P28" s="186" t="n">
        <v>0</v>
      </c>
      <c r="Q28" s="373" t="n">
        <f aca="false">1053300/325851/1.9835*1.02</f>
        <v>1.66226780311796</v>
      </c>
      <c r="R28" s="151" t="n">
        <f aca="false">IF(((2*1.04)-T28)&gt;=4.2,4.2,(2*1.04)-T28)</f>
        <v>1.48404256</v>
      </c>
      <c r="S28" s="151" t="n">
        <f aca="false">IF(((2*1.04)-T28)&gt;=4.2,((2*1.04)-T28)-4.2,0)</f>
        <v>0</v>
      </c>
      <c r="T28" s="151" t="n">
        <f aca="false">(0.5406*1.06)*1.04</f>
        <v>0.59595744</v>
      </c>
      <c r="U28" s="111" t="n">
        <f aca="false">M28-(Q28+R28+S28+T28)</f>
        <v>-0.672267803117955</v>
      </c>
      <c r="V28" s="155" t="n">
        <v>52.2</v>
      </c>
      <c r="W28" s="155" t="n">
        <v>0</v>
      </c>
      <c r="X28" s="155" t="n">
        <f aca="false">M28-N28-O28-P28-Q28-R28-S28-T28-U28+V28+W28</f>
        <v>52.2</v>
      </c>
      <c r="Y28" s="155" t="n">
        <f aca="false">X28-AO28</f>
        <v>52.2</v>
      </c>
      <c r="Z28" s="155"/>
      <c r="AA28" s="155"/>
      <c r="AB28" s="123"/>
      <c r="AC28" s="156"/>
      <c r="AD28" s="123"/>
      <c r="AE28" s="155" t="n">
        <v>0</v>
      </c>
      <c r="AF28" s="279"/>
      <c r="AG28" s="281"/>
      <c r="AH28" s="155" t="n">
        <v>50.6</v>
      </c>
      <c r="AI28" s="123" t="n">
        <f aca="false">AI27-AH28</f>
        <v>899.357877489281</v>
      </c>
      <c r="AJ28" s="156"/>
      <c r="AK28" s="154" t="n">
        <f aca="false">N28+O28+P28+Q28+R28+S28+T28+U28+X28+AE28+AH28</f>
        <v>105.87</v>
      </c>
      <c r="AL28" s="155" t="n">
        <f aca="false">IF(L28&lt;0,L28*-1,0)</f>
        <v>0</v>
      </c>
      <c r="AM28" s="155" t="n">
        <f aca="false">AK28+AL28</f>
        <v>105.87</v>
      </c>
      <c r="AN28" s="284" t="n">
        <f aca="false">V28</f>
        <v>52.2</v>
      </c>
      <c r="AO28" s="156"/>
      <c r="AP28" s="155"/>
      <c r="AQ28" s="123"/>
      <c r="AR28" s="123"/>
      <c r="AS28" s="248"/>
      <c r="AU28" s="58"/>
      <c r="AV28" s="249" t="n">
        <v>0</v>
      </c>
      <c r="AW28" s="248" t="n">
        <v>60</v>
      </c>
      <c r="AX28" s="241" t="n">
        <v>28</v>
      </c>
      <c r="AY28" s="283"/>
      <c r="AZ28" s="282" t="n">
        <f aca="false">SUM(N28,P28:U28)</f>
        <v>3.07</v>
      </c>
      <c r="BA28" s="208" t="n">
        <v>1.13</v>
      </c>
      <c r="BB28" s="283" t="n">
        <v>19575</v>
      </c>
    </row>
    <row r="29" customFormat="false" ht="12.95" hidden="false" customHeight="true" outlineLevel="0" collapsed="false">
      <c r="A29" s="207" t="n">
        <f aca="false">A28+1</f>
        <v>15</v>
      </c>
      <c r="B29" s="122" t="n">
        <v>6892.16</v>
      </c>
      <c r="C29" s="123" t="n">
        <v>255557</v>
      </c>
      <c r="D29" s="241" t="n">
        <f aca="false">C29-C28</f>
        <v>242</v>
      </c>
      <c r="E29" s="123" t="n">
        <f aca="false">C29-152000</f>
        <v>103557</v>
      </c>
      <c r="F29" s="277" t="n">
        <f aca="false">D29/$D$2</f>
        <v>122.006554071086</v>
      </c>
      <c r="G29" s="155" t="n">
        <v>208</v>
      </c>
      <c r="H29" s="372" t="n">
        <v>9.49</v>
      </c>
      <c r="I29" s="155" t="n">
        <f aca="false">G29+H29</f>
        <v>217.49</v>
      </c>
      <c r="J29" s="156" t="n">
        <f aca="false">IF(L29&gt;0,L29,0)</f>
        <v>0</v>
      </c>
      <c r="K29" s="155" t="n">
        <f aca="false">I29+J29</f>
        <v>217.49</v>
      </c>
      <c r="L29" s="155" t="n">
        <f aca="false">F29-(I29-AK29)</f>
        <v>-5.81344592891355</v>
      </c>
      <c r="M29" s="279" t="n">
        <v>3.07</v>
      </c>
      <c r="N29" s="155" t="n">
        <v>0</v>
      </c>
      <c r="O29" s="155" t="n">
        <f aca="false">0*1.05</f>
        <v>0</v>
      </c>
      <c r="P29" s="186" t="n">
        <v>0</v>
      </c>
      <c r="Q29" s="373" t="n">
        <f aca="false">1055700/325851/1.9835*1.02</f>
        <v>1.66605536860498</v>
      </c>
      <c r="R29" s="151" t="n">
        <f aca="false">IF(((1.9*1.04)-T29)&gt;=4.2,4.2,(1.9*1.04)-T29)</f>
        <v>1.38004256</v>
      </c>
      <c r="S29" s="151" t="n">
        <f aca="false">IF(((1.9*1.04)-T29)&gt;=4.2,((1.9*1.04)-T29)-4.2,0)</f>
        <v>0</v>
      </c>
      <c r="T29" s="151" t="n">
        <f aca="false">(0.5406*1.06)*1.04</f>
        <v>0.59595744</v>
      </c>
      <c r="U29" s="111" t="n">
        <f aca="false">M29-(Q29+R29+S29+T29)</f>
        <v>-0.57205536860498</v>
      </c>
      <c r="V29" s="155" t="n">
        <v>36.2</v>
      </c>
      <c r="W29" s="155" t="n">
        <v>0</v>
      </c>
      <c r="X29" s="155" t="n">
        <f aca="false">M29-N29-O29-P29-Q29-R29-S29-T29-U29+V29+W29</f>
        <v>36.2</v>
      </c>
      <c r="Y29" s="155" t="n">
        <f aca="false">X29-AO29</f>
        <v>36.2</v>
      </c>
      <c r="Z29" s="155"/>
      <c r="AA29" s="155"/>
      <c r="AB29" s="123"/>
      <c r="AC29" s="156"/>
      <c r="AD29" s="123"/>
      <c r="AE29" s="155" t="n">
        <v>0</v>
      </c>
      <c r="AF29" s="279"/>
      <c r="AG29" s="281"/>
      <c r="AH29" s="155" t="n">
        <v>50.4</v>
      </c>
      <c r="AI29" s="123" t="n">
        <f aca="false">AI28-AH29</f>
        <v>848.957877489281</v>
      </c>
      <c r="AJ29" s="156"/>
      <c r="AK29" s="154" t="n">
        <f aca="false">N29+O29+P29+Q29+R29+S29+T29+U29+X29+AE29+AH29</f>
        <v>89.67</v>
      </c>
      <c r="AL29" s="155" t="n">
        <f aca="false">IF(L29&lt;0,L29*-1,0)</f>
        <v>5.81344592891355</v>
      </c>
      <c r="AM29" s="155" t="n">
        <f aca="false">AK29+AL29</f>
        <v>95.4834459289136</v>
      </c>
      <c r="AN29" s="284" t="n">
        <f aca="false">V29</f>
        <v>36.2</v>
      </c>
      <c r="AO29" s="156"/>
      <c r="AP29" s="155"/>
      <c r="AQ29" s="123"/>
      <c r="AR29" s="123"/>
      <c r="AS29" s="248"/>
      <c r="AU29" s="58"/>
      <c r="AV29" s="249" t="n">
        <v>0</v>
      </c>
      <c r="AW29" s="248" t="n">
        <v>51</v>
      </c>
      <c r="AX29" s="241" t="n">
        <v>27</v>
      </c>
      <c r="AY29" s="283"/>
      <c r="AZ29" s="282" t="n">
        <f aca="false">SUM(N29,P29:U29)</f>
        <v>3.07</v>
      </c>
      <c r="BA29" s="208" t="n">
        <v>0.859</v>
      </c>
      <c r="BB29" s="283" t="n">
        <v>19607</v>
      </c>
    </row>
    <row r="30" customFormat="false" ht="12.95" hidden="false" customHeight="true" outlineLevel="0" collapsed="false">
      <c r="A30" s="207" t="n">
        <f aca="false">A29+1</f>
        <v>16</v>
      </c>
      <c r="B30" s="122" t="n">
        <v>6892.22</v>
      </c>
      <c r="C30" s="123" t="n">
        <v>255765</v>
      </c>
      <c r="D30" s="241" t="n">
        <f aca="false">C30-C29</f>
        <v>208</v>
      </c>
      <c r="E30" s="123" t="n">
        <f aca="false">C30-152000</f>
        <v>103765</v>
      </c>
      <c r="F30" s="277" t="n">
        <f aca="false">D30/$D$2</f>
        <v>104.865137383413</v>
      </c>
      <c r="G30" s="155" t="n">
        <v>199</v>
      </c>
      <c r="H30" s="372" t="n">
        <v>8.23</v>
      </c>
      <c r="I30" s="155" t="n">
        <f aca="false">G30+H30</f>
        <v>207.23</v>
      </c>
      <c r="J30" s="156" t="n">
        <f aca="false">IF(L30&gt;0,L30,0)</f>
        <v>0</v>
      </c>
      <c r="K30" s="155" t="n">
        <f aca="false">I30+J30</f>
        <v>207.23</v>
      </c>
      <c r="L30" s="155" t="n">
        <f aca="false">F30-(I30-AK30)</f>
        <v>-24.1948626165868</v>
      </c>
      <c r="M30" s="279" t="n">
        <v>3.07</v>
      </c>
      <c r="N30" s="155" t="n">
        <v>0</v>
      </c>
      <c r="O30" s="155" t="n">
        <f aca="false">0*1.05</f>
        <v>0</v>
      </c>
      <c r="P30" s="186" t="n">
        <v>0</v>
      </c>
      <c r="Q30" s="373" t="n">
        <f aca="false">1042300/325851/1.9835*1.02</f>
        <v>1.64490812796909</v>
      </c>
      <c r="R30" s="151" t="n">
        <f aca="false">IF(((2*1.04)-T30)&gt;=4.2,4.2,(2*1.04)-T30)</f>
        <v>1.48404256</v>
      </c>
      <c r="S30" s="151" t="n">
        <f aca="false">IF(((2*1.04)-T30)&gt;=4.2,((2*1.04)-T30)-4.2,0)</f>
        <v>0</v>
      </c>
      <c r="T30" s="151" t="n">
        <f aca="false">(0.5406*1.06)*1.04</f>
        <v>0.59595744</v>
      </c>
      <c r="U30" s="111" t="n">
        <f aca="false">M30-(Q30+R30+S30+T30)</f>
        <v>-0.654908127969093</v>
      </c>
      <c r="V30" s="155" t="n">
        <v>25.1</v>
      </c>
      <c r="W30" s="155" t="n">
        <v>0</v>
      </c>
      <c r="X30" s="155" t="n">
        <f aca="false">M30-N30-O30-P30-Q30-R30-S30-T30-U30+V30+W30</f>
        <v>25.1</v>
      </c>
      <c r="Y30" s="155" t="n">
        <f aca="false">X30-AO30</f>
        <v>25.1</v>
      </c>
      <c r="Z30" s="155"/>
      <c r="AA30" s="155"/>
      <c r="AB30" s="123"/>
      <c r="AC30" s="156"/>
      <c r="AD30" s="123"/>
      <c r="AE30" s="155" t="n">
        <v>0</v>
      </c>
      <c r="AF30" s="279"/>
      <c r="AG30" s="281"/>
      <c r="AH30" s="155" t="n">
        <v>50</v>
      </c>
      <c r="AI30" s="123" t="n">
        <f aca="false">AI29-AH30</f>
        <v>798.957877489281</v>
      </c>
      <c r="AJ30" s="156"/>
      <c r="AK30" s="154" t="n">
        <f aca="false">N30+O30+P30+Q30+R30+S30+T30+U30+X30+AE30+AH30</f>
        <v>78.17</v>
      </c>
      <c r="AL30" s="155" t="n">
        <f aca="false">IF(L30&lt;0,L30*-1,0)</f>
        <v>24.1948626165868</v>
      </c>
      <c r="AM30" s="155" t="n">
        <f aca="false">AK30+AL30</f>
        <v>102.364862616587</v>
      </c>
      <c r="AN30" s="284" t="n">
        <f aca="false">V30</f>
        <v>25.1</v>
      </c>
      <c r="AO30" s="156"/>
      <c r="AP30" s="155"/>
      <c r="AQ30" s="116"/>
      <c r="AR30" s="116"/>
      <c r="AS30" s="248"/>
      <c r="AU30" s="58"/>
      <c r="AV30" s="249" t="n">
        <v>0</v>
      </c>
      <c r="AW30" s="248" t="n">
        <v>54</v>
      </c>
      <c r="AX30" s="241" t="n">
        <v>26</v>
      </c>
      <c r="AY30" s="283"/>
      <c r="AZ30" s="282" t="n">
        <f aca="false">SUM(N30,P30:U30)</f>
        <v>3.07</v>
      </c>
      <c r="BA30" s="208" t="n">
        <v>0.859</v>
      </c>
      <c r="BB30" s="283" t="n">
        <v>19645</v>
      </c>
    </row>
    <row r="31" customFormat="false" ht="12.95" hidden="false" customHeight="true" outlineLevel="0" collapsed="false">
      <c r="A31" s="207" t="n">
        <v>17</v>
      </c>
      <c r="B31" s="122" t="n">
        <v>6892.35</v>
      </c>
      <c r="C31" s="123" t="n">
        <v>256216</v>
      </c>
      <c r="D31" s="241" t="n">
        <f aca="false">C31-C30</f>
        <v>451</v>
      </c>
      <c r="E31" s="123" t="n">
        <f aca="false">C31-152000</f>
        <v>104216</v>
      </c>
      <c r="F31" s="277" t="n">
        <f aca="false">D31/$D$2</f>
        <v>227.375850768843</v>
      </c>
      <c r="G31" s="155" t="n">
        <v>188</v>
      </c>
      <c r="H31" s="372" t="n">
        <v>6.92</v>
      </c>
      <c r="I31" s="155" t="n">
        <f aca="false">G31+H31</f>
        <v>194.92</v>
      </c>
      <c r="J31" s="156" t="n">
        <f aca="false">IF(L31&gt;0,L31,0)</f>
        <v>105.225850768843</v>
      </c>
      <c r="K31" s="155" t="n">
        <f aca="false">I31+J31</f>
        <v>300.145850768843</v>
      </c>
      <c r="L31" s="155" t="n">
        <f aca="false">F31-(I31-AK31)</f>
        <v>105.225850768843</v>
      </c>
      <c r="M31" s="279" t="n">
        <v>3.07</v>
      </c>
      <c r="N31" s="155" t="n">
        <v>0</v>
      </c>
      <c r="O31" s="155" t="n">
        <f aca="false">0*1.05</f>
        <v>0</v>
      </c>
      <c r="P31" s="186" t="n">
        <v>0</v>
      </c>
      <c r="Q31" s="373" t="n">
        <f aca="false">1062600/325851/1.9835*1.02</f>
        <v>1.67694461938018</v>
      </c>
      <c r="R31" s="151" t="n">
        <f aca="false">IF(((2*1.04)-T31)&gt;=4.2,4.2,(2*1.04)-T31)</f>
        <v>1.48404256</v>
      </c>
      <c r="S31" s="151" t="n">
        <f aca="false">IF(((2*1.04)-T31)&gt;=4.2,((2*1.04)-T31)-4.2,0)</f>
        <v>0</v>
      </c>
      <c r="T31" s="151" t="n">
        <f aca="false">(0.5406*1.06)*1.04</f>
        <v>0.59595744</v>
      </c>
      <c r="U31" s="111" t="n">
        <f aca="false">M31-(Q31+R31+S31+T31)</f>
        <v>-0.686944619380176</v>
      </c>
      <c r="V31" s="155" t="n">
        <v>18.3</v>
      </c>
      <c r="W31" s="155" t="n">
        <v>0</v>
      </c>
      <c r="X31" s="155" t="n">
        <f aca="false">M31-N31-O31-P31-Q31-R31-S31-T31-U31+V31+W31</f>
        <v>18.3</v>
      </c>
      <c r="Y31" s="155" t="n">
        <f aca="false">X31-AO31</f>
        <v>18.3</v>
      </c>
      <c r="Z31" s="155"/>
      <c r="AA31" s="155"/>
      <c r="AB31" s="123"/>
      <c r="AC31" s="156"/>
      <c r="AD31" s="123"/>
      <c r="AE31" s="155" t="n">
        <v>0</v>
      </c>
      <c r="AF31" s="279"/>
      <c r="AG31" s="281"/>
      <c r="AH31" s="155" t="n">
        <v>51.4</v>
      </c>
      <c r="AI31" s="123" t="n">
        <f aca="false">AI30-AH31</f>
        <v>747.557877489281</v>
      </c>
      <c r="AJ31" s="156"/>
      <c r="AK31" s="154" t="n">
        <f aca="false">N31+O31+P31+Q31+R31+S31+T31+U31+X31+AE31+AH31</f>
        <v>72.77</v>
      </c>
      <c r="AL31" s="155" t="n">
        <f aca="false">IF(L31&lt;0,L31*-1,0)</f>
        <v>0</v>
      </c>
      <c r="AM31" s="155" t="n">
        <f aca="false">AK31+AL31</f>
        <v>72.77</v>
      </c>
      <c r="AN31" s="284" t="n">
        <f aca="false">V31</f>
        <v>18.3</v>
      </c>
      <c r="AO31" s="156"/>
      <c r="AP31" s="155"/>
      <c r="AQ31" s="123"/>
      <c r="AR31" s="123"/>
      <c r="AS31" s="248"/>
      <c r="AU31" s="58"/>
      <c r="AV31" s="249" t="n">
        <v>0</v>
      </c>
      <c r="AW31" s="248" t="n">
        <v>60</v>
      </c>
      <c r="AX31" s="241" t="n">
        <v>26</v>
      </c>
      <c r="AY31" s="283"/>
      <c r="AZ31" s="282" t="n">
        <f aca="false">SUM(N31,P31:U31)</f>
        <v>3.07</v>
      </c>
      <c r="BA31" s="208" t="n">
        <v>0.975</v>
      </c>
      <c r="BB31" s="283" t="n">
        <v>19647</v>
      </c>
    </row>
    <row r="32" customFormat="false" ht="12.95" hidden="false" customHeight="true" outlineLevel="0" collapsed="false">
      <c r="A32" s="207" t="n">
        <f aca="false">A31+1</f>
        <v>18</v>
      </c>
      <c r="B32" s="122" t="n">
        <v>6892.52</v>
      </c>
      <c r="C32" s="123" t="n">
        <v>256805</v>
      </c>
      <c r="D32" s="241" t="n">
        <f aca="false">C32-C31</f>
        <v>589</v>
      </c>
      <c r="E32" s="123" t="n">
        <f aca="false">C32-152000</f>
        <v>104805</v>
      </c>
      <c r="F32" s="277" t="n">
        <f aca="false">D32/$D$2</f>
        <v>296.949836148223</v>
      </c>
      <c r="G32" s="155" t="n">
        <v>210</v>
      </c>
      <c r="H32" s="372" t="n">
        <v>6.79</v>
      </c>
      <c r="I32" s="155" t="n">
        <f aca="false">G32+H32</f>
        <v>216.79</v>
      </c>
      <c r="J32" s="156" t="n">
        <f aca="false">IF(L32&gt;0,L32,0)</f>
        <v>136.259836148223</v>
      </c>
      <c r="K32" s="155" t="n">
        <f aca="false">I32+J32</f>
        <v>353.049836148223</v>
      </c>
      <c r="L32" s="155" t="n">
        <f aca="false">F32-(I32-AK32)</f>
        <v>136.259836148223</v>
      </c>
      <c r="M32" s="279" t="n">
        <v>3.8</v>
      </c>
      <c r="N32" s="155" t="n">
        <v>0</v>
      </c>
      <c r="O32" s="155" t="n">
        <f aca="false">0*1.05</f>
        <v>0</v>
      </c>
      <c r="P32" s="186" t="n">
        <v>0</v>
      </c>
      <c r="Q32" s="373" t="n">
        <f aca="false">944100/325851/1.9835*1.02</f>
        <v>1.48993357345833</v>
      </c>
      <c r="R32" s="151" t="n">
        <f aca="false">IF(((2*1.04)-T32)&gt;=4.2,4.2,(2*1.04)-T32)</f>
        <v>1.50421648</v>
      </c>
      <c r="S32" s="151" t="n">
        <f aca="false">IF(((2*1.04)-T32)&gt;=4.2,((2*1.04)-T32)-4.2,0)</f>
        <v>0</v>
      </c>
      <c r="T32" s="151" t="n">
        <f aca="false">(0.5223*1.06)*1.04</f>
        <v>0.57578352</v>
      </c>
      <c r="U32" s="111" t="n">
        <f aca="false">M32-(Q32+R32+S32+T32)</f>
        <v>0.230066426541668</v>
      </c>
      <c r="V32" s="155" t="n">
        <v>0</v>
      </c>
      <c r="W32" s="155" t="n">
        <v>0</v>
      </c>
      <c r="X32" s="155" t="n">
        <f aca="false">M32-N32-O32-P32-Q32-R32-S32-T32-U32+V32+W32</f>
        <v>0</v>
      </c>
      <c r="Y32" s="155" t="n">
        <f aca="false">X32-AO32</f>
        <v>0</v>
      </c>
      <c r="Z32" s="155"/>
      <c r="AA32" s="155"/>
      <c r="AB32" s="123"/>
      <c r="AC32" s="156"/>
      <c r="AD32" s="123"/>
      <c r="AE32" s="155" t="n">
        <v>0</v>
      </c>
      <c r="AF32" s="279"/>
      <c r="AG32" s="281"/>
      <c r="AH32" s="155" t="n">
        <v>52.3</v>
      </c>
      <c r="AI32" s="123" t="n">
        <f aca="false">AI31-AH32</f>
        <v>695.257877489282</v>
      </c>
      <c r="AJ32" s="156"/>
      <c r="AK32" s="154" t="n">
        <f aca="false">N32+O32+P32+Q32+R32+S32+T32+U32+X32+AE32+AH32</f>
        <v>56.1</v>
      </c>
      <c r="AL32" s="155" t="n">
        <f aca="false">IF(L32&lt;0,L32*-1,0)</f>
        <v>0</v>
      </c>
      <c r="AM32" s="155" t="n">
        <f aca="false">AK32+AL32</f>
        <v>56.1</v>
      </c>
      <c r="AN32" s="284" t="n">
        <f aca="false">V32</f>
        <v>0</v>
      </c>
      <c r="AO32" s="156"/>
      <c r="AP32" s="155"/>
      <c r="AQ32" s="123"/>
      <c r="AR32" s="123"/>
      <c r="AS32" s="248"/>
      <c r="AU32" s="58"/>
      <c r="AV32" s="249" t="n">
        <v>0</v>
      </c>
      <c r="AW32" s="248" t="n">
        <v>60</v>
      </c>
      <c r="AX32" s="241" t="n">
        <v>28</v>
      </c>
      <c r="AY32" s="283"/>
      <c r="AZ32" s="282" t="n">
        <f aca="false">SUM(N32,P32:U32)</f>
        <v>3.8</v>
      </c>
      <c r="BA32" s="208" t="n">
        <v>0.934</v>
      </c>
      <c r="BB32" s="283" t="n">
        <v>19690</v>
      </c>
    </row>
    <row r="33" customFormat="false" ht="12.95" hidden="false" customHeight="true" outlineLevel="0" collapsed="false">
      <c r="A33" s="207" t="n">
        <f aca="false">A32+1</f>
        <v>19</v>
      </c>
      <c r="B33" s="122" t="n">
        <v>6892.67</v>
      </c>
      <c r="C33" s="343" t="n">
        <v>257325</v>
      </c>
      <c r="D33" s="241" t="n">
        <f aca="false">C33-C32</f>
        <v>520</v>
      </c>
      <c r="E33" s="123" t="n">
        <f aca="false">C33-152000</f>
        <v>105325</v>
      </c>
      <c r="F33" s="277" t="n">
        <f aca="false">D33/$D$2</f>
        <v>262.162843458533</v>
      </c>
      <c r="G33" s="155" t="n">
        <v>222</v>
      </c>
      <c r="H33" s="372" t="n">
        <v>7.07</v>
      </c>
      <c r="I33" s="155" t="n">
        <f aca="false">G33+H33</f>
        <v>229.07</v>
      </c>
      <c r="J33" s="156" t="n">
        <f aca="false">IF(L33&gt;0,L33,0)</f>
        <v>88.6028434585329</v>
      </c>
      <c r="K33" s="155" t="n">
        <f aca="false">I33+J33</f>
        <v>317.672843458533</v>
      </c>
      <c r="L33" s="155" t="n">
        <f aca="false">F33-(I33-AK33)</f>
        <v>88.6028434585329</v>
      </c>
      <c r="M33" s="279" t="n">
        <v>3.11</v>
      </c>
      <c r="N33" s="155" t="n">
        <v>0</v>
      </c>
      <c r="O33" s="155" t="n">
        <f aca="false">0*1.05</f>
        <v>0</v>
      </c>
      <c r="P33" s="186" t="n">
        <v>0</v>
      </c>
      <c r="Q33" s="373" t="n">
        <f aca="false">1097800/325851/1.9835*1.02</f>
        <v>1.73249557985654</v>
      </c>
      <c r="R33" s="151" t="n">
        <f aca="false">IF(((1.9*1.04)-T33)&gt;=4.2,4.2,(1.9*1.04)-T33)</f>
        <v>1.40021648</v>
      </c>
      <c r="S33" s="151" t="n">
        <f aca="false">IF(((1.9*1.04)-T33)&gt;=4.2,((1.9*1.04)-T33)-4.2,0)</f>
        <v>0</v>
      </c>
      <c r="T33" s="151" t="n">
        <f aca="false">(0.5223*1.06)*1.04</f>
        <v>0.57578352</v>
      </c>
      <c r="U33" s="111" t="n">
        <f aca="false">M33-(Q33+R33+S33+T33)</f>
        <v>-0.598495579856538</v>
      </c>
      <c r="V33" s="155" t="n">
        <v>0</v>
      </c>
      <c r="W33" s="155" t="n">
        <v>0</v>
      </c>
      <c r="X33" s="155" t="n">
        <f aca="false">M33-N33-O33-P33-Q33-R33-S33-T33-U33+V33+W33</f>
        <v>0</v>
      </c>
      <c r="Y33" s="155" t="n">
        <f aca="false">X33-AO33</f>
        <v>0</v>
      </c>
      <c r="Z33" s="155"/>
      <c r="AA33" s="155"/>
      <c r="AB33" s="123"/>
      <c r="AC33" s="156"/>
      <c r="AD33" s="123"/>
      <c r="AE33" s="155" t="n">
        <v>0</v>
      </c>
      <c r="AF33" s="279"/>
      <c r="AG33" s="281"/>
      <c r="AH33" s="155" t="n">
        <v>52.4</v>
      </c>
      <c r="AI33" s="123" t="n">
        <f aca="false">AI32-AH33</f>
        <v>642.857877489282</v>
      </c>
      <c r="AJ33" s="156"/>
      <c r="AK33" s="154" t="n">
        <f aca="false">N33+O33+P33+Q33+R33+S33+T33+U33+X33+AE33+AH33</f>
        <v>55.51</v>
      </c>
      <c r="AL33" s="155" t="n">
        <f aca="false">IF(L33&lt;0,L33*-1,0)</f>
        <v>0</v>
      </c>
      <c r="AM33" s="155" t="n">
        <f aca="false">AK33+AL33</f>
        <v>55.51</v>
      </c>
      <c r="AN33" s="284" t="n">
        <f aca="false">V33</f>
        <v>0</v>
      </c>
      <c r="AO33" s="156"/>
      <c r="AP33" s="155"/>
      <c r="AQ33" s="123"/>
      <c r="AR33" s="123"/>
      <c r="AS33" s="248"/>
      <c r="AU33" s="58"/>
      <c r="AV33" s="249" t="n">
        <v>0</v>
      </c>
      <c r="AW33" s="248" t="n">
        <v>60</v>
      </c>
      <c r="AX33" s="241" t="n">
        <v>27</v>
      </c>
      <c r="AY33" s="283"/>
      <c r="AZ33" s="282" t="n">
        <f aca="false">SUM(N33,P33:U33)</f>
        <v>3.11</v>
      </c>
      <c r="BA33" s="208" t="n">
        <v>0.984</v>
      </c>
      <c r="BB33" s="283" t="n">
        <v>19767</v>
      </c>
    </row>
    <row r="34" customFormat="false" ht="12.95" hidden="false" customHeight="true" outlineLevel="0" collapsed="false">
      <c r="A34" s="207" t="n">
        <f aca="false">A33+1</f>
        <v>20</v>
      </c>
      <c r="B34" s="122" t="n">
        <v>6892.84</v>
      </c>
      <c r="C34" s="123" t="n">
        <v>257914</v>
      </c>
      <c r="D34" s="241" t="n">
        <f aca="false">C34-C33</f>
        <v>589</v>
      </c>
      <c r="E34" s="123" t="n">
        <f aca="false">C34-152000</f>
        <v>105914</v>
      </c>
      <c r="F34" s="277" t="n">
        <f aca="false">D34/$D$2</f>
        <v>296.949836148223</v>
      </c>
      <c r="G34" s="155" t="n">
        <v>233</v>
      </c>
      <c r="H34" s="372" t="n">
        <v>6.82</v>
      </c>
      <c r="I34" s="155" t="n">
        <f aca="false">G34+H34</f>
        <v>239.82</v>
      </c>
      <c r="J34" s="156" t="n">
        <f aca="false">IF(L34&gt;0,L34,0)</f>
        <v>112.619836148223</v>
      </c>
      <c r="K34" s="155" t="n">
        <f aca="false">I34+J34</f>
        <v>352.439836148223</v>
      </c>
      <c r="L34" s="155" t="n">
        <f aca="false">F34-(I34-AK34)</f>
        <v>112.619836148223</v>
      </c>
      <c r="M34" s="279" t="n">
        <v>3.09</v>
      </c>
      <c r="N34" s="155" t="n">
        <v>0</v>
      </c>
      <c r="O34" s="155" t="n">
        <f aca="false">0*1.05</f>
        <v>0</v>
      </c>
      <c r="P34" s="186" t="n">
        <v>0</v>
      </c>
      <c r="Q34" s="373" t="n">
        <f aca="false">1229100/325851/1.9835*1.02</f>
        <v>1.93970697504251</v>
      </c>
      <c r="R34" s="151" t="n">
        <f aca="false">IF(((1.9*1.04)-T34)&gt;=4.2,4.2,(1.9*1.04)-T34)</f>
        <v>1.40021648</v>
      </c>
      <c r="S34" s="151" t="n">
        <f aca="false">IF(((1.9*1.04)-T34)&gt;=4.2,((1.9*1.04)-T34)-4.2,0)</f>
        <v>0</v>
      </c>
      <c r="T34" s="151" t="n">
        <f aca="false">(0.5223*1.06)*1.04</f>
        <v>0.57578352</v>
      </c>
      <c r="U34" s="111" t="n">
        <f aca="false">M34-(Q34+R34+S34+T34)</f>
        <v>-0.825706975042513</v>
      </c>
      <c r="V34" s="155" t="n">
        <v>0</v>
      </c>
      <c r="W34" s="155" t="n">
        <v>0</v>
      </c>
      <c r="X34" s="155" t="n">
        <f aca="false">M34-N34-O34-P34-Q34-R34-S34-T34-U34+V34+W34</f>
        <v>0</v>
      </c>
      <c r="Y34" s="155" t="n">
        <f aca="false">X34-AO34</f>
        <v>0</v>
      </c>
      <c r="Z34" s="155"/>
      <c r="AA34" s="155"/>
      <c r="AB34" s="123"/>
      <c r="AC34" s="156"/>
      <c r="AD34" s="123"/>
      <c r="AE34" s="155" t="n">
        <v>0</v>
      </c>
      <c r="AF34" s="279"/>
      <c r="AG34" s="281"/>
      <c r="AH34" s="155" t="n">
        <v>52.4</v>
      </c>
      <c r="AI34" s="123" t="n">
        <f aca="false">AI33-AH34</f>
        <v>590.457877489282</v>
      </c>
      <c r="AJ34" s="156"/>
      <c r="AK34" s="154" t="n">
        <f aca="false">N34+O34+P34+Q34+R34+S34+T34+U34+X34+AE34+AH34</f>
        <v>55.49</v>
      </c>
      <c r="AL34" s="155" t="n">
        <f aca="false">IF(L34&lt;0,L34*-1,0)</f>
        <v>0</v>
      </c>
      <c r="AM34" s="155" t="n">
        <f aca="false">AK34+AL34</f>
        <v>55.49</v>
      </c>
      <c r="AN34" s="284" t="n">
        <f aca="false">V34</f>
        <v>0</v>
      </c>
      <c r="AO34" s="156"/>
      <c r="AP34" s="155"/>
      <c r="AQ34" s="123"/>
      <c r="AR34" s="123"/>
      <c r="AS34" s="248"/>
      <c r="AU34" s="58"/>
      <c r="AV34" s="249" t="n">
        <v>0</v>
      </c>
      <c r="AW34" s="248" t="n">
        <v>65</v>
      </c>
      <c r="AX34" s="241" t="n">
        <v>27</v>
      </c>
      <c r="AY34" s="283"/>
      <c r="AZ34" s="282" t="n">
        <f aca="false">SUM(N34,P34:U34)</f>
        <v>3.09</v>
      </c>
      <c r="BA34" s="208" t="n">
        <v>1.08</v>
      </c>
      <c r="BB34" s="283" t="n">
        <v>19797</v>
      </c>
    </row>
    <row r="35" customFormat="false" ht="12.95" hidden="false" customHeight="true" outlineLevel="0" collapsed="false">
      <c r="A35" s="207" t="n">
        <f aca="false">A34+1</f>
        <v>21</v>
      </c>
      <c r="B35" s="122" t="n">
        <v>6893.05</v>
      </c>
      <c r="C35" s="123" t="n">
        <v>258644</v>
      </c>
      <c r="D35" s="241" t="n">
        <f aca="false">C35-C34</f>
        <v>730</v>
      </c>
      <c r="E35" s="123" t="n">
        <f aca="false">C35-152000</f>
        <v>106644</v>
      </c>
      <c r="F35" s="277" t="n">
        <f aca="false">D35/$D$2</f>
        <v>368.036299470633</v>
      </c>
      <c r="G35" s="280" t="n">
        <v>274</v>
      </c>
      <c r="H35" s="372" t="n">
        <v>7.28</v>
      </c>
      <c r="I35" s="155" t="n">
        <f aca="false">G35+H35</f>
        <v>281.28</v>
      </c>
      <c r="J35" s="156" t="n">
        <f aca="false">IF(L35&gt;0,L35,0)</f>
        <v>183.526299470633</v>
      </c>
      <c r="K35" s="155" t="n">
        <f aca="false">I35+J35</f>
        <v>464.806299470633</v>
      </c>
      <c r="L35" s="155" t="n">
        <f aca="false">F35-(I35-AK35)</f>
        <v>183.526299470633</v>
      </c>
      <c r="M35" s="279" t="n">
        <v>4.07</v>
      </c>
      <c r="N35" s="155" t="n">
        <v>0</v>
      </c>
      <c r="O35" s="155" t="n">
        <f aca="false">0*1.05</f>
        <v>0</v>
      </c>
      <c r="P35" s="186" t="n">
        <v>0</v>
      </c>
      <c r="Q35" s="373" t="n">
        <f aca="false">1104000/325851/1.9835*1.02</f>
        <v>1.74228012403135</v>
      </c>
      <c r="R35" s="151" t="n">
        <f aca="false">IF(((2*1.04)-T35)&gt;=4.2,4.2,(2*1.04)-T35)</f>
        <v>1.50421648</v>
      </c>
      <c r="S35" s="151" t="n">
        <f aca="false">IF(((2*1.04)-T35)&gt;=4.2,((2*1.04)-T35)-4.2,0)</f>
        <v>0</v>
      </c>
      <c r="T35" s="151" t="n">
        <f aca="false">(0.5223*1.06)*1.04</f>
        <v>0.57578352</v>
      </c>
      <c r="U35" s="111" t="n">
        <f aca="false">M35-(Q35+R35+S35+T35)</f>
        <v>0.247719875968649</v>
      </c>
      <c r="V35" s="155" t="n">
        <v>40.3</v>
      </c>
      <c r="W35" s="155" t="n">
        <v>0</v>
      </c>
      <c r="X35" s="155" t="n">
        <f aca="false">M35-N35-O35-P35-Q35-R35-S35-T35-U35+V35+W35</f>
        <v>40.3</v>
      </c>
      <c r="Y35" s="155" t="n">
        <f aca="false">X35-AO35</f>
        <v>40.3</v>
      </c>
      <c r="Z35" s="155"/>
      <c r="AA35" s="155"/>
      <c r="AB35" s="123"/>
      <c r="AC35" s="156"/>
      <c r="AD35" s="123"/>
      <c r="AE35" s="155" t="n">
        <v>0</v>
      </c>
      <c r="AF35" s="279"/>
      <c r="AG35" s="281"/>
      <c r="AH35" s="155" t="n">
        <v>52.4</v>
      </c>
      <c r="AI35" s="123" t="n">
        <f aca="false">AI34-AH35</f>
        <v>538.057877489281</v>
      </c>
      <c r="AJ35" s="156"/>
      <c r="AK35" s="154" t="n">
        <f aca="false">N35+O35+P35+Q35+R35+S35+T35+U35+X35+AE35+AH35</f>
        <v>96.77</v>
      </c>
      <c r="AL35" s="155" t="n">
        <f aca="false">IF(L35&lt;0,L35*-1,0)</f>
        <v>0</v>
      </c>
      <c r="AM35" s="155" t="n">
        <f aca="false">AK35+AL35</f>
        <v>96.77</v>
      </c>
      <c r="AN35" s="284" t="n">
        <f aca="false">V35</f>
        <v>40.3</v>
      </c>
      <c r="AO35" s="156"/>
      <c r="AP35" s="155"/>
      <c r="AQ35" s="123"/>
      <c r="AR35" s="123"/>
      <c r="AS35" s="248"/>
      <c r="AU35" s="58"/>
      <c r="AV35" s="249" t="n">
        <v>0</v>
      </c>
      <c r="AW35" s="241" t="n">
        <v>69</v>
      </c>
      <c r="AX35" s="241" t="n">
        <v>34</v>
      </c>
      <c r="AY35" s="283"/>
      <c r="AZ35" s="282" t="n">
        <f aca="false">SUM(N35,P35:U35)</f>
        <v>4.07</v>
      </c>
      <c r="BA35" s="208" t="n">
        <v>1.14</v>
      </c>
      <c r="BB35" s="283" t="n">
        <v>19880</v>
      </c>
    </row>
    <row r="36" customFormat="false" ht="12.75" hidden="false" customHeight="true" outlineLevel="0" collapsed="false">
      <c r="A36" s="207" t="n">
        <f aca="false">A35+1</f>
        <v>22</v>
      </c>
      <c r="B36" s="122" t="n">
        <v>6893.33</v>
      </c>
      <c r="C36" s="123" t="n">
        <v>259623</v>
      </c>
      <c r="D36" s="241" t="n">
        <f aca="false">C36-C35</f>
        <v>979</v>
      </c>
      <c r="E36" s="123" t="n">
        <f aca="false">C36-152000</f>
        <v>107623</v>
      </c>
      <c r="F36" s="277" t="n">
        <f aca="false">D36/$D$2</f>
        <v>493.571968742123</v>
      </c>
      <c r="G36" s="155" t="n">
        <v>338</v>
      </c>
      <c r="H36" s="372" t="n">
        <v>9</v>
      </c>
      <c r="I36" s="155" t="n">
        <f aca="false">G36+H36</f>
        <v>347</v>
      </c>
      <c r="J36" s="156" t="n">
        <f aca="false">IF(L36&gt;0,L36,0)</f>
        <v>230.871968742123</v>
      </c>
      <c r="K36" s="155" t="n">
        <f aca="false">I36+J36</f>
        <v>577.871968742123</v>
      </c>
      <c r="L36" s="155" t="n">
        <f aca="false">F36-(I36-AK36)</f>
        <v>230.871968742123</v>
      </c>
      <c r="M36" s="279" t="n">
        <v>2.8</v>
      </c>
      <c r="N36" s="155" t="n">
        <v>0</v>
      </c>
      <c r="O36" s="155" t="n">
        <f aca="false">0*1.05</f>
        <v>0</v>
      </c>
      <c r="P36" s="186" t="n">
        <v>0</v>
      </c>
      <c r="Q36" s="373" t="n">
        <f aca="false">977600/325851/1.9835*1.02</f>
        <v>1.54280167504805</v>
      </c>
      <c r="R36" s="151" t="n">
        <f aca="false">IF(((2.5*1.04)-T36)&gt;=4.2,4.2,(2.5*1.04)-T36)</f>
        <v>2.02421648</v>
      </c>
      <c r="S36" s="151" t="n">
        <f aca="false">IF(((2.5*1.04)-T36)&gt;=4.2,((2.5*1.04)-T36)-4.2,0)</f>
        <v>0</v>
      </c>
      <c r="T36" s="151" t="n">
        <f aca="false">(0.5223*1.06)*1.04</f>
        <v>0.57578352</v>
      </c>
      <c r="U36" s="111" t="n">
        <f aca="false">M36-(Q36+R36+S36+T36)</f>
        <v>-1.34280167504805</v>
      </c>
      <c r="V36" s="155" t="n">
        <v>28.8</v>
      </c>
      <c r="W36" s="155" t="n">
        <v>0</v>
      </c>
      <c r="X36" s="155" t="n">
        <f aca="false">M36-N36-O36-P36-Q36-R36-S36-T36-U36+V36+W36</f>
        <v>28.8</v>
      </c>
      <c r="Y36" s="155" t="n">
        <f aca="false">X36-AO36</f>
        <v>28.8</v>
      </c>
      <c r="Z36" s="155"/>
      <c r="AA36" s="155"/>
      <c r="AB36" s="123"/>
      <c r="AC36" s="156"/>
      <c r="AD36" s="123"/>
      <c r="AE36" s="155" t="n">
        <v>0</v>
      </c>
      <c r="AF36" s="279"/>
      <c r="AG36" s="281"/>
      <c r="AH36" s="155" t="n">
        <v>52.7</v>
      </c>
      <c r="AI36" s="123" t="n">
        <f aca="false">AI35-AH36</f>
        <v>485.357877489282</v>
      </c>
      <c r="AJ36" s="156"/>
      <c r="AK36" s="154" t="n">
        <f aca="false">N36+O36+P36+Q36+R36+S36+T36+U36+X36+AE36+AH36</f>
        <v>84.3</v>
      </c>
      <c r="AL36" s="155" t="n">
        <f aca="false">IF(L36&lt;0,L36*-1,0)</f>
        <v>0</v>
      </c>
      <c r="AM36" s="155" t="n">
        <f aca="false">AK36+AL36</f>
        <v>84.3</v>
      </c>
      <c r="AN36" s="284" t="n">
        <f aca="false">V36</f>
        <v>28.8</v>
      </c>
      <c r="AO36" s="156"/>
      <c r="AP36" s="155"/>
      <c r="AQ36" s="123"/>
      <c r="AR36" s="123"/>
      <c r="AS36" s="248"/>
      <c r="AU36" s="58"/>
      <c r="AV36" s="249" t="n">
        <v>0.01</v>
      </c>
      <c r="AW36" s="241" t="n">
        <v>64</v>
      </c>
      <c r="AX36" s="241" t="n">
        <v>29</v>
      </c>
      <c r="AY36" s="283"/>
      <c r="AZ36" s="282" t="n">
        <f aca="false">SUM(N36,P36:U36)</f>
        <v>2.8</v>
      </c>
      <c r="BA36" s="208" t="n">
        <v>1.14</v>
      </c>
      <c r="BB36" s="283" t="n">
        <v>19944</v>
      </c>
    </row>
    <row r="37" customFormat="false" ht="12.95" hidden="false" customHeight="true" outlineLevel="0" collapsed="false">
      <c r="A37" s="207" t="n">
        <f aca="false">A36+1</f>
        <v>23</v>
      </c>
      <c r="B37" s="122" t="n">
        <v>6893.55</v>
      </c>
      <c r="C37" s="123" t="n">
        <v>260393</v>
      </c>
      <c r="D37" s="241" t="n">
        <f aca="false">C37-C36</f>
        <v>770</v>
      </c>
      <c r="E37" s="123" t="n">
        <f aca="false">C37-152000</f>
        <v>108393</v>
      </c>
      <c r="F37" s="277" t="n">
        <f aca="false">D37/$D$2</f>
        <v>388.202672044366</v>
      </c>
      <c r="G37" s="155" t="n">
        <v>332</v>
      </c>
      <c r="H37" s="372" t="n">
        <v>9.83</v>
      </c>
      <c r="I37" s="155" t="n">
        <f aca="false">G37+H37</f>
        <v>341.83</v>
      </c>
      <c r="J37" s="156" t="n">
        <f aca="false">IF(L37&gt;0,L37,0)</f>
        <v>103.682672044366</v>
      </c>
      <c r="K37" s="155" t="n">
        <f aca="false">I37+J37</f>
        <v>445.512672044366</v>
      </c>
      <c r="L37" s="155" t="n">
        <f aca="false">F37-(I37-AK37)</f>
        <v>103.682672044366</v>
      </c>
      <c r="M37" s="374" t="n">
        <v>4.21</v>
      </c>
      <c r="N37" s="155" t="n">
        <v>0</v>
      </c>
      <c r="O37" s="155" t="n">
        <f aca="false">0*1.05</f>
        <v>0</v>
      </c>
      <c r="P37" s="186" t="n">
        <v>0</v>
      </c>
      <c r="Q37" s="373" t="n">
        <f aca="false">810000/325851/1.9835*1.02</f>
        <v>1.27830335187083</v>
      </c>
      <c r="R37" s="151" t="n">
        <f aca="false">IF(((2.7*1.04)-T37)&gt;=4.2,4.2,(2.7*1.04)-T37)</f>
        <v>2.23221648</v>
      </c>
      <c r="S37" s="151" t="n">
        <f aca="false">IF(((2.7*1.04)-T37)&gt;=4.2,((2.7*1.04)-T37)-4.2,0)</f>
        <v>0</v>
      </c>
      <c r="T37" s="151" t="n">
        <f aca="false">(0.5223*1.06)*1.04</f>
        <v>0.57578352</v>
      </c>
      <c r="U37" s="111" t="n">
        <f aca="false">M37-(Q37+R37+S37+T37)</f>
        <v>0.123696648129171</v>
      </c>
      <c r="V37" s="155" t="n">
        <v>0</v>
      </c>
      <c r="W37" s="155" t="n">
        <v>0</v>
      </c>
      <c r="X37" s="155" t="n">
        <f aca="false">M37-N37-O37-P37-Q37-R37-S37-T37-U37+V37+W37</f>
        <v>0</v>
      </c>
      <c r="Y37" s="155" t="n">
        <f aca="false">X37-AO37</f>
        <v>0</v>
      </c>
      <c r="Z37" s="155"/>
      <c r="AA37" s="155"/>
      <c r="AB37" s="123"/>
      <c r="AC37" s="156"/>
      <c r="AD37" s="123"/>
      <c r="AE37" s="155" t="n">
        <v>0</v>
      </c>
      <c r="AF37" s="279"/>
      <c r="AG37" s="281"/>
      <c r="AH37" s="155" t="n">
        <v>53.1</v>
      </c>
      <c r="AI37" s="123" t="n">
        <f aca="false">AI36-AH37</f>
        <v>432.257877489282</v>
      </c>
      <c r="AJ37" s="156"/>
      <c r="AK37" s="154" t="n">
        <f aca="false">N37+O37+P37+Q37+R37+S37+T37+U37+X37+AE37+AH37</f>
        <v>57.31</v>
      </c>
      <c r="AL37" s="155" t="n">
        <f aca="false">IF(L37&lt;0,L37*-1,0)</f>
        <v>0</v>
      </c>
      <c r="AM37" s="155" t="n">
        <f aca="false">AK37+AL37</f>
        <v>57.31</v>
      </c>
      <c r="AN37" s="159"/>
      <c r="AO37" s="156"/>
      <c r="AP37" s="155"/>
      <c r="AQ37" s="123"/>
      <c r="AR37" s="123"/>
      <c r="AS37" s="248"/>
      <c r="AU37" s="58"/>
      <c r="AV37" s="249" t="n">
        <v>0.01</v>
      </c>
      <c r="AW37" s="241" t="n">
        <v>47</v>
      </c>
      <c r="AX37" s="248" t="n">
        <v>23</v>
      </c>
      <c r="AY37" s="283"/>
      <c r="AZ37" s="282" t="n">
        <f aca="false">SUM(N37,P37:U37)</f>
        <v>4.21</v>
      </c>
      <c r="BA37" s="208" t="n">
        <v>1.14</v>
      </c>
      <c r="BB37" s="283" t="n">
        <v>20035</v>
      </c>
    </row>
    <row r="38" customFormat="false" ht="12.95" hidden="false" customHeight="true" outlineLevel="0" collapsed="false">
      <c r="A38" s="207" t="n">
        <f aca="false">A37+1</f>
        <v>24</v>
      </c>
      <c r="B38" s="122" t="n">
        <v>6893.69</v>
      </c>
      <c r="C38" s="123" t="n">
        <v>260883</v>
      </c>
      <c r="D38" s="241" t="n">
        <f aca="false">C38-C37</f>
        <v>490</v>
      </c>
      <c r="E38" s="123" t="n">
        <f aca="false">C38-152000</f>
        <v>108883</v>
      </c>
      <c r="F38" s="277" t="n">
        <f aca="false">D38/$D$2</f>
        <v>247.038064028233</v>
      </c>
      <c r="G38" s="155" t="n">
        <v>263</v>
      </c>
      <c r="H38" s="344" t="n">
        <v>7.75</v>
      </c>
      <c r="I38" s="155" t="n">
        <f aca="false">G38+H38</f>
        <v>270.75</v>
      </c>
      <c r="J38" s="156" t="n">
        <f aca="false">IF(L38&gt;0,L38,0)</f>
        <v>69.1680640282329</v>
      </c>
      <c r="K38" s="155" t="n">
        <f aca="false">I38+J38</f>
        <v>339.918064028233</v>
      </c>
      <c r="L38" s="155" t="n">
        <f aca="false">F38-(I38-AK38)</f>
        <v>69.1680640282329</v>
      </c>
      <c r="M38" s="279" t="n">
        <v>17.2</v>
      </c>
      <c r="N38" s="155" t="n">
        <v>0</v>
      </c>
      <c r="O38" s="155" t="n">
        <f aca="false">0*1.05</f>
        <v>0</v>
      </c>
      <c r="P38" s="186" t="n">
        <v>0</v>
      </c>
      <c r="Q38" s="373" t="n">
        <f aca="false">944900/325851/1.9835*1.02</f>
        <v>1.49119609528734</v>
      </c>
      <c r="R38" s="151" t="n">
        <f aca="false">IF(((2.7*1.04)-T38)&gt;=4.2,4.2,(2.7*1.04)-T38)</f>
        <v>2.23221648</v>
      </c>
      <c r="S38" s="151" t="n">
        <f aca="false">IF(((2.7*1.04)-T38)&gt;=4.2,((2.7*1.04)-T38)-4.2,0)</f>
        <v>0</v>
      </c>
      <c r="T38" s="151" t="n">
        <f aca="false">(0.5223*1.06)*1.04</f>
        <v>0.57578352</v>
      </c>
      <c r="U38" s="111" t="n">
        <v>0</v>
      </c>
      <c r="V38" s="155" t="n">
        <v>19.2</v>
      </c>
      <c r="W38" s="155" t="n">
        <v>3.28</v>
      </c>
      <c r="X38" s="155" t="n">
        <f aca="false">M38-N38-O38-P38-Q38-R38-S38-T38-U38+V38+W38</f>
        <v>35.3808039047127</v>
      </c>
      <c r="Y38" s="155" t="n">
        <f aca="false">X38-AO38</f>
        <v>-2.51919609528733</v>
      </c>
      <c r="Z38" s="155"/>
      <c r="AA38" s="155"/>
      <c r="AB38" s="123"/>
      <c r="AC38" s="156"/>
      <c r="AD38" s="123"/>
      <c r="AE38" s="155" t="n">
        <v>0</v>
      </c>
      <c r="AF38" s="279"/>
      <c r="AG38" s="281"/>
      <c r="AH38" s="155" t="n">
        <v>53.2</v>
      </c>
      <c r="AI38" s="123" t="n">
        <f aca="false">AI37-AH38</f>
        <v>379.057877489282</v>
      </c>
      <c r="AJ38" s="156"/>
      <c r="AK38" s="154" t="n">
        <f aca="false">N38+O38+P38+Q38+R38+S38+T38+U38+X38+AE38+AH38</f>
        <v>92.88</v>
      </c>
      <c r="AL38" s="155" t="n">
        <f aca="false">IF(L38&lt;0,L38*-1,0)</f>
        <v>0</v>
      </c>
      <c r="AM38" s="155" t="n">
        <f aca="false">AK38+AL38</f>
        <v>92.88</v>
      </c>
      <c r="AN38" s="159"/>
      <c r="AO38" s="112" t="n">
        <f aca="false">V38+W38-AN38+15.42</f>
        <v>37.9</v>
      </c>
      <c r="AP38" s="155"/>
      <c r="AQ38" s="123"/>
      <c r="AR38" s="123"/>
      <c r="AS38" s="248"/>
      <c r="AU38" s="58"/>
      <c r="AV38" s="249" t="n">
        <v>0</v>
      </c>
      <c r="AW38" s="241" t="n">
        <v>56</v>
      </c>
      <c r="AX38" s="248" t="n">
        <v>22</v>
      </c>
      <c r="AY38" s="283"/>
      <c r="AZ38" s="282" t="n">
        <f aca="false">SUM(N38,P38:U38)</f>
        <v>4.29919609528734</v>
      </c>
      <c r="BA38" s="208" t="n">
        <v>1.19</v>
      </c>
      <c r="BB38" s="283" t="n">
        <v>20089</v>
      </c>
    </row>
    <row r="39" customFormat="false" ht="12.95" hidden="false" customHeight="true" outlineLevel="0" collapsed="false">
      <c r="A39" s="207" t="n">
        <f aca="false">A38+1</f>
        <v>25</v>
      </c>
      <c r="B39" s="122" t="n">
        <v>6893.84</v>
      </c>
      <c r="C39" s="123" t="n">
        <v>261407</v>
      </c>
      <c r="D39" s="241" t="n">
        <f aca="false">C39-C38</f>
        <v>524</v>
      </c>
      <c r="E39" s="123" t="n">
        <f aca="false">C39-152000</f>
        <v>109407</v>
      </c>
      <c r="F39" s="277" t="n">
        <f aca="false">D39/$D$2</f>
        <v>264.179480715906</v>
      </c>
      <c r="G39" s="155" t="n">
        <v>271</v>
      </c>
      <c r="H39" s="344" t="n">
        <v>6.42</v>
      </c>
      <c r="I39" s="155" t="n">
        <f aca="false">G39+H39</f>
        <v>277.42</v>
      </c>
      <c r="J39" s="156" t="n">
        <f aca="false">IF(L39&gt;0,L39,0)</f>
        <v>73.9494807159062</v>
      </c>
      <c r="K39" s="155" t="n">
        <f aca="false">I39+J39</f>
        <v>351.369480715906</v>
      </c>
      <c r="L39" s="155" t="n">
        <f aca="false">F39-(I39-AK39)</f>
        <v>73.9494807159062</v>
      </c>
      <c r="M39" s="279" t="n">
        <v>15.8</v>
      </c>
      <c r="N39" s="155" t="n">
        <v>0</v>
      </c>
      <c r="O39" s="155" t="n">
        <f aca="false">0*1.05</f>
        <v>0</v>
      </c>
      <c r="P39" s="186" t="n">
        <v>0</v>
      </c>
      <c r="Q39" s="373" t="n">
        <f aca="false">978700/325851/1.9835*1.02</f>
        <v>1.54453764256294</v>
      </c>
      <c r="R39" s="151" t="n">
        <f aca="false">IF(((2.8*1.04)-T39)&gt;=4.2,4.2,(2.8*1.04)-T39)</f>
        <v>2.36256384</v>
      </c>
      <c r="S39" s="151" t="n">
        <f aca="false">IF(((2.8*1.04)-T39)&gt;=4.2,((2.8*1.04)-T39)-4.2,0)</f>
        <v>0</v>
      </c>
      <c r="T39" s="151" t="n">
        <f aca="false">(0.4984*1.06)*1.04</f>
        <v>0.54943616</v>
      </c>
      <c r="U39" s="111" t="n">
        <v>0</v>
      </c>
      <c r="V39" s="155" t="n">
        <v>12.6</v>
      </c>
      <c r="W39" s="155" t="n">
        <v>5.59</v>
      </c>
      <c r="X39" s="155" t="n">
        <f aca="false">M39-N39-O39-P39-Q39-R39-S39-T39-U39+V39+W39</f>
        <v>29.5334623574371</v>
      </c>
      <c r="Y39" s="155" t="n">
        <f aca="false">X39-AO39</f>
        <v>-4.07653764256294</v>
      </c>
      <c r="Z39" s="155"/>
      <c r="AA39" s="155"/>
      <c r="AB39" s="123"/>
      <c r="AC39" s="156"/>
      <c r="AD39" s="123"/>
      <c r="AE39" s="155" t="n">
        <v>0</v>
      </c>
      <c r="AF39" s="279"/>
      <c r="AG39" s="281"/>
      <c r="AH39" s="155" t="n">
        <v>53.2</v>
      </c>
      <c r="AI39" s="123" t="n">
        <f aca="false">AI38-AH39</f>
        <v>325.857877489282</v>
      </c>
      <c r="AJ39" s="156"/>
      <c r="AK39" s="154" t="n">
        <f aca="false">N39+O39+P39+Q39+R39+S39+T39+U39+X39+AE39+AH39</f>
        <v>87.19</v>
      </c>
      <c r="AL39" s="155" t="n">
        <f aca="false">IF(L39&lt;0,L39*-1,0)</f>
        <v>0</v>
      </c>
      <c r="AM39" s="155" t="n">
        <f aca="false">AK39+AL39</f>
        <v>87.19</v>
      </c>
      <c r="AN39" s="159"/>
      <c r="AO39" s="112" t="n">
        <f aca="false">V39+W39-AN39+15.42</f>
        <v>33.61</v>
      </c>
      <c r="AP39" s="155"/>
      <c r="AQ39" s="123"/>
      <c r="AR39" s="123"/>
      <c r="AS39" s="248"/>
      <c r="AU39" s="58"/>
      <c r="AV39" s="249" t="n">
        <v>0</v>
      </c>
      <c r="AW39" s="241" t="n">
        <v>54</v>
      </c>
      <c r="AX39" s="248" t="n">
        <v>29</v>
      </c>
      <c r="AY39" s="283"/>
      <c r="AZ39" s="282" t="n">
        <f aca="false">SUM(N39,P39:U39)</f>
        <v>4.45653764256294</v>
      </c>
      <c r="BA39" s="208" t="n">
        <v>1.3</v>
      </c>
      <c r="BB39" s="283" t="n">
        <v>20152</v>
      </c>
    </row>
    <row r="40" customFormat="false" ht="12.95" hidden="false" customHeight="true" outlineLevel="0" collapsed="false">
      <c r="A40" s="207" t="n">
        <f aca="false">A39+1</f>
        <v>26</v>
      </c>
      <c r="B40" s="122" t="n">
        <v>6894.01</v>
      </c>
      <c r="C40" s="123" t="n">
        <v>262002</v>
      </c>
      <c r="D40" s="241" t="n">
        <f aca="false">C40-C39</f>
        <v>595</v>
      </c>
      <c r="E40" s="123" t="n">
        <f aca="false">C40-152000</f>
        <v>110002</v>
      </c>
      <c r="F40" s="277" t="n">
        <f aca="false">D40/$D$2</f>
        <v>299.974792034283</v>
      </c>
      <c r="G40" s="155" t="n">
        <v>245</v>
      </c>
      <c r="H40" s="344" t="n">
        <v>6.23</v>
      </c>
      <c r="I40" s="155" t="n">
        <f aca="false">G40+H40</f>
        <v>251.23</v>
      </c>
      <c r="J40" s="156" t="n">
        <f aca="false">IF(L40&gt;0,L40,0)</f>
        <v>105.464792034283</v>
      </c>
      <c r="K40" s="155" t="n">
        <f aca="false">I40+J40</f>
        <v>356.694792034283</v>
      </c>
      <c r="L40" s="155" t="n">
        <f aca="false">F40-(I40-AK40)</f>
        <v>105.464792034283</v>
      </c>
      <c r="M40" s="279" t="n">
        <v>3.52</v>
      </c>
      <c r="N40" s="155" t="n">
        <v>0</v>
      </c>
      <c r="O40" s="155" t="n">
        <f aca="false">0*1.05</f>
        <v>0</v>
      </c>
      <c r="P40" s="186" t="n">
        <v>0</v>
      </c>
      <c r="Q40" s="373" t="n">
        <f aca="false">887700/325851/1.9835*1.02</f>
        <v>1.40092578451325</v>
      </c>
      <c r="R40" s="151" t="n">
        <f aca="false">IF(((2.8*1.04)-T40)&gt;=4.2,4.2,(2.8*1.04)-T40)</f>
        <v>2.36256384</v>
      </c>
      <c r="S40" s="151" t="n">
        <f aca="false">IF(((2.8*1.04)-T40)&gt;=4.2,((2.8*1.04)-T40)-4.2,0)</f>
        <v>0</v>
      </c>
      <c r="T40" s="151" t="n">
        <f aca="false">(0.4984*1.06)*1.04</f>
        <v>0.54943616</v>
      </c>
      <c r="U40" s="111" t="n">
        <v>0</v>
      </c>
      <c r="V40" s="155" t="n">
        <v>0</v>
      </c>
      <c r="W40" s="155" t="n">
        <v>0</v>
      </c>
      <c r="X40" s="155" t="n">
        <f aca="false">M40-N40-O40-P40-Q40-R40-S40-T40-U40+V40+W40</f>
        <v>-0.792925784513252</v>
      </c>
      <c r="Y40" s="155" t="n">
        <f aca="false">X40-AO40</f>
        <v>-0.792925784513252</v>
      </c>
      <c r="Z40" s="155"/>
      <c r="AA40" s="155"/>
      <c r="AB40" s="123"/>
      <c r="AC40" s="156"/>
      <c r="AD40" s="123"/>
      <c r="AE40" s="155" t="n">
        <v>0</v>
      </c>
      <c r="AF40" s="279"/>
      <c r="AG40" s="281"/>
      <c r="AH40" s="155" t="n">
        <v>53.2</v>
      </c>
      <c r="AI40" s="123" t="n">
        <f aca="false">AI39-AH40</f>
        <v>272.657877489282</v>
      </c>
      <c r="AJ40" s="156"/>
      <c r="AK40" s="154" t="n">
        <f aca="false">N40+O40+P40+Q40+R40+S40+T40+U40+X40+AE40+AH40</f>
        <v>56.72</v>
      </c>
      <c r="AL40" s="155" t="n">
        <f aca="false">IF(L40&lt;0,L40*-1,0)</f>
        <v>0</v>
      </c>
      <c r="AM40" s="155" t="n">
        <f aca="false">AK40+AL40</f>
        <v>56.72</v>
      </c>
      <c r="AN40" s="159"/>
      <c r="AO40" s="112" t="n">
        <f aca="false">V40+W40-AN40</f>
        <v>0</v>
      </c>
      <c r="AP40" s="155"/>
      <c r="AQ40" s="123"/>
      <c r="AR40" s="123"/>
      <c r="AS40" s="248"/>
      <c r="AU40" s="58"/>
      <c r="AV40" s="249" t="n">
        <v>0.18</v>
      </c>
      <c r="AW40" s="241" t="n">
        <v>47</v>
      </c>
      <c r="AX40" s="241" t="n">
        <v>25</v>
      </c>
      <c r="AY40" s="283"/>
      <c r="AZ40" s="282" t="n">
        <f aca="false">SUM(N40,P40:U40)</f>
        <v>4.31292578451325</v>
      </c>
      <c r="BA40" s="208" t="n">
        <v>1.32</v>
      </c>
      <c r="BB40" s="283" t="n">
        <v>20210</v>
      </c>
    </row>
    <row r="41" customFormat="false" ht="12.95" hidden="false" customHeight="true" outlineLevel="0" collapsed="false">
      <c r="A41" s="207" t="n">
        <f aca="false">A40+1</f>
        <v>27</v>
      </c>
      <c r="B41" s="122" t="n">
        <v>6894.13</v>
      </c>
      <c r="C41" s="123" t="n">
        <v>262426</v>
      </c>
      <c r="D41" s="241" t="n">
        <f aca="false">C41-C40</f>
        <v>424</v>
      </c>
      <c r="E41" s="123" t="n">
        <f aca="false">C41-152000</f>
        <v>110426</v>
      </c>
      <c r="F41" s="277" t="n">
        <f aca="false">D41/$D$2</f>
        <v>213.763549281573</v>
      </c>
      <c r="G41" s="155" t="n">
        <v>195</v>
      </c>
      <c r="H41" s="344" t="n">
        <v>5.17</v>
      </c>
      <c r="I41" s="155" t="n">
        <f aca="false">G41+H41</f>
        <v>200.17</v>
      </c>
      <c r="J41" s="156" t="n">
        <f aca="false">IF(L41&gt;0,L41,0)</f>
        <v>70.273549281573</v>
      </c>
      <c r="K41" s="155" t="n">
        <f aca="false">I41+J41</f>
        <v>270.443549281573</v>
      </c>
      <c r="L41" s="155" t="n">
        <f aca="false">F41-(I41-AK41)</f>
        <v>70.273549281573</v>
      </c>
      <c r="M41" s="279" t="n">
        <v>3.48</v>
      </c>
      <c r="N41" s="155" t="n">
        <v>0</v>
      </c>
      <c r="O41" s="155" t="n">
        <f aca="false">2.37*1.05</f>
        <v>2.4885</v>
      </c>
      <c r="P41" s="186" t="n">
        <v>0</v>
      </c>
      <c r="Q41" s="373" t="n">
        <f aca="false">976400/325851/1.9835*1.02</f>
        <v>1.54090789230454</v>
      </c>
      <c r="R41" s="151" t="n">
        <f aca="false">IF(((2.7*1.04)-T41)&gt;=4.2,4.2,(2.7*1.04)-T41)</f>
        <v>2.25856384</v>
      </c>
      <c r="S41" s="151" t="n">
        <f aca="false">IF(((2.7*1.04)-T41)&gt;=4.2,((2.7*1.04)-T41)-4.2,0)</f>
        <v>0</v>
      </c>
      <c r="T41" s="151" t="n">
        <f aca="false">(0.4984*1.06)*1.04</f>
        <v>0.54943616</v>
      </c>
      <c r="U41" s="111" t="n">
        <v>0</v>
      </c>
      <c r="V41" s="155" t="n">
        <v>0</v>
      </c>
      <c r="W41" s="155" t="n">
        <v>0</v>
      </c>
      <c r="X41" s="155" t="n">
        <f aca="false">M41-N41-O41-P41-Q41-R41-S41-T41-U41+V41+W41</f>
        <v>-3.35740789230454</v>
      </c>
      <c r="Y41" s="155" t="n">
        <f aca="false">X41-AO41</f>
        <v>-3.35740789230454</v>
      </c>
      <c r="Z41" s="155"/>
      <c r="AA41" s="155"/>
      <c r="AB41" s="123"/>
      <c r="AC41" s="156"/>
      <c r="AD41" s="123"/>
      <c r="AE41" s="155" t="n">
        <v>0</v>
      </c>
      <c r="AF41" s="279"/>
      <c r="AG41" s="281"/>
      <c r="AH41" s="155" t="n">
        <v>53.2</v>
      </c>
      <c r="AI41" s="123" t="n">
        <f aca="false">AI40-AH41</f>
        <v>219.457877489282</v>
      </c>
      <c r="AJ41" s="156"/>
      <c r="AK41" s="154" t="n">
        <f aca="false">N41+O41+P41+Q41+R41+S41+T41+U41+X41+AE41+AH41</f>
        <v>56.68</v>
      </c>
      <c r="AL41" s="155" t="n">
        <f aca="false">IF(L41&lt;0,L41*-1,0)</f>
        <v>0</v>
      </c>
      <c r="AM41" s="155" t="n">
        <f aca="false">AK41+AL41</f>
        <v>56.68</v>
      </c>
      <c r="AN41" s="159"/>
      <c r="AO41" s="112" t="n">
        <f aca="false">V41+W41-AN41</f>
        <v>0</v>
      </c>
      <c r="AP41" s="155"/>
      <c r="AQ41" s="123"/>
      <c r="AR41" s="123"/>
      <c r="AS41" s="373"/>
      <c r="AU41" s="58"/>
      <c r="AV41" s="249" t="n">
        <v>0</v>
      </c>
      <c r="AW41" s="241" t="n">
        <v>56</v>
      </c>
      <c r="AX41" s="241" t="n">
        <v>21</v>
      </c>
      <c r="AY41" s="283"/>
      <c r="AZ41" s="282" t="n">
        <f aca="false">SUM(N41,P41:U41)</f>
        <v>4.34890789230454</v>
      </c>
      <c r="BA41" s="208" t="n">
        <v>1.24</v>
      </c>
      <c r="BB41" s="283" t="n">
        <v>20247</v>
      </c>
    </row>
    <row r="42" customFormat="false" ht="12.95" hidden="false" customHeight="true" outlineLevel="0" collapsed="false">
      <c r="A42" s="207" t="n">
        <f aca="false">A41+1</f>
        <v>28</v>
      </c>
      <c r="B42" s="122" t="n">
        <v>6894.23</v>
      </c>
      <c r="C42" s="123" t="n">
        <v>262779</v>
      </c>
      <c r="D42" s="241" t="n">
        <f aca="false">C42-C41</f>
        <v>353</v>
      </c>
      <c r="E42" s="123" t="n">
        <f aca="false">C42-152000</f>
        <v>110779</v>
      </c>
      <c r="F42" s="277" t="n">
        <f aca="false">D42/$D$2</f>
        <v>177.968237963196</v>
      </c>
      <c r="G42" s="155" t="n">
        <v>223</v>
      </c>
      <c r="H42" s="344" t="n">
        <v>4.78</v>
      </c>
      <c r="I42" s="155" t="n">
        <f aca="false">G42+H42</f>
        <v>227.78</v>
      </c>
      <c r="J42" s="156" t="n">
        <f aca="false">IF(L42&gt;0,L42,0)</f>
        <v>60.7582379631964</v>
      </c>
      <c r="K42" s="155" t="n">
        <f aca="false">I42+J42</f>
        <v>288.538237963196</v>
      </c>
      <c r="L42" s="155" t="n">
        <f aca="false">F42-(I42-AK42)</f>
        <v>60.7582379631964</v>
      </c>
      <c r="M42" s="279" t="n">
        <v>35.6</v>
      </c>
      <c r="N42" s="155" t="n">
        <v>0</v>
      </c>
      <c r="O42" s="155" t="n">
        <f aca="false">1.03*1.05</f>
        <v>1.0815</v>
      </c>
      <c r="P42" s="186" t="n">
        <v>0</v>
      </c>
      <c r="Q42" s="373" t="n">
        <f aca="false">989900/325851/1.9835*1.02</f>
        <v>1.56221294816905</v>
      </c>
      <c r="R42" s="151" t="n">
        <f aca="false">IF(((2.1*1.04)-T42)&gt;=4.2,4.2,(2.1*1.04)-T42)</f>
        <v>1.63456384</v>
      </c>
      <c r="S42" s="151" t="n">
        <f aca="false">IF(((2.1*1.04)-T42)&gt;=4.2,((2.1*1.04)-T42)-4.2,0)</f>
        <v>0</v>
      </c>
      <c r="T42" s="151" t="n">
        <f aca="false">(0.4984*1.06)*1.04</f>
        <v>0.54943616</v>
      </c>
      <c r="U42" s="111" t="n">
        <v>0</v>
      </c>
      <c r="V42" s="155" t="n">
        <v>17.6</v>
      </c>
      <c r="W42" s="155" t="n">
        <v>4.17</v>
      </c>
      <c r="X42" s="155" t="n">
        <f aca="false">M42-N42-O42-P42-Q42-R42-S42-T42-U42+V42+W42</f>
        <v>52.542287051831</v>
      </c>
      <c r="Y42" s="155" t="n">
        <f aca="false">X42-AO42</f>
        <v>10.842287051831</v>
      </c>
      <c r="Z42" s="155"/>
      <c r="AA42" s="155"/>
      <c r="AB42" s="123"/>
      <c r="AC42" s="156"/>
      <c r="AD42" s="123"/>
      <c r="AE42" s="155" t="n">
        <v>0</v>
      </c>
      <c r="AF42" s="279"/>
      <c r="AG42" s="281"/>
      <c r="AH42" s="155" t="n">
        <v>53.2</v>
      </c>
      <c r="AI42" s="123" t="n">
        <f aca="false">AI41-AH42</f>
        <v>166.257877489282</v>
      </c>
      <c r="AJ42" s="156"/>
      <c r="AK42" s="154" t="n">
        <f aca="false">N42+O42+P42+Q42+R42+S42+T42+U42+X42+AE42+AH42</f>
        <v>110.57</v>
      </c>
      <c r="AL42" s="155" t="n">
        <f aca="false">IF(L42&lt;0,L42*-1,0)</f>
        <v>0</v>
      </c>
      <c r="AM42" s="155" t="n">
        <f aca="false">AK42+AL42</f>
        <v>110.57</v>
      </c>
      <c r="AN42" s="159"/>
      <c r="AO42" s="112" t="n">
        <f aca="false">V42+W42-AN42+10.31+9.62</f>
        <v>41.7</v>
      </c>
      <c r="AP42" s="155"/>
      <c r="AQ42" s="123"/>
      <c r="AR42" s="123"/>
      <c r="AS42" s="373"/>
      <c r="AU42" s="58"/>
      <c r="AV42" s="249" t="n">
        <v>0</v>
      </c>
      <c r="AW42" s="241" t="n">
        <v>63</v>
      </c>
      <c r="AX42" s="241" t="n">
        <v>38</v>
      </c>
      <c r="AY42" s="283"/>
      <c r="AZ42" s="282" t="n">
        <f aca="false">SUM(N42,P42:U42)</f>
        <v>3.74621294816905</v>
      </c>
      <c r="BA42" s="208" t="n">
        <v>1.11</v>
      </c>
      <c r="BB42" s="283" t="n">
        <v>20285</v>
      </c>
    </row>
    <row r="43" customFormat="false" ht="12.95" hidden="false" customHeight="true" outlineLevel="0" collapsed="false">
      <c r="A43" s="207" t="n">
        <f aca="false">A42+1</f>
        <v>29</v>
      </c>
      <c r="B43" s="122" t="n">
        <v>6894.33</v>
      </c>
      <c r="C43" s="123" t="n">
        <v>263131</v>
      </c>
      <c r="D43" s="241" t="n">
        <f aca="false">C43-C42</f>
        <v>352</v>
      </c>
      <c r="E43" s="123" t="n">
        <f aca="false">C43-152000</f>
        <v>111131</v>
      </c>
      <c r="F43" s="277" t="n">
        <f aca="false">D43/$D$2</f>
        <v>177.464078648853</v>
      </c>
      <c r="G43" s="155" t="n">
        <v>216</v>
      </c>
      <c r="H43" s="344" t="n">
        <v>4.8</v>
      </c>
      <c r="I43" s="155" t="n">
        <f aca="false">G43+H43</f>
        <v>220.8</v>
      </c>
      <c r="J43" s="156" t="n">
        <f aca="false">IF(L43&gt;0,L43,0)</f>
        <v>96.2040786488531</v>
      </c>
      <c r="K43" s="155" t="n">
        <f aca="false">I43+J43</f>
        <v>317.004078648853</v>
      </c>
      <c r="L43" s="155" t="n">
        <f aca="false">F43-(I43-AK43)</f>
        <v>96.2040786488531</v>
      </c>
      <c r="M43" s="279" t="n">
        <v>61.3</v>
      </c>
      <c r="N43" s="155" t="n">
        <v>0</v>
      </c>
      <c r="O43" s="155" t="n">
        <f aca="false">0*1.05</f>
        <v>0</v>
      </c>
      <c r="P43" s="186" t="n">
        <v>0</v>
      </c>
      <c r="Q43" s="373" t="n">
        <f aca="false">926400/325851/1.9835*1.02</f>
        <v>1.46200027799153</v>
      </c>
      <c r="R43" s="151" t="n">
        <f aca="false">IF(((2.2*1.04)-T43)&gt;=4.2,4.2,(2.2*1.04)-T43)</f>
        <v>1.73856384</v>
      </c>
      <c r="S43" s="151" t="n">
        <f aca="false">IF(((2.2*1.04)-T43)&gt;=4.2,((2.2*1.04)-T43)-4.2,0)</f>
        <v>0</v>
      </c>
      <c r="T43" s="151" t="n">
        <f aca="false">(0.4984*1.06)*1.04</f>
        <v>0.54943616</v>
      </c>
      <c r="U43" s="111" t="n">
        <v>0</v>
      </c>
      <c r="V43" s="155" t="n">
        <v>18.6</v>
      </c>
      <c r="W43" s="155" t="n">
        <v>6.44</v>
      </c>
      <c r="X43" s="155" t="n">
        <f aca="false">M43-N43-O43-P43-Q43-R43-S43-T43-U43+V43+W43</f>
        <v>82.5899997220085</v>
      </c>
      <c r="Y43" s="155" t="n">
        <f aca="false">X43-AO43</f>
        <v>30.5499997220085</v>
      </c>
      <c r="Z43" s="155"/>
      <c r="AA43" s="155"/>
      <c r="AB43" s="123"/>
      <c r="AC43" s="156"/>
      <c r="AD43" s="123"/>
      <c r="AE43" s="155" t="n">
        <v>0</v>
      </c>
      <c r="AF43" s="279"/>
      <c r="AG43" s="281"/>
      <c r="AH43" s="155" t="n">
        <v>53.2</v>
      </c>
      <c r="AI43" s="123" t="n">
        <f aca="false">AI42-AH43</f>
        <v>113.057877489282</v>
      </c>
      <c r="AJ43" s="156"/>
      <c r="AK43" s="154" t="n">
        <f aca="false">N43+O43+P43+Q43+R43+S43+T43+U43+X43+AE43+AH43</f>
        <v>139.54</v>
      </c>
      <c r="AL43" s="155" t="n">
        <f aca="false">IF(L43&lt;0,L43*-1,0)</f>
        <v>0</v>
      </c>
      <c r="AM43" s="155" t="n">
        <f aca="false">AK43+AL43</f>
        <v>139.54</v>
      </c>
      <c r="AN43" s="159"/>
      <c r="AO43" s="112" t="n">
        <f aca="false">V43+W43-AN43+15+12</f>
        <v>52.04</v>
      </c>
      <c r="AP43" s="155"/>
      <c r="AQ43" s="123"/>
      <c r="AR43" s="123"/>
      <c r="AS43" s="373"/>
      <c r="AU43" s="58"/>
      <c r="AV43" s="249" t="n">
        <v>0.05</v>
      </c>
      <c r="AW43" s="248" t="n">
        <v>59</v>
      </c>
      <c r="AX43" s="241" t="n">
        <v>26</v>
      </c>
      <c r="AY43" s="283"/>
      <c r="AZ43" s="282" t="n">
        <f aca="false">SUM(N43,P43:U43)</f>
        <v>3.75000027799153</v>
      </c>
      <c r="BA43" s="208" t="n">
        <v>1.13</v>
      </c>
      <c r="BB43" s="283" t="n">
        <v>20325</v>
      </c>
    </row>
    <row r="44" customFormat="false" ht="12.95" hidden="false" customHeight="true" outlineLevel="0" collapsed="false">
      <c r="A44" s="207" t="n">
        <v>30</v>
      </c>
      <c r="B44" s="122" t="n">
        <v>6894.39</v>
      </c>
      <c r="C44" s="123" t="n">
        <v>263343</v>
      </c>
      <c r="D44" s="241" t="n">
        <f aca="false">C44-C43</f>
        <v>212</v>
      </c>
      <c r="E44" s="123" t="n">
        <f aca="false">C44-152000</f>
        <v>111343</v>
      </c>
      <c r="F44" s="277" t="n">
        <f aca="false">D44/$D$2</f>
        <v>106.881774640787</v>
      </c>
      <c r="G44" s="155" t="n">
        <v>200</v>
      </c>
      <c r="H44" s="344" t="n">
        <v>5.11</v>
      </c>
      <c r="I44" s="155" t="n">
        <f aca="false">G44+H44</f>
        <v>205.11</v>
      </c>
      <c r="J44" s="156" t="n">
        <f aca="false">IF(L44&gt;0,L44,0)</f>
        <v>30.5517746407865</v>
      </c>
      <c r="K44" s="155" t="n">
        <f aca="false">I44+J44</f>
        <v>235.661774640786</v>
      </c>
      <c r="L44" s="155" t="n">
        <f aca="false">F44-(I44-AK44)</f>
        <v>30.5517746407865</v>
      </c>
      <c r="M44" s="279" t="n">
        <v>50.1</v>
      </c>
      <c r="N44" s="155" t="n">
        <v>0</v>
      </c>
      <c r="O44" s="155" t="n">
        <f aca="false">2.98*1.05</f>
        <v>3.129</v>
      </c>
      <c r="P44" s="186" t="n">
        <v>0</v>
      </c>
      <c r="Q44" s="373" t="n">
        <f aca="false">849400/325851/1.9835*1.02</f>
        <v>1.34048255194948</v>
      </c>
      <c r="R44" s="151" t="n">
        <f aca="false">IF(((2.2*1.04)-T44)&gt;=4.2,4.2,(2.2*1.04)-T44)</f>
        <v>1.73856384</v>
      </c>
      <c r="S44" s="151" t="n">
        <f aca="false">IF(((2.2*1.04)-T44)&gt;=4.2,((2.2*1.04)-T44)-4.2,0)</f>
        <v>0</v>
      </c>
      <c r="T44" s="151" t="n">
        <f aca="false">(0.4984*1.06)*1.04</f>
        <v>0.54943616</v>
      </c>
      <c r="U44" s="111" t="n">
        <v>0</v>
      </c>
      <c r="V44" s="155" t="n">
        <v>19.1</v>
      </c>
      <c r="W44" s="280" t="n">
        <v>6.38</v>
      </c>
      <c r="X44" s="155" t="n">
        <f aca="false">M44-N44-O44-P44-Q44-R44-S44-T44-U44+V44+W44</f>
        <v>68.8225174480505</v>
      </c>
      <c r="Y44" s="155" t="n">
        <f aca="false">X44-AO44</f>
        <v>16.3425174480505</v>
      </c>
      <c r="Z44" s="155"/>
      <c r="AA44" s="155"/>
      <c r="AB44" s="123"/>
      <c r="AC44" s="156"/>
      <c r="AD44" s="123"/>
      <c r="AE44" s="155" t="n">
        <v>0</v>
      </c>
      <c r="AF44" s="279"/>
      <c r="AG44" s="281"/>
      <c r="AH44" s="155" t="n">
        <v>53.2</v>
      </c>
      <c r="AI44" s="123" t="n">
        <f aca="false">AI43-AH44</f>
        <v>59.8578774892816</v>
      </c>
      <c r="AJ44" s="156"/>
      <c r="AK44" s="154" t="n">
        <f aca="false">N44+O44+P44+Q44+R44+S44+T44+U44+X44+AE44+AH44</f>
        <v>128.78</v>
      </c>
      <c r="AL44" s="155" t="n">
        <f aca="false">IF(L44&lt;0,L44*-1,0)</f>
        <v>0</v>
      </c>
      <c r="AM44" s="155" t="n">
        <f aca="false">AK44+AL44</f>
        <v>128.78</v>
      </c>
      <c r="AN44" s="159"/>
      <c r="AO44" s="112" t="n">
        <f aca="false">V44+W44-AN44+15+12</f>
        <v>52.48</v>
      </c>
      <c r="AP44" s="155"/>
      <c r="AQ44" s="123"/>
      <c r="AR44" s="123"/>
      <c r="AS44" s="186"/>
      <c r="AU44" s="58"/>
      <c r="AV44" s="249" t="n">
        <v>0.03</v>
      </c>
      <c r="AW44" s="248" t="n">
        <v>44</v>
      </c>
      <c r="AX44" s="241" t="n">
        <v>21</v>
      </c>
      <c r="AY44" s="283"/>
      <c r="AZ44" s="282" t="n">
        <f aca="false">SUM(N44,P44:U44)</f>
        <v>3.62848255194948</v>
      </c>
      <c r="BA44" s="208" t="n">
        <v>1.08</v>
      </c>
      <c r="BB44" s="283" t="n">
        <v>20382</v>
      </c>
    </row>
    <row r="45" customFormat="false" ht="12.95" hidden="false" customHeight="true" outlineLevel="0" collapsed="false">
      <c r="A45" s="207" t="n">
        <v>31</v>
      </c>
      <c r="B45" s="122" t="n">
        <v>6894.48</v>
      </c>
      <c r="C45" s="123" t="n">
        <v>263661</v>
      </c>
      <c r="D45" s="241" t="n">
        <f aca="false">C45-C44</f>
        <v>318</v>
      </c>
      <c r="E45" s="123" t="n">
        <f aca="false">C45-152000</f>
        <v>111661</v>
      </c>
      <c r="F45" s="277" t="n">
        <f aca="false">D45/$D$2</f>
        <v>160.32266196118</v>
      </c>
      <c r="G45" s="155" t="n">
        <v>179</v>
      </c>
      <c r="H45" s="344" t="n">
        <v>4.76</v>
      </c>
      <c r="I45" s="155" t="n">
        <f aca="false">G45+H45</f>
        <v>183.76</v>
      </c>
      <c r="J45" s="156" t="n">
        <f aca="false">IF(L45&gt;0,L45,0)</f>
        <v>86.1326619611797</v>
      </c>
      <c r="K45" s="155" t="n">
        <f aca="false">I45+J45</f>
        <v>269.89266196118</v>
      </c>
      <c r="L45" s="155" t="n">
        <f aca="false">F45-(I45-AK45)</f>
        <v>86.1326619611797</v>
      </c>
      <c r="M45" s="374" t="n">
        <v>41.4</v>
      </c>
      <c r="N45" s="155" t="n">
        <v>0</v>
      </c>
      <c r="O45" s="155" t="n">
        <f aca="false">9.53*1.05</f>
        <v>10.0065</v>
      </c>
      <c r="P45" s="186" t="n">
        <v>0</v>
      </c>
      <c r="Q45" s="373" t="n">
        <f aca="false">966800/325851/1.9835*1.02</f>
        <v>1.52575763035644</v>
      </c>
      <c r="R45" s="151" t="n">
        <f aca="false">IF(((2.1*1.04)-T44)&gt;=4.2,4.2,(2.1*1.04)-T44)</f>
        <v>1.63456384</v>
      </c>
      <c r="S45" s="151" t="n">
        <f aca="false">IF(((2.1*1.04)-T44)&gt;=4.2,((2.1*1.04)-T44)-4.2,0)</f>
        <v>0</v>
      </c>
      <c r="T45" s="151" t="n">
        <f aca="false">(0.4984*1.06)*1.04</f>
        <v>0.54943616</v>
      </c>
      <c r="U45" s="111" t="n">
        <v>0</v>
      </c>
      <c r="V45" s="155" t="n">
        <v>10.8</v>
      </c>
      <c r="W45" s="155" t="n">
        <v>4.17</v>
      </c>
      <c r="X45" s="155" t="n">
        <f aca="false">M45-N45-O45-P45-Q45-R45-S45-T45-U45+V45+W45</f>
        <v>42.6537423696436</v>
      </c>
      <c r="Y45" s="155" t="n">
        <f aca="false">X45-AO45</f>
        <v>10.2437423696436</v>
      </c>
      <c r="Z45" s="155"/>
      <c r="AA45" s="155"/>
      <c r="AB45" s="123"/>
      <c r="AC45" s="156"/>
      <c r="AD45" s="123"/>
      <c r="AE45" s="155" t="n">
        <v>0</v>
      </c>
      <c r="AF45" s="279"/>
      <c r="AG45" s="281"/>
      <c r="AH45" s="155" t="n">
        <v>53.2</v>
      </c>
      <c r="AI45" s="123" t="n">
        <f aca="false">AI44-AH45</f>
        <v>6.65787748928155</v>
      </c>
      <c r="AJ45" s="156"/>
      <c r="AK45" s="154" t="n">
        <f aca="false">N45+O45+P45+Q45+R45+S45+T45+U45+X45+AE45+AH45</f>
        <v>109.57</v>
      </c>
      <c r="AL45" s="155" t="n">
        <f aca="false">IF(L45&lt;0,L45*-1,0)</f>
        <v>0</v>
      </c>
      <c r="AM45" s="277" t="n">
        <f aca="false">AK45+AL45</f>
        <v>109.57</v>
      </c>
      <c r="AN45" s="159"/>
      <c r="AO45" s="112" t="n">
        <f aca="false">V45+W45-AN45+9.69+7.75</f>
        <v>32.41</v>
      </c>
      <c r="AP45" s="155"/>
      <c r="AQ45" s="155"/>
      <c r="AR45" s="155"/>
      <c r="AS45" s="248"/>
      <c r="AU45" s="58"/>
      <c r="AV45" s="249" t="n">
        <v>0</v>
      </c>
      <c r="AW45" s="248" t="n">
        <v>51</v>
      </c>
      <c r="AX45" s="241" t="n">
        <v>22</v>
      </c>
      <c r="AY45" s="283"/>
      <c r="AZ45" s="282" t="n">
        <f aca="false">SUM(N45,P45:U45)</f>
        <v>3.70975763035644</v>
      </c>
      <c r="BA45" s="208" t="n">
        <v>1.09</v>
      </c>
      <c r="BB45" s="283" t="n">
        <v>20410</v>
      </c>
    </row>
    <row r="46" customFormat="false" ht="3" hidden="false" customHeight="true" outlineLevel="0" collapsed="false">
      <c r="A46" s="261"/>
      <c r="B46" s="286"/>
      <c r="C46" s="263"/>
      <c r="D46" s="264"/>
      <c r="E46" s="263"/>
      <c r="F46" s="265"/>
      <c r="G46" s="264"/>
      <c r="H46" s="294"/>
      <c r="I46" s="264"/>
      <c r="J46" s="264"/>
      <c r="K46" s="264"/>
      <c r="L46" s="264"/>
      <c r="M46" s="267"/>
      <c r="N46" s="264"/>
      <c r="O46" s="264"/>
      <c r="P46" s="268"/>
      <c r="Q46" s="264"/>
      <c r="R46" s="264"/>
      <c r="S46" s="264"/>
      <c r="T46" s="264"/>
      <c r="U46" s="370"/>
      <c r="V46" s="264"/>
      <c r="W46" s="264"/>
      <c r="X46" s="264"/>
      <c r="Y46" s="264"/>
      <c r="Z46" s="264"/>
      <c r="AA46" s="264"/>
      <c r="AB46" s="263"/>
      <c r="AC46" s="271"/>
      <c r="AD46" s="263"/>
      <c r="AE46" s="264"/>
      <c r="AF46" s="267"/>
      <c r="AG46" s="272"/>
      <c r="AH46" s="264"/>
      <c r="AI46" s="264"/>
      <c r="AJ46" s="271"/>
      <c r="AK46" s="264"/>
      <c r="AL46" s="264"/>
      <c r="AM46" s="265"/>
      <c r="AN46" s="274"/>
      <c r="AO46" s="271"/>
      <c r="AP46" s="274"/>
      <c r="AQ46" s="274"/>
      <c r="AR46" s="274"/>
      <c r="AS46" s="274"/>
      <c r="AT46" s="371"/>
      <c r="AU46" s="371"/>
      <c r="AV46" s="276"/>
      <c r="AW46" s="274"/>
      <c r="AX46" s="274"/>
      <c r="AY46" s="274"/>
      <c r="AZ46" s="274"/>
      <c r="BA46" s="274"/>
      <c r="BB46" s="274"/>
    </row>
    <row r="47" customFormat="false" ht="12.95" hidden="false" customHeight="true" outlineLevel="0" collapsed="false">
      <c r="A47" s="209" t="s">
        <v>104</v>
      </c>
      <c r="B47" s="239"/>
      <c r="C47" s="123"/>
      <c r="D47" s="123"/>
      <c r="E47" s="123"/>
      <c r="F47" s="240" t="n">
        <f aca="false">SUM(F15:F45)</f>
        <v>7159.56642298966</v>
      </c>
      <c r="G47" s="123" t="n">
        <f aca="false">SUM(G15:G45)</f>
        <v>6676.81682631712</v>
      </c>
      <c r="H47" s="369" t="n">
        <f aca="false">SUM(H15:H45)</f>
        <v>220.77</v>
      </c>
      <c r="I47" s="123" t="n">
        <f aca="false">SUM(I15:I45)</f>
        <v>6897.58682631712</v>
      </c>
      <c r="J47" s="123" t="n">
        <f aca="false">SUM(J15:J45)</f>
        <v>3138.90790521805</v>
      </c>
      <c r="K47" s="123" t="n">
        <f aca="false">SUM(K15:K45)</f>
        <v>10036.4947315352</v>
      </c>
      <c r="L47" s="123" t="n">
        <f aca="false">SUM(L15:L45)</f>
        <v>3108.89959667255</v>
      </c>
      <c r="M47" s="242" t="n">
        <f aca="false">SUM(M15:M45)</f>
        <v>305.79</v>
      </c>
      <c r="N47" s="123" t="n">
        <f aca="false">SUM(N15:N45)</f>
        <v>0</v>
      </c>
      <c r="O47" s="123" t="n">
        <f aca="false">SUM(O15:O45)</f>
        <v>16.7055</v>
      </c>
      <c r="P47" s="186"/>
      <c r="Q47" s="123" t="n">
        <f aca="false">SUM(Q15:Q45)</f>
        <v>49.7761856304783</v>
      </c>
      <c r="R47" s="123" t="n">
        <f aca="false">SUM(R15:R45)</f>
        <v>51.1041232</v>
      </c>
      <c r="S47" s="123" t="n">
        <f aca="false">SUM(S15:S45)</f>
        <v>0</v>
      </c>
      <c r="T47" s="123" t="n">
        <f aca="false">SUM(T15:T45)</f>
        <v>17.5358768</v>
      </c>
      <c r="U47" s="352" t="n">
        <f aca="false">SUM(U15:U45)</f>
        <v>-8.77416480734373</v>
      </c>
      <c r="V47" s="123" t="n">
        <f aca="false">SUM(V15:V45)</f>
        <v>966.7</v>
      </c>
      <c r="W47" s="123" t="n">
        <f aca="false">SUM(W15:W45)</f>
        <v>30.03</v>
      </c>
      <c r="X47" s="123" t="n">
        <f aca="false">SUM(X15:X45)</f>
        <v>1176.17247917687</v>
      </c>
      <c r="Y47" s="123" t="n">
        <f aca="false">SUM(Y15:Y45)</f>
        <v>926.032479176866</v>
      </c>
      <c r="Z47" s="123"/>
      <c r="AA47" s="123"/>
      <c r="AB47" s="123"/>
      <c r="AC47" s="156" t="n">
        <f aca="false">SUM(AC15:AC45)</f>
        <v>0</v>
      </c>
      <c r="AD47" s="123"/>
      <c r="AE47" s="123"/>
      <c r="AF47" s="242"/>
      <c r="AG47" s="245"/>
      <c r="AH47" s="123" t="n">
        <f aca="false">SUM(AH15:AH45)</f>
        <v>1544.4</v>
      </c>
      <c r="AI47" s="123"/>
      <c r="AJ47" s="156" t="n">
        <f aca="false">SUM(AJ15:AJ45)</f>
        <v>0</v>
      </c>
      <c r="AK47" s="123" t="n">
        <f aca="false">SUM(AK15:AK45)</f>
        <v>2846.92</v>
      </c>
      <c r="AL47" s="123" t="n">
        <f aca="false">SUM(AL15:AL45)</f>
        <v>30.0083085455004</v>
      </c>
      <c r="AM47" s="240" t="n">
        <f aca="false">SUM(AM15:AM45)</f>
        <v>2876.9283085455</v>
      </c>
      <c r="AN47" s="156" t="n">
        <f aca="false">SUM(AN15:AN45)</f>
        <v>868.8</v>
      </c>
      <c r="AO47" s="156" t="n">
        <f aca="false">SUM(AO15:AO45)</f>
        <v>250.14</v>
      </c>
      <c r="AP47" s="155"/>
      <c r="AQ47" s="155"/>
      <c r="AR47" s="155"/>
      <c r="AS47" s="248"/>
      <c r="AT47" s="97" t="s">
        <v>117</v>
      </c>
      <c r="AU47" s="58"/>
      <c r="AV47" s="249" t="n">
        <f aca="false">SUM(AV15:AV45)</f>
        <v>0.41</v>
      </c>
      <c r="AW47" s="241" t="n">
        <f aca="false">AVERAGE(AW15:AW45)</f>
        <v>58.1935483870968</v>
      </c>
      <c r="AX47" s="241" t="n">
        <f aca="false">AVERAGE(AX15:AX45)</f>
        <v>27.7741935483871</v>
      </c>
      <c r="AY47" s="250" t="s">
        <v>123</v>
      </c>
      <c r="AZ47" s="375" t="n">
        <f aca="false">SUM(AZ15:AZ45)</f>
        <v>109.642020823135</v>
      </c>
      <c r="BA47" s="208" t="n">
        <f aca="false">SUM(BA15:BA45)</f>
        <v>28.926</v>
      </c>
      <c r="BB47" s="283"/>
    </row>
    <row r="48" customFormat="false" ht="12.95" hidden="false" customHeight="true" outlineLevel="0" collapsed="false">
      <c r="A48" s="209" t="s">
        <v>106</v>
      </c>
      <c r="B48" s="239"/>
      <c r="C48" s="123"/>
      <c r="D48" s="123" t="n">
        <f aca="false">SUM(D15:D45)</f>
        <v>14201</v>
      </c>
      <c r="E48" s="123"/>
      <c r="F48" s="240" t="n">
        <f aca="false">F47*$D$2</f>
        <v>14201</v>
      </c>
      <c r="G48" s="123" t="n">
        <f aca="false">G47*$D$2</f>
        <v>13243.466175</v>
      </c>
      <c r="H48" s="369" t="n">
        <f aca="false">H47*$D$2</f>
        <v>437.897295</v>
      </c>
      <c r="I48" s="123" t="n">
        <f aca="false">I47*$D$2</f>
        <v>13681.36347</v>
      </c>
      <c r="J48" s="123" t="n">
        <f aca="false">J47*$D$2</f>
        <v>6226.02383</v>
      </c>
      <c r="K48" s="123" t="n">
        <f aca="false">K47*$D$2</f>
        <v>19907.3873</v>
      </c>
      <c r="L48" s="123" t="n">
        <f aca="false">L47*$D$2</f>
        <v>6166.50235</v>
      </c>
      <c r="M48" s="242" t="n">
        <f aca="false">M47*$D$2</f>
        <v>606.534465</v>
      </c>
      <c r="N48" s="123" t="n">
        <f aca="false">N47*$D$2</f>
        <v>0</v>
      </c>
      <c r="O48" s="123" t="n">
        <f aca="false">O47*$D$2</f>
        <v>33.13535925</v>
      </c>
      <c r="P48" s="186"/>
      <c r="Q48" s="123" t="n">
        <f aca="false">Q47*$D$2</f>
        <v>98.7310641980537</v>
      </c>
      <c r="R48" s="123" t="n">
        <f aca="false">R47*$D$2</f>
        <v>101.3650283672</v>
      </c>
      <c r="S48" s="123" t="n">
        <f aca="false">S47*$D$2</f>
        <v>0</v>
      </c>
      <c r="T48" s="123" t="n">
        <f aca="false">T47*$D$2</f>
        <v>34.7824116328</v>
      </c>
      <c r="U48" s="352" t="n">
        <f aca="false">U47*$D$2</f>
        <v>-17.4035558953663</v>
      </c>
      <c r="V48" s="123" t="n">
        <f aca="false">V47*$D$2</f>
        <v>1917.44945</v>
      </c>
      <c r="W48" s="123" t="n">
        <f aca="false">W47*$D$2</f>
        <v>59.564505</v>
      </c>
      <c r="X48" s="123" t="n">
        <f aca="false">X47*$D$2</f>
        <v>2332.93811244731</v>
      </c>
      <c r="Y48" s="123" t="n">
        <f aca="false">Y47*$D$2</f>
        <v>1836.78542244731</v>
      </c>
      <c r="Z48" s="123"/>
      <c r="AA48" s="123"/>
      <c r="AB48" s="123"/>
      <c r="AC48" s="156" t="n">
        <f aca="false">AC47*$D$2</f>
        <v>0</v>
      </c>
      <c r="AD48" s="123"/>
      <c r="AE48" s="123"/>
      <c r="AF48" s="242"/>
      <c r="AG48" s="245"/>
      <c r="AH48" s="123" t="n">
        <f aca="false">AH47*$D$2</f>
        <v>3063.3174</v>
      </c>
      <c r="AI48" s="123"/>
      <c r="AJ48" s="156" t="n">
        <f aca="false">AJ47*$D$2</f>
        <v>0</v>
      </c>
      <c r="AK48" s="123" t="n">
        <f aca="false">AK47*$D$2</f>
        <v>5646.86582</v>
      </c>
      <c r="AL48" s="123" t="n">
        <f aca="false">AL47*$D$2</f>
        <v>59.52148</v>
      </c>
      <c r="AM48" s="240" t="n">
        <f aca="false">AM47*$D$2</f>
        <v>5706.3873</v>
      </c>
      <c r="AN48" s="156" t="n">
        <f aca="false">AN47*$D$2</f>
        <v>1723.2648</v>
      </c>
      <c r="AO48" s="156" t="n">
        <f aca="false">AO47*$D$2</f>
        <v>496.15269</v>
      </c>
      <c r="AP48" s="155"/>
      <c r="AQ48" s="155"/>
      <c r="AR48" s="155"/>
      <c r="AS48" s="248"/>
      <c r="AT48" s="97"/>
      <c r="AU48" s="58"/>
      <c r="AV48" s="249"/>
      <c r="AW48" s="241" t="n">
        <f aca="false">MAX(AW15:AW45)</f>
        <v>70</v>
      </c>
      <c r="AX48" s="241" t="n">
        <f aca="false">MAX(AX15:AX45)</f>
        <v>38</v>
      </c>
      <c r="AY48" s="250" t="s">
        <v>107</v>
      </c>
      <c r="AZ48" s="375" t="n">
        <f aca="false">AZ47*$D$2</f>
        <v>217.474948302687</v>
      </c>
      <c r="BA48" s="208" t="n">
        <f aca="false">BA47*D2</f>
        <v>57.374721</v>
      </c>
      <c r="BB48" s="283"/>
    </row>
    <row r="49" customFormat="false" ht="3" hidden="false" customHeight="true" outlineLevel="0" collapsed="false">
      <c r="A49" s="261"/>
      <c r="B49" s="286"/>
      <c r="C49" s="263"/>
      <c r="D49" s="263"/>
      <c r="E49" s="263"/>
      <c r="F49" s="289"/>
      <c r="G49" s="263"/>
      <c r="H49" s="376"/>
      <c r="I49" s="263"/>
      <c r="J49" s="263"/>
      <c r="K49" s="263"/>
      <c r="L49" s="263"/>
      <c r="M49" s="290"/>
      <c r="N49" s="263"/>
      <c r="O49" s="263"/>
      <c r="P49" s="268"/>
      <c r="Q49" s="263"/>
      <c r="R49" s="263"/>
      <c r="S49" s="263"/>
      <c r="T49" s="263"/>
      <c r="U49" s="377"/>
      <c r="V49" s="263"/>
      <c r="W49" s="263"/>
      <c r="X49" s="263"/>
      <c r="Y49" s="263"/>
      <c r="Z49" s="263"/>
      <c r="AA49" s="263"/>
      <c r="AB49" s="263"/>
      <c r="AC49" s="271"/>
      <c r="AD49" s="263"/>
      <c r="AE49" s="263"/>
      <c r="AF49" s="290"/>
      <c r="AG49" s="291"/>
      <c r="AH49" s="263"/>
      <c r="AI49" s="264"/>
      <c r="AJ49" s="271"/>
      <c r="AK49" s="263"/>
      <c r="AL49" s="263"/>
      <c r="AM49" s="289"/>
      <c r="AN49" s="271"/>
      <c r="AO49" s="271"/>
      <c r="AP49" s="263"/>
      <c r="AQ49" s="263"/>
      <c r="AR49" s="263"/>
      <c r="AS49" s="263"/>
      <c r="AT49" s="378"/>
      <c r="AU49" s="371"/>
      <c r="AV49" s="293"/>
      <c r="AW49" s="263"/>
      <c r="AX49" s="263"/>
      <c r="AY49" s="263"/>
      <c r="AZ49" s="263"/>
      <c r="BA49" s="263"/>
      <c r="BB49" s="263"/>
    </row>
    <row r="50" customFormat="false" ht="12.95" hidden="false" customHeight="true" outlineLevel="0" collapsed="false">
      <c r="A50" s="209" t="s">
        <v>108</v>
      </c>
      <c r="B50" s="239"/>
      <c r="C50" s="123"/>
      <c r="D50" s="123"/>
      <c r="E50" s="123"/>
      <c r="F50" s="240"/>
      <c r="G50" s="123"/>
      <c r="H50" s="369"/>
      <c r="I50" s="123"/>
      <c r="J50" s="123"/>
      <c r="K50" s="123"/>
      <c r="L50" s="123"/>
      <c r="M50" s="242"/>
      <c r="N50" s="123"/>
      <c r="O50" s="123" t="n">
        <f aca="false">O47</f>
        <v>16.7055</v>
      </c>
      <c r="P50" s="186"/>
      <c r="Q50" s="123"/>
      <c r="R50" s="123"/>
      <c r="S50" s="123"/>
      <c r="T50" s="123"/>
      <c r="U50" s="379"/>
      <c r="V50" s="123"/>
      <c r="W50" s="123"/>
      <c r="X50" s="123"/>
      <c r="Y50" s="123"/>
      <c r="Z50" s="123"/>
      <c r="AA50" s="123"/>
      <c r="AB50" s="123"/>
      <c r="AC50" s="156"/>
      <c r="AD50" s="123"/>
      <c r="AE50" s="123"/>
      <c r="AF50" s="242"/>
      <c r="AG50" s="245"/>
      <c r="AH50" s="123"/>
      <c r="AI50" s="123"/>
      <c r="AJ50" s="156"/>
      <c r="AK50" s="123"/>
      <c r="AL50" s="123"/>
      <c r="AM50" s="240"/>
      <c r="AN50" s="156"/>
      <c r="AO50" s="156"/>
      <c r="AP50" s="155"/>
      <c r="AQ50" s="155"/>
      <c r="AR50" s="155"/>
      <c r="AS50" s="248"/>
      <c r="AT50" s="97"/>
      <c r="AU50" s="58"/>
      <c r="AV50" s="249"/>
      <c r="AW50" s="241" t="n">
        <f aca="false">MIN(AW15:AW45)</f>
        <v>44</v>
      </c>
      <c r="AX50" s="241" t="n">
        <f aca="false">MIN(AX15:AX45)</f>
        <v>21</v>
      </c>
      <c r="AY50" s="250" t="s">
        <v>109</v>
      </c>
      <c r="AZ50" s="375"/>
      <c r="BB50" s="283"/>
    </row>
    <row r="51" customFormat="false" ht="12.95" hidden="false" customHeight="true" outlineLevel="0" collapsed="false">
      <c r="A51" s="209" t="s">
        <v>110</v>
      </c>
      <c r="B51" s="239"/>
      <c r="C51" s="123"/>
      <c r="D51" s="123"/>
      <c r="E51" s="123"/>
      <c r="F51" s="240"/>
      <c r="G51" s="123"/>
      <c r="H51" s="369"/>
      <c r="I51" s="123"/>
      <c r="J51" s="123"/>
      <c r="K51" s="123"/>
      <c r="L51" s="123"/>
      <c r="M51" s="242"/>
      <c r="N51" s="123"/>
      <c r="O51" s="123" t="n">
        <f aca="false">O50*D2</f>
        <v>33.13535925</v>
      </c>
      <c r="P51" s="186"/>
      <c r="Q51" s="123"/>
      <c r="R51" s="123"/>
      <c r="S51" s="123"/>
      <c r="T51" s="123"/>
      <c r="U51" s="379"/>
      <c r="V51" s="123"/>
      <c r="W51" s="123"/>
      <c r="X51" s="123"/>
      <c r="Y51" s="123"/>
      <c r="Z51" s="123"/>
      <c r="AA51" s="123"/>
      <c r="AB51" s="123"/>
      <c r="AC51" s="156"/>
      <c r="AD51" s="123"/>
      <c r="AE51" s="123"/>
      <c r="AF51" s="242"/>
      <c r="AG51" s="245"/>
      <c r="AH51" s="123"/>
      <c r="AI51" s="123"/>
      <c r="AJ51" s="156"/>
      <c r="AK51" s="123"/>
      <c r="AL51" s="123"/>
      <c r="AM51" s="240"/>
      <c r="AN51" s="156"/>
      <c r="AO51" s="156"/>
      <c r="AP51" s="155"/>
      <c r="AQ51" s="155"/>
      <c r="AR51" s="155"/>
      <c r="AS51" s="248"/>
      <c r="AT51" s="97"/>
      <c r="AU51" s="58"/>
      <c r="AV51" s="249"/>
      <c r="AW51" s="241"/>
      <c r="AX51" s="241"/>
      <c r="AY51" s="283"/>
      <c r="AZ51" s="375"/>
      <c r="BB51" s="283"/>
    </row>
    <row r="52" customFormat="false" ht="3" hidden="false" customHeight="true" outlineLevel="0" collapsed="false">
      <c r="A52" s="261"/>
      <c r="B52" s="286"/>
      <c r="C52" s="263"/>
      <c r="D52" s="263"/>
      <c r="E52" s="263"/>
      <c r="F52" s="289"/>
      <c r="G52" s="263"/>
      <c r="H52" s="376"/>
      <c r="I52" s="263"/>
      <c r="J52" s="263"/>
      <c r="K52" s="263"/>
      <c r="L52" s="263"/>
      <c r="M52" s="290"/>
      <c r="N52" s="263"/>
      <c r="O52" s="263"/>
      <c r="P52" s="268"/>
      <c r="Q52" s="263"/>
      <c r="R52" s="263"/>
      <c r="S52" s="263"/>
      <c r="T52" s="263"/>
      <c r="U52" s="377"/>
      <c r="V52" s="263"/>
      <c r="W52" s="263"/>
      <c r="X52" s="263"/>
      <c r="Y52" s="263"/>
      <c r="Z52" s="263"/>
      <c r="AA52" s="263"/>
      <c r="AB52" s="263"/>
      <c r="AC52" s="271"/>
      <c r="AD52" s="263"/>
      <c r="AE52" s="263"/>
      <c r="AF52" s="290"/>
      <c r="AG52" s="291"/>
      <c r="AH52" s="263"/>
      <c r="AI52" s="263"/>
      <c r="AJ52" s="271"/>
      <c r="AK52" s="263"/>
      <c r="AL52" s="263"/>
      <c r="AM52" s="289"/>
      <c r="AN52" s="271"/>
      <c r="AO52" s="271"/>
      <c r="AP52" s="294"/>
      <c r="AQ52" s="294"/>
      <c r="AR52" s="294"/>
      <c r="AS52" s="294"/>
      <c r="AT52" s="378"/>
      <c r="AU52" s="371"/>
      <c r="AV52" s="276"/>
      <c r="AW52" s="294"/>
      <c r="AX52" s="294"/>
      <c r="AY52" s="294"/>
      <c r="AZ52" s="294"/>
      <c r="BA52" s="294"/>
      <c r="BB52" s="274"/>
    </row>
    <row r="53" customFormat="false" ht="12.95" hidden="false" customHeight="true" outlineLevel="0" collapsed="false">
      <c r="A53" s="209" t="s">
        <v>111</v>
      </c>
      <c r="B53" s="239"/>
      <c r="C53" s="123"/>
      <c r="D53" s="123"/>
      <c r="E53" s="123"/>
      <c r="F53" s="240" t="n">
        <f aca="false">F13+F47</f>
        <v>10400.3024955886</v>
      </c>
      <c r="G53" s="123" t="n">
        <f aca="false">G13+G47</f>
        <v>16259.8798999244</v>
      </c>
      <c r="H53" s="369" t="n">
        <f aca="false">H13+H47</f>
        <v>288.699</v>
      </c>
      <c r="I53" s="123" t="n">
        <f aca="false">I13+I47</f>
        <v>16548.5788999244</v>
      </c>
      <c r="J53" s="123" t="n">
        <f aca="false">J13+J47</f>
        <v>3381.21923115705</v>
      </c>
      <c r="K53" s="123" t="n">
        <f aca="false">K13+K47</f>
        <v>19929.7981310814</v>
      </c>
      <c r="L53" s="123" t="n">
        <f aca="false">L13+L47</f>
        <v>3063.21859566423</v>
      </c>
      <c r="M53" s="242" t="n">
        <f aca="false">M13+M47</f>
        <v>755</v>
      </c>
      <c r="N53" s="123" t="n">
        <f aca="false">N13+N47</f>
        <v>0</v>
      </c>
      <c r="O53" s="123" t="n">
        <f aca="false">O13+O47</f>
        <v>18.43905</v>
      </c>
      <c r="P53" s="186"/>
      <c r="Q53" s="123" t="n">
        <f aca="false">Q13+Q47</f>
        <v>243.727629676837</v>
      </c>
      <c r="R53" s="123" t="n">
        <f aca="false">R13+R47</f>
        <v>245.78896576</v>
      </c>
      <c r="S53" s="123" t="n">
        <f aca="false">S13+S47</f>
        <v>0</v>
      </c>
      <c r="T53" s="123" t="n">
        <f aca="false">T13+T47</f>
        <v>84.82703424</v>
      </c>
      <c r="U53" s="352" t="n">
        <f aca="false">U13+U47</f>
        <v>-15.4916088537026</v>
      </c>
      <c r="V53" s="123" t="n">
        <f aca="false">V13+V47</f>
        <v>3214.81</v>
      </c>
      <c r="W53" s="123" t="n">
        <f aca="false">W13+W47</f>
        <v>30.085</v>
      </c>
      <c r="X53" s="123" t="n">
        <f aca="false">X13+X47</f>
        <v>3398.82982917687</v>
      </c>
      <c r="Y53" s="123" t="n">
        <f aca="false">Y13+Y47</f>
        <v>3148.68982917687</v>
      </c>
      <c r="Z53" s="123"/>
      <c r="AA53" s="123"/>
      <c r="AB53" s="123"/>
      <c r="AC53" s="156" t="n">
        <f aca="false">AC13+AC47</f>
        <v>1714.07656152266</v>
      </c>
      <c r="AD53" s="123"/>
      <c r="AE53" s="123"/>
      <c r="AF53" s="242"/>
      <c r="AG53" s="245"/>
      <c r="AH53" s="123" t="n">
        <f aca="false">AH13+AH47</f>
        <v>5211.6</v>
      </c>
      <c r="AI53" s="123" t="n">
        <f aca="false">AI45</f>
        <v>6.65787748928155</v>
      </c>
      <c r="AJ53" s="156" t="n">
        <f aca="false">AJ13+AJ47</f>
        <v>0</v>
      </c>
      <c r="AK53" s="123" t="n">
        <f aca="false">AK13+AK47</f>
        <v>9211.495</v>
      </c>
      <c r="AL53" s="123" t="n">
        <f aca="false">AL13+AL47</f>
        <v>318.000635492816</v>
      </c>
      <c r="AM53" s="240" t="n">
        <f aca="false">AM13+AM47</f>
        <v>9529.49563549282</v>
      </c>
      <c r="AN53" s="156" t="n">
        <f aca="false">AN13+AN47</f>
        <v>3115.79</v>
      </c>
      <c r="AO53" s="156" t="n">
        <f aca="false">AO13+AO47</f>
        <v>250.14</v>
      </c>
      <c r="AP53" s="155"/>
      <c r="AQ53" s="155"/>
      <c r="AR53" s="155"/>
      <c r="AS53" s="248"/>
      <c r="AT53" s="97"/>
      <c r="AU53" s="58"/>
      <c r="AV53" s="249" t="n">
        <f aca="false">AV13+AV47</f>
        <v>7.445</v>
      </c>
      <c r="AW53" s="241"/>
      <c r="AX53" s="241"/>
      <c r="AY53" s="283"/>
      <c r="AZ53" s="375" t="n">
        <f aca="false">AZ13+AZ47</f>
        <v>554.952020823135</v>
      </c>
      <c r="BA53" s="260" t="n">
        <f aca="false">BA47+BA13</f>
        <v>84.458</v>
      </c>
      <c r="BB53" s="283"/>
    </row>
    <row r="54" customFormat="false" ht="12.95" hidden="false" customHeight="true" outlineLevel="0" collapsed="false">
      <c r="A54" s="209" t="s">
        <v>112</v>
      </c>
      <c r="B54" s="239"/>
      <c r="C54" s="123"/>
      <c r="D54" s="123" t="n">
        <f aca="false">D13+D48</f>
        <v>20493</v>
      </c>
      <c r="E54" s="123" t="n">
        <f aca="false">E45</f>
        <v>111661</v>
      </c>
      <c r="F54" s="240" t="n">
        <f aca="false">F53*$D$2</f>
        <v>20629</v>
      </c>
      <c r="G54" s="123" t="n">
        <f aca="false">G53*$D$2</f>
        <v>32251.4717815</v>
      </c>
      <c r="H54" s="369" t="n">
        <f aca="false">H53*$D$2</f>
        <v>572.6344665</v>
      </c>
      <c r="I54" s="123" t="n">
        <f aca="false">I53*$D$2</f>
        <v>32824.106248</v>
      </c>
      <c r="J54" s="123" t="n">
        <f aca="false">J53*$D$2</f>
        <v>6706.648345</v>
      </c>
      <c r="K54" s="123" t="n">
        <f aca="false">K53*$D$2</f>
        <v>39530.754593</v>
      </c>
      <c r="L54" s="123" t="n">
        <f aca="false">L53*$D$2</f>
        <v>6075.8940845</v>
      </c>
      <c r="M54" s="242" t="n">
        <f aca="false">M53*$D$2</f>
        <v>1497.5425</v>
      </c>
      <c r="N54" s="123" t="n">
        <f aca="false">N53*$D$2</f>
        <v>0</v>
      </c>
      <c r="O54" s="123" t="n">
        <f aca="false">O53*$D$2</f>
        <v>36.573855675</v>
      </c>
      <c r="P54" s="186"/>
      <c r="Q54" s="123" t="n">
        <f aca="false">Q53*$D$2</f>
        <v>483.433753464007</v>
      </c>
      <c r="R54" s="123" t="n">
        <f aca="false">R53*$D$2</f>
        <v>487.52241358496</v>
      </c>
      <c r="S54" s="123" t="n">
        <f aca="false">S53*$D$2</f>
        <v>0</v>
      </c>
      <c r="T54" s="123" t="n">
        <f aca="false">T53*$D$2</f>
        <v>168.25442241504</v>
      </c>
      <c r="U54" s="352" t="n">
        <f aca="false">U53*$D$2</f>
        <v>-30.7276061613192</v>
      </c>
      <c r="V54" s="123" t="n">
        <f aca="false">V53*$D$2</f>
        <v>6376.575635</v>
      </c>
      <c r="W54" s="123" t="n">
        <f aca="false">W53*$D$2</f>
        <v>59.6735975</v>
      </c>
      <c r="X54" s="123" t="n">
        <f aca="false">X53*$D$2</f>
        <v>6741.57896617231</v>
      </c>
      <c r="Y54" s="123" t="n">
        <f aca="false">Y53*$D$2</f>
        <v>6245.42627617231</v>
      </c>
      <c r="Z54" s="123"/>
      <c r="AA54" s="123"/>
      <c r="AB54" s="123"/>
      <c r="AC54" s="156" t="n">
        <f aca="false">AC53*$D$2</f>
        <v>3399.87085978019</v>
      </c>
      <c r="AD54" s="123"/>
      <c r="AE54" s="123"/>
      <c r="AF54" s="296"/>
      <c r="AG54" s="297"/>
      <c r="AH54" s="123" t="n">
        <f aca="false">AH53*$D$2</f>
        <v>10337.2086</v>
      </c>
      <c r="AI54" s="123" t="n">
        <f aca="false">AI53*$D$2</f>
        <v>13.2058999999899</v>
      </c>
      <c r="AJ54" s="156" t="n">
        <f aca="false">AJ53*$D$2</f>
        <v>0</v>
      </c>
      <c r="AK54" s="123" t="n">
        <f aca="false">AK53*$D$2</f>
        <v>18271.0003325</v>
      </c>
      <c r="AL54" s="123" t="n">
        <f aca="false">AL53*$D$2</f>
        <v>630.7542605</v>
      </c>
      <c r="AM54" s="298" t="n">
        <f aca="false">AM53*$D$2</f>
        <v>18901.754593</v>
      </c>
      <c r="AN54" s="241" t="n">
        <f aca="false">AN53*$D$2</f>
        <v>6180.169465</v>
      </c>
      <c r="AO54" s="156" t="n">
        <f aca="false">AO53*$D$2</f>
        <v>496.15269</v>
      </c>
      <c r="AP54" s="155"/>
      <c r="AQ54" s="155"/>
      <c r="AR54" s="155"/>
      <c r="AS54" s="248"/>
      <c r="AT54" s="97"/>
      <c r="AU54" s="58"/>
      <c r="AV54" s="249"/>
      <c r="AW54" s="241"/>
      <c r="AX54" s="241"/>
      <c r="AY54" s="283"/>
      <c r="AZ54" s="375" t="n">
        <f aca="false">AZ53*$D$2</f>
        <v>1100.74733330269</v>
      </c>
      <c r="BA54" s="208" t="n">
        <f aca="false">BA53*D2</f>
        <v>167.522443</v>
      </c>
      <c r="BB54" s="283"/>
    </row>
    <row r="55" customFormat="false" ht="3" hidden="false" customHeight="true" outlineLevel="0" collapsed="false">
      <c r="A55" s="261"/>
      <c r="B55" s="286"/>
      <c r="C55" s="263"/>
      <c r="D55" s="264"/>
      <c r="E55" s="263"/>
      <c r="F55" s="265"/>
      <c r="G55" s="264"/>
      <c r="H55" s="294"/>
      <c r="I55" s="264"/>
      <c r="J55" s="264"/>
      <c r="K55" s="264"/>
      <c r="L55" s="264"/>
      <c r="M55" s="267"/>
      <c r="N55" s="264"/>
      <c r="O55" s="264"/>
      <c r="P55" s="268"/>
      <c r="Q55" s="264"/>
      <c r="R55" s="264"/>
      <c r="S55" s="264"/>
      <c r="T55" s="264"/>
      <c r="U55" s="370"/>
      <c r="V55" s="264"/>
      <c r="W55" s="264"/>
      <c r="X55" s="264"/>
      <c r="Y55" s="264"/>
      <c r="Z55" s="264"/>
      <c r="AA55" s="264"/>
      <c r="AB55" s="263"/>
      <c r="AC55" s="271"/>
      <c r="AD55" s="263"/>
      <c r="AE55" s="264"/>
      <c r="AF55" s="267"/>
      <c r="AG55" s="272"/>
      <c r="AH55" s="264"/>
      <c r="AI55" s="263"/>
      <c r="AJ55" s="271"/>
      <c r="AK55" s="264"/>
      <c r="AL55" s="264"/>
      <c r="AM55" s="264"/>
      <c r="AN55" s="309"/>
      <c r="AO55" s="271"/>
      <c r="AP55" s="264"/>
      <c r="AQ55" s="264"/>
      <c r="AR55" s="264"/>
      <c r="AS55" s="264"/>
      <c r="AT55" s="380"/>
      <c r="AU55" s="371"/>
      <c r="AV55" s="286"/>
      <c r="AW55" s="264"/>
      <c r="AX55" s="264"/>
      <c r="AY55" s="264"/>
      <c r="AZ55" s="264"/>
      <c r="BA55" s="264"/>
      <c r="BB55" s="264"/>
    </row>
    <row r="56" customFormat="false" ht="11.1" hidden="false" customHeight="true" outlineLevel="0" collapsed="false">
      <c r="A56" s="209"/>
      <c r="B56" s="300"/>
      <c r="D56" s="209"/>
      <c r="F56" s="209"/>
      <c r="G56" s="209"/>
      <c r="I56" s="209"/>
      <c r="J56" s="209"/>
      <c r="K56" s="209"/>
      <c r="L56" s="209"/>
      <c r="M56" s="209"/>
      <c r="N56" s="209"/>
      <c r="O56" s="209"/>
      <c r="Q56" s="209"/>
      <c r="R56" s="209"/>
      <c r="S56" s="209"/>
      <c r="T56" s="209"/>
      <c r="V56" s="209"/>
      <c r="W56" s="209"/>
      <c r="X56" s="209"/>
      <c r="Y56" s="209"/>
      <c r="Z56" s="209"/>
      <c r="AA56" s="209"/>
      <c r="AB56" s="176"/>
      <c r="AD56" s="176"/>
      <c r="AE56" s="209"/>
      <c r="AF56" s="209"/>
      <c r="AG56" s="209"/>
      <c r="AH56" s="209"/>
      <c r="AI56" s="176"/>
      <c r="AK56" s="209"/>
      <c r="AL56" s="209"/>
      <c r="AM56" s="209"/>
      <c r="AN56" s="207"/>
      <c r="AO56" s="216"/>
      <c r="AP56" s="212"/>
      <c r="AQ56" s="212"/>
      <c r="AR56" s="212"/>
      <c r="AX56" s="206"/>
    </row>
    <row r="57" customFormat="false" ht="11.1" hidden="false" customHeight="true" outlineLevel="0" collapsed="false">
      <c r="A57" s="209"/>
      <c r="B57" s="301"/>
      <c r="F57" s="209"/>
      <c r="G57" s="209"/>
      <c r="I57" s="210"/>
      <c r="J57" s="209"/>
      <c r="K57" s="201"/>
      <c r="L57" s="209"/>
      <c r="M57" s="209"/>
      <c r="N57" s="209"/>
      <c r="O57" s="209"/>
      <c r="Q57" s="209"/>
      <c r="R57" s="209"/>
      <c r="S57" s="209"/>
      <c r="T57" s="209"/>
      <c r="V57" s="209"/>
      <c r="W57" s="209"/>
      <c r="X57" s="209"/>
      <c r="Y57" s="209"/>
      <c r="Z57" s="209"/>
      <c r="AA57" s="209"/>
      <c r="AB57" s="176"/>
      <c r="AD57" s="176"/>
      <c r="AE57" s="209"/>
      <c r="AF57" s="209"/>
      <c r="AG57" s="209"/>
      <c r="AH57" s="209"/>
      <c r="AI57" s="176"/>
      <c r="AK57" s="209"/>
      <c r="AL57" s="209"/>
      <c r="AM57" s="209"/>
      <c r="AN57" s="207"/>
      <c r="AO57" s="216"/>
      <c r="AP57" s="212"/>
      <c r="AQ57" s="212"/>
      <c r="AR57" s="212"/>
      <c r="AX57" s="206"/>
    </row>
    <row r="58" customFormat="false" ht="11.1" hidden="false" customHeight="true" outlineLevel="0" collapsed="false">
      <c r="D58" s="176"/>
      <c r="S58" s="120"/>
      <c r="T58" s="120"/>
      <c r="X58" s="58"/>
      <c r="Y58" s="58"/>
      <c r="Z58" s="58"/>
      <c r="AA58" s="58"/>
      <c r="AB58" s="176"/>
      <c r="AD58" s="176"/>
      <c r="AH58" s="58"/>
      <c r="AI58" s="176"/>
      <c r="AM58" s="58"/>
      <c r="AN58" s="207"/>
      <c r="AO58" s="216"/>
      <c r="AP58" s="204"/>
      <c r="AQ58" s="204"/>
      <c r="AR58" s="204"/>
      <c r="AX58" s="206"/>
    </row>
    <row r="59" customFormat="false" ht="11.1" hidden="false" customHeight="true" outlineLevel="0" collapsed="false">
      <c r="B59" s="8"/>
      <c r="D59" s="176"/>
      <c r="AN59" s="319"/>
      <c r="AO59" s="361"/>
      <c r="AP59" s="204"/>
    </row>
    <row r="60" customFormat="false" ht="11.1" hidden="false" customHeight="true" outlineLevel="0" collapsed="false">
      <c r="G60" s="302"/>
      <c r="AN60" s="319"/>
      <c r="AO60" s="361"/>
      <c r="AP60" s="204"/>
    </row>
  </sheetData>
  <mergeCells count="2">
    <mergeCell ref="K2:T2"/>
    <mergeCell ref="M5:U5"/>
  </mergeCells>
  <printOptions headings="true" gridLines="true" gridLinesSet="true" horizontalCentered="true" verticalCentered="true"/>
  <pageMargins left="0.1" right="0.1" top="0.25" bottom="0" header="0.511811023622047" footer="0.511811023622047"/>
  <pageSetup paperSize="3" scale="81"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8"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381"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0" min="40" style="1" width="6.32"/>
    <col collapsed="false" customWidth="true" hidden="false" outlineLevel="0" max="41" min="41" style="1" width="5.49"/>
    <col collapsed="false" customWidth="true" hidden="false" outlineLevel="0" max="42" min="42" style="1" width="6.32"/>
    <col collapsed="false" customWidth="true" hidden="false" outlineLevel="0" max="43" min="43" style="323" width="6.32"/>
    <col collapsed="false" customWidth="true" hidden="false" outlineLevel="0" max="44" min="44" style="216" width="5.49"/>
    <col collapsed="false" customWidth="true" hidden="false" outlineLevel="0" max="45" min="45" style="6" width="5.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208" width="5.49"/>
  </cols>
  <sheetData>
    <row r="1" customFormat="false" ht="14.1" hidden="false" customHeight="true" outlineLevel="0" collapsed="false">
      <c r="A1" s="11" t="s">
        <v>117</v>
      </c>
      <c r="B1" s="11"/>
      <c r="D1" s="11"/>
      <c r="F1" s="11"/>
      <c r="G1" s="11"/>
      <c r="I1" s="11"/>
      <c r="J1" s="11"/>
      <c r="K1" s="382" t="s">
        <v>0</v>
      </c>
      <c r="L1" s="382"/>
      <c r="M1" s="382"/>
      <c r="N1" s="382"/>
      <c r="O1" s="382"/>
      <c r="P1" s="382"/>
      <c r="Q1" s="382"/>
      <c r="R1" s="382"/>
      <c r="S1" s="382"/>
      <c r="T1" s="382"/>
      <c r="U1" s="382"/>
      <c r="V1" s="382"/>
      <c r="W1" s="11"/>
      <c r="Z1" s="11"/>
      <c r="AB1" s="209"/>
      <c r="AC1" s="11"/>
      <c r="AD1" s="11"/>
      <c r="AE1" s="11"/>
      <c r="AF1" s="11"/>
      <c r="AG1" s="11"/>
      <c r="AI1" s="11"/>
      <c r="AK1" s="11"/>
      <c r="AL1" s="11"/>
      <c r="AN1" s="14"/>
      <c r="AO1" s="14"/>
      <c r="AP1" s="14"/>
    </row>
    <row r="2" customFormat="false" ht="14.1" hidden="false" customHeight="true" outlineLevel="0" collapsed="false">
      <c r="A2" s="14" t="s">
        <v>1</v>
      </c>
      <c r="B2" s="11"/>
      <c r="D2" s="15" t="n">
        <v>1.9835</v>
      </c>
      <c r="F2" s="11"/>
      <c r="G2" s="11"/>
      <c r="I2" s="11"/>
      <c r="J2" s="11"/>
      <c r="K2" s="383" t="s">
        <v>126</v>
      </c>
      <c r="L2" s="383"/>
      <c r="M2" s="384"/>
      <c r="N2" s="384"/>
      <c r="O2" s="199"/>
      <c r="P2" s="6"/>
      <c r="Q2" s="199"/>
      <c r="R2" s="199"/>
      <c r="S2" s="384"/>
      <c r="T2" s="384"/>
      <c r="U2" s="6"/>
      <c r="V2" s="384"/>
      <c r="W2" s="384"/>
      <c r="X2" s="385"/>
      <c r="Y2" s="385"/>
      <c r="Z2" s="384"/>
      <c r="AA2" s="385"/>
      <c r="AB2" s="215"/>
      <c r="AC2" s="384"/>
      <c r="AD2" s="384"/>
      <c r="AE2" s="384"/>
      <c r="AF2" s="384"/>
      <c r="AG2" s="384"/>
      <c r="AH2" s="385"/>
      <c r="AI2" s="11"/>
      <c r="AK2" s="11"/>
      <c r="AL2" s="11"/>
      <c r="AN2" s="14"/>
      <c r="AO2" s="14"/>
      <c r="AP2" s="14"/>
    </row>
    <row r="3" customFormat="false" ht="14.1" hidden="false" customHeight="true" outlineLevel="0" collapsed="false">
      <c r="A3" s="17"/>
      <c r="B3" s="17"/>
      <c r="C3" s="18"/>
      <c r="D3" s="19"/>
      <c r="E3" s="18"/>
      <c r="F3" s="17"/>
      <c r="G3" s="17"/>
      <c r="H3" s="23"/>
      <c r="I3" s="17"/>
      <c r="J3" s="17"/>
      <c r="K3" s="17"/>
      <c r="L3" s="17"/>
      <c r="M3" s="17"/>
      <c r="N3" s="17"/>
      <c r="O3" s="23"/>
      <c r="P3" s="21"/>
      <c r="Q3" s="23"/>
      <c r="R3" s="23"/>
      <c r="S3" s="17"/>
      <c r="T3" s="17"/>
      <c r="U3" s="21"/>
      <c r="V3" s="17"/>
      <c r="W3" s="17"/>
      <c r="X3" s="18"/>
      <c r="Y3" s="18"/>
      <c r="Z3" s="17"/>
      <c r="AA3" s="103"/>
      <c r="AB3" s="209"/>
      <c r="AC3" s="17"/>
      <c r="AD3" s="17"/>
      <c r="AE3" s="17"/>
      <c r="AF3" s="17"/>
      <c r="AG3" s="17"/>
      <c r="AH3" s="18"/>
      <c r="AI3" s="17"/>
      <c r="AJ3" s="386"/>
      <c r="AK3" s="17"/>
      <c r="AL3" s="17"/>
      <c r="AM3" s="21"/>
      <c r="AN3" s="387"/>
      <c r="AO3" s="387"/>
      <c r="AP3" s="387"/>
      <c r="AQ3" s="362"/>
      <c r="AR3" s="388"/>
      <c r="AV3" s="28"/>
      <c r="AW3" s="29"/>
      <c r="AX3" s="30"/>
      <c r="BA3" s="32"/>
      <c r="BB3" s="32"/>
    </row>
    <row r="4" s="58" customFormat="true" ht="14.1" hidden="false" customHeight="true" outlineLevel="0" collapsed="false">
      <c r="A4" s="33"/>
      <c r="B4" s="34"/>
      <c r="C4" s="35"/>
      <c r="D4" s="36" t="s">
        <v>3</v>
      </c>
      <c r="E4" s="35"/>
      <c r="F4" s="33"/>
      <c r="G4" s="39"/>
      <c r="H4" s="39"/>
      <c r="I4" s="38" t="s">
        <v>127</v>
      </c>
      <c r="J4" s="39"/>
      <c r="K4" s="39"/>
      <c r="L4" s="40"/>
      <c r="M4" s="39"/>
      <c r="N4" s="39"/>
      <c r="O4" s="39"/>
      <c r="P4" s="41"/>
      <c r="Q4" s="39"/>
      <c r="R4" s="39"/>
      <c r="S4" s="39"/>
      <c r="T4" s="39"/>
      <c r="U4" s="41"/>
      <c r="V4" s="39"/>
      <c r="W4" s="39"/>
      <c r="X4" s="42" t="s">
        <v>5</v>
      </c>
      <c r="Y4" s="42"/>
      <c r="Z4" s="43"/>
      <c r="AA4" s="42"/>
      <c r="AB4" s="43"/>
      <c r="AC4" s="43"/>
      <c r="AD4" s="44"/>
      <c r="AE4" s="39"/>
      <c r="AF4" s="39"/>
      <c r="AG4" s="39"/>
      <c r="AH4" s="35"/>
      <c r="AI4" s="39"/>
      <c r="AJ4" s="389"/>
      <c r="AK4" s="39"/>
      <c r="AL4" s="39"/>
      <c r="AM4" s="41"/>
      <c r="AN4" s="46"/>
      <c r="AO4" s="47"/>
      <c r="AP4" s="48" t="s">
        <v>6</v>
      </c>
      <c r="AQ4" s="49"/>
      <c r="AR4" s="49"/>
      <c r="AS4" s="51"/>
      <c r="AT4" s="52"/>
      <c r="AU4" s="52"/>
      <c r="AV4" s="54"/>
      <c r="AW4" s="55" t="s">
        <v>7</v>
      </c>
      <c r="AX4" s="56"/>
      <c r="AY4" s="327"/>
      <c r="AZ4" s="364"/>
      <c r="BA4" s="75"/>
      <c r="BB4" s="232"/>
    </row>
    <row r="5" s="208" customFormat="true" ht="12.95" hidden="false" customHeight="true" outlineLevel="0" collapsed="false">
      <c r="A5" s="60" t="s">
        <v>8</v>
      </c>
      <c r="B5" s="61" t="s">
        <v>9</v>
      </c>
      <c r="C5" s="62" t="s">
        <v>9</v>
      </c>
      <c r="D5" s="63" t="s">
        <v>10</v>
      </c>
      <c r="E5" s="62" t="s">
        <v>11</v>
      </c>
      <c r="F5" s="64" t="s">
        <v>12</v>
      </c>
      <c r="G5" s="60" t="s">
        <v>13</v>
      </c>
      <c r="H5" s="60" t="s">
        <v>14</v>
      </c>
      <c r="I5" s="60" t="s">
        <v>15</v>
      </c>
      <c r="J5" s="60" t="s">
        <v>16</v>
      </c>
      <c r="K5" s="60" t="s">
        <v>17</v>
      </c>
      <c r="L5" s="87" t="s">
        <v>16</v>
      </c>
      <c r="M5" s="233" t="s">
        <v>18</v>
      </c>
      <c r="N5" s="233"/>
      <c r="O5" s="233"/>
      <c r="P5" s="233"/>
      <c r="Q5" s="233"/>
      <c r="R5" s="233"/>
      <c r="S5" s="233"/>
      <c r="T5" s="233"/>
      <c r="U5" s="233"/>
      <c r="V5" s="60" t="s">
        <v>19</v>
      </c>
      <c r="W5" s="65" t="s">
        <v>20</v>
      </c>
      <c r="X5" s="60" t="s">
        <v>17</v>
      </c>
      <c r="Y5" s="65" t="s">
        <v>17</v>
      </c>
      <c r="Z5" s="67" t="s">
        <v>21</v>
      </c>
      <c r="AA5" s="60" t="s">
        <v>21</v>
      </c>
      <c r="AB5" s="67" t="s">
        <v>21</v>
      </c>
      <c r="AC5" s="67" t="s">
        <v>22</v>
      </c>
      <c r="AD5" s="69" t="s">
        <v>21</v>
      </c>
      <c r="AE5" s="60" t="s">
        <v>23</v>
      </c>
      <c r="AF5" s="66" t="s">
        <v>128</v>
      </c>
      <c r="AG5" s="66"/>
      <c r="AH5" s="60" t="s">
        <v>25</v>
      </c>
      <c r="AI5" s="72" t="s">
        <v>26</v>
      </c>
      <c r="AJ5" s="69" t="s">
        <v>27</v>
      </c>
      <c r="AK5" s="60" t="s">
        <v>15</v>
      </c>
      <c r="AL5" s="60" t="s">
        <v>16</v>
      </c>
      <c r="AM5" s="63" t="s">
        <v>17</v>
      </c>
      <c r="AN5" s="88" t="s">
        <v>28</v>
      </c>
      <c r="AO5" s="238" t="s">
        <v>21</v>
      </c>
      <c r="AP5" s="67" t="s">
        <v>29</v>
      </c>
      <c r="AQ5" s="74" t="s">
        <v>29</v>
      </c>
      <c r="AR5" s="69" t="s">
        <v>30</v>
      </c>
      <c r="AS5" s="75" t="s">
        <v>31</v>
      </c>
      <c r="AT5" s="75" t="s">
        <v>32</v>
      </c>
      <c r="AU5" s="76" t="s">
        <v>33</v>
      </c>
      <c r="AV5" s="77" t="s">
        <v>34</v>
      </c>
      <c r="AW5" s="78" t="s">
        <v>35</v>
      </c>
      <c r="AX5" s="78" t="s">
        <v>36</v>
      </c>
      <c r="AY5" s="161"/>
      <c r="AZ5" s="328" t="s">
        <v>17</v>
      </c>
      <c r="BA5" s="236" t="s">
        <v>37</v>
      </c>
      <c r="BB5" s="237" t="s">
        <v>37</v>
      </c>
    </row>
    <row r="6" s="208" customFormat="true" ht="12.95" hidden="false" customHeight="true" outlineLevel="0" collapsed="false">
      <c r="A6" s="82" t="s">
        <v>129</v>
      </c>
      <c r="B6" s="61" t="s">
        <v>39</v>
      </c>
      <c r="C6" s="62"/>
      <c r="D6" s="63" t="s">
        <v>40</v>
      </c>
      <c r="E6" s="62" t="s">
        <v>41</v>
      </c>
      <c r="F6" s="64" t="s">
        <v>42</v>
      </c>
      <c r="G6" s="60" t="s">
        <v>43</v>
      </c>
      <c r="H6" s="60" t="s">
        <v>44</v>
      </c>
      <c r="I6" s="60" t="s">
        <v>45</v>
      </c>
      <c r="J6" s="60" t="s">
        <v>45</v>
      </c>
      <c r="K6" s="60" t="s">
        <v>45</v>
      </c>
      <c r="L6" s="60" t="s">
        <v>46</v>
      </c>
      <c r="M6" s="83" t="s">
        <v>47</v>
      </c>
      <c r="N6" s="63" t="s">
        <v>48</v>
      </c>
      <c r="O6" s="63" t="s">
        <v>49</v>
      </c>
      <c r="P6" s="85" t="s">
        <v>50</v>
      </c>
      <c r="Q6" s="63" t="s">
        <v>51</v>
      </c>
      <c r="R6" s="63" t="s">
        <v>52</v>
      </c>
      <c r="S6" s="63"/>
      <c r="T6" s="63" t="s">
        <v>49</v>
      </c>
      <c r="U6" s="86" t="s">
        <v>53</v>
      </c>
      <c r="V6" s="60"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69"/>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161"/>
      <c r="AZ6" s="328" t="s">
        <v>74</v>
      </c>
      <c r="BA6" s="236" t="s">
        <v>75</v>
      </c>
      <c r="BB6" s="237" t="s">
        <v>76</v>
      </c>
    </row>
    <row r="7" s="208" customFormat="tru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7"/>
      <c r="AD7" s="69"/>
      <c r="AE7" s="87"/>
      <c r="AF7" s="90" t="n">
        <v>1.7</v>
      </c>
      <c r="AG7" s="90" t="n">
        <v>1.3</v>
      </c>
      <c r="AH7" s="83"/>
      <c r="AI7" s="390" t="n">
        <v>31798</v>
      </c>
      <c r="AJ7" s="69"/>
      <c r="AK7" s="60"/>
      <c r="AL7" s="60"/>
      <c r="AM7" s="63"/>
      <c r="AN7" s="88"/>
      <c r="AO7" s="69"/>
      <c r="AP7" s="67" t="s">
        <v>86</v>
      </c>
      <c r="AQ7" s="74" t="s">
        <v>87</v>
      </c>
      <c r="AR7" s="69" t="s">
        <v>88</v>
      </c>
      <c r="AS7" s="75" t="s">
        <v>89</v>
      </c>
      <c r="AT7" s="75" t="s">
        <v>90</v>
      </c>
      <c r="AU7" s="76" t="s">
        <v>81</v>
      </c>
      <c r="AV7" s="89"/>
      <c r="AW7" s="78"/>
      <c r="AX7" s="78"/>
      <c r="AY7" s="161"/>
      <c r="AZ7" s="328" t="s">
        <v>91</v>
      </c>
      <c r="BA7" s="236"/>
      <c r="BB7" s="237"/>
    </row>
    <row r="8" s="208" customFormat="tru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0"/>
      <c r="W8" s="60"/>
      <c r="X8" s="72" t="s">
        <v>92</v>
      </c>
      <c r="Y8" s="62" t="s">
        <v>81</v>
      </c>
      <c r="Z8" s="67"/>
      <c r="AA8" s="62" t="s">
        <v>93</v>
      </c>
      <c r="AB8" s="67" t="s">
        <v>94</v>
      </c>
      <c r="AC8" s="67"/>
      <c r="AD8" s="69"/>
      <c r="AE8" s="87"/>
      <c r="AF8" s="90"/>
      <c r="AG8" s="90"/>
      <c r="AH8" s="83"/>
      <c r="AI8" s="390" t="n">
        <f aca="false">AI7/NOV!D2</f>
        <v>16031.2578774893</v>
      </c>
      <c r="AJ8" s="69"/>
      <c r="AK8" s="60"/>
      <c r="AL8" s="60"/>
      <c r="AM8" s="63"/>
      <c r="AN8" s="88"/>
      <c r="AO8" s="69"/>
      <c r="AP8" s="67"/>
      <c r="AQ8" s="74"/>
      <c r="AR8" s="69"/>
      <c r="AS8" s="75"/>
      <c r="AT8" s="75"/>
      <c r="AU8" s="76"/>
      <c r="AV8" s="89"/>
      <c r="AW8" s="78"/>
      <c r="AX8" s="78"/>
      <c r="AY8" s="161"/>
      <c r="AZ8" s="328"/>
      <c r="BA8" s="236"/>
      <c r="BB8" s="237"/>
    </row>
    <row r="9" s="208" customFormat="tru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0"/>
      <c r="W9" s="60"/>
      <c r="X9" s="72"/>
      <c r="Y9" s="62" t="s">
        <v>92</v>
      </c>
      <c r="Z9" s="67"/>
      <c r="AA9" s="62" t="s">
        <v>92</v>
      </c>
      <c r="AB9" s="67" t="s">
        <v>95</v>
      </c>
      <c r="AC9" s="67"/>
      <c r="AD9" s="69"/>
      <c r="AE9" s="87"/>
      <c r="AF9" s="90"/>
      <c r="AG9" s="90"/>
      <c r="AH9" s="83"/>
      <c r="AI9" s="93"/>
      <c r="AJ9" s="69"/>
      <c r="AK9" s="60"/>
      <c r="AL9" s="60"/>
      <c r="AM9" s="63"/>
      <c r="AN9" s="88"/>
      <c r="AO9" s="69"/>
      <c r="AP9" s="67"/>
      <c r="AQ9" s="74"/>
      <c r="AR9" s="69"/>
      <c r="AS9" s="75"/>
      <c r="AT9" s="75"/>
      <c r="AU9" s="76"/>
      <c r="AV9" s="89"/>
      <c r="AW9" s="78"/>
      <c r="AX9" s="78"/>
      <c r="AY9" s="161"/>
      <c r="AZ9" s="328"/>
      <c r="BA9" s="236"/>
      <c r="BB9" s="94" t="s">
        <v>96</v>
      </c>
    </row>
    <row r="10" s="208" customFormat="tru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t="s">
        <v>42</v>
      </c>
      <c r="AA10" s="62"/>
      <c r="AB10" s="62" t="n">
        <v>72000</v>
      </c>
      <c r="AC10" s="63" t="s">
        <v>42</v>
      </c>
      <c r="AD10" s="63" t="s">
        <v>42</v>
      </c>
      <c r="AE10" s="87" t="s">
        <v>42</v>
      </c>
      <c r="AF10" s="63" t="s">
        <v>42</v>
      </c>
      <c r="AG10" s="63" t="s">
        <v>42</v>
      </c>
      <c r="AH10" s="83" t="s">
        <v>42</v>
      </c>
      <c r="AI10" s="63" t="s">
        <v>42</v>
      </c>
      <c r="AJ10" s="329" t="s">
        <v>42</v>
      </c>
      <c r="AK10" s="63" t="s">
        <v>42</v>
      </c>
      <c r="AL10" s="63" t="s">
        <v>42</v>
      </c>
      <c r="AM10" s="63" t="s">
        <v>42</v>
      </c>
      <c r="AN10" s="88" t="s">
        <v>42</v>
      </c>
      <c r="AO10" s="69" t="s">
        <v>42</v>
      </c>
      <c r="AP10" s="69" t="s">
        <v>42</v>
      </c>
      <c r="AQ10" s="74" t="s">
        <v>99</v>
      </c>
      <c r="AR10" s="69" t="s">
        <v>42</v>
      </c>
      <c r="AS10" s="69" t="s">
        <v>42</v>
      </c>
      <c r="AT10" s="69" t="s">
        <v>42</v>
      </c>
      <c r="AU10" s="69" t="s">
        <v>42</v>
      </c>
      <c r="AV10" s="89"/>
      <c r="AW10" s="78"/>
      <c r="AX10" s="78"/>
      <c r="AY10" s="161"/>
      <c r="AZ10" s="328" t="s">
        <v>100</v>
      </c>
      <c r="BA10" s="236" t="s">
        <v>42</v>
      </c>
      <c r="BB10" s="237" t="s">
        <v>98</v>
      </c>
    </row>
    <row r="11" s="208" customFormat="tru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7"/>
      <c r="AD11" s="67"/>
      <c r="AE11" s="98"/>
      <c r="AF11" s="90"/>
      <c r="AG11" s="90"/>
      <c r="AH11" s="83"/>
      <c r="AI11" s="93"/>
      <c r="AJ11" s="391"/>
      <c r="AK11" s="60"/>
      <c r="AL11" s="60"/>
      <c r="AM11" s="63"/>
      <c r="AN11" s="88"/>
      <c r="AO11" s="69"/>
      <c r="AP11" s="67"/>
      <c r="AQ11" s="74"/>
      <c r="AR11" s="74"/>
      <c r="AS11" s="100"/>
      <c r="AT11" s="100"/>
      <c r="AU11" s="100"/>
      <c r="AV11" s="89"/>
      <c r="AW11" s="78"/>
      <c r="AX11" s="78"/>
      <c r="AY11" s="161"/>
      <c r="AZ11" s="328" t="s">
        <v>42</v>
      </c>
      <c r="BA11" s="236"/>
      <c r="BB11" s="237"/>
    </row>
    <row r="12" customFormat="false" ht="12.95" hidden="false" customHeight="true" outlineLevel="0" collapsed="false">
      <c r="A12" s="14" t="s">
        <v>102</v>
      </c>
      <c r="B12" s="392"/>
      <c r="C12" s="109"/>
      <c r="D12" s="109"/>
      <c r="E12" s="109"/>
      <c r="F12" s="171"/>
      <c r="G12" s="93"/>
      <c r="H12" s="154"/>
      <c r="I12" s="93"/>
      <c r="J12" s="93"/>
      <c r="K12" s="93"/>
      <c r="L12" s="93"/>
      <c r="M12" s="113"/>
      <c r="N12" s="109"/>
      <c r="O12" s="109" t="n">
        <f aca="false">MAR!O50</f>
        <v>16.7055</v>
      </c>
      <c r="P12" s="96"/>
      <c r="Q12" s="109"/>
      <c r="R12" s="109"/>
      <c r="S12" s="109"/>
      <c r="T12" s="109"/>
      <c r="U12" s="393"/>
      <c r="V12" s="93"/>
      <c r="W12" s="93"/>
      <c r="X12" s="93"/>
      <c r="Y12" s="93"/>
      <c r="Z12" s="172"/>
      <c r="AA12" s="93"/>
      <c r="AB12" s="172"/>
      <c r="AC12" s="172"/>
      <c r="AD12" s="112"/>
      <c r="AE12" s="114"/>
      <c r="AF12" s="109"/>
      <c r="AG12" s="109"/>
      <c r="AH12" s="113"/>
      <c r="AI12" s="93"/>
      <c r="AJ12" s="391"/>
      <c r="AK12" s="93"/>
      <c r="AL12" s="93"/>
      <c r="AM12" s="109"/>
      <c r="AN12" s="394"/>
      <c r="AO12" s="112"/>
      <c r="AP12" s="172"/>
      <c r="AQ12" s="173"/>
      <c r="AR12" s="173"/>
      <c r="AS12" s="116"/>
      <c r="AT12" s="100"/>
      <c r="AU12" s="100"/>
      <c r="AV12" s="117"/>
      <c r="AW12" s="118"/>
      <c r="AX12" s="118"/>
      <c r="AY12" s="161"/>
      <c r="AZ12" s="368"/>
      <c r="BA12" s="333"/>
      <c r="BB12" s="253"/>
    </row>
    <row r="13" s="125" customFormat="true" ht="12.95" hidden="false" customHeight="true" outlineLevel="0" collapsed="false">
      <c r="A13" s="121" t="s">
        <v>103</v>
      </c>
      <c r="B13" s="395" t="n">
        <f aca="false">MAR!B45</f>
        <v>6894.48</v>
      </c>
      <c r="C13" s="109" t="n">
        <f aca="false">MAR!C45</f>
        <v>263661</v>
      </c>
      <c r="D13" s="109" t="n">
        <f aca="false">MAR!D54</f>
        <v>20493</v>
      </c>
      <c r="E13" s="109" t="n">
        <f aca="false">MAR!E54</f>
        <v>111661</v>
      </c>
      <c r="F13" s="171" t="n">
        <f aca="false">MAR!F53</f>
        <v>10400.3024955886</v>
      </c>
      <c r="G13" s="93" t="n">
        <f aca="false">MAR!G53</f>
        <v>16259.8798999244</v>
      </c>
      <c r="H13" s="93" t="n">
        <f aca="false">MAR!H53</f>
        <v>288.699</v>
      </c>
      <c r="I13" s="93" t="n">
        <f aca="false">MAR!I53</f>
        <v>16548.5788999244</v>
      </c>
      <c r="J13" s="93" t="n">
        <f aca="false">MAR!J53</f>
        <v>3381.21923115705</v>
      </c>
      <c r="K13" s="93" t="n">
        <f aca="false">MAR!K53</f>
        <v>19929.7981310814</v>
      </c>
      <c r="L13" s="93" t="n">
        <f aca="false">MAR!L53</f>
        <v>3063.21859566423</v>
      </c>
      <c r="M13" s="113" t="n">
        <f aca="false">MAR!M53</f>
        <v>755</v>
      </c>
      <c r="N13" s="109" t="n">
        <f aca="false">MAR!N53</f>
        <v>0</v>
      </c>
      <c r="O13" s="109" t="n">
        <f aca="false">MAR!O53</f>
        <v>18.43905</v>
      </c>
      <c r="P13" s="96"/>
      <c r="Q13" s="109" t="n">
        <f aca="false">MAR!Q53</f>
        <v>243.727629676837</v>
      </c>
      <c r="R13" s="109" t="n">
        <f aca="false">MAR!R53</f>
        <v>245.78896576</v>
      </c>
      <c r="S13" s="109" t="n">
        <f aca="false">MAR!S53</f>
        <v>0</v>
      </c>
      <c r="T13" s="109" t="n">
        <f aca="false">MAR!T53</f>
        <v>84.82703424</v>
      </c>
      <c r="U13" s="396" t="n">
        <f aca="false">MAR!U53</f>
        <v>-15.4916088537026</v>
      </c>
      <c r="V13" s="93" t="n">
        <f aca="false">MAR!V53</f>
        <v>3214.81</v>
      </c>
      <c r="W13" s="93" t="n">
        <f aca="false">MAR!W53</f>
        <v>30.085</v>
      </c>
      <c r="X13" s="93" t="n">
        <f aca="false">MAR!X53</f>
        <v>3398.82982917687</v>
      </c>
      <c r="Y13" s="93" t="n">
        <f aca="false">MAR!Y53</f>
        <v>3148.68982917687</v>
      </c>
      <c r="Z13" s="172" t="n">
        <v>0</v>
      </c>
      <c r="AA13" s="93"/>
      <c r="AB13" s="172" t="n">
        <v>0</v>
      </c>
      <c r="AC13" s="93" t="n">
        <f aca="false">MAR!AC53</f>
        <v>1714.07656152266</v>
      </c>
      <c r="AD13" s="112"/>
      <c r="AE13" s="177" t="n">
        <f aca="false">MAR!AE53</f>
        <v>0</v>
      </c>
      <c r="AF13" s="93" t="n">
        <f aca="false">MAR!AF53</f>
        <v>0</v>
      </c>
      <c r="AG13" s="93" t="n">
        <f aca="false">MAR!AG53</f>
        <v>0</v>
      </c>
      <c r="AH13" s="397" t="n">
        <f aca="false">MAR!AH53</f>
        <v>5211.6</v>
      </c>
      <c r="AI13" s="93" t="n">
        <f aca="false">AI8</f>
        <v>16031.2578774893</v>
      </c>
      <c r="AJ13" s="112" t="n">
        <f aca="false">MAR!AJ53</f>
        <v>0</v>
      </c>
      <c r="AK13" s="93" t="n">
        <f aca="false">MAR!AK53</f>
        <v>9211.495</v>
      </c>
      <c r="AL13" s="93" t="n">
        <f aca="false">MAR!AL53</f>
        <v>318.000635492816</v>
      </c>
      <c r="AM13" s="109" t="n">
        <f aca="false">MAR!AM53</f>
        <v>9529.49563549282</v>
      </c>
      <c r="AN13" s="394" t="n">
        <f aca="false">MAR!AN53</f>
        <v>3115.79</v>
      </c>
      <c r="AO13" s="112" t="n">
        <f aca="false">MAR!AO53</f>
        <v>250.14</v>
      </c>
      <c r="AP13" s="172"/>
      <c r="AQ13" s="173"/>
      <c r="AR13" s="173"/>
      <c r="AS13" s="93"/>
      <c r="AT13" s="2"/>
      <c r="AU13" s="2"/>
      <c r="AV13" s="117" t="n">
        <f aca="false">MAR!AV53</f>
        <v>7.445</v>
      </c>
      <c r="AW13" s="118"/>
      <c r="AX13" s="118"/>
      <c r="AY13" s="398"/>
      <c r="AZ13" s="258" t="n">
        <f aca="false">MAR!AZ53</f>
        <v>554.952020823135</v>
      </c>
      <c r="BA13" s="252" t="n">
        <f aca="false">MAR!BA53</f>
        <v>84.458</v>
      </c>
      <c r="BB13" s="259"/>
    </row>
    <row r="14" customFormat="false" ht="3" hidden="false" customHeight="true" outlineLevel="0" collapsed="false">
      <c r="A14" s="126"/>
      <c r="B14" s="399"/>
      <c r="C14" s="137"/>
      <c r="D14" s="134"/>
      <c r="E14" s="137"/>
      <c r="F14" s="167"/>
      <c r="G14" s="134"/>
      <c r="H14" s="134"/>
      <c r="I14" s="134"/>
      <c r="J14" s="134"/>
      <c r="K14" s="134"/>
      <c r="L14" s="134"/>
      <c r="M14" s="138"/>
      <c r="N14" s="134"/>
      <c r="O14" s="134"/>
      <c r="P14" s="400"/>
      <c r="Q14" s="134"/>
      <c r="R14" s="134"/>
      <c r="S14" s="134"/>
      <c r="T14" s="134"/>
      <c r="U14" s="401"/>
      <c r="V14" s="134"/>
      <c r="W14" s="134"/>
      <c r="X14" s="134"/>
      <c r="Y14" s="134"/>
      <c r="Z14" s="141"/>
      <c r="AA14" s="134"/>
      <c r="AB14" s="141"/>
      <c r="AC14" s="141"/>
      <c r="AD14" s="136"/>
      <c r="AE14" s="134"/>
      <c r="AF14" s="138"/>
      <c r="AG14" s="139"/>
      <c r="AH14" s="134"/>
      <c r="AI14" s="137"/>
      <c r="AJ14" s="136"/>
      <c r="AK14" s="134"/>
      <c r="AL14" s="134"/>
      <c r="AM14" s="134"/>
      <c r="AN14" s="185"/>
      <c r="AO14" s="136"/>
      <c r="AP14" s="141"/>
      <c r="AQ14" s="400"/>
      <c r="AR14" s="400"/>
      <c r="AS14" s="400"/>
      <c r="AT14" s="400"/>
      <c r="AU14" s="400"/>
      <c r="AV14" s="143"/>
      <c r="AW14" s="141"/>
      <c r="AX14" s="141"/>
      <c r="AY14" s="141"/>
      <c r="AZ14" s="141"/>
      <c r="BA14" s="141"/>
      <c r="BB14" s="141"/>
    </row>
    <row r="15" customFormat="false" ht="12.95" hidden="false" customHeight="true" outlineLevel="0" collapsed="false">
      <c r="A15" s="10" t="n">
        <v>1</v>
      </c>
      <c r="B15" s="402" t="n">
        <v>6894.57</v>
      </c>
      <c r="C15" s="109" t="n">
        <v>263978</v>
      </c>
      <c r="D15" s="118" t="n">
        <f aca="false">C15-C13</f>
        <v>317</v>
      </c>
      <c r="E15" s="109" t="n">
        <f aca="false">C15-152000</f>
        <v>111978</v>
      </c>
      <c r="F15" s="164" t="n">
        <f aca="false">D15/$D$2</f>
        <v>159.818502646836</v>
      </c>
      <c r="G15" s="154" t="n">
        <v>178</v>
      </c>
      <c r="H15" s="154" t="n">
        <v>4.35</v>
      </c>
      <c r="I15" s="154" t="n">
        <f aca="false">G15+H15</f>
        <v>182.35</v>
      </c>
      <c r="J15" s="403" t="n">
        <f aca="false">IF(L15&gt;0,L15,0)</f>
        <v>37.0385026468364</v>
      </c>
      <c r="K15" s="154" t="n">
        <f aca="false">I15+J15</f>
        <v>219.388502646836</v>
      </c>
      <c r="L15" s="154" t="n">
        <f aca="false">F15-(I15-AK15)</f>
        <v>37.0385026468364</v>
      </c>
      <c r="M15" s="157" t="n">
        <v>6.37</v>
      </c>
      <c r="N15" s="186" t="n">
        <v>0</v>
      </c>
      <c r="O15" s="404" t="n">
        <f aca="false">0*1.05</f>
        <v>0</v>
      </c>
      <c r="P15" s="96" t="n">
        <v>0</v>
      </c>
      <c r="Q15" s="373" t="n">
        <f aca="false">970000/325851/1.9835*1.02</f>
        <v>1.53080771767247</v>
      </c>
      <c r="R15" s="151" t="n">
        <f aca="false">IF(((2.2*1.04)-T15)&gt;=4.2,4.2,(2.2*1.04)-T15)</f>
        <v>1.72048448</v>
      </c>
      <c r="S15" s="151" t="n">
        <f aca="false">IF(((2.2*1.04)-T15)&gt;=4.2,((2.2*1.04)-T15)-4.2,0)</f>
        <v>0</v>
      </c>
      <c r="T15" s="151" t="n">
        <f aca="false">(0.5148*1.06)*1.04</f>
        <v>0.56751552</v>
      </c>
      <c r="U15" s="393" t="n">
        <v>0</v>
      </c>
      <c r="V15" s="154" t="n">
        <v>0</v>
      </c>
      <c r="W15" s="154" t="n">
        <v>0</v>
      </c>
      <c r="X15" s="280" t="n">
        <f aca="false">M15-N15-O15-P15-Q15-R15-S15-T15-U15+V15+W15-AT15</f>
        <v>2.55119228232753</v>
      </c>
      <c r="Y15" s="280" t="n">
        <f aca="false">X15-AO15</f>
        <v>2.55119228232753</v>
      </c>
      <c r="Z15" s="244" t="n">
        <f aca="false">AP15</f>
        <v>174.84751552</v>
      </c>
      <c r="AA15" s="280"/>
      <c r="AB15" s="244" t="n">
        <f aca="false">AB13+(Y15+AP15)*1.9835</f>
        <v>351.870336925917</v>
      </c>
      <c r="AC15" s="390" t="n">
        <f aca="false">AC13</f>
        <v>1714.07656152266</v>
      </c>
      <c r="AD15" s="112"/>
      <c r="AE15" s="154" t="n">
        <v>0</v>
      </c>
      <c r="AF15" s="157" t="n">
        <v>1.7</v>
      </c>
      <c r="AG15" s="158" t="n">
        <v>1.3</v>
      </c>
      <c r="AH15" s="154" t="n">
        <v>53.2</v>
      </c>
      <c r="AI15" s="93" t="n">
        <f aca="false">AI13-AH15</f>
        <v>15978.0578774893</v>
      </c>
      <c r="AJ15" s="405"/>
      <c r="AK15" s="154" t="n">
        <f aca="false">N15+O15+P15+Q15+R15+S15+T15+U15+X15+AE15+AH15</f>
        <v>59.57</v>
      </c>
      <c r="AL15" s="154" t="n">
        <f aca="false">IF(L15&lt;0,L15*-1,0)</f>
        <v>0</v>
      </c>
      <c r="AM15" s="404" t="n">
        <f aca="false">AK15+AL15</f>
        <v>59.57</v>
      </c>
      <c r="AN15" s="239"/>
      <c r="AO15" s="112" t="n">
        <f aca="false">V15+W15-AN15</f>
        <v>0</v>
      </c>
      <c r="AP15" s="406" t="n">
        <f aca="false">I15-Q15-R15-X15-AF15</f>
        <v>174.84751552</v>
      </c>
      <c r="AQ15" s="173" t="n">
        <f aca="false">38.452*(Z15*1.9835+AC15*1.9835)/E15</f>
        <v>1.28656856015303</v>
      </c>
      <c r="AR15" s="173"/>
      <c r="AS15" s="116"/>
      <c r="AT15" s="11" t="n">
        <v>0</v>
      </c>
      <c r="AU15" s="1"/>
      <c r="AV15" s="117" t="n">
        <v>0</v>
      </c>
      <c r="AW15" s="118" t="n">
        <v>54</v>
      </c>
      <c r="AX15" s="118" t="n">
        <v>27</v>
      </c>
      <c r="AY15" s="161"/>
      <c r="AZ15" s="282" t="n">
        <f aca="false">SUM(N15,P15:U15)</f>
        <v>3.81880771767247</v>
      </c>
      <c r="BA15" s="1" t="n">
        <v>1.12</v>
      </c>
      <c r="BB15" s="407" t="n">
        <v>20438</v>
      </c>
    </row>
    <row r="16" customFormat="false" ht="12.95" hidden="false" customHeight="true" outlineLevel="0" collapsed="false">
      <c r="A16" s="10" t="n">
        <f aca="false">A15+1</f>
        <v>2</v>
      </c>
      <c r="B16" s="395" t="n">
        <v>6894.67</v>
      </c>
      <c r="C16" s="109" t="n">
        <v>264331</v>
      </c>
      <c r="D16" s="118" t="n">
        <f aca="false">C16-C15</f>
        <v>353</v>
      </c>
      <c r="E16" s="109" t="n">
        <f aca="false">C16-152000</f>
        <v>112331</v>
      </c>
      <c r="F16" s="164" t="n">
        <f aca="false">D16/$D$2</f>
        <v>177.968237963196</v>
      </c>
      <c r="G16" s="154" t="n">
        <v>188</v>
      </c>
      <c r="H16" s="154" t="n">
        <v>4.02</v>
      </c>
      <c r="I16" s="154" t="n">
        <f aca="false">G16+H16</f>
        <v>192.02</v>
      </c>
      <c r="J16" s="403" t="n">
        <f aca="false">IF(L16&gt;0,L16,0)</f>
        <v>44.6082379631964</v>
      </c>
      <c r="K16" s="154" t="n">
        <f aca="false">I16+J16</f>
        <v>236.628237963196</v>
      </c>
      <c r="L16" s="154" t="n">
        <f aca="false">F16-(I16-AK16)</f>
        <v>44.6082379631964</v>
      </c>
      <c r="M16" s="157" t="n">
        <v>5.56</v>
      </c>
      <c r="N16" s="186" t="n">
        <v>0</v>
      </c>
      <c r="O16" s="404" t="n">
        <f aca="false">2.45*1.05</f>
        <v>2.5725</v>
      </c>
      <c r="P16" s="96" t="n">
        <v>0</v>
      </c>
      <c r="Q16" s="373" t="n">
        <f aca="false">1007800/325851/1.9835*1.02</f>
        <v>1.59046187409311</v>
      </c>
      <c r="R16" s="151" t="n">
        <f aca="false">IF(((2.2*1.04)-T16)&gt;=4.2,4.2,(2.2*1.04)-T16)</f>
        <v>1.72048448</v>
      </c>
      <c r="S16" s="151" t="n">
        <f aca="false">IF(((2.2*1.04)-T16)&gt;=4.2,((2.2*1.04)-T16)-4.2,0)</f>
        <v>0</v>
      </c>
      <c r="T16" s="151" t="n">
        <f aca="false">(0.5148*1.06)*1.04</f>
        <v>0.56751552</v>
      </c>
      <c r="U16" s="393" t="n">
        <v>0</v>
      </c>
      <c r="V16" s="154" t="n">
        <v>0</v>
      </c>
      <c r="W16" s="163" t="n">
        <v>0</v>
      </c>
      <c r="X16" s="280" t="n">
        <f aca="false">M16-N16-O16-P16-Q16-R16-S16-T16-U16+V16+W16-AT16</f>
        <v>-0.890961874093113</v>
      </c>
      <c r="Y16" s="280" t="n">
        <f aca="false">X16-AO16</f>
        <v>-0.890961874093113</v>
      </c>
      <c r="Z16" s="244" t="n">
        <f aca="false">Z15+AP16</f>
        <v>362.74753104</v>
      </c>
      <c r="AA16" s="280"/>
      <c r="AB16" s="244" t="n">
        <f aca="false">AB15+(Y16+AP16)*1.9835</f>
        <v>722.802794832573</v>
      </c>
      <c r="AC16" s="123" t="n">
        <f aca="false">AC15-(AQ15/1.9835)</f>
        <v>1713.42792599952</v>
      </c>
      <c r="AD16" s="112"/>
      <c r="AE16" s="154" t="n">
        <v>0</v>
      </c>
      <c r="AF16" s="157" t="n">
        <v>1.7</v>
      </c>
      <c r="AG16" s="158" t="n">
        <v>1.3</v>
      </c>
      <c r="AH16" s="154" t="n">
        <v>53.1</v>
      </c>
      <c r="AI16" s="93" t="n">
        <f aca="false">AI15-AH16</f>
        <v>15924.9578774893</v>
      </c>
      <c r="AJ16" s="112"/>
      <c r="AK16" s="154" t="n">
        <f aca="false">N16+O16+P16+Q16+R16+S16+T16+U16+X16+AE16+AH16</f>
        <v>58.66</v>
      </c>
      <c r="AL16" s="154" t="n">
        <f aca="false">IF(L16&lt;0,L16*-1,0)</f>
        <v>0</v>
      </c>
      <c r="AM16" s="404" t="n">
        <f aca="false">AK16+AL16</f>
        <v>58.66</v>
      </c>
      <c r="AN16" s="239"/>
      <c r="AO16" s="112" t="n">
        <f aca="false">V16+W16-AN16</f>
        <v>0</v>
      </c>
      <c r="AP16" s="406" t="n">
        <f aca="false">I16-Q16-R16-X16-AF16</f>
        <v>187.90001552</v>
      </c>
      <c r="AQ16" s="173" t="n">
        <f aca="false">17.779*(Z16*1.9835+AC16*1.9835)/E16</f>
        <v>0.651784401140152</v>
      </c>
      <c r="AR16" s="173"/>
      <c r="AS16" s="116"/>
      <c r="AT16" s="11" t="n">
        <v>0</v>
      </c>
      <c r="AU16" s="1"/>
      <c r="AV16" s="117" t="n">
        <v>0</v>
      </c>
      <c r="AW16" s="118" t="n">
        <v>60</v>
      </c>
      <c r="AX16" s="118" t="n">
        <v>27</v>
      </c>
      <c r="AY16" s="161"/>
      <c r="AZ16" s="282" t="n">
        <f aca="false">SUM(N16,P16:U16)</f>
        <v>3.87846187409311</v>
      </c>
      <c r="BA16" s="1" t="n">
        <v>1.53</v>
      </c>
      <c r="BB16" s="407" t="n">
        <v>20462</v>
      </c>
    </row>
    <row r="17" customFormat="false" ht="12.95" hidden="false" customHeight="true" outlineLevel="0" collapsed="false">
      <c r="A17" s="10" t="n">
        <f aca="false">A16+1</f>
        <v>3</v>
      </c>
      <c r="B17" s="395" t="n">
        <v>6894.77</v>
      </c>
      <c r="C17" s="109" t="n">
        <v>264684</v>
      </c>
      <c r="D17" s="118" t="n">
        <f aca="false">C17-C16</f>
        <v>353</v>
      </c>
      <c r="E17" s="109" t="n">
        <f aca="false">C17-152000</f>
        <v>112684</v>
      </c>
      <c r="F17" s="164" t="n">
        <f aca="false">D17/$D$2</f>
        <v>177.968237963196</v>
      </c>
      <c r="G17" s="154" t="n">
        <v>210</v>
      </c>
      <c r="H17" s="154" t="n">
        <v>4.62</v>
      </c>
      <c r="I17" s="154" t="n">
        <f aca="false">G17+H17</f>
        <v>214.62</v>
      </c>
      <c r="J17" s="403" t="n">
        <f aca="false">IF(L17&gt;0,L17,0)</f>
        <v>22.0982379631964</v>
      </c>
      <c r="K17" s="154" t="n">
        <f aca="false">I17+J17</f>
        <v>236.718237963196</v>
      </c>
      <c r="L17" s="154" t="n">
        <f aca="false">F17-(I17-AK17)</f>
        <v>22.0982379631964</v>
      </c>
      <c r="M17" s="157" t="n">
        <v>5.95</v>
      </c>
      <c r="N17" s="186" t="n">
        <v>0</v>
      </c>
      <c r="O17" s="404" t="n">
        <f aca="false">1.79*1.05</f>
        <v>1.8795</v>
      </c>
      <c r="P17" s="96" t="n">
        <v>0</v>
      </c>
      <c r="Q17" s="373" t="n">
        <f aca="false">1157000/325851/1.9835*1.02</f>
        <v>1.82592219520315</v>
      </c>
      <c r="R17" s="151" t="n">
        <f aca="false">IF(((2.1*1.04)-T17)&gt;=4.2,4.2,(2.1*1.04)-T17)</f>
        <v>1.61648448</v>
      </c>
      <c r="S17" s="151" t="n">
        <f aca="false">IF(((2.1*1.04)-T17)&gt;=4.2,((2.1*1.04)-T17)-4.2,0)</f>
        <v>0</v>
      </c>
      <c r="T17" s="151" t="n">
        <f aca="false">(0.5148*1.06)*1.04</f>
        <v>0.56751552</v>
      </c>
      <c r="U17" s="393" t="n">
        <v>0</v>
      </c>
      <c r="V17" s="154" t="n">
        <v>0</v>
      </c>
      <c r="W17" s="154" t="n">
        <v>0</v>
      </c>
      <c r="X17" s="280" t="n">
        <f aca="false">M17-N17-O17-P17-Q17-R17-S17-T17-U17+V17+W17-AT17</f>
        <v>0.0605778047968536</v>
      </c>
      <c r="Y17" s="280" t="n">
        <f aca="false">X17-AO17</f>
        <v>0.0605778047968536</v>
      </c>
      <c r="Z17" s="244" t="n">
        <f aca="false">Z16+AP17</f>
        <v>572.16454656</v>
      </c>
      <c r="AA17" s="280"/>
      <c r="AB17" s="244" t="n">
        <f aca="false">AB16+(Y17+AP17)*1.9835</f>
        <v>1138.30160119231</v>
      </c>
      <c r="AC17" s="123" t="n">
        <f aca="false">AC16-(AQ16/1.9835)</f>
        <v>1713.09932282274</v>
      </c>
      <c r="AD17" s="112"/>
      <c r="AE17" s="154" t="n">
        <v>0</v>
      </c>
      <c r="AF17" s="157" t="n">
        <v>1.7</v>
      </c>
      <c r="AG17" s="158" t="n">
        <v>1.3</v>
      </c>
      <c r="AH17" s="154" t="n">
        <v>52.8</v>
      </c>
      <c r="AI17" s="93" t="n">
        <f aca="false">AI16-AH17</f>
        <v>15872.1578774893</v>
      </c>
      <c r="AJ17" s="112"/>
      <c r="AK17" s="154" t="n">
        <f aca="false">N17+O17+P17+Q17+R17+S17+T17+U17+X17+AE17+AH17</f>
        <v>58.75</v>
      </c>
      <c r="AL17" s="154" t="n">
        <f aca="false">IF(L17&lt;0,L17*-1,0)</f>
        <v>0</v>
      </c>
      <c r="AM17" s="404" t="n">
        <f aca="false">AK17+AL17</f>
        <v>58.75</v>
      </c>
      <c r="AN17" s="239"/>
      <c r="AO17" s="112" t="n">
        <f aca="false">V17+W17-AN17</f>
        <v>0</v>
      </c>
      <c r="AP17" s="406" t="n">
        <f aca="false">I17-Q17-R17-X17-AF17</f>
        <v>209.41701552</v>
      </c>
      <c r="AQ17" s="173" t="n">
        <f aca="false">38.039*(Z17*1.9835+AC17*1.9835)/E17</f>
        <v>1.53015489014853</v>
      </c>
      <c r="AR17" s="173"/>
      <c r="AS17" s="116"/>
      <c r="AT17" s="11" t="n">
        <v>0</v>
      </c>
      <c r="AU17" s="1"/>
      <c r="AV17" s="117" t="n">
        <v>0</v>
      </c>
      <c r="AW17" s="118" t="n">
        <v>68</v>
      </c>
      <c r="AX17" s="118" t="n">
        <v>31</v>
      </c>
      <c r="AY17" s="161"/>
      <c r="AZ17" s="282" t="n">
        <f aca="false">SUM(N17,P17:U17)</f>
        <v>4.00992219520315</v>
      </c>
      <c r="BA17" s="1" t="n">
        <v>1.65</v>
      </c>
      <c r="BB17" s="407" t="n">
        <v>20504</v>
      </c>
    </row>
    <row r="18" customFormat="false" ht="12.95" hidden="false" customHeight="true" outlineLevel="0" collapsed="false">
      <c r="A18" s="10" t="n">
        <f aca="false">A17+1</f>
        <v>4</v>
      </c>
      <c r="B18" s="122" t="n">
        <v>6894.94</v>
      </c>
      <c r="C18" s="123" t="n">
        <v>265284</v>
      </c>
      <c r="D18" s="118" t="n">
        <f aca="false">C18-C17</f>
        <v>600</v>
      </c>
      <c r="E18" s="109" t="n">
        <f aca="false">C18-152000</f>
        <v>113284</v>
      </c>
      <c r="F18" s="164" t="n">
        <f aca="false">D18/$D$2</f>
        <v>302.495588605999</v>
      </c>
      <c r="G18" s="154" t="n">
        <v>284</v>
      </c>
      <c r="H18" s="154" t="n">
        <v>5.98</v>
      </c>
      <c r="I18" s="154" t="n">
        <f aca="false">G18+H18</f>
        <v>289.98</v>
      </c>
      <c r="J18" s="403" t="n">
        <f aca="false">IF(L18&gt;0,L18,0)</f>
        <v>99.8155886059995</v>
      </c>
      <c r="K18" s="154" t="n">
        <f aca="false">I18+J18</f>
        <v>389.795588606</v>
      </c>
      <c r="L18" s="154" t="n">
        <f aca="false">F18-(I18-AK18)</f>
        <v>99.8155886059995</v>
      </c>
      <c r="M18" s="157" t="n">
        <v>34.7</v>
      </c>
      <c r="N18" s="186" t="n">
        <v>0</v>
      </c>
      <c r="O18" s="404" t="n">
        <f aca="false">16.4*1.05</f>
        <v>17.22</v>
      </c>
      <c r="P18" s="96" t="n">
        <v>0</v>
      </c>
      <c r="Q18" s="373" t="n">
        <f aca="false">1172800/325851/1.9835*1.02</f>
        <v>1.85085700132606</v>
      </c>
      <c r="R18" s="151" t="n">
        <f aca="false">IF(((2.2*1.04)-T18)&gt;=4.2,4.2,(2.2*1.04)-T18)</f>
        <v>1.72048448</v>
      </c>
      <c r="S18" s="151" t="n">
        <f aca="false">IF(((2.2*1.04)-T18)&gt;=4.2,((2.2*1.04)-T18)-4.2,0)</f>
        <v>0</v>
      </c>
      <c r="T18" s="151" t="n">
        <f aca="false">(0.5148*1.06)*1.04</f>
        <v>0.56751552</v>
      </c>
      <c r="U18" s="393" t="n">
        <v>0</v>
      </c>
      <c r="V18" s="154" t="n">
        <v>0</v>
      </c>
      <c r="W18" s="154" t="n">
        <v>0</v>
      </c>
      <c r="X18" s="280" t="n">
        <f aca="false">M18-N18-O18-P18-Q18-R18-S18-T18-U18+V18+W18-AT18</f>
        <v>13.3411429986739</v>
      </c>
      <c r="Y18" s="280" t="n">
        <f aca="false">X18-AO18</f>
        <v>6.78707191221062</v>
      </c>
      <c r="Z18" s="244" t="n">
        <f aca="false">Z17+AP18</f>
        <v>843.53206208</v>
      </c>
      <c r="AA18" s="280"/>
      <c r="AB18" s="244" t="n">
        <f aca="false">AB17+(Y18+AP18)*1.9835</f>
        <v>1690.0212253641</v>
      </c>
      <c r="AC18" s="123" t="n">
        <f aca="false">AC17-(AQ17/1.9835)</f>
        <v>1712.32788098248</v>
      </c>
      <c r="AD18" s="112"/>
      <c r="AE18" s="154" t="n">
        <v>0</v>
      </c>
      <c r="AF18" s="157" t="n">
        <v>1.7</v>
      </c>
      <c r="AG18" s="158" t="n">
        <v>1.3</v>
      </c>
      <c r="AH18" s="154" t="n">
        <v>52.6</v>
      </c>
      <c r="AI18" s="93" t="n">
        <f aca="false">AI17-AH18</f>
        <v>15819.5578774893</v>
      </c>
      <c r="AJ18" s="112"/>
      <c r="AK18" s="154" t="n">
        <f aca="false">N18+O18+P18+Q18+R18+S18+T18+U18+X18+AE18+AH18</f>
        <v>87.3</v>
      </c>
      <c r="AL18" s="154" t="n">
        <f aca="false">IF(L18&lt;0,L18*-1,0)</f>
        <v>0</v>
      </c>
      <c r="AM18" s="404" t="n">
        <f aca="false">AK18+AL18</f>
        <v>87.3</v>
      </c>
      <c r="AN18" s="239"/>
      <c r="AO18" s="112" t="n">
        <f aca="false">V18+W18-AN18+(65/$D$2)/5</f>
        <v>6.55407108646332</v>
      </c>
      <c r="AP18" s="406" t="n">
        <f aca="false">I18-Q18-R18-X18-AF18</f>
        <v>271.36751552</v>
      </c>
      <c r="AQ18" s="173" t="n">
        <f aca="false">28.94*(Z18*1.9835+AC18*1.9835)/E18</f>
        <v>1.29508778665164</v>
      </c>
      <c r="AR18" s="173"/>
      <c r="AS18" s="116"/>
      <c r="AT18" s="11" t="n">
        <v>0</v>
      </c>
      <c r="AU18" s="1"/>
      <c r="AV18" s="117" t="n">
        <v>0</v>
      </c>
      <c r="AW18" s="118" t="n">
        <v>68</v>
      </c>
      <c r="AX18" s="118" t="n">
        <v>35</v>
      </c>
      <c r="AY18" s="161"/>
      <c r="AZ18" s="282" t="n">
        <f aca="false">SUM(N18,P18:U18)</f>
        <v>4.13885700132606</v>
      </c>
      <c r="BA18" s="1" t="n">
        <v>0.898</v>
      </c>
      <c r="BB18" s="407" t="n">
        <v>20596</v>
      </c>
    </row>
    <row r="19" customFormat="false" ht="12.95" hidden="false" customHeight="true" outlineLevel="0" collapsed="false">
      <c r="A19" s="10" t="n">
        <f aca="false">A18+1</f>
        <v>5</v>
      </c>
      <c r="B19" s="122" t="n">
        <v>6895.17</v>
      </c>
      <c r="C19" s="123" t="n">
        <v>266101</v>
      </c>
      <c r="D19" s="118" t="n">
        <f aca="false">C19-C18</f>
        <v>817</v>
      </c>
      <c r="E19" s="109" t="n">
        <f aca="false">C19-152000</f>
        <v>114101</v>
      </c>
      <c r="F19" s="164" t="n">
        <f aca="false">D19/$D$2</f>
        <v>411.898159818503</v>
      </c>
      <c r="G19" s="154" t="n">
        <v>392</v>
      </c>
      <c r="H19" s="154" t="n">
        <v>9.13</v>
      </c>
      <c r="I19" s="154" t="n">
        <f aca="false">G19+H19</f>
        <v>401.13</v>
      </c>
      <c r="J19" s="403" t="n">
        <f aca="false">IF(L19&gt;0,L19,0)</f>
        <v>135.668159818503</v>
      </c>
      <c r="K19" s="154" t="n">
        <f aca="false">I19+J19</f>
        <v>536.798159818503</v>
      </c>
      <c r="L19" s="154" t="n">
        <f aca="false">F19-(I19-AK19)</f>
        <v>135.668159818503</v>
      </c>
      <c r="M19" s="157" t="n">
        <v>72.4</v>
      </c>
      <c r="N19" s="186" t="n">
        <v>0</v>
      </c>
      <c r="O19" s="404" t="n">
        <f aca="false">28.6*1.05</f>
        <v>30.03</v>
      </c>
      <c r="P19" s="96" t="n">
        <v>0</v>
      </c>
      <c r="Q19" s="373" t="n">
        <f aca="false">885900/325851/1.9835*1.02</f>
        <v>1.39808511039798</v>
      </c>
      <c r="R19" s="151" t="n">
        <f aca="false">IF(((2.1*1.04)-T19)&gt;=4.2,4.2,(2.1*1.04)-T19)</f>
        <v>1.61648448</v>
      </c>
      <c r="S19" s="151" t="n">
        <f aca="false">IF(((2.1*1.04)-T19)&gt;=4.2,((2.1*1.04)-T19)-4.2,0)</f>
        <v>0</v>
      </c>
      <c r="T19" s="151" t="n">
        <f aca="false">(0.5148*1.06)*1.04</f>
        <v>0.56751552</v>
      </c>
      <c r="U19" s="393" t="n">
        <v>0</v>
      </c>
      <c r="V19" s="154" t="n">
        <v>0</v>
      </c>
      <c r="W19" s="154" t="n">
        <v>0</v>
      </c>
      <c r="X19" s="280" t="n">
        <f aca="false">M19-N19-O19-P19-Q19-R19-S19-T19-U19+V19+W19-AT19</f>
        <v>38.787914889602</v>
      </c>
      <c r="Y19" s="280" t="n">
        <f aca="false">X19-AO19</f>
        <v>32.2338438031387</v>
      </c>
      <c r="Z19" s="244" t="n">
        <f aca="false">Z18+AP19</f>
        <v>1201.1595776</v>
      </c>
      <c r="AA19" s="280"/>
      <c r="AB19" s="244" t="n">
        <f aca="false">AB18+(Y19+AP19)*1.9835</f>
        <v>2463.31123158154</v>
      </c>
      <c r="AC19" s="123" t="n">
        <f aca="false">AC18-(AQ18/1.9835)</f>
        <v>1711.67495041195</v>
      </c>
      <c r="AD19" s="112"/>
      <c r="AE19" s="154" t="n">
        <v>0</v>
      </c>
      <c r="AF19" s="157" t="n">
        <v>1.7</v>
      </c>
      <c r="AG19" s="158" t="n">
        <v>1.3</v>
      </c>
      <c r="AH19" s="154" t="n">
        <v>52.5</v>
      </c>
      <c r="AI19" s="93" t="n">
        <f aca="false">AI18-AH19</f>
        <v>15767.0578774893</v>
      </c>
      <c r="AJ19" s="112"/>
      <c r="AK19" s="154" t="n">
        <f aca="false">N19+O19+P19+Q19+R19+S19+T19+U19+X19+AE19+AH19</f>
        <v>124.9</v>
      </c>
      <c r="AL19" s="154" t="n">
        <f aca="false">IF(L19&lt;0,L19*-1,0)</f>
        <v>0</v>
      </c>
      <c r="AM19" s="404" t="n">
        <f aca="false">AK19+AL19</f>
        <v>124.9</v>
      </c>
      <c r="AN19" s="239"/>
      <c r="AO19" s="112" t="n">
        <f aca="false">V19+W19-AN19+(65/$D$2)/5</f>
        <v>6.55407108646332</v>
      </c>
      <c r="AP19" s="406" t="n">
        <f aca="false">I19-Q19-R19-X19-AF19</f>
        <v>357.62751552</v>
      </c>
      <c r="AQ19" s="173" t="n">
        <f aca="false">47.962*(Z19*1.9835+AC19*1.9835)/E19</f>
        <v>2.42859922933262</v>
      </c>
      <c r="AR19" s="173"/>
      <c r="AS19" s="116"/>
      <c r="AT19" s="11" t="n">
        <v>0</v>
      </c>
      <c r="AU19" s="1"/>
      <c r="AV19" s="117" t="n">
        <v>0</v>
      </c>
      <c r="AW19" s="118" t="n">
        <v>69</v>
      </c>
      <c r="AX19" s="118" t="n">
        <v>33</v>
      </c>
      <c r="AY19" s="161"/>
      <c r="AZ19" s="282" t="n">
        <f aca="false">SUM(N19,P19:U19)</f>
        <v>3.58208511039798</v>
      </c>
      <c r="BA19" s="1" t="n">
        <v>1.07</v>
      </c>
      <c r="BB19" s="407" t="n">
        <v>20715</v>
      </c>
    </row>
    <row r="20" customFormat="false" ht="12.95" hidden="false" customHeight="true" outlineLevel="0" collapsed="false">
      <c r="A20" s="10" t="n">
        <f aca="false">A19+1</f>
        <v>6</v>
      </c>
      <c r="B20" s="122" t="n">
        <v>6895.37</v>
      </c>
      <c r="C20" s="123" t="n">
        <v>266812</v>
      </c>
      <c r="D20" s="118" t="n">
        <f aca="false">C20-C19</f>
        <v>711</v>
      </c>
      <c r="E20" s="109" t="n">
        <f aca="false">C20-152000</f>
        <v>114812</v>
      </c>
      <c r="F20" s="164" t="n">
        <f aca="false">D20/$D$2</f>
        <v>358.457272498109</v>
      </c>
      <c r="G20" s="154" t="n">
        <v>443</v>
      </c>
      <c r="H20" s="154" t="n">
        <v>12.9</v>
      </c>
      <c r="I20" s="154" t="n">
        <f aca="false">G20+H20</f>
        <v>455.9</v>
      </c>
      <c r="J20" s="403" t="n">
        <f aca="false">IF(L20&gt;0,L20,0)</f>
        <v>25.1572724981094</v>
      </c>
      <c r="K20" s="154" t="n">
        <f aca="false">I20+J20</f>
        <v>481.057272498109</v>
      </c>
      <c r="L20" s="154" t="n">
        <f aca="false">F20-(I20-AK20)</f>
        <v>25.1572724981094</v>
      </c>
      <c r="M20" s="157" t="n">
        <v>69.8</v>
      </c>
      <c r="N20" s="186" t="n">
        <v>0</v>
      </c>
      <c r="O20" s="404" t="n">
        <f aca="false">44.1*1.05</f>
        <v>46.305</v>
      </c>
      <c r="P20" s="96" t="n">
        <v>0</v>
      </c>
      <c r="Q20" s="373" t="n">
        <f aca="false">1107300/325851/1.9835*1.02</f>
        <v>1.74748802657601</v>
      </c>
      <c r="R20" s="151" t="n">
        <f aca="false">IF(((2.6*1.04)-T20)&gt;=4.2,4.2,(2.6*1.04)-T20)</f>
        <v>2.13648448</v>
      </c>
      <c r="S20" s="151" t="n">
        <f aca="false">IF(((2.6*1.04)-T20)&gt;=4.2,((2.6*1.04)-T20)-4.2,0)</f>
        <v>0</v>
      </c>
      <c r="T20" s="151" t="n">
        <f aca="false">(0.5148*1.06)*1.04</f>
        <v>0.56751552</v>
      </c>
      <c r="U20" s="393" t="n">
        <v>0</v>
      </c>
      <c r="V20" s="154" t="n">
        <v>0</v>
      </c>
      <c r="W20" s="154" t="n">
        <v>0</v>
      </c>
      <c r="X20" s="280" t="n">
        <f aca="false">M20-N20-O20-P20-Q20-R20-S20-T20-U20+V20+W20-AT20</f>
        <v>19.043511973424</v>
      </c>
      <c r="Y20" s="280" t="n">
        <f aca="false">X20-AO20</f>
        <v>12.4894408869607</v>
      </c>
      <c r="Z20" s="244" t="n">
        <f aca="false">Z19+AP20</f>
        <v>1632.43209312</v>
      </c>
      <c r="AA20" s="280"/>
      <c r="AB20" s="244" t="n">
        <f aca="false">AB19+(Y20+AP20)*1.9835</f>
        <v>3343.51307211475</v>
      </c>
      <c r="AC20" s="123" t="n">
        <f aca="false">AC19-(AQ19/1.9835)</f>
        <v>1710.45054948967</v>
      </c>
      <c r="AD20" s="112"/>
      <c r="AE20" s="154" t="n">
        <v>0</v>
      </c>
      <c r="AF20" s="157" t="n">
        <v>1.7</v>
      </c>
      <c r="AG20" s="158" t="n">
        <v>1.3</v>
      </c>
      <c r="AH20" s="154" t="n">
        <v>52.8</v>
      </c>
      <c r="AI20" s="93" t="n">
        <f aca="false">AI19-AH20</f>
        <v>15714.2578774893</v>
      </c>
      <c r="AJ20" s="112"/>
      <c r="AK20" s="154" t="n">
        <f aca="false">N20+O20+P20+Q20+R20+S20+T20+U20+X20+AE20+AH20</f>
        <v>122.6</v>
      </c>
      <c r="AL20" s="154" t="n">
        <f aca="false">IF(L20&lt;0,L20*-1,0)</f>
        <v>0</v>
      </c>
      <c r="AM20" s="404" t="n">
        <f aca="false">AK20+AL20</f>
        <v>122.6</v>
      </c>
      <c r="AN20" s="239"/>
      <c r="AO20" s="112" t="n">
        <f aca="false">V20+W20-AN20+(65/$D$2)/5</f>
        <v>6.55407108646332</v>
      </c>
      <c r="AP20" s="406" t="n">
        <f aca="false">I20-Q20-R20-X20-AF20</f>
        <v>431.27251552</v>
      </c>
      <c r="AQ20" s="173" t="n">
        <f aca="false">39.693*(Z20*1.9835+AC20*1.9835)/E20</f>
        <v>2.29234498392255</v>
      </c>
      <c r="AR20" s="173"/>
      <c r="AS20" s="116"/>
      <c r="AT20" s="11" t="n">
        <v>0</v>
      </c>
      <c r="AU20" s="1"/>
      <c r="AV20" s="117" t="n">
        <v>0</v>
      </c>
      <c r="AW20" s="118" t="n">
        <v>70</v>
      </c>
      <c r="AX20" s="118" t="n">
        <v>26</v>
      </c>
      <c r="AY20" s="161"/>
      <c r="AZ20" s="282" t="n">
        <f aca="false">SUM(N20,P20:U20)</f>
        <v>4.45148802657601</v>
      </c>
      <c r="BA20" s="1" t="n">
        <v>1.06</v>
      </c>
      <c r="BB20" s="407" t="n">
        <v>20846</v>
      </c>
    </row>
    <row r="21" customFormat="false" ht="12.95" hidden="false" customHeight="true" outlineLevel="0" collapsed="false">
      <c r="A21" s="10" t="n">
        <f aca="false">A20+1</f>
        <v>7</v>
      </c>
      <c r="B21" s="122" t="n">
        <v>6895.72</v>
      </c>
      <c r="C21" s="123" t="n">
        <v>268058</v>
      </c>
      <c r="D21" s="118" t="n">
        <f aca="false">C21-C20</f>
        <v>1246</v>
      </c>
      <c r="E21" s="109" t="n">
        <f aca="false">C21-152000</f>
        <v>116058</v>
      </c>
      <c r="F21" s="164" t="n">
        <f aca="false">D21/$D$2</f>
        <v>628.182505671792</v>
      </c>
      <c r="G21" s="154" t="n">
        <v>594</v>
      </c>
      <c r="H21" s="154" t="n">
        <v>30.1</v>
      </c>
      <c r="I21" s="154" t="n">
        <f aca="false">G21+H21</f>
        <v>624.1</v>
      </c>
      <c r="J21" s="403" t="n">
        <f aca="false">IF(L21&gt;0,L21,0)</f>
        <v>118.282505671792</v>
      </c>
      <c r="K21" s="154" t="n">
        <f aca="false">I21+J21</f>
        <v>742.382505671792</v>
      </c>
      <c r="L21" s="154" t="n">
        <f aca="false">F21-(I21-AK21)</f>
        <v>118.282505671792</v>
      </c>
      <c r="M21" s="157" t="n">
        <v>61.3</v>
      </c>
      <c r="N21" s="186" t="n">
        <v>0</v>
      </c>
      <c r="O21" s="404" t="n">
        <f aca="false">39*1.05</f>
        <v>40.95</v>
      </c>
      <c r="P21" s="96" t="n">
        <v>0</v>
      </c>
      <c r="Q21" s="373" t="n">
        <f aca="false">1224000/325851/1.9835*1.02</f>
        <v>1.93165839838259</v>
      </c>
      <c r="R21" s="151" t="n">
        <f aca="false">IF(((2.7*1.04)-T21)&gt;=4.2,4.2,(2.7*1.04)-T21)</f>
        <v>2.24048448</v>
      </c>
      <c r="S21" s="151" t="n">
        <f aca="false">IF(((2.7*1.04)-T21)&gt;=4.2,((2.7*1.04)-T21)-4.2,0)</f>
        <v>0</v>
      </c>
      <c r="T21" s="151" t="n">
        <f aca="false">(0.5148*1.06)*1.04</f>
        <v>0.56751552</v>
      </c>
      <c r="U21" s="393" t="n">
        <v>0</v>
      </c>
      <c r="V21" s="154" t="n">
        <v>0</v>
      </c>
      <c r="W21" s="154" t="n">
        <v>0</v>
      </c>
      <c r="X21" s="280" t="n">
        <f aca="false">M21-N21-O21-P21-Q21-R21-S21-T21-U21+V21+W21-AT21</f>
        <v>15.6103416016174</v>
      </c>
      <c r="Y21" s="280" t="n">
        <f aca="false">X21-AO21</f>
        <v>9.05627051515409</v>
      </c>
      <c r="Z21" s="244" t="n">
        <f aca="false">Z20+AP21</f>
        <v>2235.04960864</v>
      </c>
      <c r="AA21" s="280"/>
      <c r="AB21" s="244" t="n">
        <f aca="false">AB20+(Y21+AP21)*1.9835</f>
        <v>4556.76802671548</v>
      </c>
      <c r="AC21" s="123" t="n">
        <f aca="false">AC20-(AQ20/1.9835)</f>
        <v>1709.29484241434</v>
      </c>
      <c r="AD21" s="112"/>
      <c r="AE21" s="154" t="n">
        <v>0</v>
      </c>
      <c r="AF21" s="157" t="n">
        <v>1.7</v>
      </c>
      <c r="AG21" s="158" t="n">
        <v>1.3</v>
      </c>
      <c r="AH21" s="154" t="n">
        <v>52.9</v>
      </c>
      <c r="AI21" s="93" t="n">
        <f aca="false">AI20-AH21</f>
        <v>15661.3578774893</v>
      </c>
      <c r="AJ21" s="112"/>
      <c r="AK21" s="154" t="n">
        <f aca="false">N21+O21+P21+Q21+R21+S21+T21+U21+X21+AE21+AH21</f>
        <v>114.2</v>
      </c>
      <c r="AL21" s="154" t="n">
        <f aca="false">IF(L21&lt;0,L21*-1,0)</f>
        <v>0</v>
      </c>
      <c r="AM21" s="404" t="n">
        <f aca="false">AK21+AL21</f>
        <v>114.2</v>
      </c>
      <c r="AN21" s="239"/>
      <c r="AO21" s="112" t="n">
        <f aca="false">V21+W21-AN21+(65/$D$2)/5</f>
        <v>6.55407108646332</v>
      </c>
      <c r="AP21" s="406" t="n">
        <f aca="false">I21-Q21-R21-X21-AF21</f>
        <v>602.61751552</v>
      </c>
      <c r="AQ21" s="173" t="n">
        <f aca="false">37.944*(Z21*1.9835+AC21*1.9835)/E21</f>
        <v>2.55784997419457</v>
      </c>
      <c r="AR21" s="173"/>
      <c r="AS21" s="116"/>
      <c r="AT21" s="11" t="n">
        <v>0</v>
      </c>
      <c r="AU21" s="1"/>
      <c r="AV21" s="117" t="n">
        <v>0</v>
      </c>
      <c r="AW21" s="118" t="n">
        <v>74</v>
      </c>
      <c r="AX21" s="118" t="n">
        <v>36</v>
      </c>
      <c r="AY21" s="161"/>
      <c r="AZ21" s="282" t="n">
        <f aca="false">SUM(N21,P21:U21)</f>
        <v>4.73965839838259</v>
      </c>
      <c r="BA21" s="1" t="n">
        <v>0.796</v>
      </c>
      <c r="BB21" s="407" t="n">
        <v>21013</v>
      </c>
    </row>
    <row r="22" customFormat="false" ht="12.95" hidden="false" customHeight="true" outlineLevel="0" collapsed="false">
      <c r="A22" s="10" t="n">
        <f aca="false">A21+1</f>
        <v>8</v>
      </c>
      <c r="B22" s="122" t="n">
        <v>6896.16</v>
      </c>
      <c r="C22" s="123" t="n">
        <v>269629</v>
      </c>
      <c r="D22" s="118" t="n">
        <f aca="false">C22-C21</f>
        <v>1571</v>
      </c>
      <c r="E22" s="109" t="n">
        <f aca="false">C22-152000</f>
        <v>117629</v>
      </c>
      <c r="F22" s="164" t="n">
        <f aca="false">D22/$D$2</f>
        <v>792.034282833375</v>
      </c>
      <c r="G22" s="154" t="n">
        <v>746</v>
      </c>
      <c r="H22" s="154" t="n">
        <v>75.1</v>
      </c>
      <c r="I22" s="154" t="n">
        <f aca="false">G22+H22</f>
        <v>821.1</v>
      </c>
      <c r="J22" s="403" t="n">
        <f aca="false">IF(L22&gt;0,L22,0)</f>
        <v>82.4572828333753</v>
      </c>
      <c r="K22" s="154" t="n">
        <f aca="false">I22+J22</f>
        <v>903.557282833375</v>
      </c>
      <c r="L22" s="154" t="n">
        <f aca="false">F22-(I22-AK22)</f>
        <v>82.4572828333753</v>
      </c>
      <c r="M22" s="157" t="n">
        <v>58</v>
      </c>
      <c r="N22" s="186" t="n">
        <v>0</v>
      </c>
      <c r="O22" s="404" t="n">
        <f aca="false">49.9*1.05</f>
        <v>52.395</v>
      </c>
      <c r="P22" s="96" t="n">
        <v>0</v>
      </c>
      <c r="Q22" s="373" t="n">
        <f aca="false">796500/325851/1.9835*1.02</f>
        <v>1.25699829600631</v>
      </c>
      <c r="R22" s="151" t="n">
        <f aca="false">IF(((2.7*1.04)-T22)&gt;=4.2,4.2,(2.7*1.04)-T22)</f>
        <v>2.21887744</v>
      </c>
      <c r="S22" s="151" t="n">
        <f aca="false">IF(((2.7*1.04)-T22)&gt;=4.2,((2.7*1.04)-T22)-4.2,0)</f>
        <v>0</v>
      </c>
      <c r="T22" s="151" t="n">
        <f aca="false">(0.5344*1.06)*1.04</f>
        <v>0.58912256</v>
      </c>
      <c r="U22" s="393" t="n">
        <v>0</v>
      </c>
      <c r="V22" s="154" t="n">
        <v>0</v>
      </c>
      <c r="W22" s="154" t="n">
        <v>0</v>
      </c>
      <c r="X22" s="280" t="n">
        <f aca="false">M22-N22-O22-P22-Q22-R22-S22-T22-U22+V22+W22-AT22</f>
        <v>1.54000170399368</v>
      </c>
      <c r="Y22" s="280" t="n">
        <f aca="false">X22-AO22</f>
        <v>-5.01406938246964</v>
      </c>
      <c r="Z22" s="244" t="n">
        <f aca="false">Z21+AP22</f>
        <v>3049.4337312</v>
      </c>
      <c r="AA22" s="280"/>
      <c r="AB22" s="244" t="n">
        <f aca="false">AB21+(Y22+AP22)*1.9835</f>
        <v>6162.15352719311</v>
      </c>
      <c r="AC22" s="123" t="n">
        <f aca="false">AC21-(AQ21/1.9835)</f>
        <v>1708.00527852516</v>
      </c>
      <c r="AD22" s="112"/>
      <c r="AE22" s="154" t="n">
        <v>0.823</v>
      </c>
      <c r="AF22" s="157" t="n">
        <v>1.7</v>
      </c>
      <c r="AG22" s="158" t="n">
        <v>1.3</v>
      </c>
      <c r="AH22" s="154" t="n">
        <v>52.7</v>
      </c>
      <c r="AI22" s="93" t="n">
        <f aca="false">AI21-AH22</f>
        <v>15608.6578774893</v>
      </c>
      <c r="AJ22" s="112"/>
      <c r="AK22" s="154" t="n">
        <f aca="false">N22+O22+P22+Q22+R22+S22+T22+U22+X22+AE22+AH22</f>
        <v>111.523</v>
      </c>
      <c r="AL22" s="154" t="n">
        <f aca="false">IF(L22&lt;0,L22*-1,0)</f>
        <v>0</v>
      </c>
      <c r="AM22" s="404" t="n">
        <f aca="false">AK22+AL22</f>
        <v>111.523</v>
      </c>
      <c r="AN22" s="239"/>
      <c r="AO22" s="112" t="n">
        <f aca="false">V22+W22-AN22+(65/$D$2)/5</f>
        <v>6.55407108646332</v>
      </c>
      <c r="AP22" s="406" t="n">
        <f aca="false">I22-Q22-R22-X22-AF22</f>
        <v>814.38412256</v>
      </c>
      <c r="AQ22" s="173" t="n">
        <f aca="false">41.488*(Z22*1.9835+AC22*1.9835)/E22</f>
        <v>3.3282315150343</v>
      </c>
      <c r="AR22" s="173"/>
      <c r="AS22" s="116"/>
      <c r="AT22" s="11" t="n">
        <v>0</v>
      </c>
      <c r="AU22" s="1"/>
      <c r="AV22" s="117" t="n">
        <v>0.16</v>
      </c>
      <c r="AW22" s="118" t="n">
        <v>70</v>
      </c>
      <c r="AX22" s="118" t="n">
        <v>36</v>
      </c>
      <c r="AY22" s="161"/>
      <c r="AZ22" s="282" t="n">
        <f aca="false">SUM(N22,P22:U22)</f>
        <v>4.06499829600632</v>
      </c>
      <c r="BA22" s="1" t="n">
        <v>0.747</v>
      </c>
      <c r="BB22" s="407" t="n">
        <v>21196</v>
      </c>
    </row>
    <row r="23" customFormat="false" ht="12.95" hidden="false" customHeight="true" outlineLevel="0" collapsed="false">
      <c r="A23" s="10" t="n">
        <f aca="false">A22+1</f>
        <v>9</v>
      </c>
      <c r="B23" s="395" t="n">
        <v>6896.79</v>
      </c>
      <c r="C23" s="109" t="n">
        <v>271890</v>
      </c>
      <c r="D23" s="118" t="n">
        <f aca="false">C23-C22</f>
        <v>2261</v>
      </c>
      <c r="E23" s="109" t="n">
        <f aca="false">C23-152000</f>
        <v>119890</v>
      </c>
      <c r="F23" s="164" t="n">
        <f aca="false">D23/$D$2</f>
        <v>1139.90420973027</v>
      </c>
      <c r="G23" s="163" t="n">
        <v>816</v>
      </c>
      <c r="H23" s="154" t="n">
        <v>169</v>
      </c>
      <c r="I23" s="154" t="n">
        <f aca="false">G23+H23</f>
        <v>985</v>
      </c>
      <c r="J23" s="403" t="n">
        <f aca="false">IF(L23&gt;0,L23,0)</f>
        <v>275.904209730275</v>
      </c>
      <c r="K23" s="154" t="n">
        <f aca="false">I23+J23</f>
        <v>1260.90420973027</v>
      </c>
      <c r="L23" s="154" t="n">
        <f aca="false">F23-(I23-AK23)</f>
        <v>275.904209730275</v>
      </c>
      <c r="M23" s="157" t="n">
        <v>68.6</v>
      </c>
      <c r="N23" s="186" t="n">
        <v>0</v>
      </c>
      <c r="O23" s="404" t="n">
        <f aca="false">60.2*1.05</f>
        <v>63.21</v>
      </c>
      <c r="P23" s="96" t="n">
        <v>0</v>
      </c>
      <c r="Q23" s="373" t="n">
        <f aca="false">940200/325851/1.9835*1.02</f>
        <v>1.48377877954192</v>
      </c>
      <c r="R23" s="151" t="n">
        <f aca="false">IF(((2.7*1.04)-T23)&gt;=4.2,4.2,(2.7*1.04)-T23)</f>
        <v>2.21887744</v>
      </c>
      <c r="S23" s="151" t="n">
        <f aca="false">IF(((2.7*1.04)-T23)&gt;=4.2,((2.7*1.04)-T23)-4.2,0)</f>
        <v>0</v>
      </c>
      <c r="T23" s="151" t="n">
        <f aca="false">(0.5344*1.06)*1.04</f>
        <v>0.58912256</v>
      </c>
      <c r="U23" s="393" t="n">
        <v>0</v>
      </c>
      <c r="V23" s="154" t="n">
        <v>0</v>
      </c>
      <c r="W23" s="154" t="n">
        <v>0</v>
      </c>
      <c r="X23" s="280" t="n">
        <f aca="false">M23-N23-O23-P23-Q23-R23-S23-T23-U23+V23+W23-AT23</f>
        <v>1.09822122045807</v>
      </c>
      <c r="Y23" s="280" t="n">
        <f aca="false">X23-AO23</f>
        <v>1.09822122045807</v>
      </c>
      <c r="Z23" s="244" t="n">
        <f aca="false">Z22+AP23</f>
        <v>3843.33550997954</v>
      </c>
      <c r="AA23" s="280"/>
      <c r="AB23" s="244" t="n">
        <f aca="false">AB22+(Y23+AP23)*1.9835</f>
        <v>7739.03602719311</v>
      </c>
      <c r="AC23" s="123" t="n">
        <f aca="false">AC22-(AQ22/1.9835)</f>
        <v>1706.32731960656</v>
      </c>
      <c r="AD23" s="112"/>
      <c r="AE23" s="154" t="n">
        <v>0</v>
      </c>
      <c r="AF23" s="157" t="n">
        <v>1.7</v>
      </c>
      <c r="AG23" s="158" t="n">
        <v>1.3</v>
      </c>
      <c r="AH23" s="154" t="n">
        <v>52.4</v>
      </c>
      <c r="AI23" s="93" t="n">
        <f aca="false">AI22-AH23</f>
        <v>15556.2578774893</v>
      </c>
      <c r="AJ23" s="112"/>
      <c r="AK23" s="154" t="n">
        <f aca="false">N23+O23+P23+Q23+R23+S23+T23+U23+X23+AE23+AH23</f>
        <v>121</v>
      </c>
      <c r="AL23" s="154" t="n">
        <f aca="false">IF(L23&lt;0,L23*-1,0)</f>
        <v>0</v>
      </c>
      <c r="AM23" s="404" t="n">
        <f aca="false">AK23+AL23</f>
        <v>121</v>
      </c>
      <c r="AN23" s="239"/>
      <c r="AO23" s="112"/>
      <c r="AP23" s="406" t="n">
        <f aca="false">795-X23</f>
        <v>793.901778779542</v>
      </c>
      <c r="AQ23" s="173" t="n">
        <f aca="false">6.305*(Z23*1.9835+AC23*1.9835)/E23</f>
        <v>0.578896513326898</v>
      </c>
      <c r="AR23" s="173"/>
      <c r="AS23" s="116"/>
      <c r="AT23" s="11" t="n">
        <v>0</v>
      </c>
      <c r="AU23" s="1"/>
      <c r="AV23" s="117" t="n">
        <v>0.03</v>
      </c>
      <c r="AW23" s="162" t="n">
        <v>63</v>
      </c>
      <c r="AX23" s="118" t="n">
        <v>41</v>
      </c>
      <c r="AY23" s="161"/>
      <c r="AZ23" s="282" t="n">
        <f aca="false">SUM(N23,P23:U23)</f>
        <v>4.29177877954192</v>
      </c>
      <c r="BA23" s="1" t="n">
        <v>0.715</v>
      </c>
      <c r="BB23" s="407" t="n">
        <v>21392</v>
      </c>
    </row>
    <row r="24" customFormat="false" ht="12.95" hidden="false" customHeight="true" outlineLevel="0" collapsed="false">
      <c r="A24" s="10" t="n">
        <f aca="false">A23+1</f>
        <v>10</v>
      </c>
      <c r="B24" s="395" t="n">
        <v>6897.32</v>
      </c>
      <c r="C24" s="109" t="n">
        <v>273801</v>
      </c>
      <c r="D24" s="118" t="n">
        <f aca="false">C24-C23</f>
        <v>1911</v>
      </c>
      <c r="E24" s="109" t="n">
        <f aca="false">C24-152000</f>
        <v>121801</v>
      </c>
      <c r="F24" s="164" t="n">
        <f aca="false">D24/$D$2</f>
        <v>963.448449710108</v>
      </c>
      <c r="G24" s="163" t="n">
        <v>762</v>
      </c>
      <c r="H24" s="154" t="n">
        <v>180</v>
      </c>
      <c r="I24" s="154" t="n">
        <f aca="false">G24+H24</f>
        <v>942</v>
      </c>
      <c r="J24" s="403" t="n">
        <f aca="false">IF(L24&gt;0,L24,0)</f>
        <v>140.848449710108</v>
      </c>
      <c r="K24" s="154" t="n">
        <f aca="false">I24+J24</f>
        <v>1082.84844971011</v>
      </c>
      <c r="L24" s="154" t="n">
        <f aca="false">F24-(I24-AK24)</f>
        <v>140.848449710108</v>
      </c>
      <c r="M24" s="157" t="n">
        <v>67</v>
      </c>
      <c r="N24" s="186" t="n">
        <v>0</v>
      </c>
      <c r="O24" s="404" t="n">
        <f aca="false">57.5*1.05</f>
        <v>60.375</v>
      </c>
      <c r="P24" s="96" t="n">
        <v>0</v>
      </c>
      <c r="Q24" s="373" t="n">
        <f aca="false">1200400/325851/1.9835*1.02</f>
        <v>1.89441400442684</v>
      </c>
      <c r="R24" s="151" t="n">
        <f aca="false">IF(((2.4*1.04)-T24)&gt;=4.2,4.2,(2.4*1.04)-T24)</f>
        <v>1.90687744</v>
      </c>
      <c r="S24" s="151" t="n">
        <f aca="false">IF(((2.4*1.04)-T24)&gt;=4.2,((2.4*1.04)-T24)-4.2,0)</f>
        <v>0</v>
      </c>
      <c r="T24" s="151" t="n">
        <f aca="false">(0.5344*1.06)*1.04</f>
        <v>0.58912256</v>
      </c>
      <c r="U24" s="393" t="n">
        <v>0</v>
      </c>
      <c r="V24" s="154" t="n">
        <v>0</v>
      </c>
      <c r="W24" s="154" t="n">
        <v>0</v>
      </c>
      <c r="X24" s="280" t="n">
        <f aca="false">M24-N24-O24-P24-Q24-R24-S24-T24-U24+V24+W24-AT24</f>
        <v>2.23458599557316</v>
      </c>
      <c r="Y24" s="280" t="n">
        <f aca="false">X24-AO24</f>
        <v>2.23458599557316</v>
      </c>
      <c r="Z24" s="244" t="n">
        <f aca="false">Z23+AP24</f>
        <v>4777.59963253954</v>
      </c>
      <c r="AA24" s="280"/>
      <c r="AB24" s="244" t="n">
        <f aca="false">AB23+(Y24+AP24)*1.9835</f>
        <v>9596.58121561309</v>
      </c>
      <c r="AC24" s="123" t="n">
        <f aca="false">AC23-(AQ23/1.9835)</f>
        <v>1706.03546353733</v>
      </c>
      <c r="AD24" s="112"/>
      <c r="AE24" s="154" t="n">
        <v>0</v>
      </c>
      <c r="AF24" s="157" t="n">
        <v>1.7</v>
      </c>
      <c r="AG24" s="158" t="n">
        <v>1.3</v>
      </c>
      <c r="AH24" s="154" t="n">
        <v>52.4</v>
      </c>
      <c r="AI24" s="93" t="n">
        <f aca="false">AI23-AH24</f>
        <v>15503.8578774893</v>
      </c>
      <c r="AJ24" s="112"/>
      <c r="AK24" s="154" t="n">
        <f aca="false">N24+O24+P24+Q24+R24+S24+T24+U24+X24+AE24+AH24</f>
        <v>119.4</v>
      </c>
      <c r="AL24" s="154" t="n">
        <f aca="false">IF(L24&lt;0,L24*-1,0)</f>
        <v>0</v>
      </c>
      <c r="AM24" s="404" t="n">
        <f aca="false">AK24+AL24</f>
        <v>119.4</v>
      </c>
      <c r="AN24" s="239"/>
      <c r="AO24" s="112"/>
      <c r="AP24" s="406" t="n">
        <f aca="false">I24-Q24-R24-X24-AF24</f>
        <v>934.26412256</v>
      </c>
      <c r="AQ24" s="173" t="n">
        <f aca="false">30.055*(Z24*1.9835+AC24*1.9835)/E24</f>
        <v>3.17334030388727</v>
      </c>
      <c r="AR24" s="173"/>
      <c r="AS24" s="116"/>
      <c r="AT24" s="11" t="n">
        <v>0</v>
      </c>
      <c r="AU24" s="1"/>
      <c r="AV24" s="117" t="n">
        <v>0</v>
      </c>
      <c r="AW24" s="118" t="n">
        <v>62</v>
      </c>
      <c r="AX24" s="118" t="n">
        <v>37</v>
      </c>
      <c r="AY24" s="161"/>
      <c r="AZ24" s="282" t="n">
        <f aca="false">SUM(N24,P24:U24)</f>
        <v>4.39041400442684</v>
      </c>
      <c r="BA24" s="1" t="n">
        <v>0.737</v>
      </c>
      <c r="BB24" s="407" t="n">
        <v>21585</v>
      </c>
    </row>
    <row r="25" customFormat="false" ht="12.95" hidden="false" customHeight="true" outlineLevel="0" collapsed="false">
      <c r="A25" s="10" t="n">
        <f aca="false">A24+1</f>
        <v>11</v>
      </c>
      <c r="B25" s="395" t="n">
        <v>6897.85</v>
      </c>
      <c r="C25" s="109" t="n">
        <v>275718</v>
      </c>
      <c r="D25" s="118" t="n">
        <f aca="false">C25-C24</f>
        <v>1917</v>
      </c>
      <c r="E25" s="109" t="n">
        <f aca="false">C25-152000</f>
        <v>123718</v>
      </c>
      <c r="F25" s="164" t="n">
        <f aca="false">D25/$D$2</f>
        <v>966.473405596168</v>
      </c>
      <c r="G25" s="163" t="n">
        <v>775</v>
      </c>
      <c r="H25" s="154" t="n">
        <v>190</v>
      </c>
      <c r="I25" s="154" t="n">
        <f aca="false">G25+H25</f>
        <v>965</v>
      </c>
      <c r="J25" s="403" t="n">
        <f aca="false">IF(L25&gt;0,L25,0)</f>
        <v>187.373405596168</v>
      </c>
      <c r="K25" s="154" t="n">
        <f aca="false">I25+J25</f>
        <v>1152.37340559617</v>
      </c>
      <c r="L25" s="154" t="n">
        <f aca="false">F25-(I25-AK25)</f>
        <v>187.373405596168</v>
      </c>
      <c r="M25" s="157" t="n">
        <v>105</v>
      </c>
      <c r="N25" s="186" t="n">
        <v>0</v>
      </c>
      <c r="O25" s="404" t="n">
        <f aca="false">77.6*1.05</f>
        <v>81.48</v>
      </c>
      <c r="P25" s="96" t="n">
        <v>0</v>
      </c>
      <c r="Q25" s="373" t="n">
        <f aca="false">992400/325851/1.9835*1.02</f>
        <v>1.5661583288847</v>
      </c>
      <c r="R25" s="151" t="n">
        <f aca="false">IF(((2.5*1.04)-T25)&gt;=4.2,4.2,(2.5*1.04)-T25)</f>
        <v>2.01087744</v>
      </c>
      <c r="S25" s="151" t="n">
        <f aca="false">IF(((2.5*1.04)-T25)&gt;=4.2,((2.5*1.04)-T25)-4.2,0)</f>
        <v>0</v>
      </c>
      <c r="T25" s="151" t="n">
        <f aca="false">(0.5344*1.06)*1.04</f>
        <v>0.58912256</v>
      </c>
      <c r="U25" s="393" t="n">
        <v>0</v>
      </c>
      <c r="V25" s="154" t="n">
        <v>0</v>
      </c>
      <c r="W25" s="154" t="n">
        <v>0</v>
      </c>
      <c r="X25" s="280" t="n">
        <f aca="false">M25-N25-O25-P25-Q25-R25-S25-T25-U25+V25+W25-AT25</f>
        <v>19.3538416711153</v>
      </c>
      <c r="Y25" s="280" t="n">
        <f aca="false">X25-AO25</f>
        <v>19.3538416711153</v>
      </c>
      <c r="Z25" s="244" t="n">
        <f aca="false">Z24+AP25</f>
        <v>5717.96875509954</v>
      </c>
      <c r="AA25" s="280"/>
      <c r="AB25" s="244" t="n">
        <f aca="false">AB24+(Y25+AP25)*1.9835</f>
        <v>11500.1917151655</v>
      </c>
      <c r="AC25" s="123" t="n">
        <f aca="false">AC24-(AQ24/1.9835)</f>
        <v>1704.43559446554</v>
      </c>
      <c r="AD25" s="112"/>
      <c r="AE25" s="154" t="n">
        <v>28.4</v>
      </c>
      <c r="AF25" s="157" t="n">
        <v>1.7</v>
      </c>
      <c r="AG25" s="158" t="n">
        <v>1.3</v>
      </c>
      <c r="AH25" s="154" t="n">
        <v>52.5</v>
      </c>
      <c r="AI25" s="93" t="n">
        <f aca="false">AI24-AH25</f>
        <v>15451.3578774893</v>
      </c>
      <c r="AJ25" s="112"/>
      <c r="AK25" s="154" t="n">
        <f aca="false">N25+O25+P25+Q25+R25+S25+T25+U25+X25+AE25+AH25</f>
        <v>185.9</v>
      </c>
      <c r="AL25" s="154" t="n">
        <f aca="false">IF(L25&lt;0,L25*-1,0)</f>
        <v>0</v>
      </c>
      <c r="AM25" s="404" t="n">
        <f aca="false">AK25+AL25</f>
        <v>185.9</v>
      </c>
      <c r="AN25" s="239"/>
      <c r="AO25" s="112"/>
      <c r="AP25" s="406" t="n">
        <f aca="false">I25-Q25-R25-X25-AF25</f>
        <v>940.36912256</v>
      </c>
      <c r="AQ25" s="173" t="n">
        <f aca="false">41.102*(Z25*1.9835+AC25*1.9835)/E25</f>
        <v>4.89110379009236</v>
      </c>
      <c r="AR25" s="173"/>
      <c r="AS25" s="116"/>
      <c r="AT25" s="11" t="n">
        <v>0</v>
      </c>
      <c r="AU25" s="1"/>
      <c r="AV25" s="117" t="n">
        <v>0</v>
      </c>
      <c r="AW25" s="118" t="n">
        <v>61</v>
      </c>
      <c r="AX25" s="118" t="n">
        <v>33</v>
      </c>
      <c r="AY25" s="161"/>
      <c r="AZ25" s="282" t="n">
        <f aca="false">SUM(N25,P25:U25)</f>
        <v>4.1661583288847</v>
      </c>
      <c r="BA25" s="1" t="n">
        <v>0.764</v>
      </c>
      <c r="BB25" s="407" t="n">
        <v>21804</v>
      </c>
    </row>
    <row r="26" customFormat="false" ht="12.95" hidden="false" customHeight="true" outlineLevel="0" collapsed="false">
      <c r="A26" s="10" t="n">
        <f aca="false">A25+1</f>
        <v>12</v>
      </c>
      <c r="B26" s="395" t="n">
        <v>6898.23</v>
      </c>
      <c r="C26" s="109" t="n">
        <v>277099</v>
      </c>
      <c r="D26" s="118" t="n">
        <f aca="false">C26-C25</f>
        <v>1381</v>
      </c>
      <c r="E26" s="109" t="n">
        <f aca="false">C26-152000</f>
        <v>125099</v>
      </c>
      <c r="F26" s="164" t="n">
        <f aca="false">D26/$D$2</f>
        <v>696.244013108142</v>
      </c>
      <c r="G26" s="154" t="n">
        <v>695</v>
      </c>
      <c r="H26" s="154" t="n">
        <v>103</v>
      </c>
      <c r="I26" s="154" t="n">
        <f aca="false">G26+H26</f>
        <v>798</v>
      </c>
      <c r="J26" s="403" t="n">
        <f aca="false">IF(L26&gt;0,L26,0)</f>
        <v>91.9440131081423</v>
      </c>
      <c r="K26" s="154" t="n">
        <f aca="false">I26+J26</f>
        <v>889.944013108142</v>
      </c>
      <c r="L26" s="154" t="n">
        <f aca="false">F26-(I26-AK26)</f>
        <v>91.9440131081423</v>
      </c>
      <c r="M26" s="157" t="n">
        <v>98</v>
      </c>
      <c r="N26" s="186" t="n">
        <v>0</v>
      </c>
      <c r="O26" s="404" t="n">
        <f aca="false">71.4*1.05</f>
        <v>74.97</v>
      </c>
      <c r="P26" s="96" t="n">
        <v>0</v>
      </c>
      <c r="Q26" s="373" t="n">
        <f aca="false">959900/325851/1.9835*1.02</f>
        <v>1.51486837958124</v>
      </c>
      <c r="R26" s="151" t="n">
        <f aca="false">IF(((2.4*1.04)-T26)&gt;=4.2,4.2,(2.4*1.04)-T26)</f>
        <v>1.90687744</v>
      </c>
      <c r="S26" s="151" t="n">
        <f aca="false">IF(((2.4*1.04)-T26)&gt;=4.2,((2.4*1.04)-T26)-4.2,0)</f>
        <v>0</v>
      </c>
      <c r="T26" s="151" t="n">
        <f aca="false">(0.5344*1.06)*1.04</f>
        <v>0.58912256</v>
      </c>
      <c r="U26" s="393" t="n">
        <v>0</v>
      </c>
      <c r="V26" s="154" t="n">
        <v>0</v>
      </c>
      <c r="W26" s="154" t="n">
        <v>0</v>
      </c>
      <c r="X26" s="280" t="n">
        <f aca="false">M26-N26-O26-P26-Q26-R26-S26-T26-U26+V26+W26-AT26</f>
        <v>19.0191316204187</v>
      </c>
      <c r="Y26" s="280" t="n">
        <f aca="false">X26-AO26</f>
        <v>19.0191316204187</v>
      </c>
      <c r="Z26" s="244" t="n">
        <f aca="false">Z25+AP26</f>
        <v>6491.82787765954</v>
      </c>
      <c r="AA26" s="280"/>
      <c r="AB26" s="244" t="n">
        <f aca="false">AB25+(Y26+AP26)*1.9835</f>
        <v>13072.8657323324</v>
      </c>
      <c r="AC26" s="123" t="n">
        <f aca="false">AC25-(AQ25/1.9835)</f>
        <v>1701.96969893235</v>
      </c>
      <c r="AD26" s="112"/>
      <c r="AE26" s="154" t="n">
        <v>42.8</v>
      </c>
      <c r="AF26" s="157" t="n">
        <v>1.7</v>
      </c>
      <c r="AG26" s="158" t="n">
        <v>1.3</v>
      </c>
      <c r="AH26" s="154" t="n">
        <v>52.9</v>
      </c>
      <c r="AI26" s="93" t="n">
        <f aca="false">AI25-AH26</f>
        <v>15398.4578774893</v>
      </c>
      <c r="AJ26" s="112"/>
      <c r="AK26" s="154" t="n">
        <f aca="false">N26+O26+P26+Q26+R26+S26+T26+U26+X26+AE26+AH26</f>
        <v>193.7</v>
      </c>
      <c r="AL26" s="154" t="n">
        <f aca="false">IF(L26&lt;0,L26*-1,0)</f>
        <v>0</v>
      </c>
      <c r="AM26" s="404" t="n">
        <f aca="false">AK26+AL26</f>
        <v>193.7</v>
      </c>
      <c r="AN26" s="239"/>
      <c r="AO26" s="112"/>
      <c r="AP26" s="406" t="n">
        <f aca="false">I26-Q26-R26-X26-AF26</f>
        <v>773.85912256</v>
      </c>
      <c r="AQ26" s="173" t="n">
        <f aca="false">13.384*(Z26*1.9835+AC26*1.9835)/E26</f>
        <v>1.7387995751252</v>
      </c>
      <c r="AR26" s="173"/>
      <c r="AS26" s="116"/>
      <c r="AT26" s="11" t="n">
        <v>0</v>
      </c>
      <c r="AU26" s="1"/>
      <c r="AV26" s="117" t="n">
        <v>0</v>
      </c>
      <c r="AW26" s="118" t="n">
        <v>61</v>
      </c>
      <c r="AX26" s="118" t="n">
        <v>37</v>
      </c>
      <c r="AY26" s="161"/>
      <c r="AZ26" s="282" t="n">
        <f aca="false">SUM(N26,P26:U26)</f>
        <v>4.01086837958125</v>
      </c>
      <c r="BA26" s="1" t="n">
        <v>0.667</v>
      </c>
      <c r="BB26" s="407" t="n">
        <v>21984</v>
      </c>
    </row>
    <row r="27" customFormat="false" ht="12.95" hidden="false" customHeight="true" outlineLevel="0" collapsed="false">
      <c r="A27" s="10" t="n">
        <f aca="false">A26+1</f>
        <v>13</v>
      </c>
      <c r="B27" s="395" t="n">
        <v>6898.6</v>
      </c>
      <c r="C27" s="109" t="n">
        <v>278448</v>
      </c>
      <c r="D27" s="118" t="n">
        <f aca="false">C27-C26</f>
        <v>1349</v>
      </c>
      <c r="E27" s="109" t="n">
        <f aca="false">C27-152000</f>
        <v>126448</v>
      </c>
      <c r="F27" s="164" t="n">
        <f aca="false">D27/$D$2</f>
        <v>680.110915049156</v>
      </c>
      <c r="G27" s="154" t="n">
        <v>653</v>
      </c>
      <c r="H27" s="154" t="n">
        <v>67.6</v>
      </c>
      <c r="I27" s="154" t="n">
        <f aca="false">G27+H27</f>
        <v>720.6</v>
      </c>
      <c r="J27" s="403" t="n">
        <f aca="false">IF(L27&gt;0,L27,0)</f>
        <v>135.010915049156</v>
      </c>
      <c r="K27" s="154" t="n">
        <f aca="false">I27+J27</f>
        <v>855.610915049156</v>
      </c>
      <c r="L27" s="154" t="n">
        <f aca="false">F27-(I27-AK27)</f>
        <v>135.010915049156</v>
      </c>
      <c r="M27" s="157" t="n">
        <v>80.2</v>
      </c>
      <c r="N27" s="186" t="n">
        <v>0</v>
      </c>
      <c r="O27" s="404" t="n">
        <f aca="false">69.1*1.05</f>
        <v>72.555</v>
      </c>
      <c r="P27" s="96" t="n">
        <v>0</v>
      </c>
      <c r="Q27" s="373" t="n">
        <f aca="false">1095000/325851/1.9835*1.02</f>
        <v>1.72807675345501</v>
      </c>
      <c r="R27" s="151" t="n">
        <f aca="false">IF(((2.6*1.04)-T27)&gt;=4.2,4.2,(2.6*1.04)-T27)</f>
        <v>2.11487744</v>
      </c>
      <c r="S27" s="151" t="n">
        <f aca="false">IF(((2.6*1.04)-T27)&gt;=4.2,((2.6*1.04)-T27)-4.2,0)</f>
        <v>0</v>
      </c>
      <c r="T27" s="151" t="n">
        <f aca="false">(0.5344*1.06)*1.04</f>
        <v>0.58912256</v>
      </c>
      <c r="U27" s="393" t="n">
        <v>0</v>
      </c>
      <c r="V27" s="154" t="n">
        <v>0</v>
      </c>
      <c r="W27" s="154" t="n">
        <v>0</v>
      </c>
      <c r="X27" s="280" t="n">
        <f aca="false">M27-N27-O27-P27-Q27-R27-S27-T27-U27+V27+W27-AT27</f>
        <v>3.212923246545</v>
      </c>
      <c r="Y27" s="280" t="n">
        <f aca="false">X27-AO27</f>
        <v>3.212923246545</v>
      </c>
      <c r="Z27" s="244" t="n">
        <f aca="false">Z26+AP27</f>
        <v>7203.67200021954</v>
      </c>
      <c r="AA27" s="280"/>
      <c r="AB27" s="244" t="n">
        <f aca="false">AB26+(Y27+AP27)*1.9835</f>
        <v>14491.1813826896</v>
      </c>
      <c r="AC27" s="123" t="n">
        <f aca="false">AC26-(AQ26/1.9835)</f>
        <v>1701.09306693077</v>
      </c>
      <c r="AD27" s="112"/>
      <c r="AE27" s="154" t="n">
        <v>42.3</v>
      </c>
      <c r="AF27" s="157" t="n">
        <v>1.7</v>
      </c>
      <c r="AG27" s="158" t="n">
        <v>1.3</v>
      </c>
      <c r="AH27" s="154" t="n">
        <v>53</v>
      </c>
      <c r="AI27" s="93" t="n">
        <f aca="false">AI26-AH27</f>
        <v>15345.4578774893</v>
      </c>
      <c r="AJ27" s="112"/>
      <c r="AK27" s="154" t="n">
        <f aca="false">N27+O27+P27+Q27+R27+S27+T27+U27+X27+AE27+AH27</f>
        <v>175.5</v>
      </c>
      <c r="AL27" s="154" t="n">
        <f aca="false">IF(L27&lt;0,L27*-1,0)</f>
        <v>0</v>
      </c>
      <c r="AM27" s="404" t="n">
        <f aca="false">AK27+AL27</f>
        <v>175.5</v>
      </c>
      <c r="AN27" s="239"/>
      <c r="AO27" s="112"/>
      <c r="AP27" s="406" t="n">
        <f aca="false">I27-Q27-R27-X27-AF27</f>
        <v>711.84412256</v>
      </c>
      <c r="AQ27" s="173" t="n">
        <f aca="false">34.801*(Z27*1.9835+AC27*1.9835)/E27</f>
        <v>4.86109859526141</v>
      </c>
      <c r="AR27" s="173"/>
      <c r="AS27" s="116"/>
      <c r="AT27" s="11" t="n">
        <v>0</v>
      </c>
      <c r="AU27" s="1"/>
      <c r="AV27" s="117" t="n">
        <v>0</v>
      </c>
      <c r="AW27" s="118" t="n">
        <v>68</v>
      </c>
      <c r="AX27" s="118" t="n">
        <v>34</v>
      </c>
      <c r="AY27" s="161"/>
      <c r="AZ27" s="282" t="n">
        <f aca="false">SUM(N27,P27:U27)</f>
        <v>4.43207675345501</v>
      </c>
      <c r="BA27" s="1" t="n">
        <v>0.716</v>
      </c>
      <c r="BB27" s="407" t="n">
        <v>22162</v>
      </c>
    </row>
    <row r="28" customFormat="false" ht="12.95" hidden="false" customHeight="true" outlineLevel="0" collapsed="false">
      <c r="A28" s="10" t="n">
        <f aca="false">A27+1</f>
        <v>14</v>
      </c>
      <c r="B28" s="395" t="n">
        <v>6899.02</v>
      </c>
      <c r="C28" s="109" t="n">
        <v>279980</v>
      </c>
      <c r="D28" s="118" t="n">
        <f aca="false">C28-C27</f>
        <v>1532</v>
      </c>
      <c r="E28" s="109" t="n">
        <f aca="false">C28-152000</f>
        <v>127980</v>
      </c>
      <c r="F28" s="164" t="n">
        <f aca="false">D28/$D$2</f>
        <v>772.372069573985</v>
      </c>
      <c r="G28" s="163" t="n">
        <v>783</v>
      </c>
      <c r="H28" s="154" t="n">
        <v>88.9</v>
      </c>
      <c r="I28" s="154" t="n">
        <f aca="false">G28+H28</f>
        <v>871.9</v>
      </c>
      <c r="J28" s="403" t="n">
        <f aca="false">IF(L28&gt;0,L28,0)</f>
        <v>97.4720695739854</v>
      </c>
      <c r="K28" s="154" t="n">
        <f aca="false">I28+J28</f>
        <v>969.372069573985</v>
      </c>
      <c r="L28" s="154" t="n">
        <f aca="false">F28-(I28-AK28)</f>
        <v>97.4720695739854</v>
      </c>
      <c r="M28" s="157" t="n">
        <v>102</v>
      </c>
      <c r="N28" s="186" t="n">
        <v>0</v>
      </c>
      <c r="O28" s="404" t="n">
        <f aca="false">77.8*1.05</f>
        <v>81.69</v>
      </c>
      <c r="P28" s="96" t="n">
        <v>0</v>
      </c>
      <c r="Q28" s="373" t="n">
        <f aca="false">1131500/325851/1.9835*1.02</f>
        <v>1.78567931190351</v>
      </c>
      <c r="R28" s="151" t="n">
        <f aca="false">IF(((2.5*1.04)-T28)&gt;=4.2,4.2,(2.5*1.04)-T28)</f>
        <v>2.01087744</v>
      </c>
      <c r="S28" s="151" t="n">
        <f aca="false">IF(((2.5*1.04)-T28)&gt;=4.2,((2.5*1.04)-T28)-4.2,0)</f>
        <v>0</v>
      </c>
      <c r="T28" s="151" t="n">
        <f aca="false">(0.5344*1.06)*1.04</f>
        <v>0.58912256</v>
      </c>
      <c r="U28" s="393" t="n">
        <v>0</v>
      </c>
      <c r="V28" s="154" t="n">
        <v>0</v>
      </c>
      <c r="W28" s="154" t="n">
        <v>0</v>
      </c>
      <c r="X28" s="280" t="n">
        <f aca="false">M28-N28-O28-P28-Q28-R28-S28-T28-U28+V28+W28-AT28</f>
        <v>15.9243206880965</v>
      </c>
      <c r="Y28" s="280" t="n">
        <f aca="false">X28-AO28</f>
        <v>15.9243206880965</v>
      </c>
      <c r="Z28" s="244" t="n">
        <f aca="false">Z27+AP28</f>
        <v>8054.15112277954</v>
      </c>
      <c r="AA28" s="280"/>
      <c r="AB28" s="244" t="n">
        <f aca="false">AB27+(Y28+AP28)*1.9835</f>
        <v>16209.6926123722</v>
      </c>
      <c r="AC28" s="123" t="n">
        <f aca="false">AC27-(AQ27/1.9835)</f>
        <v>1698.64229879603</v>
      </c>
      <c r="AD28" s="112"/>
      <c r="AE28" s="154" t="n">
        <v>42.1</v>
      </c>
      <c r="AF28" s="157" t="n">
        <v>1.7</v>
      </c>
      <c r="AG28" s="158" t="n">
        <v>1.3</v>
      </c>
      <c r="AH28" s="154" t="n">
        <v>52.9</v>
      </c>
      <c r="AI28" s="93" t="n">
        <f aca="false">AI27-AH28</f>
        <v>15292.5578774893</v>
      </c>
      <c r="AJ28" s="112"/>
      <c r="AK28" s="154" t="n">
        <f aca="false">N28+O28+P28+Q28+R28+S28+T28+U28+X28+AE28+AH28</f>
        <v>197</v>
      </c>
      <c r="AL28" s="154" t="n">
        <f aca="false">IF(L28&lt;0,L28*-1,0)</f>
        <v>0</v>
      </c>
      <c r="AM28" s="404" t="n">
        <f aca="false">AK28+AL28</f>
        <v>197</v>
      </c>
      <c r="AN28" s="239"/>
      <c r="AO28" s="112"/>
      <c r="AP28" s="406" t="n">
        <f aca="false">I28-Q28-R28-X28-AF28</f>
        <v>850.47912256</v>
      </c>
      <c r="AQ28" s="173" t="n">
        <f aca="false">69.174*(Z28*1.9835+AC28*1.9835)/E28</f>
        <v>10.4559142733846</v>
      </c>
      <c r="AR28" s="173"/>
      <c r="AS28" s="116"/>
      <c r="AT28" s="11" t="n">
        <v>0</v>
      </c>
      <c r="AU28" s="1"/>
      <c r="AV28" s="117" t="n">
        <v>0</v>
      </c>
      <c r="AW28" s="162" t="n">
        <v>69</v>
      </c>
      <c r="AX28" s="118" t="n">
        <v>34</v>
      </c>
      <c r="AY28" s="161"/>
      <c r="AZ28" s="282" t="n">
        <f aca="false">SUM(N28,P28:U28)</f>
        <v>4.38567931190351</v>
      </c>
      <c r="BA28" s="1" t="n">
        <v>0.913</v>
      </c>
      <c r="BB28" s="407" t="n">
        <v>22376</v>
      </c>
    </row>
    <row r="29" customFormat="false" ht="12.95" hidden="false" customHeight="true" outlineLevel="0" collapsed="false">
      <c r="A29" s="10" t="n">
        <f aca="false">A28+1</f>
        <v>15</v>
      </c>
      <c r="B29" s="395" t="n">
        <v>6899.49</v>
      </c>
      <c r="C29" s="109" t="n">
        <v>281706</v>
      </c>
      <c r="D29" s="118" t="n">
        <f aca="false">C29-C28</f>
        <v>1726</v>
      </c>
      <c r="E29" s="109" t="n">
        <f aca="false">C29-152000</f>
        <v>129706</v>
      </c>
      <c r="F29" s="164" t="n">
        <f aca="false">D29/$D$2</f>
        <v>870.178976556592</v>
      </c>
      <c r="G29" s="163" t="n">
        <v>840</v>
      </c>
      <c r="H29" s="154" t="n">
        <v>90</v>
      </c>
      <c r="I29" s="154" t="n">
        <f aca="false">G29+H29</f>
        <v>930</v>
      </c>
      <c r="J29" s="403" t="n">
        <f aca="false">IF(L29&gt;0,L29,0)</f>
        <v>120.228976556592</v>
      </c>
      <c r="K29" s="154" t="n">
        <f aca="false">I29+J29</f>
        <v>1050.22897655659</v>
      </c>
      <c r="L29" s="154" t="n">
        <f aca="false">F29-(I29-AK29)</f>
        <v>120.228976556592</v>
      </c>
      <c r="M29" s="157" t="n">
        <v>119</v>
      </c>
      <c r="N29" s="186" t="n">
        <v>0</v>
      </c>
      <c r="O29" s="404" t="n">
        <f aca="false">82.7*1.05</f>
        <v>86.835</v>
      </c>
      <c r="P29" s="96" t="n">
        <v>0</v>
      </c>
      <c r="Q29" s="373" t="n">
        <f aca="false">884600/325851/1.9835*1.02</f>
        <v>1.39603351242585</v>
      </c>
      <c r="R29" s="151" t="n">
        <f aca="false">IF(((2.5*1.04)-T29)&gt;=4.2,4.2,(2.5*1.04)-T29)</f>
        <v>1.9947824</v>
      </c>
      <c r="S29" s="151" t="n">
        <f aca="false">IF(((2.5*1.04)-T29)&gt;=4.2,((2.5*1.04)-T29)-4.2,0)</f>
        <v>0</v>
      </c>
      <c r="T29" s="151" t="n">
        <f aca="false">(0.549*1.06)*1.04</f>
        <v>0.6052176</v>
      </c>
      <c r="U29" s="393" t="n">
        <v>0</v>
      </c>
      <c r="V29" s="154" t="n">
        <v>0</v>
      </c>
      <c r="W29" s="154" t="n">
        <v>0</v>
      </c>
      <c r="X29" s="280" t="n">
        <f aca="false">M29-N29-O29-P29-Q29-R29-S29-T29-U29+V29+W29-AT29</f>
        <v>28.1689664875741</v>
      </c>
      <c r="Y29" s="280" t="n">
        <f aca="false">X29-AO29</f>
        <v>28.1689664875741</v>
      </c>
      <c r="Z29" s="244" t="n">
        <f aca="false">Z28+AP29</f>
        <v>8820.98215629197</v>
      </c>
      <c r="AA29" s="280"/>
      <c r="AB29" s="244" t="n">
        <f aca="false">AB28+(Y29+AP29)*1.9835</f>
        <v>17786.5751123722</v>
      </c>
      <c r="AC29" s="123" t="n">
        <f aca="false">AC28-(AQ28/1.9835)</f>
        <v>1693.37085222513</v>
      </c>
      <c r="AD29" s="112"/>
      <c r="AE29" s="154" t="n">
        <v>7.85</v>
      </c>
      <c r="AF29" s="157" t="n">
        <v>1.7</v>
      </c>
      <c r="AG29" s="158" t="n">
        <v>1.3</v>
      </c>
      <c r="AH29" s="154" t="n">
        <v>53.2</v>
      </c>
      <c r="AI29" s="93" t="n">
        <f aca="false">AI28-AH29</f>
        <v>15239.3578774893</v>
      </c>
      <c r="AJ29" s="112"/>
      <c r="AK29" s="154" t="n">
        <f aca="false">N29+O29+P29+Q29+R29+S29+T29+U29+X29+AE29+AH29</f>
        <v>180.05</v>
      </c>
      <c r="AL29" s="154" t="n">
        <f aca="false">IF(L29&lt;0,L29*-1,0)</f>
        <v>0</v>
      </c>
      <c r="AM29" s="404" t="n">
        <f aca="false">AK29+AL29</f>
        <v>180.05</v>
      </c>
      <c r="AN29" s="239"/>
      <c r="AO29" s="112"/>
      <c r="AP29" s="406" t="n">
        <f aca="false">795-X29</f>
        <v>766.831033512426</v>
      </c>
      <c r="AQ29" s="173" t="n">
        <f aca="false">10.462*(Z29*1.9835+AC29*1.9835)/E29</f>
        <v>1.68216815868828</v>
      </c>
      <c r="AR29" s="173"/>
      <c r="AS29" s="116"/>
      <c r="AT29" s="11" t="n">
        <v>0</v>
      </c>
      <c r="AU29" s="1"/>
      <c r="AV29" s="117" t="n">
        <v>0.09</v>
      </c>
      <c r="AW29" s="162" t="n">
        <v>57</v>
      </c>
      <c r="AX29" s="118" t="n">
        <v>36</v>
      </c>
      <c r="AY29" s="161"/>
      <c r="AZ29" s="282" t="n">
        <f aca="false">SUM(N29,P29:U29)</f>
        <v>3.99603351242585</v>
      </c>
      <c r="BA29" s="1" t="n">
        <v>0.821</v>
      </c>
      <c r="BB29" s="407" t="n">
        <v>22574</v>
      </c>
    </row>
    <row r="30" customFormat="false" ht="12.95" hidden="false" customHeight="true" outlineLevel="0" collapsed="false">
      <c r="A30" s="10" t="n">
        <f aca="false">A29+1</f>
        <v>16</v>
      </c>
      <c r="B30" s="395" t="n">
        <v>6899.93</v>
      </c>
      <c r="C30" s="109" t="n">
        <v>283323</v>
      </c>
      <c r="D30" s="118" t="n">
        <f aca="false">C30-C29</f>
        <v>1617</v>
      </c>
      <c r="E30" s="109" t="n">
        <f aca="false">C30-152000</f>
        <v>131323</v>
      </c>
      <c r="F30" s="164" t="n">
        <f aca="false">D30/$D$2</f>
        <v>815.225611293169</v>
      </c>
      <c r="G30" s="163" t="n">
        <v>754</v>
      </c>
      <c r="H30" s="154" t="n">
        <v>72.3</v>
      </c>
      <c r="I30" s="154" t="n">
        <f aca="false">G30+H30</f>
        <v>826.3</v>
      </c>
      <c r="J30" s="403" t="n">
        <f aca="false">IF(L30&gt;0,L30,0)</f>
        <v>150.025611293169</v>
      </c>
      <c r="K30" s="154" t="n">
        <f aca="false">I30+J30</f>
        <v>976.325611293169</v>
      </c>
      <c r="L30" s="154" t="n">
        <f aca="false">F30-(I30-AK30)</f>
        <v>150.025611293169</v>
      </c>
      <c r="M30" s="157" t="n">
        <v>94</v>
      </c>
      <c r="N30" s="186" t="n">
        <v>0</v>
      </c>
      <c r="O30" s="404" t="n">
        <f aca="false">75.3*1.05</f>
        <v>79.065</v>
      </c>
      <c r="P30" s="96" t="n">
        <v>0</v>
      </c>
      <c r="Q30" s="373" t="n">
        <f aca="false">989800/325851/1.9835*1.02</f>
        <v>1.56205513294043</v>
      </c>
      <c r="R30" s="151" t="n">
        <f aca="false">IF(((2.5*1.04)-T30)&gt;=4.2,4.2,(2.5*1.04)-T30)</f>
        <v>1.9947824</v>
      </c>
      <c r="S30" s="151" t="n">
        <f aca="false">IF(((2.5*1.04)-T30)&gt;=4.2,((2.5*1.04)-T30)-4.2,0)</f>
        <v>0</v>
      </c>
      <c r="T30" s="151" t="n">
        <f aca="false">(0.549*1.06)*1.04</f>
        <v>0.6052176</v>
      </c>
      <c r="U30" s="393" t="n">
        <v>0</v>
      </c>
      <c r="V30" s="154" t="n">
        <v>0</v>
      </c>
      <c r="W30" s="154" t="n">
        <v>0</v>
      </c>
      <c r="X30" s="280" t="n">
        <f aca="false">M30-N30-O30-P30-Q30-R30-S30-T30-U30+V30+W30-AT30</f>
        <v>10.7729448670596</v>
      </c>
      <c r="Y30" s="280" t="n">
        <f aca="false">X30-AO30</f>
        <v>10.7729448670596</v>
      </c>
      <c r="Z30" s="244" t="n">
        <f aca="false">Z29+AP30</f>
        <v>9631.25237389197</v>
      </c>
      <c r="AA30" s="280"/>
      <c r="AB30" s="244" t="n">
        <f aca="false">AB29+(Y30+AP30)*1.9835</f>
        <v>19415.1142251257</v>
      </c>
      <c r="AC30" s="123" t="n">
        <f aca="false">AC29-(AQ29/1.9835)</f>
        <v>1692.52277147963</v>
      </c>
      <c r="AD30" s="112"/>
      <c r="AE30" s="154" t="n">
        <v>13.9</v>
      </c>
      <c r="AF30" s="157" t="n">
        <v>1.7</v>
      </c>
      <c r="AG30" s="158" t="n">
        <v>1.3</v>
      </c>
      <c r="AH30" s="154" t="n">
        <v>53.2</v>
      </c>
      <c r="AI30" s="93" t="n">
        <f aca="false">AI29-AH30</f>
        <v>15186.1578774893</v>
      </c>
      <c r="AJ30" s="112"/>
      <c r="AK30" s="154" t="n">
        <f aca="false">N30+O30+P30+Q30+R30+S30+T30+U30+X30+AE30+AH30</f>
        <v>161.1</v>
      </c>
      <c r="AL30" s="154" t="n">
        <f aca="false">IF(L30&lt;0,L30*-1,0)</f>
        <v>0</v>
      </c>
      <c r="AM30" s="404" t="n">
        <f aca="false">AK30+AL30</f>
        <v>161.1</v>
      </c>
      <c r="AN30" s="239"/>
      <c r="AO30" s="112"/>
      <c r="AP30" s="406" t="n">
        <f aca="false">I30-Q30-R30-X30-AF30</f>
        <v>810.2702176</v>
      </c>
      <c r="AQ30" s="173" t="n">
        <f aca="false">0*(Z30*1.9835+AC30*1.9835)/E30</f>
        <v>0</v>
      </c>
      <c r="AR30" s="173"/>
      <c r="AS30" s="116"/>
      <c r="AT30" s="11" t="n">
        <v>0</v>
      </c>
      <c r="AU30" s="1"/>
      <c r="AV30" s="117" t="n">
        <v>0.14</v>
      </c>
      <c r="AW30" s="162" t="n">
        <v>47</v>
      </c>
      <c r="AX30" s="118" t="n">
        <v>32</v>
      </c>
      <c r="AY30" s="161"/>
      <c r="AZ30" s="282" t="n">
        <f aca="false">SUM(N30,P30:U30)</f>
        <v>4.16205513294043</v>
      </c>
      <c r="BA30" s="1" t="n">
        <v>0.642</v>
      </c>
      <c r="BB30" s="407" t="n">
        <v>22714</v>
      </c>
    </row>
    <row r="31" customFormat="false" ht="12.95" hidden="false" customHeight="true" outlineLevel="0" collapsed="false">
      <c r="A31" s="10" t="n">
        <f aca="false">A30+1</f>
        <v>17</v>
      </c>
      <c r="B31" s="395" t="n">
        <v>6900.29</v>
      </c>
      <c r="C31" s="109" t="n">
        <v>284653</v>
      </c>
      <c r="D31" s="118" t="n">
        <f aca="false">C31-C30</f>
        <v>1330</v>
      </c>
      <c r="E31" s="109" t="n">
        <f aca="false">C31-152000</f>
        <v>132653</v>
      </c>
      <c r="F31" s="164" t="n">
        <f aca="false">D31/$D$2</f>
        <v>670.531888076632</v>
      </c>
      <c r="G31" s="154" t="n">
        <v>637</v>
      </c>
      <c r="H31" s="154" t="n">
        <v>53.4</v>
      </c>
      <c r="I31" s="154" t="n">
        <f aca="false">G31+H31</f>
        <v>690.4</v>
      </c>
      <c r="J31" s="403" t="n">
        <f aca="false">IF(L31&gt;0,L31,0)</f>
        <v>122.931888076632</v>
      </c>
      <c r="K31" s="154" t="n">
        <f aca="false">I31+J31</f>
        <v>813.331888076632</v>
      </c>
      <c r="L31" s="154" t="n">
        <f aca="false">F31-(I31-AK31)</f>
        <v>122.931888076632</v>
      </c>
      <c r="M31" s="157" t="n">
        <v>89.6</v>
      </c>
      <c r="N31" s="186" t="n">
        <v>0</v>
      </c>
      <c r="O31" s="404" t="n">
        <f aca="false">78.9*1.05</f>
        <v>82.845</v>
      </c>
      <c r="P31" s="96" t="n">
        <v>0</v>
      </c>
      <c r="Q31" s="373" t="n">
        <f aca="false">1008700/325851/1.9835*1.02</f>
        <v>1.59188221115075</v>
      </c>
      <c r="R31" s="151" t="n">
        <f aca="false">IF(((2.2*1.04)-T31)&gt;=4.2,4.2,(2.2*1.04)-T31)</f>
        <v>1.6827824</v>
      </c>
      <c r="S31" s="151" t="n">
        <f aca="false">IF(((2.2*1.04)-T31)&gt;=4.2,((2.2*1.04)-T31)-4.2,0)</f>
        <v>0</v>
      </c>
      <c r="T31" s="151" t="n">
        <f aca="false">(0.549*1.06)*1.04</f>
        <v>0.6052176</v>
      </c>
      <c r="U31" s="393" t="n">
        <v>0</v>
      </c>
      <c r="V31" s="154" t="n">
        <v>0</v>
      </c>
      <c r="W31" s="154" t="n">
        <v>0</v>
      </c>
      <c r="X31" s="280" t="n">
        <f aca="false">M31-N31-O31-P31-Q31-R31-S31-T31-U31+V31+W31-AT31</f>
        <v>2.87511778884923</v>
      </c>
      <c r="Y31" s="280" t="n">
        <f aca="false">X31-AO31</f>
        <v>2.87511778884923</v>
      </c>
      <c r="Z31" s="244" t="n">
        <f aca="false">Z30+AP31</f>
        <v>10313.802591492</v>
      </c>
      <c r="AA31" s="280"/>
      <c r="AB31" s="244" t="n">
        <f aca="false">AB30+(Y31+AP31)*1.9835</f>
        <v>20774.6553778694</v>
      </c>
      <c r="AC31" s="123" t="n">
        <f aca="false">AC30-(AQ30/1.9835)</f>
        <v>1692.52277147963</v>
      </c>
      <c r="AD31" s="112"/>
      <c r="AE31" s="154" t="n">
        <v>0</v>
      </c>
      <c r="AF31" s="157" t="n">
        <v>1.7</v>
      </c>
      <c r="AG31" s="158" t="n">
        <v>1.3</v>
      </c>
      <c r="AH31" s="154" t="n">
        <v>53.2</v>
      </c>
      <c r="AI31" s="93" t="n">
        <f aca="false">AI30-AH31</f>
        <v>15132.9578774893</v>
      </c>
      <c r="AJ31" s="112"/>
      <c r="AK31" s="154" t="n">
        <f aca="false">N31+O31+P31+Q31+R31+S31+T31+U31+X31+AE31+AH31</f>
        <v>142.8</v>
      </c>
      <c r="AL31" s="154" t="n">
        <f aca="false">IF(L31&lt;0,L31*-1,0)</f>
        <v>0</v>
      </c>
      <c r="AM31" s="404" t="n">
        <f aca="false">AK31+AL31</f>
        <v>142.8</v>
      </c>
      <c r="AN31" s="239"/>
      <c r="AO31" s="112"/>
      <c r="AP31" s="406" t="n">
        <f aca="false">I31-Q31-R31-X31-AF31</f>
        <v>682.5502176</v>
      </c>
      <c r="AQ31" s="173" t="n">
        <f aca="false">0*(Z31*1.9835+AC31*1.9835)/E31</f>
        <v>0</v>
      </c>
      <c r="AR31" s="173"/>
      <c r="AS31" s="116"/>
      <c r="AT31" s="11" t="n">
        <v>0</v>
      </c>
      <c r="AU31" s="1"/>
      <c r="AV31" s="117" t="n">
        <v>0.05</v>
      </c>
      <c r="AW31" s="162" t="n">
        <v>48</v>
      </c>
      <c r="AX31" s="118" t="n">
        <v>32</v>
      </c>
      <c r="AY31" s="161"/>
      <c r="AZ31" s="282" t="n">
        <f aca="false">SUM(N31,P31:U31)</f>
        <v>3.87988221115075</v>
      </c>
      <c r="BA31" s="1" t="n">
        <v>0.638</v>
      </c>
      <c r="BB31" s="407" t="n">
        <v>22842</v>
      </c>
    </row>
    <row r="32" customFormat="false" ht="12.95" hidden="false" customHeight="true" outlineLevel="0" collapsed="false">
      <c r="A32" s="10" t="n">
        <f aca="false">A31+1</f>
        <v>18</v>
      </c>
      <c r="B32" s="395" t="n">
        <v>6900.56</v>
      </c>
      <c r="C32" s="109" t="n">
        <v>285653</v>
      </c>
      <c r="D32" s="118" t="n">
        <f aca="false">C32-C31</f>
        <v>1000</v>
      </c>
      <c r="E32" s="109" t="n">
        <f aca="false">C32-152000</f>
        <v>133653</v>
      </c>
      <c r="F32" s="164" t="n">
        <f aca="false">D32/$D$2</f>
        <v>504.159314343332</v>
      </c>
      <c r="G32" s="154" t="n">
        <v>547</v>
      </c>
      <c r="H32" s="154" t="n">
        <v>44.9</v>
      </c>
      <c r="I32" s="154" t="n">
        <f aca="false">G32+H32</f>
        <v>591.9</v>
      </c>
      <c r="J32" s="403" t="n">
        <f aca="false">IF(L32&gt;0,L32,0)</f>
        <v>54.9593143433325</v>
      </c>
      <c r="K32" s="154" t="n">
        <f aca="false">I32+J32</f>
        <v>646.859314343333</v>
      </c>
      <c r="L32" s="154" t="n">
        <f aca="false">F32-(I32-AK32)</f>
        <v>54.9593143433325</v>
      </c>
      <c r="M32" s="157" t="n">
        <v>89.5</v>
      </c>
      <c r="N32" s="186" t="n">
        <v>0</v>
      </c>
      <c r="O32" s="404" t="n">
        <f aca="false">82.4*1.05</f>
        <v>86.52</v>
      </c>
      <c r="P32" s="96" t="n">
        <v>0</v>
      </c>
      <c r="Q32" s="373" t="n">
        <f aca="false">955300/325851/1.9835*1.02</f>
        <v>1.50760887906445</v>
      </c>
      <c r="R32" s="151" t="n">
        <f aca="false">IF(((1.5*1.04)-T32)&gt;=4.2,4.2,(1.5*1.04)-T32)</f>
        <v>0.9547824</v>
      </c>
      <c r="S32" s="151" t="n">
        <f aca="false">IF(((1.5*1.04)-T32)&gt;=4.2,((1.5*1.04)-T32)-4.2,0)</f>
        <v>0</v>
      </c>
      <c r="T32" s="151" t="n">
        <f aca="false">(0.549*1.06)*1.04</f>
        <v>0.6052176</v>
      </c>
      <c r="U32" s="393" t="n">
        <v>0</v>
      </c>
      <c r="V32" s="154" t="n">
        <v>0</v>
      </c>
      <c r="W32" s="154" t="n">
        <v>0</v>
      </c>
      <c r="X32" s="280" t="n">
        <f aca="false">M32-N32-O32-P32-Q32-R32-S32-T32-U32+V32+W32-AT32</f>
        <v>-0.0876088790644576</v>
      </c>
      <c r="Y32" s="280" t="n">
        <f aca="false">X32-AO32</f>
        <v>-0.0876088790644576</v>
      </c>
      <c r="Z32" s="244" t="n">
        <f aca="false">Z31+AP32</f>
        <v>10901.627809092</v>
      </c>
      <c r="AA32" s="280"/>
      <c r="AB32" s="244" t="n">
        <f aca="false">AB31+(Y32+AP32)*1.9835</f>
        <v>21940.4329247674</v>
      </c>
      <c r="AC32" s="123" t="n">
        <f aca="false">AC31-(AQ31/1.9835)</f>
        <v>1692.52277147963</v>
      </c>
      <c r="AD32" s="112"/>
      <c r="AE32" s="154" t="n">
        <v>0</v>
      </c>
      <c r="AF32" s="157" t="n">
        <v>1.7</v>
      </c>
      <c r="AG32" s="158" t="n">
        <v>1.3</v>
      </c>
      <c r="AH32" s="154" t="n">
        <v>53.2</v>
      </c>
      <c r="AI32" s="93" t="n">
        <f aca="false">AI31-AH32</f>
        <v>15079.7578774893</v>
      </c>
      <c r="AJ32" s="112"/>
      <c r="AK32" s="154" t="n">
        <f aca="false">N32+O32+P32+Q32+R32+S32+T32+U32+X32+AE32+AH32</f>
        <v>142.7</v>
      </c>
      <c r="AL32" s="154" t="n">
        <f aca="false">IF(L32&lt;0,L32*-1,0)</f>
        <v>0</v>
      </c>
      <c r="AM32" s="404" t="n">
        <f aca="false">AK32+AL32</f>
        <v>142.7</v>
      </c>
      <c r="AN32" s="239"/>
      <c r="AO32" s="112"/>
      <c r="AP32" s="406" t="n">
        <f aca="false">I32-Q32-R32-X32-AF32</f>
        <v>587.8252176</v>
      </c>
      <c r="AQ32" s="173" t="n">
        <f aca="false">12.793*(Z32*1.9835+AC32*1.9835)/E32</f>
        <v>2.3910836777048</v>
      </c>
      <c r="AR32" s="173"/>
      <c r="AS32" s="116"/>
      <c r="AT32" s="11" t="n">
        <v>0</v>
      </c>
      <c r="AU32" s="1"/>
      <c r="AV32" s="117" t="n">
        <v>0</v>
      </c>
      <c r="AW32" s="162" t="n">
        <v>51</v>
      </c>
      <c r="AX32" s="118" t="n">
        <v>30</v>
      </c>
      <c r="AY32" s="161"/>
      <c r="AZ32" s="282" t="n">
        <f aca="false">SUM(N32,P32:U32)</f>
        <v>3.06760887906445</v>
      </c>
      <c r="BA32" s="1" t="n">
        <v>0.65</v>
      </c>
      <c r="BB32" s="407" t="n">
        <v>22996</v>
      </c>
    </row>
    <row r="33" customFormat="false" ht="12.95" hidden="false" customHeight="true" outlineLevel="0" collapsed="false">
      <c r="A33" s="10" t="n">
        <f aca="false">A32+1</f>
        <v>19</v>
      </c>
      <c r="B33" s="395" t="n">
        <v>6900.8</v>
      </c>
      <c r="C33" s="109" t="n">
        <v>286541</v>
      </c>
      <c r="D33" s="118" t="n">
        <f aca="false">C33-C32</f>
        <v>888</v>
      </c>
      <c r="E33" s="109" t="n">
        <f aca="false">C33-152000</f>
        <v>134541</v>
      </c>
      <c r="F33" s="164" t="n">
        <f aca="false">D33/$D$2</f>
        <v>447.693471136879</v>
      </c>
      <c r="G33" s="154" t="n">
        <v>481</v>
      </c>
      <c r="H33" s="154" t="n">
        <v>46.1</v>
      </c>
      <c r="I33" s="154" t="n">
        <f aca="false">G33+H33</f>
        <v>527.1</v>
      </c>
      <c r="J33" s="403" t="n">
        <f aca="false">IF(L33&gt;0,L33,0)</f>
        <v>73.5934711368792</v>
      </c>
      <c r="K33" s="154" t="n">
        <f aca="false">I33+J33</f>
        <v>600.693471136879</v>
      </c>
      <c r="L33" s="154" t="n">
        <f aca="false">F33-(I33-AK33)</f>
        <v>73.5934711368792</v>
      </c>
      <c r="M33" s="157" t="n">
        <v>99.8</v>
      </c>
      <c r="N33" s="186" t="n">
        <v>0</v>
      </c>
      <c r="O33" s="404" t="n">
        <f aca="false">87.4*1.05</f>
        <v>91.77</v>
      </c>
      <c r="P33" s="96" t="n">
        <v>0</v>
      </c>
      <c r="Q33" s="373" t="n">
        <f aca="false">882500/325851/1.9835*1.02</f>
        <v>1.3927193926247</v>
      </c>
      <c r="R33" s="151" t="n">
        <f aca="false">IF(((2.4*1.04)-T33)&gt;=4.2,4.2,(2.4*1.04)-T33)</f>
        <v>1.8907824</v>
      </c>
      <c r="S33" s="151" t="n">
        <f aca="false">IF(((2.4*1.04)-T33)&gt;=4.2,((2.4*1.04)-T33)-4.2,0)</f>
        <v>0</v>
      </c>
      <c r="T33" s="151" t="n">
        <f aca="false">(0.549*1.06)*1.04</f>
        <v>0.6052176</v>
      </c>
      <c r="U33" s="393" t="n">
        <v>0</v>
      </c>
      <c r="V33" s="154" t="n">
        <v>0</v>
      </c>
      <c r="W33" s="154" t="n">
        <v>0</v>
      </c>
      <c r="X33" s="280" t="n">
        <f aca="false">M33-N33-O33-P33-Q33-R33-S33-T33-U33+V33+W33-AT33</f>
        <v>4.14128060737529</v>
      </c>
      <c r="Y33" s="280" t="n">
        <f aca="false">X33-AO33</f>
        <v>4.14128060737529</v>
      </c>
      <c r="Z33" s="244" t="n">
        <f aca="false">Z32+AP33</f>
        <v>11419.603026692</v>
      </c>
      <c r="AA33" s="280"/>
      <c r="AB33" s="244" t="n">
        <f aca="false">AB32+(Y33+AP33)*1.9835</f>
        <v>22976.0509989617</v>
      </c>
      <c r="AC33" s="123" t="n">
        <f aca="false">AC32-(AQ32/1.9835)</f>
        <v>1691.31728437214</v>
      </c>
      <c r="AD33" s="112"/>
      <c r="AE33" s="154" t="n">
        <v>0</v>
      </c>
      <c r="AF33" s="157" t="n">
        <v>1.7</v>
      </c>
      <c r="AG33" s="158" t="n">
        <v>1.3</v>
      </c>
      <c r="AH33" s="154" t="n">
        <v>53.2</v>
      </c>
      <c r="AI33" s="93" t="n">
        <f aca="false">AI32-AH33</f>
        <v>15026.5578774893</v>
      </c>
      <c r="AJ33" s="112"/>
      <c r="AK33" s="154" t="n">
        <f aca="false">N33+O33+P33+Q33+R33+S33+T33+U33+X33+AE33+AH33</f>
        <v>153</v>
      </c>
      <c r="AL33" s="154" t="n">
        <f aca="false">IF(L33&lt;0,L33*-1,0)</f>
        <v>0</v>
      </c>
      <c r="AM33" s="404" t="n">
        <f aca="false">AK33+AL33</f>
        <v>153</v>
      </c>
      <c r="AN33" s="239"/>
      <c r="AO33" s="112"/>
      <c r="AP33" s="406" t="n">
        <f aca="false">I33-Q33-R33-X33-AF33</f>
        <v>517.9752176</v>
      </c>
      <c r="AQ33" s="173" t="n">
        <f aca="false">12.576*(Z33*1.9835+AC33*1.9835)/E33</f>
        <v>2.43082256899872</v>
      </c>
      <c r="AR33" s="173"/>
      <c r="AS33" s="116"/>
      <c r="AT33" s="11" t="n">
        <v>0</v>
      </c>
      <c r="AU33" s="1"/>
      <c r="AV33" s="117" t="n">
        <v>0</v>
      </c>
      <c r="AW33" s="162" t="n">
        <v>56</v>
      </c>
      <c r="AX33" s="118" t="n">
        <v>25</v>
      </c>
      <c r="AY33" s="161"/>
      <c r="AZ33" s="282" t="n">
        <f aca="false">SUM(N33,P33:U33)</f>
        <v>3.8887193926247</v>
      </c>
      <c r="BA33" s="1" t="n">
        <v>0.74</v>
      </c>
      <c r="BB33" s="407" t="n">
        <v>23130</v>
      </c>
    </row>
    <row r="34" customFormat="false" ht="12.95" hidden="false" customHeight="true" outlineLevel="0" collapsed="false">
      <c r="A34" s="10" t="n">
        <f aca="false">A33+1</f>
        <v>20</v>
      </c>
      <c r="B34" s="408" t="n">
        <v>6900.95</v>
      </c>
      <c r="C34" s="168" t="n">
        <v>287097</v>
      </c>
      <c r="D34" s="409" t="n">
        <f aca="false">C34-C33</f>
        <v>556</v>
      </c>
      <c r="E34" s="168" t="n">
        <f aca="false">C34-152000</f>
        <v>135097</v>
      </c>
      <c r="F34" s="410" t="n">
        <f aca="false">D34/$D$2</f>
        <v>280.312578774893</v>
      </c>
      <c r="G34" s="163" t="n">
        <v>457</v>
      </c>
      <c r="H34" s="163" t="n">
        <v>58.1</v>
      </c>
      <c r="I34" s="163" t="n">
        <f aca="false">G34+H34</f>
        <v>515.1</v>
      </c>
      <c r="J34" s="403" t="n">
        <f aca="false">IF(L34&gt;0,L34,0)</f>
        <v>0</v>
      </c>
      <c r="K34" s="163" t="n">
        <f aca="false">I34+J34</f>
        <v>515.1</v>
      </c>
      <c r="L34" s="163" t="n">
        <f aca="false">F34-(I34-AK34)</f>
        <v>-68.5874212251072</v>
      </c>
      <c r="M34" s="157" t="n">
        <v>113</v>
      </c>
      <c r="N34" s="186" t="n">
        <v>0</v>
      </c>
      <c r="O34" s="404" t="n">
        <f aca="false">90.2*1.05</f>
        <v>94.71</v>
      </c>
      <c r="P34" s="96" t="n">
        <v>0</v>
      </c>
      <c r="Q34" s="373" t="n">
        <f aca="false">956600/325851/1.9835*1.02</f>
        <v>1.50966047703659</v>
      </c>
      <c r="R34" s="151" t="n">
        <f aca="false">IF(((2.3*1.04)-T34)&gt;=4.2,4.2,(2.3*1.04)-T34)</f>
        <v>1.7867824</v>
      </c>
      <c r="S34" s="151" t="n">
        <f aca="false">IF(((2.3*1.04)-T34)&gt;=4.2,((2.3*1.04)-T34)-4.2,0)</f>
        <v>0</v>
      </c>
      <c r="T34" s="151" t="n">
        <f aca="false">(0.549*1.06)*1.04</f>
        <v>0.6052176</v>
      </c>
      <c r="U34" s="393" t="n">
        <v>0</v>
      </c>
      <c r="V34" s="154" t="n">
        <v>0</v>
      </c>
      <c r="W34" s="154" t="n">
        <v>0</v>
      </c>
      <c r="X34" s="280" t="n">
        <f aca="false">M34-N34-O34-P34-Q34-R34-S34-T34-U34+V34+W34-AT34</f>
        <v>14.3883395229634</v>
      </c>
      <c r="Y34" s="280" t="n">
        <f aca="false">X34-AO34</f>
        <v>14.3883395229634</v>
      </c>
      <c r="Z34" s="244" t="n">
        <f aca="false">Z33+AP34</f>
        <v>11915.318244292</v>
      </c>
      <c r="AA34" s="280"/>
      <c r="AB34" s="244" t="n">
        <f aca="false">AB33+(Y34+AP34)*1.9835</f>
        <v>23987.8414045151</v>
      </c>
      <c r="AC34" s="123" t="n">
        <f aca="false">AC33-(AQ33/1.9835)</f>
        <v>1690.09176253247</v>
      </c>
      <c r="AD34" s="112"/>
      <c r="AE34" s="154" t="n">
        <v>0</v>
      </c>
      <c r="AF34" s="157" t="n">
        <v>1.7</v>
      </c>
      <c r="AG34" s="158" t="n">
        <v>1.3</v>
      </c>
      <c r="AH34" s="154" t="n">
        <v>53.2</v>
      </c>
      <c r="AI34" s="93" t="n">
        <f aca="false">AI33-AH34</f>
        <v>14973.3578774893</v>
      </c>
      <c r="AJ34" s="112"/>
      <c r="AK34" s="154" t="n">
        <f aca="false">N34+O34+P34+Q34+R34+S34+T34+U34+X34+AE34+AH34</f>
        <v>166.2</v>
      </c>
      <c r="AL34" s="154" t="n">
        <f aca="false">IF(L34&lt;0,L34*-1,0)</f>
        <v>68.5874212251072</v>
      </c>
      <c r="AM34" s="404" t="n">
        <f aca="false">AK34+AL34</f>
        <v>234.787421225107</v>
      </c>
      <c r="AN34" s="239"/>
      <c r="AO34" s="112"/>
      <c r="AP34" s="406" t="n">
        <f aca="false">I34-Q34-R34-X34-AF34</f>
        <v>495.7152176</v>
      </c>
      <c r="AQ34" s="173" t="n">
        <f aca="false">44.232*(Z34*1.9835+AC34*1.9835)/E34</f>
        <v>8.83557282300315</v>
      </c>
      <c r="AR34" s="173"/>
      <c r="AS34" s="116"/>
      <c r="AT34" s="11" t="n">
        <v>0</v>
      </c>
      <c r="AU34" s="1"/>
      <c r="AV34" s="117" t="n">
        <v>0</v>
      </c>
      <c r="AW34" s="162" t="n">
        <v>69</v>
      </c>
      <c r="AX34" s="118" t="n">
        <v>32</v>
      </c>
      <c r="AY34" s="161"/>
      <c r="AZ34" s="282" t="n">
        <f aca="false">SUM(N34,P34:U34)</f>
        <v>3.90166047703659</v>
      </c>
      <c r="BA34" s="1" t="n">
        <v>0.755</v>
      </c>
      <c r="BB34" s="407" t="n">
        <v>23201</v>
      </c>
    </row>
    <row r="35" customFormat="false" ht="12.95" hidden="false" customHeight="true" outlineLevel="0" collapsed="false">
      <c r="A35" s="10" t="n">
        <f aca="false">A34+1</f>
        <v>21</v>
      </c>
      <c r="B35" s="408" t="n">
        <v>6901.08</v>
      </c>
      <c r="C35" s="168" t="n">
        <v>287581</v>
      </c>
      <c r="D35" s="409" t="n">
        <f aca="false">C35-C34</f>
        <v>484</v>
      </c>
      <c r="E35" s="168" t="n">
        <f aca="false">C35-152000</f>
        <v>135581</v>
      </c>
      <c r="F35" s="410" t="n">
        <f aca="false">D35/$D$2</f>
        <v>244.013108142173</v>
      </c>
      <c r="G35" s="163" t="n">
        <v>501</v>
      </c>
      <c r="H35" s="163" t="n">
        <v>24.7</v>
      </c>
      <c r="I35" s="163" t="n">
        <f aca="false">G35+H35</f>
        <v>525.7</v>
      </c>
      <c r="J35" s="403" t="n">
        <f aca="false">IF(L35&gt;0,L35,0)</f>
        <v>0</v>
      </c>
      <c r="K35" s="163" t="n">
        <f aca="false">I35+J35</f>
        <v>525.7</v>
      </c>
      <c r="L35" s="163" t="n">
        <f aca="false">F35-(I35-AK35)</f>
        <v>-97.4868918578271</v>
      </c>
      <c r="M35" s="157" t="n">
        <v>131</v>
      </c>
      <c r="N35" s="186" t="n">
        <v>0</v>
      </c>
      <c r="O35" s="404" t="n">
        <f aca="false">92.5*1.05</f>
        <v>97.125</v>
      </c>
      <c r="P35" s="96" t="n">
        <v>0</v>
      </c>
      <c r="Q35" s="373" t="n">
        <f aca="false">1070700/325851/1.9835*1.02</f>
        <v>1.68972765289888</v>
      </c>
      <c r="R35" s="151" t="n">
        <f aca="false">IF(((2.4*1.04)-T35)&gt;=4.2,4.2,(2.4*1.04)-T35)</f>
        <v>1.8907824</v>
      </c>
      <c r="S35" s="151" t="n">
        <f aca="false">IF(((2.4*1.04)-T35)&gt;=4.2,((2.4*1.04)-T35)-4.2,0)</f>
        <v>0</v>
      </c>
      <c r="T35" s="151" t="n">
        <f aca="false">(0.549*1.06)*1.04</f>
        <v>0.6052176</v>
      </c>
      <c r="U35" s="393" t="n">
        <v>0</v>
      </c>
      <c r="V35" s="154" t="n">
        <v>0</v>
      </c>
      <c r="W35" s="154" t="n">
        <v>0</v>
      </c>
      <c r="X35" s="280" t="n">
        <f aca="false">M35-N35-O35-P35-Q35-R35-S35-T35-U35+V35+W35-AT35</f>
        <v>29.6892723471011</v>
      </c>
      <c r="Y35" s="280" t="n">
        <f aca="false">X35-AO35</f>
        <v>29.6892723471011</v>
      </c>
      <c r="Z35" s="244" t="n">
        <f aca="false">Z34+AP35</f>
        <v>12406.048461892</v>
      </c>
      <c r="AA35" s="280"/>
      <c r="AB35" s="244" t="n">
        <f aca="false">AB34+(Y35+AP35)*1.9835</f>
        <v>25020.0934628252</v>
      </c>
      <c r="AC35" s="123" t="n">
        <f aca="false">AC34-(AQ34/1.9835)</f>
        <v>1685.63722619619</v>
      </c>
      <c r="AD35" s="112"/>
      <c r="AE35" s="154" t="n">
        <v>0</v>
      </c>
      <c r="AF35" s="157" t="n">
        <v>1.7</v>
      </c>
      <c r="AG35" s="158" t="n">
        <v>1.3</v>
      </c>
      <c r="AH35" s="154" t="n">
        <v>53.2</v>
      </c>
      <c r="AI35" s="93" t="n">
        <f aca="false">AI34-AH35</f>
        <v>14920.1578774893</v>
      </c>
      <c r="AJ35" s="112"/>
      <c r="AK35" s="154" t="n">
        <f aca="false">N35+O35+P35+Q35+R35+S35+T35+U35+X35+AE35+AH35</f>
        <v>184.2</v>
      </c>
      <c r="AL35" s="154" t="n">
        <f aca="false">IF(L35&lt;0,L35*-1,0)</f>
        <v>97.4868918578271</v>
      </c>
      <c r="AM35" s="404" t="n">
        <f aca="false">AK35+AL35</f>
        <v>281.686891857827</v>
      </c>
      <c r="AN35" s="239"/>
      <c r="AO35" s="112"/>
      <c r="AP35" s="406" t="n">
        <f aca="false">I35-Q35-R35-X35-AF35</f>
        <v>490.7302176</v>
      </c>
      <c r="AQ35" s="173" t="n">
        <f aca="false">30.789*(Z35*1.9835+AC35*1.9835)/E35</f>
        <v>6.34734206323422</v>
      </c>
      <c r="AR35" s="173"/>
      <c r="AS35" s="116"/>
      <c r="AT35" s="11" t="n">
        <v>0</v>
      </c>
      <c r="AU35" s="1"/>
      <c r="AV35" s="117" t="n">
        <v>0</v>
      </c>
      <c r="AW35" s="118" t="n">
        <v>72</v>
      </c>
      <c r="AX35" s="118" t="n">
        <v>38</v>
      </c>
      <c r="AY35" s="161"/>
      <c r="AZ35" s="282" t="n">
        <f aca="false">SUM(N35,P35:U35)</f>
        <v>4.18572765289888</v>
      </c>
      <c r="BA35" s="1" t="n">
        <v>0.701</v>
      </c>
      <c r="BB35" s="407" t="n">
        <v>23298</v>
      </c>
    </row>
    <row r="36" customFormat="false" ht="12.95" hidden="false" customHeight="true" outlineLevel="0" collapsed="false">
      <c r="A36" s="10" t="n">
        <f aca="false">A35+1</f>
        <v>22</v>
      </c>
      <c r="B36" s="408" t="n">
        <v>6901.298</v>
      </c>
      <c r="C36" s="168" t="n">
        <v>288402</v>
      </c>
      <c r="D36" s="409" t="n">
        <f aca="false">C36-C35</f>
        <v>821</v>
      </c>
      <c r="E36" s="168" t="n">
        <f aca="false">C36-152000</f>
        <v>136402</v>
      </c>
      <c r="F36" s="410" t="n">
        <f aca="false">D36/$D$2</f>
        <v>413.914797075876</v>
      </c>
      <c r="G36" s="163" t="n">
        <v>599</v>
      </c>
      <c r="H36" s="163" t="n">
        <v>37.8</v>
      </c>
      <c r="I36" s="163" t="n">
        <f aca="false">G36+H36</f>
        <v>636.8</v>
      </c>
      <c r="J36" s="403" t="n">
        <f aca="false">IF(L36&gt;0,L36,0)</f>
        <v>0</v>
      </c>
      <c r="K36" s="163" t="n">
        <f aca="false">I36+J36</f>
        <v>636.8</v>
      </c>
      <c r="L36" s="163" t="n">
        <f aca="false">F36-(I36-AK36)</f>
        <v>-31.685202924124</v>
      </c>
      <c r="M36" s="157" t="n">
        <v>138</v>
      </c>
      <c r="N36" s="186" t="n">
        <v>0</v>
      </c>
      <c r="O36" s="404" t="n">
        <f aca="false">98.3*1.05</f>
        <v>103.215</v>
      </c>
      <c r="P36" s="96" t="n">
        <v>0</v>
      </c>
      <c r="Q36" s="373" t="n">
        <f aca="false">1073200/325851/1.9835*1.02</f>
        <v>1.69367303361453</v>
      </c>
      <c r="R36" s="151" t="n">
        <f aca="false">IF(((2.9*1.04)-T36)&gt;=4.2,4.2,(2.9*1.04)-T36)</f>
        <v>2.324244</v>
      </c>
      <c r="S36" s="151" t="n">
        <f aca="false">IF(((2.9*1.04)-T36)&gt;=4.2,((2.9*1.04)-T36)-4.2,0)</f>
        <v>0</v>
      </c>
      <c r="T36" s="151" t="n">
        <f aca="false">(0.6275*1.06)*1.04</f>
        <v>0.691756</v>
      </c>
      <c r="U36" s="393" t="n">
        <v>0</v>
      </c>
      <c r="V36" s="154" t="n">
        <v>0</v>
      </c>
      <c r="W36" s="154" t="n">
        <v>0</v>
      </c>
      <c r="X36" s="280" t="n">
        <f aca="false">M36-N36-O36-P36-Q36-R36-S36-T36-U36+V36+W36-AT36</f>
        <v>30.0753269663855</v>
      </c>
      <c r="Y36" s="280" t="n">
        <f aca="false">X36-AO36</f>
        <v>30.0753269663855</v>
      </c>
      <c r="Z36" s="244" t="n">
        <f aca="false">Z35+AP36</f>
        <v>13007.055217892</v>
      </c>
      <c r="AA36" s="280"/>
      <c r="AB36" s="244" t="n">
        <f aca="false">AB35+(Y36+AP36)*1.9835</f>
        <v>26271.844774389</v>
      </c>
      <c r="AC36" s="123" t="n">
        <f aca="false">AC35-(AQ35/1.9835)</f>
        <v>1682.43715457369</v>
      </c>
      <c r="AD36" s="112"/>
      <c r="AE36" s="154" t="n">
        <v>0</v>
      </c>
      <c r="AF36" s="157" t="n">
        <v>1.7</v>
      </c>
      <c r="AG36" s="158" t="n">
        <v>1.3</v>
      </c>
      <c r="AH36" s="154" t="n">
        <v>53.2</v>
      </c>
      <c r="AI36" s="93" t="n">
        <f aca="false">AI35-AH36</f>
        <v>14866.9578774893</v>
      </c>
      <c r="AJ36" s="112"/>
      <c r="AK36" s="154" t="n">
        <f aca="false">N36+O36+P36+Q36+R36+S36+T36+U36+X36+AE36+AH36</f>
        <v>191.2</v>
      </c>
      <c r="AL36" s="154" t="n">
        <f aca="false">IF(L36&lt;0,L36*-1,0)</f>
        <v>31.685202924124</v>
      </c>
      <c r="AM36" s="404" t="n">
        <f aca="false">AK36+AL36</f>
        <v>222.885202924124</v>
      </c>
      <c r="AN36" s="239"/>
      <c r="AO36" s="112"/>
      <c r="AP36" s="406" t="n">
        <f aca="false">I36-Q36-R36-X36-AF36</f>
        <v>601.006756</v>
      </c>
      <c r="AQ36" s="173" t="n">
        <f aca="false">62.012*(12972*1.9835+AC36*1.9835)/E36</f>
        <v>13.2146707736775</v>
      </c>
      <c r="AR36" s="173"/>
      <c r="AS36" s="116"/>
      <c r="AT36" s="11" t="n">
        <v>0</v>
      </c>
      <c r="AU36" s="1"/>
      <c r="AV36" s="117" t="n">
        <v>0</v>
      </c>
      <c r="AW36" s="118" t="n">
        <v>79</v>
      </c>
      <c r="AX36" s="118" t="n">
        <v>42</v>
      </c>
      <c r="AY36" s="161"/>
      <c r="AZ36" s="282" t="n">
        <f aca="false">SUM(N36,P36:U36)</f>
        <v>4.70967303361454</v>
      </c>
      <c r="BA36" s="1" t="n">
        <v>0.81</v>
      </c>
      <c r="BB36" s="407" t="n">
        <v>23394</v>
      </c>
    </row>
    <row r="37" customFormat="false" ht="12.95" hidden="false" customHeight="true" outlineLevel="0" collapsed="false">
      <c r="A37" s="10" t="n">
        <f aca="false">A36+1</f>
        <v>23</v>
      </c>
      <c r="B37" s="408" t="n">
        <v>6901.724</v>
      </c>
      <c r="C37" s="168" t="n">
        <v>289969</v>
      </c>
      <c r="D37" s="409" t="n">
        <f aca="false">C37-C36</f>
        <v>1567</v>
      </c>
      <c r="E37" s="168" t="n">
        <f aca="false">C37-152000</f>
        <v>137969</v>
      </c>
      <c r="F37" s="410" t="n">
        <f aca="false">D37/$D$2</f>
        <v>790.017645576002</v>
      </c>
      <c r="G37" s="163" t="n">
        <v>831</v>
      </c>
      <c r="H37" s="163" t="n">
        <v>68.9</v>
      </c>
      <c r="I37" s="163" t="n">
        <f aca="false">G37+H37</f>
        <v>899.9</v>
      </c>
      <c r="J37" s="403" t="n">
        <f aca="false">IF(L37&gt;0,L37,0)</f>
        <v>69.517645576002</v>
      </c>
      <c r="K37" s="163" t="n">
        <f aca="false">I37+J37</f>
        <v>969.417645576002</v>
      </c>
      <c r="L37" s="163" t="n">
        <f aca="false">F37-(I37-AK37)</f>
        <v>69.517645576002</v>
      </c>
      <c r="M37" s="157" t="n">
        <v>126</v>
      </c>
      <c r="N37" s="186" t="n">
        <v>0</v>
      </c>
      <c r="O37" s="404" t="n">
        <f aca="false">99.5*1.05</f>
        <v>104.475</v>
      </c>
      <c r="P37" s="96" t="n">
        <v>0</v>
      </c>
      <c r="Q37" s="373" t="n">
        <f aca="false">1020900/325851/1.9835*1.02</f>
        <v>1.61113566904312</v>
      </c>
      <c r="R37" s="151" t="n">
        <f aca="false">IF(((3*1.04)-T37)&gt;=4.2,4.2,(3*1.04)-T37)</f>
        <v>2.428244</v>
      </c>
      <c r="S37" s="151" t="n">
        <f aca="false">IF(((3*1.04)-T37)&gt;=4.2,((3*1.04)-T37)-4.2,0)</f>
        <v>0</v>
      </c>
      <c r="T37" s="151" t="n">
        <f aca="false">(0.6275*1.06)*1.04</f>
        <v>0.691756</v>
      </c>
      <c r="U37" s="393" t="n">
        <v>0</v>
      </c>
      <c r="V37" s="154" t="n">
        <v>0</v>
      </c>
      <c r="W37" s="154" t="n">
        <v>0</v>
      </c>
      <c r="X37" s="280" t="n">
        <f aca="false">M37-N37-O37-P37-Q37-R37-S37-T37-U37+V37+W37-AT37</f>
        <v>16.7938643309569</v>
      </c>
      <c r="Y37" s="280" t="n">
        <f aca="false">X37-AO37</f>
        <v>16.7938643309569</v>
      </c>
      <c r="Z37" s="244" t="n">
        <f aca="false">Z36+AP37</f>
        <v>13785.261353561</v>
      </c>
      <c r="AA37" s="280"/>
      <c r="AB37" s="244" t="n">
        <f aca="false">AB36+(Y37+AP37)*1.9835</f>
        <v>27848.727274389</v>
      </c>
      <c r="AC37" s="123" t="n">
        <f aca="false">AC36-(AQ36/1.9835)</f>
        <v>1675.77485521716</v>
      </c>
      <c r="AD37" s="112"/>
      <c r="AE37" s="154" t="n">
        <v>0</v>
      </c>
      <c r="AF37" s="157" t="n">
        <v>1.7</v>
      </c>
      <c r="AG37" s="158" t="n">
        <v>1.3</v>
      </c>
      <c r="AH37" s="154" t="n">
        <v>53.4</v>
      </c>
      <c r="AI37" s="93" t="n">
        <f aca="false">AI36-AH37</f>
        <v>14813.5578774893</v>
      </c>
      <c r="AJ37" s="112"/>
      <c r="AK37" s="154" t="n">
        <f aca="false">N37+O37+P37+Q37+R37+S37+T37+U37+X37+AE37+AH37</f>
        <v>179.4</v>
      </c>
      <c r="AL37" s="154" t="n">
        <f aca="false">IF(L37&lt;0,L37*-1,0)</f>
        <v>0</v>
      </c>
      <c r="AM37" s="404" t="n">
        <f aca="false">AK37+AL37</f>
        <v>179.4</v>
      </c>
      <c r="AN37" s="239"/>
      <c r="AO37" s="112"/>
      <c r="AP37" s="406" t="n">
        <f aca="false">795-X37</f>
        <v>778.206135669043</v>
      </c>
      <c r="AQ37" s="173" t="n">
        <f aca="false">57.938*(12972*1.9835+AC37*1.9835)/E37</f>
        <v>12.200730767494</v>
      </c>
      <c r="AR37" s="173"/>
      <c r="AS37" s="116"/>
      <c r="AT37" s="11" t="n">
        <v>0</v>
      </c>
      <c r="AU37" s="1"/>
      <c r="AV37" s="117" t="n">
        <v>0</v>
      </c>
      <c r="AW37" s="118" t="n">
        <v>70</v>
      </c>
      <c r="AX37" s="162" t="n">
        <v>36</v>
      </c>
      <c r="AY37" s="161"/>
      <c r="AZ37" s="282" t="n">
        <f aca="false">SUM(N37,P37:U37)</f>
        <v>4.73113566904312</v>
      </c>
      <c r="BA37" s="1" t="n">
        <v>0.75</v>
      </c>
      <c r="BB37" s="407" t="n">
        <v>23585</v>
      </c>
    </row>
    <row r="38" customFormat="false" ht="12.95" hidden="false" customHeight="true" outlineLevel="0" collapsed="false">
      <c r="A38" s="10" t="n">
        <f aca="false">A37+1</f>
        <v>24</v>
      </c>
      <c r="B38" s="408" t="n">
        <v>6902.208</v>
      </c>
      <c r="C38" s="168" t="n">
        <v>291805</v>
      </c>
      <c r="D38" s="409" t="n">
        <f aca="false">C38-C37</f>
        <v>1836</v>
      </c>
      <c r="E38" s="168" t="n">
        <f aca="false">C38-152000</f>
        <v>139805</v>
      </c>
      <c r="F38" s="410" t="n">
        <f aca="false">D38/$D$2</f>
        <v>925.636501134358</v>
      </c>
      <c r="G38" s="163" t="n">
        <v>849</v>
      </c>
      <c r="H38" s="163" t="n">
        <v>64.3</v>
      </c>
      <c r="I38" s="163" t="n">
        <f aca="false">G38+H38</f>
        <v>913.3</v>
      </c>
      <c r="J38" s="403" t="n">
        <f aca="false">IF(L38&gt;0,L38,0)</f>
        <v>184.236501134359</v>
      </c>
      <c r="K38" s="163" t="n">
        <f aca="false">I38+J38</f>
        <v>1097.53650113436</v>
      </c>
      <c r="L38" s="163" t="n">
        <f aca="false">F38-(I38-AK38)</f>
        <v>184.236501134359</v>
      </c>
      <c r="M38" s="157" t="n">
        <v>118</v>
      </c>
      <c r="N38" s="186" t="n">
        <v>0</v>
      </c>
      <c r="O38" s="404" t="n">
        <f aca="false">92.1*1.05</f>
        <v>96.705</v>
      </c>
      <c r="P38" s="96" t="n">
        <v>0</v>
      </c>
      <c r="Q38" s="373" t="n">
        <f aca="false">1320300/325851/1.9835*1.02</f>
        <v>2.08363446354945</v>
      </c>
      <c r="R38" s="151" t="n">
        <f aca="false">IF(((3*1.04)-T38)&gt;=4.2,4.2,(3*1.04)-T38)</f>
        <v>2.428244</v>
      </c>
      <c r="S38" s="151" t="n">
        <f aca="false">IF(((3*1.04)-T38)&gt;=4.2,((3*1.04)-T38)-4.2,0)</f>
        <v>0</v>
      </c>
      <c r="T38" s="151" t="n">
        <f aca="false">(0.6275*1.06)*1.04</f>
        <v>0.691756</v>
      </c>
      <c r="U38" s="393" t="n">
        <v>0</v>
      </c>
      <c r="V38" s="154" t="n">
        <v>0</v>
      </c>
      <c r="W38" s="154" t="n">
        <v>0</v>
      </c>
      <c r="X38" s="280" t="n">
        <f aca="false">M38-N38-O38-P38-Q38-R38-S38-T38-U38+V38+W38-AT38</f>
        <v>16.0913655364506</v>
      </c>
      <c r="Y38" s="280" t="n">
        <f aca="false">X38-AO38</f>
        <v>16.0913655364506</v>
      </c>
      <c r="Z38" s="244" t="n">
        <f aca="false">Z37+AP38</f>
        <v>14564.1699880246</v>
      </c>
      <c r="AA38" s="280"/>
      <c r="AB38" s="244" t="n">
        <f aca="false">AB37+(Y38+AP38)*1.9835</f>
        <v>29425.609774389</v>
      </c>
      <c r="AC38" s="123" t="n">
        <f aca="false">AC37-(AQ37/1.9835)</f>
        <v>1669.62374315893</v>
      </c>
      <c r="AD38" s="112"/>
      <c r="AE38" s="154" t="n">
        <v>0</v>
      </c>
      <c r="AF38" s="157" t="n">
        <v>1.7</v>
      </c>
      <c r="AG38" s="158" t="n">
        <v>1.3</v>
      </c>
      <c r="AH38" s="154" t="n">
        <v>53.9</v>
      </c>
      <c r="AI38" s="93" t="n">
        <f aca="false">AI37-AH38</f>
        <v>14759.6578774893</v>
      </c>
      <c r="AJ38" s="112"/>
      <c r="AK38" s="154" t="n">
        <f aca="false">N38+O38+P38+Q38+R38+S38+T38+U38+X38+AE38+AH38</f>
        <v>171.9</v>
      </c>
      <c r="AL38" s="154" t="n">
        <f aca="false">IF(L38&lt;0,L38*-1,0)</f>
        <v>0</v>
      </c>
      <c r="AM38" s="404" t="n">
        <f aca="false">AK38+AL38</f>
        <v>171.9</v>
      </c>
      <c r="AN38" s="239"/>
      <c r="AO38" s="112"/>
      <c r="AP38" s="406" t="n">
        <f aca="false">795-X38</f>
        <v>778.908634463549</v>
      </c>
      <c r="AQ38" s="173" t="n">
        <f aca="false">36.949*(12972*1.9835+AC38*1.9835)/E38</f>
        <v>7.67540732451014</v>
      </c>
      <c r="AR38" s="173"/>
      <c r="AS38" s="116"/>
      <c r="AT38" s="11" t="n">
        <v>0</v>
      </c>
      <c r="AU38" s="1"/>
      <c r="AV38" s="117" t="n">
        <v>0</v>
      </c>
      <c r="AW38" s="118" t="n">
        <v>63</v>
      </c>
      <c r="AX38" s="162" t="n">
        <v>32</v>
      </c>
      <c r="AY38" s="161"/>
      <c r="AZ38" s="282" t="n">
        <f aca="false">SUM(N38,P38:U38)</f>
        <v>5.20363446354945</v>
      </c>
      <c r="BA38" s="1" t="n">
        <v>0.745</v>
      </c>
      <c r="BB38" s="407" t="n">
        <v>23714</v>
      </c>
    </row>
    <row r="39" customFormat="false" ht="12.95" hidden="false" customHeight="true" outlineLevel="0" collapsed="false">
      <c r="A39" s="10" t="n">
        <f aca="false">A38+1</f>
        <v>25</v>
      </c>
      <c r="B39" s="395" t="n">
        <v>6902.62</v>
      </c>
      <c r="C39" s="109" t="n">
        <v>293347</v>
      </c>
      <c r="D39" s="118" t="n">
        <f aca="false">C39-C38</f>
        <v>1542</v>
      </c>
      <c r="E39" s="109" t="n">
        <f aca="false">C39-152000</f>
        <v>141347</v>
      </c>
      <c r="F39" s="164" t="n">
        <f aca="false">D39/$D$2</f>
        <v>777.413662717419</v>
      </c>
      <c r="G39" s="163" t="n">
        <v>972</v>
      </c>
      <c r="H39" s="154" t="n">
        <v>80.1</v>
      </c>
      <c r="I39" s="154" t="n">
        <f aca="false">G39+H39</f>
        <v>1052.1</v>
      </c>
      <c r="J39" s="403" t="n">
        <f aca="false">IF(L39&gt;0,L39,0)</f>
        <v>2.51366271741881</v>
      </c>
      <c r="K39" s="154" t="n">
        <f aca="false">I39+J39</f>
        <v>1054.61366271742</v>
      </c>
      <c r="L39" s="154" t="n">
        <f aca="false">F39-(I39-AK39)</f>
        <v>2.51366271741881</v>
      </c>
      <c r="M39" s="157" t="n">
        <v>149</v>
      </c>
      <c r="N39" s="186" t="n">
        <v>0</v>
      </c>
      <c r="O39" s="404" t="n">
        <f aca="false">102*1.05</f>
        <v>107.1</v>
      </c>
      <c r="P39" s="96" t="n">
        <v>0</v>
      </c>
      <c r="Q39" s="373" t="n">
        <f aca="false">1186600/325851/1.9835*1.02</f>
        <v>1.87263550287645</v>
      </c>
      <c r="R39" s="151" t="n">
        <f aca="false">IF(((2.9*1.04)-T39)&gt;=4.2,4.2,(2.9*1.04)-T39)</f>
        <v>2.324244</v>
      </c>
      <c r="S39" s="151" t="n">
        <f aca="false">IF(((2.9*1.04)-T39)&gt;=4.2,((2.9*1.04)-T39)-4.2,0)</f>
        <v>0</v>
      </c>
      <c r="T39" s="151" t="n">
        <f aca="false">(0.6275*1.06)*1.04</f>
        <v>0.691756</v>
      </c>
      <c r="U39" s="393" t="n">
        <v>0</v>
      </c>
      <c r="V39" s="154" t="n">
        <v>30</v>
      </c>
      <c r="W39" s="154" t="n">
        <v>15.4</v>
      </c>
      <c r="X39" s="280" t="n">
        <f aca="false">M39-N39-O39-P39-Q39-R39-S39-T39-U39+V39+W39-AT39</f>
        <v>82.4113644971235</v>
      </c>
      <c r="Y39" s="280" t="n">
        <f aca="false">X39-AO39</f>
        <v>82.4113644971235</v>
      </c>
      <c r="Z39" s="244" t="n">
        <f aca="false">Z38+AP39</f>
        <v>15276.7586235274</v>
      </c>
      <c r="AA39" s="280"/>
      <c r="AB39" s="244" t="n">
        <f aca="false">AB38+(Y39+AP39)*1.9835</f>
        <v>31002.492274389</v>
      </c>
      <c r="AC39" s="123" t="n">
        <f aca="false">AC38-(AQ38/1.9835)</f>
        <v>1665.7541150649</v>
      </c>
      <c r="AD39" s="112"/>
      <c r="AE39" s="154" t="n">
        <v>29.3</v>
      </c>
      <c r="AF39" s="157" t="n">
        <v>1.7</v>
      </c>
      <c r="AG39" s="158" t="n">
        <v>1.3</v>
      </c>
      <c r="AH39" s="154" t="n">
        <v>53.5</v>
      </c>
      <c r="AI39" s="93" t="n">
        <f aca="false">AI38-AH39</f>
        <v>14706.1578774893</v>
      </c>
      <c r="AJ39" s="112"/>
      <c r="AK39" s="154" t="n">
        <f aca="false">N39+O39+P39+Q39+R39+S39+T39+U39+X39+AE39+AH39</f>
        <v>277.2</v>
      </c>
      <c r="AL39" s="154" t="n">
        <f aca="false">IF(L39&lt;0,L39*-1,0)</f>
        <v>0</v>
      </c>
      <c r="AM39" s="404" t="n">
        <f aca="false">AK39+AL39</f>
        <v>277.2</v>
      </c>
      <c r="AN39" s="239"/>
      <c r="AO39" s="112"/>
      <c r="AP39" s="406" t="n">
        <f aca="false">795-X39</f>
        <v>712.588635502877</v>
      </c>
      <c r="AQ39" s="173" t="n">
        <f aca="false">27.989*(12972*1.9835+AC39*1.9835)/E39</f>
        <v>5.74920029575665</v>
      </c>
      <c r="AR39" s="173"/>
      <c r="AS39" s="116"/>
      <c r="AT39" s="11" t="n">
        <v>0</v>
      </c>
      <c r="AU39" s="1"/>
      <c r="AV39" s="117" t="n">
        <v>0.01</v>
      </c>
      <c r="AW39" s="118" t="n">
        <v>63</v>
      </c>
      <c r="AX39" s="162" t="n">
        <v>35</v>
      </c>
      <c r="AY39" s="161"/>
      <c r="AZ39" s="282" t="n">
        <f aca="false">SUM(N39,P39:U39)</f>
        <v>4.88863550287645</v>
      </c>
      <c r="BA39" s="1" t="n">
        <v>0.777</v>
      </c>
      <c r="BB39" s="407" t="n">
        <v>23872</v>
      </c>
    </row>
    <row r="40" customFormat="false" ht="12.95" hidden="false" customHeight="true" outlineLevel="0" collapsed="false">
      <c r="A40" s="10" t="n">
        <f aca="false">A39+1</f>
        <v>26</v>
      </c>
      <c r="B40" s="395" t="n">
        <v>6902.87</v>
      </c>
      <c r="C40" s="109" t="n">
        <v>294288</v>
      </c>
      <c r="D40" s="118" t="n">
        <f aca="false">C40-C39</f>
        <v>941</v>
      </c>
      <c r="E40" s="109" t="n">
        <f aca="false">C40-152000</f>
        <v>142288</v>
      </c>
      <c r="F40" s="164" t="n">
        <f aca="false">D40/$D$2</f>
        <v>474.413914797076</v>
      </c>
      <c r="G40" s="163" t="n">
        <v>835</v>
      </c>
      <c r="H40" s="154" t="n">
        <v>48</v>
      </c>
      <c r="I40" s="154" t="n">
        <f aca="false">G40+H40</f>
        <v>883</v>
      </c>
      <c r="J40" s="403" t="n">
        <f aca="false">IF(L40&gt;0,L40,0)</f>
        <v>0</v>
      </c>
      <c r="K40" s="154" t="n">
        <f aca="false">I40+J40</f>
        <v>883</v>
      </c>
      <c r="L40" s="154" t="n">
        <f aca="false">F40-(I40-AK40)</f>
        <v>-145.286085202924</v>
      </c>
      <c r="M40" s="157" t="n">
        <v>147</v>
      </c>
      <c r="N40" s="186" t="n">
        <v>0</v>
      </c>
      <c r="O40" s="4" t="n">
        <f aca="false">107*1.05</f>
        <v>112.35</v>
      </c>
      <c r="P40" s="96" t="n">
        <v>0</v>
      </c>
      <c r="Q40" s="373" t="n">
        <f aca="false">1019100/325851/1.9835*1.02</f>
        <v>1.60829499492785</v>
      </c>
      <c r="R40" s="151" t="n">
        <f aca="false">IF(((3.4*1.04)-T40)&gt;=4.2,4.2,(3.4*1.04)-T40)</f>
        <v>2.844244</v>
      </c>
      <c r="S40" s="151" t="n">
        <f aca="false">IF(((3.4*1.04)-T40)&gt;=4.2,((3.4*1.04)-T40)-4.2,0)</f>
        <v>0</v>
      </c>
      <c r="T40" s="151" t="n">
        <f aca="false">(0.6275*1.06)*1.04</f>
        <v>0.691756</v>
      </c>
      <c r="U40" s="393" t="n">
        <v>0</v>
      </c>
      <c r="V40" s="154" t="n">
        <v>29.8</v>
      </c>
      <c r="W40" s="154" t="n">
        <v>17.7</v>
      </c>
      <c r="X40" s="280" t="n">
        <f aca="false">M40-N40-O40-P40-Q40-R40-S40-T40-U40+V40+W40-AT40</f>
        <v>77.0057050050721</v>
      </c>
      <c r="Y40" s="280" t="n">
        <f aca="false">X40-AO40</f>
        <v>77.0057050050721</v>
      </c>
      <c r="Z40" s="244" t="n">
        <f aca="false">Z39+AP40</f>
        <v>15994.7529185224</v>
      </c>
      <c r="AA40" s="280"/>
      <c r="AB40" s="244" t="n">
        <f aca="false">AB39+(Y40+AP40)*1.9835</f>
        <v>32579.374774389</v>
      </c>
      <c r="AC40" s="123" t="n">
        <f aca="false">AC39-(AQ39/1.9835)</f>
        <v>1662.85560218577</v>
      </c>
      <c r="AD40" s="112"/>
      <c r="AE40" s="154" t="n">
        <v>15.6</v>
      </c>
      <c r="AF40" s="157" t="n">
        <v>1.7</v>
      </c>
      <c r="AG40" s="158" t="n">
        <v>1.3</v>
      </c>
      <c r="AH40" s="154" t="n">
        <v>53.2</v>
      </c>
      <c r="AI40" s="93" t="n">
        <f aca="false">AI39-AH40</f>
        <v>14652.9578774893</v>
      </c>
      <c r="AJ40" s="112"/>
      <c r="AK40" s="154" t="n">
        <f aca="false">N40+O40+P40+Q40+R40+S40+T40+U40+X40+AE40+AH40</f>
        <v>263.3</v>
      </c>
      <c r="AL40" s="154" t="n">
        <f aca="false">IF(L40&lt;0,L40*-1,0)</f>
        <v>145.286085202924</v>
      </c>
      <c r="AM40" s="404" t="n">
        <f aca="false">AK40+AL40</f>
        <v>408.586085202924</v>
      </c>
      <c r="AN40" s="239"/>
      <c r="AO40" s="112"/>
      <c r="AP40" s="406" t="n">
        <f aca="false">795-X40</f>
        <v>717.994294994928</v>
      </c>
      <c r="AQ40" s="173" t="n">
        <f aca="false">16.749*(12972*1.9835+AC40*1.9835)/E40</f>
        <v>3.41697069478861</v>
      </c>
      <c r="AR40" s="173"/>
      <c r="AS40" s="116"/>
      <c r="AT40" s="4" t="n">
        <v>0</v>
      </c>
      <c r="AU40" s="1"/>
      <c r="AV40" s="117" t="n">
        <v>0.06</v>
      </c>
      <c r="AW40" s="118" t="n">
        <v>49</v>
      </c>
      <c r="AX40" s="118" t="n">
        <v>30</v>
      </c>
      <c r="AY40" s="161"/>
      <c r="AZ40" s="282" t="n">
        <f aca="false">SUM(N40,P40:U40)</f>
        <v>5.14429499492785</v>
      </c>
      <c r="BA40" s="1" t="n">
        <v>0.65</v>
      </c>
      <c r="BB40" s="407" t="n">
        <v>24042</v>
      </c>
    </row>
    <row r="41" customFormat="false" ht="12.95" hidden="false" customHeight="true" outlineLevel="0" collapsed="false">
      <c r="A41" s="10" t="n">
        <f aca="false">A40+1</f>
        <v>27</v>
      </c>
      <c r="B41" s="395" t="n">
        <v>6903.238</v>
      </c>
      <c r="C41" s="109" t="n">
        <v>295688</v>
      </c>
      <c r="D41" s="118" t="n">
        <f aca="false">C41-C40</f>
        <v>1400</v>
      </c>
      <c r="E41" s="109" t="n">
        <f aca="false">C41-152000</f>
        <v>143688</v>
      </c>
      <c r="F41" s="164" t="n">
        <f aca="false">D41/$D$2</f>
        <v>705.823040080665</v>
      </c>
      <c r="G41" s="163" t="n">
        <v>722</v>
      </c>
      <c r="H41" s="154" t="n">
        <v>27.5</v>
      </c>
      <c r="I41" s="154" t="n">
        <f aca="false">G41+H41</f>
        <v>749.5</v>
      </c>
      <c r="J41" s="403" t="n">
        <f aca="false">IF(L41&gt;0,L41,0)</f>
        <v>211.323040080665</v>
      </c>
      <c r="K41" s="154" t="n">
        <f aca="false">I41+J41</f>
        <v>960.823040080665</v>
      </c>
      <c r="L41" s="154" t="n">
        <f aca="false">F41-(I41-AK41)</f>
        <v>211.323040080665</v>
      </c>
      <c r="M41" s="157" t="n">
        <v>153</v>
      </c>
      <c r="N41" s="186" t="n">
        <v>0</v>
      </c>
      <c r="O41" s="404" t="n">
        <f aca="false">101*1.05</f>
        <v>106.05</v>
      </c>
      <c r="P41" s="96" t="n">
        <v>0</v>
      </c>
      <c r="Q41" s="373" t="n">
        <f aca="false">1074400/325851/1.9835*1.02</f>
        <v>1.69556681635805</v>
      </c>
      <c r="R41" s="151" t="n">
        <f aca="false">IF(((3.4*1.04)-T41)&gt;=4.2,4.2,(3.4*1.04)-T41)</f>
        <v>2.844244</v>
      </c>
      <c r="S41" s="151" t="n">
        <f aca="false">IF(((3.4*1.04)-T41)&gt;=4.2,((3.4*1.04)-T41)-4.2,0)</f>
        <v>0</v>
      </c>
      <c r="T41" s="151" t="n">
        <f aca="false">(0.6275*1.06)*1.04</f>
        <v>0.691756</v>
      </c>
      <c r="U41" s="393" t="n">
        <v>0</v>
      </c>
      <c r="V41" s="154" t="n">
        <v>30</v>
      </c>
      <c r="W41" s="154" t="n">
        <v>18.8</v>
      </c>
      <c r="X41" s="280" t="n">
        <f aca="false">M41-N41-O41-P41-Q41-R41-S41-T41-U41+V41+W41-AT41</f>
        <v>90.518433183642</v>
      </c>
      <c r="Y41" s="280" t="n">
        <f aca="false">X41-AO41</f>
        <v>90.518433183642</v>
      </c>
      <c r="Z41" s="244" t="n">
        <f aca="false">Z40+AP41</f>
        <v>16647.4946745224</v>
      </c>
      <c r="AA41" s="280"/>
      <c r="AB41" s="244" t="n">
        <f aca="false">AB40+(Y41+AP41)*1.9835</f>
        <v>34053.6313596348</v>
      </c>
      <c r="AC41" s="123" t="n">
        <f aca="false">AC40-(AQ40/1.9835)</f>
        <v>1661.13290458315</v>
      </c>
      <c r="AD41" s="112"/>
      <c r="AE41" s="154" t="n">
        <v>0</v>
      </c>
      <c r="AF41" s="157" t="n">
        <v>1.7</v>
      </c>
      <c r="AG41" s="158" t="n">
        <v>1.3</v>
      </c>
      <c r="AH41" s="154" t="n">
        <v>53.2</v>
      </c>
      <c r="AI41" s="93" t="n">
        <f aca="false">AI40-AH41</f>
        <v>14599.7578774893</v>
      </c>
      <c r="AJ41" s="112"/>
      <c r="AK41" s="154" t="n">
        <f aca="false">N41+O41+P41+Q41+R41+S41+T41+U41+X41+AE41+AH41</f>
        <v>255</v>
      </c>
      <c r="AL41" s="154" t="n">
        <f aca="false">IF(L41&lt;0,L41*-1,0)</f>
        <v>0</v>
      </c>
      <c r="AM41" s="404" t="n">
        <f aca="false">AK41+AL41</f>
        <v>255</v>
      </c>
      <c r="AN41" s="239"/>
      <c r="AO41" s="112"/>
      <c r="AP41" s="406" t="n">
        <f aca="false">I41-Q41-R41-X41-AF41</f>
        <v>652.741756</v>
      </c>
      <c r="AQ41" s="173" t="n">
        <f aca="false">17.19*(12972*1.9835+AC41*1.9835)/E41</f>
        <v>3.47236123133579</v>
      </c>
      <c r="AR41" s="173"/>
      <c r="AS41" s="116"/>
      <c r="AT41" s="11" t="n">
        <v>0</v>
      </c>
      <c r="AU41" s="1"/>
      <c r="AV41" s="117" t="n">
        <v>0.01</v>
      </c>
      <c r="AW41" s="118" t="n">
        <v>59</v>
      </c>
      <c r="AX41" s="118" t="n">
        <v>29</v>
      </c>
      <c r="AY41" s="161"/>
      <c r="AZ41" s="282" t="n">
        <f aca="false">SUM(N41,P41:U41)</f>
        <v>5.23156681635805</v>
      </c>
      <c r="BA41" s="1" t="n">
        <v>0.72</v>
      </c>
      <c r="BB41" s="407" t="n">
        <v>24159</v>
      </c>
    </row>
    <row r="42" customFormat="false" ht="12.95" hidden="false" customHeight="true" outlineLevel="0" collapsed="false">
      <c r="A42" s="10" t="n">
        <f aca="false">A41+1</f>
        <v>28</v>
      </c>
      <c r="B42" s="395" t="n">
        <v>6903.374</v>
      </c>
      <c r="C42" s="109" t="n">
        <v>296181</v>
      </c>
      <c r="D42" s="118" t="n">
        <f aca="false">C42-C41</f>
        <v>493</v>
      </c>
      <c r="E42" s="109" t="n">
        <f aca="false">C42-152000</f>
        <v>144181</v>
      </c>
      <c r="F42" s="164" t="n">
        <f aca="false">D42/$D$2</f>
        <v>248.550541971263</v>
      </c>
      <c r="G42" s="154" t="n">
        <v>696</v>
      </c>
      <c r="H42" s="154" t="n">
        <v>20.7</v>
      </c>
      <c r="I42" s="154" t="n">
        <f aca="false">G42+H42</f>
        <v>716.7</v>
      </c>
      <c r="J42" s="403" t="n">
        <f aca="false">IF(L42&gt;0,L42,0)</f>
        <v>0</v>
      </c>
      <c r="K42" s="154" t="n">
        <f aca="false">I42+J42</f>
        <v>716.7</v>
      </c>
      <c r="L42" s="154" t="n">
        <f aca="false">F42-(I42-AK42)</f>
        <v>-205.749458028737</v>
      </c>
      <c r="M42" s="157" t="n">
        <v>161</v>
      </c>
      <c r="N42" s="186" t="n">
        <v>0</v>
      </c>
      <c r="O42" s="404" t="n">
        <f aca="false">101*1.05</f>
        <v>106.05</v>
      </c>
      <c r="P42" s="96" t="n">
        <v>0</v>
      </c>
      <c r="Q42" s="373" t="n">
        <f aca="false">976600/325851/1.9835*1.02</f>
        <v>1.54122352276179</v>
      </c>
      <c r="R42" s="151" t="n">
        <f aca="false">IF(((2.8*1.04)-T42)&gt;=4.2,4.2,(2.8*1.04)-T42)</f>
        <v>2.220244</v>
      </c>
      <c r="S42" s="151" t="n">
        <f aca="false">IF(((2.8*1.04)-T42)&gt;=4.2,((2.8*1.04)-T42)-4.2,0)</f>
        <v>0</v>
      </c>
      <c r="T42" s="151" t="n">
        <f aca="false">(0.6275*1.06)*1.04</f>
        <v>0.691756</v>
      </c>
      <c r="U42" s="393" t="n">
        <v>0</v>
      </c>
      <c r="V42" s="154" t="n">
        <v>29.9</v>
      </c>
      <c r="W42" s="154" t="n">
        <v>18.6</v>
      </c>
      <c r="X42" s="280" t="n">
        <f aca="false">M42-N42-O42-P42-Q42-R42-S42-T42-U42+V42+W42-AT42</f>
        <v>98.9967764772382</v>
      </c>
      <c r="Y42" s="280" t="n">
        <f aca="false">X42-AO42</f>
        <v>98.9967764772382</v>
      </c>
      <c r="Z42" s="244" t="n">
        <f aca="false">Z41+AP42</f>
        <v>17259.7364305224</v>
      </c>
      <c r="AA42" s="280"/>
      <c r="AB42" s="244" t="n">
        <f aca="false">AB41+(Y42+AP42)*1.9835</f>
        <v>35464.3729888034</v>
      </c>
      <c r="AC42" s="123" t="n">
        <f aca="false">AC41-(AQ41/1.9835)</f>
        <v>1659.38228132561</v>
      </c>
      <c r="AD42" s="112"/>
      <c r="AE42" s="154" t="n">
        <v>0</v>
      </c>
      <c r="AF42" s="157" t="n">
        <v>1.7</v>
      </c>
      <c r="AG42" s="158" t="n">
        <v>1.3</v>
      </c>
      <c r="AH42" s="154" t="n">
        <v>52.9</v>
      </c>
      <c r="AI42" s="93" t="n">
        <f aca="false">AI41-AH42</f>
        <v>14546.8578774893</v>
      </c>
      <c r="AJ42" s="112"/>
      <c r="AK42" s="154" t="n">
        <f aca="false">N42+O42+P42+Q42+R42+S42+T42+U42+X42+AE42+AH42</f>
        <v>262.4</v>
      </c>
      <c r="AL42" s="154" t="n">
        <f aca="false">IF(L42&lt;0,L42*-1,0)</f>
        <v>205.749458028737</v>
      </c>
      <c r="AM42" s="404" t="n">
        <f aca="false">AK42+AL42</f>
        <v>468.149458028737</v>
      </c>
      <c r="AN42" s="239"/>
      <c r="AO42" s="112"/>
      <c r="AP42" s="406" t="n">
        <f aca="false">I42-Q42-R42-X42-AF42</f>
        <v>612.241756</v>
      </c>
      <c r="AQ42" s="173" t="n">
        <f aca="false">0*(12972*1.9835+AC42*1.9835)/E42</f>
        <v>0</v>
      </c>
      <c r="AR42" s="173"/>
      <c r="AS42" s="116"/>
      <c r="AT42" s="11" t="n">
        <v>0</v>
      </c>
      <c r="AU42" s="1"/>
      <c r="AV42" s="117" t="n">
        <v>0.0785714285714286</v>
      </c>
      <c r="AW42" s="118" t="n">
        <v>58</v>
      </c>
      <c r="AX42" s="118" t="n">
        <v>32</v>
      </c>
      <c r="AY42" s="161"/>
      <c r="AZ42" s="282" t="n">
        <f aca="false">SUM(N42,P42:U42)</f>
        <v>4.45322352276179</v>
      </c>
      <c r="BA42" s="1" t="n">
        <v>0.811</v>
      </c>
      <c r="BB42" s="407" t="n">
        <v>24317</v>
      </c>
    </row>
    <row r="43" customFormat="false" ht="12.95" hidden="false" customHeight="true" outlineLevel="0" collapsed="false">
      <c r="A43" s="10" t="n">
        <f aca="false">A42+1</f>
        <v>29</v>
      </c>
      <c r="B43" s="395" t="n">
        <v>6903.618</v>
      </c>
      <c r="C43" s="109" t="n">
        <v>297129</v>
      </c>
      <c r="D43" s="118" t="n">
        <f aca="false">C43-C42</f>
        <v>948</v>
      </c>
      <c r="E43" s="109" t="n">
        <f aca="false">C43-152000</f>
        <v>145129</v>
      </c>
      <c r="F43" s="164" t="n">
        <f aca="false">D43/$D$2</f>
        <v>477.943029997479</v>
      </c>
      <c r="G43" s="154" t="n">
        <v>655</v>
      </c>
      <c r="H43" s="154" t="n">
        <v>18.2</v>
      </c>
      <c r="I43" s="154" t="n">
        <f aca="false">G43+H43</f>
        <v>673.2</v>
      </c>
      <c r="J43" s="403" t="n">
        <f aca="false">IF(L43&gt;0,L43,0)</f>
        <v>80.4430299974791</v>
      </c>
      <c r="K43" s="154" t="n">
        <f aca="false">I43+J43</f>
        <v>753.643029997479</v>
      </c>
      <c r="L43" s="154" t="n">
        <f aca="false">F43-(I43-AK43)</f>
        <v>80.4430299974791</v>
      </c>
      <c r="M43" s="157" t="n">
        <v>159</v>
      </c>
      <c r="N43" s="186" t="n">
        <v>0</v>
      </c>
      <c r="O43" s="404" t="n">
        <f aca="false">107*1.05</f>
        <v>112.35</v>
      </c>
      <c r="P43" s="96" t="n">
        <v>0</v>
      </c>
      <c r="Q43" s="373" t="n">
        <f aca="false">887300/325851/1.9835*1.02</f>
        <v>1.40029452359875</v>
      </c>
      <c r="R43" s="151" t="n">
        <f aca="false">IF(((2.7*1.04)-T43)&gt;=4.2,4.2,(2.7*1.04)-T43)</f>
        <v>2.13586672</v>
      </c>
      <c r="S43" s="151" t="n">
        <f aca="false">IF(((2.7*1.04)-T43)&gt;=4.2,((2.7*1.04)-T43)-4.2,0)</f>
        <v>0</v>
      </c>
      <c r="T43" s="151" t="n">
        <f aca="false">(0.6097*1.06)*1.04</f>
        <v>0.67213328</v>
      </c>
      <c r="U43" s="393" t="n">
        <v>0</v>
      </c>
      <c r="V43" s="154" t="n">
        <v>30.1</v>
      </c>
      <c r="W43" s="154" t="n">
        <v>18.5</v>
      </c>
      <c r="X43" s="280" t="n">
        <f aca="false">M43-N43-O43-P43-Q43-R43-S43-T43-U43+V43+W43-AT43</f>
        <v>91.0417054764013</v>
      </c>
      <c r="Y43" s="280" t="n">
        <f aca="false">X43-AO43</f>
        <v>91.0417054764013</v>
      </c>
      <c r="Z43" s="244" t="n">
        <f aca="false">Z42+AP43</f>
        <v>17836.6585638024</v>
      </c>
      <c r="AA43" s="280"/>
      <c r="AB43" s="244" t="n">
        <f aca="false">AB42+(Y43+AP43)*1.9835</f>
        <v>36789.2792629767</v>
      </c>
      <c r="AC43" s="123" t="n">
        <f aca="false">AC42-(AQ42/1.9835)</f>
        <v>1659.38228132561</v>
      </c>
      <c r="AD43" s="112"/>
      <c r="AE43" s="154" t="n">
        <v>15.6</v>
      </c>
      <c r="AF43" s="157" t="n">
        <v>1.7</v>
      </c>
      <c r="AG43" s="158" t="n">
        <v>1.3</v>
      </c>
      <c r="AH43" s="154" t="n">
        <v>52.5</v>
      </c>
      <c r="AI43" s="93" t="n">
        <f aca="false">AI42-AH43</f>
        <v>14494.3578774893</v>
      </c>
      <c r="AJ43" s="112"/>
      <c r="AK43" s="154" t="n">
        <f aca="false">N43+O43+P43+Q43+R43+S43+T43+U43+X43+AE43+AH43</f>
        <v>275.7</v>
      </c>
      <c r="AL43" s="154" t="n">
        <f aca="false">IF(L43&lt;0,L43*-1,0)</f>
        <v>0</v>
      </c>
      <c r="AM43" s="404" t="n">
        <f aca="false">AK43+AL43</f>
        <v>275.7</v>
      </c>
      <c r="AN43" s="239"/>
      <c r="AO43" s="112"/>
      <c r="AP43" s="406" t="n">
        <f aca="false">I43-Q43-R43-X43-AF43</f>
        <v>576.92213328</v>
      </c>
      <c r="AQ43" s="173" t="n">
        <f aca="false">0*(12972*1.9835+AC43*1.9835)/E43</f>
        <v>0</v>
      </c>
      <c r="AR43" s="173"/>
      <c r="AS43" s="116"/>
      <c r="AT43" s="11" t="n">
        <v>0</v>
      </c>
      <c r="AU43" s="1"/>
      <c r="AV43" s="117" t="n">
        <v>0.0314285714285714</v>
      </c>
      <c r="AW43" s="162" t="n">
        <v>53</v>
      </c>
      <c r="AX43" s="118" t="n">
        <v>30</v>
      </c>
      <c r="AY43" s="161"/>
      <c r="AZ43" s="282" t="n">
        <f aca="false">SUM(N43,P43:U43)</f>
        <v>4.20829452359875</v>
      </c>
      <c r="BA43" s="1" t="n">
        <v>0.813</v>
      </c>
      <c r="BB43" s="407" t="n">
        <v>24456</v>
      </c>
    </row>
    <row r="44" customFormat="false" ht="12.95" hidden="false" customHeight="true" outlineLevel="0" collapsed="false">
      <c r="A44" s="10" t="n">
        <v>30</v>
      </c>
      <c r="B44" s="395" t="n">
        <v>6903.78</v>
      </c>
      <c r="C44" s="109" t="n">
        <v>297736</v>
      </c>
      <c r="D44" s="118" t="n">
        <f aca="false">C44-C43</f>
        <v>607</v>
      </c>
      <c r="E44" s="109" t="n">
        <f aca="false">C44-152000</f>
        <v>145736</v>
      </c>
      <c r="F44" s="164" t="n">
        <f aca="false">D44/$D$2</f>
        <v>306.024703806403</v>
      </c>
      <c r="G44" s="154" t="n">
        <v>614</v>
      </c>
      <c r="H44" s="154" t="n">
        <v>17.1</v>
      </c>
      <c r="I44" s="154" t="n">
        <f aca="false">G44+H44</f>
        <v>631.1</v>
      </c>
      <c r="J44" s="403" t="n">
        <f aca="false">IF(L44&gt;0,L44,0)</f>
        <v>0</v>
      </c>
      <c r="K44" s="154" t="n">
        <f aca="false">I44+J44</f>
        <v>631.1</v>
      </c>
      <c r="L44" s="154" t="n">
        <f aca="false">F44-(I44-AK44)</f>
        <v>-35.7752961935972</v>
      </c>
      <c r="M44" s="157" t="n">
        <v>166</v>
      </c>
      <c r="N44" s="186" t="n">
        <v>0</v>
      </c>
      <c r="O44" s="404" t="n">
        <f aca="false">108*1.05</f>
        <v>113.4</v>
      </c>
      <c r="P44" s="96" t="n">
        <v>0</v>
      </c>
      <c r="Q44" s="373" t="n">
        <f aca="false">1107600/325851/1.9835*1.02</f>
        <v>1.74796147226189</v>
      </c>
      <c r="R44" s="151" t="n">
        <f aca="false">IF(((2.6*1.04)-T44)&gt;=4.2,4.2,(2.6*1.04)-T44)</f>
        <v>2.03186672</v>
      </c>
      <c r="S44" s="151" t="n">
        <f aca="false">IF(((2.6*1.04)-T44)&gt;=4.2,((2.6*1.04)-T44)-4.2,0)</f>
        <v>0</v>
      </c>
      <c r="T44" s="151" t="n">
        <f aca="false">(0.6097*1.06)*1.04</f>
        <v>0.67213328</v>
      </c>
      <c r="U44" s="393" t="n">
        <v>0</v>
      </c>
      <c r="V44" s="154" t="n">
        <v>30.1</v>
      </c>
      <c r="W44" s="154" t="n">
        <v>18.4</v>
      </c>
      <c r="X44" s="280" t="n">
        <f aca="false">M44-N44-O44-P44-Q44-R44-S44-T44-U44+V44+W44-AT44</f>
        <v>96.6480385277381</v>
      </c>
      <c r="Y44" s="280" t="n">
        <f aca="false">X44-AO44</f>
        <v>96.6480385277381</v>
      </c>
      <c r="Z44" s="244" t="n">
        <f aca="false">Z43+AP44</f>
        <v>18365.6306970824</v>
      </c>
      <c r="AA44" s="280"/>
      <c r="AB44" s="244" t="n">
        <f aca="false">AB43+(Y44+AP44)*1.9835</f>
        <v>38030.1968737574</v>
      </c>
      <c r="AC44" s="123" t="n">
        <f aca="false">AC43-(AQ43/1.9835)</f>
        <v>1659.38228132561</v>
      </c>
      <c r="AD44" s="112"/>
      <c r="AE44" s="154" t="n">
        <v>22.1</v>
      </c>
      <c r="AF44" s="157" t="n">
        <v>1.7</v>
      </c>
      <c r="AG44" s="158" t="n">
        <v>1.3</v>
      </c>
      <c r="AH44" s="154" t="n">
        <v>52.7</v>
      </c>
      <c r="AI44" s="93" t="n">
        <f aca="false">AI43-AH44</f>
        <v>14441.6578774893</v>
      </c>
      <c r="AJ44" s="112"/>
      <c r="AK44" s="154" t="n">
        <f aca="false">N44+O44+P44+Q44+R44+S44+T44+U44+X44+AE44+AH44</f>
        <v>289.3</v>
      </c>
      <c r="AL44" s="154" t="n">
        <f aca="false">IF(L44&lt;0,L44*-1,0)</f>
        <v>35.7752961935972</v>
      </c>
      <c r="AM44" s="164" t="n">
        <f aca="false">AK44+AL44</f>
        <v>325.075296193597</v>
      </c>
      <c r="AN44" s="239"/>
      <c r="AO44" s="112"/>
      <c r="AP44" s="406" t="n">
        <f aca="false">I44-Q44-R44-X44-AF44</f>
        <v>528.97213328</v>
      </c>
      <c r="AQ44" s="173" t="n">
        <f aca="false">9.999*(12972*1.9835+AC44*1.9835)/E44</f>
        <v>1.99116516305744</v>
      </c>
      <c r="AR44" s="173"/>
      <c r="AS44" s="116"/>
      <c r="AT44" s="11" t="n">
        <v>0</v>
      </c>
      <c r="AU44" s="1"/>
      <c r="AV44" s="117" t="n">
        <v>0.0314285714285714</v>
      </c>
      <c r="AW44" s="162" t="n">
        <v>59</v>
      </c>
      <c r="AX44" s="118" t="n">
        <v>29</v>
      </c>
      <c r="AY44" s="161"/>
      <c r="AZ44" s="282" t="n">
        <f aca="false">SUM(N44,P44:U44)</f>
        <v>4.45196147226189</v>
      </c>
      <c r="BA44" s="1" t="n">
        <v>0.818</v>
      </c>
      <c r="BB44" s="407" t="n">
        <v>24509</v>
      </c>
    </row>
    <row r="45" customFormat="false" ht="3" hidden="false" customHeight="true" outlineLevel="0" collapsed="false">
      <c r="A45" s="126"/>
      <c r="B45" s="411"/>
      <c r="C45" s="137"/>
      <c r="D45" s="134"/>
      <c r="E45" s="137"/>
      <c r="F45" s="167"/>
      <c r="G45" s="134"/>
      <c r="H45" s="134"/>
      <c r="I45" s="134"/>
      <c r="J45" s="134"/>
      <c r="K45" s="134"/>
      <c r="L45" s="134"/>
      <c r="M45" s="138"/>
      <c r="N45" s="134"/>
      <c r="O45" s="134"/>
      <c r="P45" s="400"/>
      <c r="Q45" s="400"/>
      <c r="R45" s="400"/>
      <c r="S45" s="400"/>
      <c r="T45" s="400"/>
      <c r="U45" s="401"/>
      <c r="V45" s="134"/>
      <c r="W45" s="134"/>
      <c r="X45" s="134"/>
      <c r="Y45" s="134"/>
      <c r="Z45" s="141"/>
      <c r="AA45" s="134"/>
      <c r="AB45" s="141"/>
      <c r="AC45" s="141"/>
      <c r="AD45" s="136"/>
      <c r="AE45" s="134"/>
      <c r="AF45" s="138"/>
      <c r="AG45" s="139"/>
      <c r="AH45" s="134"/>
      <c r="AI45" s="134"/>
      <c r="AJ45" s="136"/>
      <c r="AK45" s="134"/>
      <c r="AL45" s="134"/>
      <c r="AM45" s="167"/>
      <c r="AN45" s="137"/>
      <c r="AO45" s="136"/>
      <c r="AP45" s="141"/>
      <c r="AQ45" s="400"/>
      <c r="AR45" s="400"/>
      <c r="AS45" s="400"/>
      <c r="AT45" s="400"/>
      <c r="AU45" s="400"/>
      <c r="AV45" s="143"/>
      <c r="AW45" s="141"/>
      <c r="AX45" s="141"/>
      <c r="AY45" s="141"/>
      <c r="AZ45" s="141"/>
      <c r="BA45" s="141"/>
      <c r="BB45" s="141"/>
    </row>
    <row r="46" customFormat="false" ht="12.95" hidden="false" customHeight="true" outlineLevel="0" collapsed="false">
      <c r="A46" s="11" t="s">
        <v>104</v>
      </c>
      <c r="B46" s="392"/>
      <c r="C46" s="109"/>
      <c r="D46" s="109"/>
      <c r="E46" s="109"/>
      <c r="F46" s="171" t="n">
        <f aca="false">SUM(F15:F44)</f>
        <v>17179.2286362491</v>
      </c>
      <c r="G46" s="93" t="n">
        <f aca="false">SUM(G15:G44)</f>
        <v>18509</v>
      </c>
      <c r="H46" s="93" t="n">
        <f aca="false">SUM(H15:H44)</f>
        <v>1716.8</v>
      </c>
      <c r="I46" s="93" t="n">
        <f aca="false">SUM(I15:I44)</f>
        <v>20225.8</v>
      </c>
      <c r="J46" s="93" t="n">
        <f aca="false">SUM(J15:J44)</f>
        <v>2563.45199168137</v>
      </c>
      <c r="K46" s="93" t="n">
        <f aca="false">SUM(K15:K44)</f>
        <v>22789.2519916814</v>
      </c>
      <c r="L46" s="93" t="n">
        <f aca="false">SUM(L15:L44)</f>
        <v>1978.88163624905</v>
      </c>
      <c r="M46" s="113" t="n">
        <f aca="false">SUM(M15:M44)</f>
        <v>2887.78</v>
      </c>
      <c r="N46" s="109" t="n">
        <f aca="false">SUM(N15:N44)</f>
        <v>0</v>
      </c>
      <c r="O46" s="109" t="n">
        <f aca="false">SUM(O15:O44)</f>
        <v>2206.197</v>
      </c>
      <c r="P46" s="96" t="n">
        <f aca="false">SUM(P15:P44)</f>
        <v>0</v>
      </c>
      <c r="Q46" s="109" t="n">
        <f aca="false">SUM(Q15:Q44)</f>
        <v>49.0093614345844</v>
      </c>
      <c r="R46" s="109" t="n">
        <f aca="false">SUM(R15:R44)</f>
        <v>60.93645168</v>
      </c>
      <c r="S46" s="109" t="n">
        <f aca="false">SUM(S15:S44)</f>
        <v>0</v>
      </c>
      <c r="T46" s="109" t="n">
        <f aca="false">SUM(T15:T44)</f>
        <v>18.51954832</v>
      </c>
      <c r="U46" s="393" t="n">
        <f aca="false">SUM(U15:U44)</f>
        <v>0</v>
      </c>
      <c r="V46" s="93" t="n">
        <f aca="false">SUM(V15:V44)</f>
        <v>179.9</v>
      </c>
      <c r="W46" s="93" t="n">
        <f aca="false">SUM(W15:W44)</f>
        <v>107.4</v>
      </c>
      <c r="X46" s="93" t="n">
        <f aca="false">SUM(X15:X44)</f>
        <v>840.417638565416</v>
      </c>
      <c r="Y46" s="93" t="n">
        <f aca="false">SUM(Y15:Y44)</f>
        <v>807.647283133099</v>
      </c>
      <c r="Z46" s="412"/>
      <c r="AA46" s="93"/>
      <c r="AB46" s="118"/>
      <c r="AC46" s="172"/>
      <c r="AD46" s="112"/>
      <c r="AE46" s="93" t="n">
        <f aca="false">SUM(AE15:AE44)</f>
        <v>260.773</v>
      </c>
      <c r="AF46" s="113" t="n">
        <f aca="false">SUM(AF15:AF44)</f>
        <v>51</v>
      </c>
      <c r="AG46" s="114" t="n">
        <f aca="false">SUM(AG15:AG44)</f>
        <v>39</v>
      </c>
      <c r="AH46" s="93" t="n">
        <f aca="false">SUM(AH15:AH44)</f>
        <v>1589.6</v>
      </c>
      <c r="AI46" s="93"/>
      <c r="AJ46" s="112" t="n">
        <f aca="false">SUM(AJ15:AJ44)</f>
        <v>0</v>
      </c>
      <c r="AK46" s="93" t="n">
        <f aca="false">SUM(AK15:AK44)</f>
        <v>5025.453</v>
      </c>
      <c r="AL46" s="93" t="n">
        <f aca="false">SUM(AL15:AL44)</f>
        <v>584.570355432317</v>
      </c>
      <c r="AM46" s="171" t="n">
        <f aca="false">SUM(AM15:AM44)</f>
        <v>5610.02335543232</v>
      </c>
      <c r="AN46" s="109" t="n">
        <f aca="false">SUM(AN15:AN44)</f>
        <v>0</v>
      </c>
      <c r="AO46" s="178" t="n">
        <f aca="false">SUM(AO15:AO44)</f>
        <v>32.7703554323166</v>
      </c>
      <c r="AP46" s="172"/>
      <c r="AR46" s="173"/>
      <c r="AS46" s="116"/>
      <c r="AT46" s="93" t="n">
        <f aca="false">SUM(AT15:AT44)</f>
        <v>0</v>
      </c>
      <c r="AU46" s="1"/>
      <c r="AV46" s="117" t="n">
        <f aca="false">SUM(AV15:AV44)</f>
        <v>0.691428571428571</v>
      </c>
      <c r="AW46" s="118" t="n">
        <f aca="false">AVERAGE(AW15:AW44)</f>
        <v>62.3333333333333</v>
      </c>
      <c r="AX46" s="118" t="n">
        <f aca="false">AVERAGE(AX15:AX44)</f>
        <v>32.9</v>
      </c>
      <c r="AY46" s="171" t="s">
        <v>130</v>
      </c>
      <c r="AZ46" s="171" t="n">
        <f aca="false">SUM(AZ15:AZ44)</f>
        <v>128.465361434584</v>
      </c>
      <c r="BA46" s="0" t="n">
        <f aca="false">SUM(BA15:BA44)</f>
        <v>25.224</v>
      </c>
      <c r="BB46" s="161"/>
    </row>
    <row r="47" customFormat="false" ht="12.95" hidden="false" customHeight="true" outlineLevel="0" collapsed="false">
      <c r="A47" s="11" t="s">
        <v>106</v>
      </c>
      <c r="B47" s="392"/>
      <c r="C47" s="109"/>
      <c r="D47" s="109" t="n">
        <f aca="false">SUM(D15:D44)</f>
        <v>34075</v>
      </c>
      <c r="E47" s="109"/>
      <c r="F47" s="171" t="n">
        <f aca="false">F46*$D$2</f>
        <v>34075</v>
      </c>
      <c r="G47" s="93" t="n">
        <f aca="false">G46*$D$2</f>
        <v>36712.6015</v>
      </c>
      <c r="H47" s="93" t="n">
        <f aca="false">H46*$D$2</f>
        <v>3405.2728</v>
      </c>
      <c r="I47" s="93" t="n">
        <f aca="false">I46*$D$2</f>
        <v>40117.8743</v>
      </c>
      <c r="J47" s="93" t="n">
        <f aca="false">J46*$D$2</f>
        <v>5084.6070255</v>
      </c>
      <c r="K47" s="93" t="n">
        <f aca="false">K46*$D$2</f>
        <v>45202.4813255</v>
      </c>
      <c r="L47" s="93" t="n">
        <f aca="false">L46*$D$2</f>
        <v>3925.1117255</v>
      </c>
      <c r="M47" s="113" t="n">
        <f aca="false">M46*$D$2</f>
        <v>5727.91163</v>
      </c>
      <c r="N47" s="109" t="n">
        <f aca="false">N46*$D$2</f>
        <v>0</v>
      </c>
      <c r="O47" s="109" t="n">
        <f aca="false">O46*$D$2</f>
        <v>4375.9917495</v>
      </c>
      <c r="P47" s="96" t="n">
        <f aca="false">P46*$D$2</f>
        <v>0</v>
      </c>
      <c r="Q47" s="109" t="n">
        <f aca="false">Q46*$D$2</f>
        <v>97.2100684054982</v>
      </c>
      <c r="R47" s="109" t="n">
        <f aca="false">R46*$D$2</f>
        <v>120.86745190728</v>
      </c>
      <c r="S47" s="109" t="n">
        <f aca="false">S46*$D$2</f>
        <v>0</v>
      </c>
      <c r="T47" s="109" t="n">
        <f aca="false">T46*$D$2</f>
        <v>36.73352409272</v>
      </c>
      <c r="U47" s="393" t="n">
        <f aca="false">U46*$D$2</f>
        <v>0</v>
      </c>
      <c r="V47" s="93" t="n">
        <f aca="false">V46*$D$2</f>
        <v>356.83165</v>
      </c>
      <c r="W47" s="93" t="n">
        <f aca="false">W46*$D$2</f>
        <v>213.0279</v>
      </c>
      <c r="X47" s="93" t="n">
        <f aca="false">X46*$D$2</f>
        <v>1666.9683860945</v>
      </c>
      <c r="Y47" s="93" t="n">
        <f aca="false">Y46*$D$2</f>
        <v>1601.9683860945</v>
      </c>
      <c r="Z47" s="172"/>
      <c r="AA47" s="93"/>
      <c r="AB47" s="172"/>
      <c r="AC47" s="172"/>
      <c r="AD47" s="112"/>
      <c r="AE47" s="93" t="n">
        <f aca="false">AE46*$D$2</f>
        <v>517.2432455</v>
      </c>
      <c r="AF47" s="113" t="n">
        <f aca="false">AF46*$D$2</f>
        <v>101.1585</v>
      </c>
      <c r="AG47" s="114" t="n">
        <f aca="false">AG46*$D$2</f>
        <v>77.3565</v>
      </c>
      <c r="AH47" s="93" t="n">
        <f aca="false">AH46*$D$2</f>
        <v>3152.9716</v>
      </c>
      <c r="AI47" s="93"/>
      <c r="AJ47" s="112" t="n">
        <f aca="false">AJ46*$D$2</f>
        <v>0</v>
      </c>
      <c r="AK47" s="93" t="n">
        <f aca="false">AK46*$D$2</f>
        <v>9967.9860255</v>
      </c>
      <c r="AL47" s="93" t="n">
        <f aca="false">AL46*$D$2</f>
        <v>1159.4953</v>
      </c>
      <c r="AM47" s="171" t="n">
        <f aca="false">AM46*$D$2</f>
        <v>11127.4813255</v>
      </c>
      <c r="AN47" s="109" t="n">
        <f aca="false">AN46*D2</f>
        <v>0</v>
      </c>
      <c r="AO47" s="178" t="n">
        <f aca="false">AO46*$D$2</f>
        <v>65</v>
      </c>
      <c r="AP47" s="172"/>
      <c r="AQ47" s="173" t="n">
        <f aca="false">SUM(AQ15:AQ44)</f>
        <v>110.477269933904</v>
      </c>
      <c r="AR47" s="173"/>
      <c r="AS47" s="116"/>
      <c r="AT47" s="93" t="n">
        <f aca="false">AT46*$D$2</f>
        <v>0</v>
      </c>
      <c r="AU47" s="1"/>
      <c r="AV47" s="117"/>
      <c r="AW47" s="118" t="n">
        <f aca="false">MAX(AW15:AW44)</f>
        <v>79</v>
      </c>
      <c r="AX47" s="118" t="n">
        <f aca="false">MAX(AX15:AX44)</f>
        <v>42</v>
      </c>
      <c r="AY47" s="171" t="s">
        <v>107</v>
      </c>
      <c r="AZ47" s="171" t="n">
        <f aca="false">AZ46*$D$2</f>
        <v>254.811044405498</v>
      </c>
      <c r="BA47" s="0" t="n">
        <f aca="false">BA46*D2</f>
        <v>50.031804</v>
      </c>
      <c r="BB47" s="161"/>
    </row>
    <row r="48" customFormat="false" ht="3" hidden="false" customHeight="true" outlineLevel="0" collapsed="false">
      <c r="A48" s="126"/>
      <c r="B48" s="411"/>
      <c r="C48" s="137"/>
      <c r="D48" s="137"/>
      <c r="E48" s="137"/>
      <c r="F48" s="184"/>
      <c r="G48" s="137"/>
      <c r="H48" s="134"/>
      <c r="I48" s="137"/>
      <c r="J48" s="137"/>
      <c r="K48" s="137"/>
      <c r="L48" s="137"/>
      <c r="M48" s="182"/>
      <c r="N48" s="137"/>
      <c r="O48" s="137"/>
      <c r="P48" s="400"/>
      <c r="Q48" s="137"/>
      <c r="R48" s="137"/>
      <c r="S48" s="137"/>
      <c r="T48" s="137"/>
      <c r="U48" s="401"/>
      <c r="V48" s="137"/>
      <c r="W48" s="137"/>
      <c r="X48" s="137"/>
      <c r="Y48" s="137"/>
      <c r="Z48" s="141"/>
      <c r="AA48" s="137"/>
      <c r="AB48" s="141"/>
      <c r="AC48" s="141"/>
      <c r="AD48" s="136"/>
      <c r="AE48" s="137"/>
      <c r="AF48" s="182"/>
      <c r="AG48" s="183"/>
      <c r="AH48" s="137"/>
      <c r="AI48" s="134"/>
      <c r="AJ48" s="136"/>
      <c r="AK48" s="137"/>
      <c r="AL48" s="137"/>
      <c r="AM48" s="184"/>
      <c r="AN48" s="137"/>
      <c r="AO48" s="136"/>
      <c r="AP48" s="141"/>
      <c r="AQ48" s="400"/>
      <c r="AR48" s="400"/>
      <c r="AS48" s="400"/>
      <c r="AT48" s="137"/>
      <c r="AU48" s="400"/>
      <c r="AV48" s="185"/>
      <c r="AW48" s="137"/>
      <c r="AX48" s="137"/>
      <c r="AY48" s="137"/>
      <c r="AZ48" s="137"/>
      <c r="BA48" s="137"/>
      <c r="BB48" s="137"/>
    </row>
    <row r="49" customFormat="false" ht="12.95" hidden="false" customHeight="true" outlineLevel="0" collapsed="false">
      <c r="A49" s="11" t="s">
        <v>108</v>
      </c>
      <c r="B49" s="392"/>
      <c r="C49" s="109"/>
      <c r="D49" s="109"/>
      <c r="E49" s="109"/>
      <c r="F49" s="171" t="n">
        <f aca="false">F46</f>
        <v>17179.2286362491</v>
      </c>
      <c r="G49" s="93" t="n">
        <f aca="false">G46</f>
        <v>18509</v>
      </c>
      <c r="H49" s="93" t="n">
        <f aca="false">H46</f>
        <v>1716.8</v>
      </c>
      <c r="I49" s="93" t="n">
        <f aca="false">I46</f>
        <v>20225.8</v>
      </c>
      <c r="J49" s="93" t="n">
        <f aca="false">J46</f>
        <v>2563.45199168137</v>
      </c>
      <c r="K49" s="93" t="n">
        <f aca="false">K46</f>
        <v>22789.2519916814</v>
      </c>
      <c r="L49" s="93" t="n">
        <f aca="false">L46</f>
        <v>1978.88163624905</v>
      </c>
      <c r="M49" s="113" t="n">
        <f aca="false">M46</f>
        <v>2887.78</v>
      </c>
      <c r="N49" s="109" t="n">
        <f aca="false">N46</f>
        <v>0</v>
      </c>
      <c r="O49" s="109" t="n">
        <f aca="false">O12+O46</f>
        <v>2222.9025</v>
      </c>
      <c r="P49" s="96" t="n">
        <f aca="false">P12+P46</f>
        <v>0</v>
      </c>
      <c r="Q49" s="109"/>
      <c r="R49" s="109"/>
      <c r="S49" s="109"/>
      <c r="T49" s="109"/>
      <c r="U49" s="393"/>
      <c r="V49" s="93" t="n">
        <f aca="false">V46</f>
        <v>179.9</v>
      </c>
      <c r="W49" s="93" t="n">
        <f aca="false">W46</f>
        <v>107.4</v>
      </c>
      <c r="X49" s="93" t="n">
        <f aca="false">X12+X46</f>
        <v>840.417638565416</v>
      </c>
      <c r="Y49" s="93" t="n">
        <f aca="false">Y12+Y46</f>
        <v>807.647283133099</v>
      </c>
      <c r="Z49" s="93" t="n">
        <f aca="false">Z12+Z44</f>
        <v>18365.6306970824</v>
      </c>
      <c r="AA49" s="93"/>
      <c r="AB49" s="172"/>
      <c r="AC49" s="172"/>
      <c r="AD49" s="112"/>
      <c r="AE49" s="93" t="n">
        <f aca="false">AE46</f>
        <v>260.773</v>
      </c>
      <c r="AF49" s="113" t="n">
        <f aca="false">AF46</f>
        <v>51</v>
      </c>
      <c r="AG49" s="114" t="n">
        <f aca="false">AG46</f>
        <v>39</v>
      </c>
      <c r="AH49" s="93"/>
      <c r="AI49" s="93"/>
      <c r="AJ49" s="112" t="n">
        <f aca="false">AJ46</f>
        <v>0</v>
      </c>
      <c r="AK49" s="93" t="n">
        <f aca="false">AK46</f>
        <v>5025.453</v>
      </c>
      <c r="AL49" s="93" t="n">
        <f aca="false">AL46</f>
        <v>584.570355432317</v>
      </c>
      <c r="AM49" s="171" t="n">
        <f aca="false">AM46</f>
        <v>5610.02335543232</v>
      </c>
      <c r="AN49" s="109"/>
      <c r="AO49" s="112"/>
      <c r="AP49" s="172"/>
      <c r="AQ49" s="173"/>
      <c r="AR49" s="173"/>
      <c r="AS49" s="116"/>
      <c r="AT49" s="93" t="n">
        <f aca="false">AT46</f>
        <v>0</v>
      </c>
      <c r="AU49" s="1"/>
      <c r="AV49" s="117"/>
      <c r="AW49" s="118" t="n">
        <f aca="false">MIN(AW15:AW44)</f>
        <v>47</v>
      </c>
      <c r="AX49" s="118" t="n">
        <f aca="false">MIN(AX15:AX44)</f>
        <v>25</v>
      </c>
      <c r="AY49" s="171" t="s">
        <v>109</v>
      </c>
      <c r="AZ49" s="171" t="n">
        <f aca="false">AZ46</f>
        <v>128.465361434584</v>
      </c>
      <c r="BA49" s="93" t="n">
        <f aca="false">BA12+BA46</f>
        <v>25.224</v>
      </c>
      <c r="BB49" s="161"/>
    </row>
    <row r="50" customFormat="false" ht="12.95" hidden="false" customHeight="true" outlineLevel="0" collapsed="false">
      <c r="A50" s="11" t="s">
        <v>110</v>
      </c>
      <c r="B50" s="392"/>
      <c r="C50" s="109"/>
      <c r="D50" s="109"/>
      <c r="E50" s="109"/>
      <c r="F50" s="171" t="n">
        <f aca="false">F49*$D$2</f>
        <v>34075</v>
      </c>
      <c r="G50" s="93" t="n">
        <f aca="false">G49*$D$2</f>
        <v>36712.6015</v>
      </c>
      <c r="H50" s="93" t="n">
        <f aca="false">H49*$D$2</f>
        <v>3405.2728</v>
      </c>
      <c r="I50" s="93" t="n">
        <f aca="false">I49*$D$2</f>
        <v>40117.8743</v>
      </c>
      <c r="J50" s="93" t="n">
        <f aca="false">J49*$D$2</f>
        <v>5084.6070255</v>
      </c>
      <c r="K50" s="93" t="n">
        <f aca="false">K49*$D$2</f>
        <v>45202.4813255</v>
      </c>
      <c r="L50" s="93" t="n">
        <f aca="false">L49*$D$2</f>
        <v>3925.1117255</v>
      </c>
      <c r="M50" s="113" t="n">
        <f aca="false">M49*$D$2</f>
        <v>5727.91163</v>
      </c>
      <c r="N50" s="109" t="n">
        <f aca="false">N49*$D$2</f>
        <v>0</v>
      </c>
      <c r="O50" s="109" t="n">
        <f aca="false">O49*$D$2</f>
        <v>4409.12710875</v>
      </c>
      <c r="P50" s="96" t="n">
        <f aca="false">P49*$D$2</f>
        <v>0</v>
      </c>
      <c r="Q50" s="109"/>
      <c r="R50" s="109"/>
      <c r="S50" s="109"/>
      <c r="T50" s="109"/>
      <c r="U50" s="393"/>
      <c r="V50" s="93" t="n">
        <f aca="false">V49*$D$2</f>
        <v>356.83165</v>
      </c>
      <c r="W50" s="93" t="n">
        <f aca="false">W49*$D$2</f>
        <v>213.0279</v>
      </c>
      <c r="X50" s="93" t="n">
        <f aca="false">X49*$D$2</f>
        <v>1666.9683860945</v>
      </c>
      <c r="Y50" s="93" t="n">
        <f aca="false">Y49*$D$2</f>
        <v>1601.9683860945</v>
      </c>
      <c r="Z50" s="93" t="n">
        <f aca="false">Z49*$D$2</f>
        <v>36428.2284876629</v>
      </c>
      <c r="AA50" s="93"/>
      <c r="AB50" s="172"/>
      <c r="AC50" s="172"/>
      <c r="AD50" s="112"/>
      <c r="AE50" s="93" t="n">
        <f aca="false">AE49*$D$2</f>
        <v>517.2432455</v>
      </c>
      <c r="AF50" s="113" t="n">
        <f aca="false">AF49*$D$2</f>
        <v>101.1585</v>
      </c>
      <c r="AG50" s="114" t="n">
        <f aca="false">AG49*$D$2</f>
        <v>77.3565</v>
      </c>
      <c r="AH50" s="93"/>
      <c r="AI50" s="93"/>
      <c r="AJ50" s="112" t="n">
        <f aca="false">AJ49*$D$2</f>
        <v>0</v>
      </c>
      <c r="AK50" s="93" t="n">
        <f aca="false">AK49*$D$2</f>
        <v>9967.9860255</v>
      </c>
      <c r="AL50" s="93" t="n">
        <f aca="false">AL49*$D$2</f>
        <v>1159.4953</v>
      </c>
      <c r="AM50" s="171" t="n">
        <f aca="false">AM49*$D$2</f>
        <v>11127.4813255</v>
      </c>
      <c r="AN50" s="109"/>
      <c r="AO50" s="112"/>
      <c r="AP50" s="172"/>
      <c r="AQ50" s="173" t="n">
        <f aca="false">AQ47</f>
        <v>110.477269933904</v>
      </c>
      <c r="AR50" s="173"/>
      <c r="AS50" s="116"/>
      <c r="AT50" s="93" t="n">
        <f aca="false">AT49*$D$2</f>
        <v>0</v>
      </c>
      <c r="AU50" s="1"/>
      <c r="AV50" s="117"/>
      <c r="AW50" s="118"/>
      <c r="AX50" s="118"/>
      <c r="AY50" s="161"/>
      <c r="AZ50" s="171" t="n">
        <f aca="false">AZ49*$D$2</f>
        <v>254.811044405498</v>
      </c>
      <c r="BA50" s="93" t="n">
        <f aca="false">BA49*$D$2</f>
        <v>50.031804</v>
      </c>
      <c r="BB50" s="161"/>
    </row>
    <row r="51" customFormat="false" ht="3" hidden="false" customHeight="true" outlineLevel="0" collapsed="false">
      <c r="A51" s="126"/>
      <c r="B51" s="411"/>
      <c r="C51" s="137"/>
      <c r="D51" s="137"/>
      <c r="E51" s="137"/>
      <c r="F51" s="184"/>
      <c r="G51" s="137"/>
      <c r="H51" s="134"/>
      <c r="I51" s="137"/>
      <c r="J51" s="137"/>
      <c r="K51" s="137"/>
      <c r="L51" s="137"/>
      <c r="M51" s="182"/>
      <c r="N51" s="137"/>
      <c r="O51" s="137"/>
      <c r="P51" s="400"/>
      <c r="Q51" s="137"/>
      <c r="R51" s="137"/>
      <c r="S51" s="137"/>
      <c r="T51" s="137"/>
      <c r="U51" s="401"/>
      <c r="V51" s="137"/>
      <c r="W51" s="137"/>
      <c r="X51" s="137"/>
      <c r="Y51" s="137"/>
      <c r="Z51" s="141"/>
      <c r="AA51" s="137"/>
      <c r="AB51" s="141"/>
      <c r="AC51" s="141"/>
      <c r="AD51" s="136"/>
      <c r="AE51" s="137"/>
      <c r="AF51" s="182"/>
      <c r="AG51" s="183"/>
      <c r="AH51" s="137"/>
      <c r="AI51" s="137"/>
      <c r="AJ51" s="136"/>
      <c r="AK51" s="137"/>
      <c r="AL51" s="137"/>
      <c r="AM51" s="184"/>
      <c r="AN51" s="137"/>
      <c r="AO51" s="136"/>
      <c r="AP51" s="141"/>
      <c r="AQ51" s="400"/>
      <c r="AR51" s="400"/>
      <c r="AS51" s="400"/>
      <c r="AT51" s="400"/>
      <c r="AU51" s="400"/>
      <c r="AV51" s="143"/>
      <c r="AW51" s="413"/>
      <c r="AX51" s="413"/>
      <c r="AY51" s="413"/>
      <c r="AZ51" s="413"/>
      <c r="BA51" s="413"/>
      <c r="BB51" s="413"/>
    </row>
    <row r="52" customFormat="false" ht="12.95" hidden="false" customHeight="true" outlineLevel="0" collapsed="false">
      <c r="A52" s="11" t="s">
        <v>111</v>
      </c>
      <c r="B52" s="392"/>
      <c r="C52" s="109"/>
      <c r="D52" s="109"/>
      <c r="E52" s="109"/>
      <c r="F52" s="171" t="n">
        <f aca="false">F13+F46</f>
        <v>27579.5311318377</v>
      </c>
      <c r="G52" s="93" t="n">
        <f aca="false">G13+G46</f>
        <v>34768.8798999244</v>
      </c>
      <c r="H52" s="93" t="n">
        <f aca="false">H13+H46</f>
        <v>2005.499</v>
      </c>
      <c r="I52" s="93" t="n">
        <f aca="false">I13+I46</f>
        <v>36774.3788999244</v>
      </c>
      <c r="J52" s="93" t="n">
        <f aca="false">J13+J46</f>
        <v>5944.67122283842</v>
      </c>
      <c r="K52" s="93" t="n">
        <f aca="false">K13+K46</f>
        <v>42719.0501227628</v>
      </c>
      <c r="L52" s="93" t="n">
        <f aca="false">L13+L46</f>
        <v>5042.10023191328</v>
      </c>
      <c r="M52" s="113" t="n">
        <f aca="false">M13+M46</f>
        <v>3642.78</v>
      </c>
      <c r="N52" s="109" t="n">
        <f aca="false">N13+N46</f>
        <v>0</v>
      </c>
      <c r="O52" s="109" t="n">
        <f aca="false">O13+O46</f>
        <v>2224.63605</v>
      </c>
      <c r="P52" s="96"/>
      <c r="Q52" s="109" t="n">
        <f aca="false">Q13+Q46</f>
        <v>292.736991111422</v>
      </c>
      <c r="R52" s="109" t="n">
        <f aca="false">R13+R46</f>
        <v>306.72541744</v>
      </c>
      <c r="S52" s="109" t="n">
        <f aca="false">S13+S46</f>
        <v>0</v>
      </c>
      <c r="T52" s="109" t="n">
        <f aca="false">T13+T46</f>
        <v>103.34658256</v>
      </c>
      <c r="U52" s="396" t="n">
        <f aca="false">U13+U46</f>
        <v>-15.4916088537026</v>
      </c>
      <c r="V52" s="93" t="n">
        <f aca="false">V13+V46</f>
        <v>3394.71</v>
      </c>
      <c r="W52" s="93" t="n">
        <f aca="false">W13+W46</f>
        <v>137.485</v>
      </c>
      <c r="X52" s="93" t="n">
        <f aca="false">X13+X46</f>
        <v>4239.24746774228</v>
      </c>
      <c r="Y52" s="93" t="n">
        <f aca="false">Y13+Y46</f>
        <v>3956.33711230996</v>
      </c>
      <c r="Z52" s="172"/>
      <c r="AA52" s="93"/>
      <c r="AB52" s="172"/>
      <c r="AC52" s="172"/>
      <c r="AD52" s="112"/>
      <c r="AE52" s="93"/>
      <c r="AF52" s="113" t="n">
        <f aca="false">AF13+AF46</f>
        <v>51</v>
      </c>
      <c r="AG52" s="114" t="n">
        <f aca="false">AG13+AG46</f>
        <v>39</v>
      </c>
      <c r="AH52" s="93" t="n">
        <f aca="false">AH13+AH46</f>
        <v>6801.2</v>
      </c>
      <c r="AI52" s="93" t="n">
        <f aca="false">AI44</f>
        <v>14441.6578774893</v>
      </c>
      <c r="AJ52" s="112" t="n">
        <f aca="false">AJ13+AJ46</f>
        <v>0</v>
      </c>
      <c r="AK52" s="93" t="n">
        <f aca="false">AK13+AK46</f>
        <v>14236.948</v>
      </c>
      <c r="AL52" s="93" t="n">
        <f aca="false">AL13+AL46</f>
        <v>902.570990925133</v>
      </c>
      <c r="AM52" s="171" t="n">
        <f aca="false">AM13+AM46</f>
        <v>15139.5189909251</v>
      </c>
      <c r="AN52" s="109" t="n">
        <f aca="false">AN13+AN46</f>
        <v>3115.79</v>
      </c>
      <c r="AO52" s="178" t="n">
        <f aca="false">AO13+AO46</f>
        <v>282.910355432317</v>
      </c>
      <c r="AP52" s="172"/>
      <c r="AQ52" s="173"/>
      <c r="AR52" s="173"/>
      <c r="AS52" s="116"/>
      <c r="AU52" s="1"/>
      <c r="AV52" s="117" t="n">
        <f aca="false">AV13+AV46</f>
        <v>8.13642857142857</v>
      </c>
      <c r="AW52" s="118"/>
      <c r="AX52" s="118"/>
      <c r="AY52" s="161"/>
      <c r="AZ52" s="171" t="n">
        <f aca="false">AZ13+AZ46</f>
        <v>683.417382257719</v>
      </c>
      <c r="BA52" s="125" t="n">
        <f aca="false">BA46+BA13</f>
        <v>109.682</v>
      </c>
      <c r="BB52" s="161"/>
    </row>
    <row r="53" customFormat="false" ht="12.95" hidden="false" customHeight="true" outlineLevel="0" collapsed="false">
      <c r="A53" s="11" t="s">
        <v>112</v>
      </c>
      <c r="B53" s="414"/>
      <c r="C53" s="415"/>
      <c r="D53" s="415" t="n">
        <f aca="false">D13+D47</f>
        <v>54568</v>
      </c>
      <c r="E53" s="415" t="n">
        <f aca="false">E44</f>
        <v>145736</v>
      </c>
      <c r="F53" s="189" t="n">
        <f aca="false">F52*$D$2</f>
        <v>54704</v>
      </c>
      <c r="G53" s="93" t="n">
        <f aca="false">G52*$D$2</f>
        <v>68964.0732815</v>
      </c>
      <c r="H53" s="93" t="n">
        <f aca="false">H52*$D$2</f>
        <v>3977.9072665</v>
      </c>
      <c r="I53" s="93" t="n">
        <f aca="false">I52*$D$2</f>
        <v>72941.980548</v>
      </c>
      <c r="J53" s="93" t="n">
        <f aca="false">J52*$D$2</f>
        <v>11791.2553705</v>
      </c>
      <c r="K53" s="93" t="n">
        <f aca="false">K52*$D$2</f>
        <v>84733.2359185</v>
      </c>
      <c r="L53" s="93" t="n">
        <f aca="false">L52*$D$2</f>
        <v>10001.00581</v>
      </c>
      <c r="M53" s="113" t="n">
        <f aca="false">M52*$D$2</f>
        <v>7225.45413</v>
      </c>
      <c r="N53" s="109" t="n">
        <f aca="false">N52*$D$2</f>
        <v>0</v>
      </c>
      <c r="O53" s="109" t="n">
        <f aca="false">O52*$D$2</f>
        <v>4412.565605175</v>
      </c>
      <c r="P53" s="96"/>
      <c r="Q53" s="109" t="n">
        <f aca="false">Q52*$D$2</f>
        <v>580.643821869505</v>
      </c>
      <c r="R53" s="109" t="n">
        <f aca="false">R52*$D$2</f>
        <v>608.38986549224</v>
      </c>
      <c r="S53" s="109" t="n">
        <f aca="false">S52*$D$2</f>
        <v>0</v>
      </c>
      <c r="T53" s="109" t="n">
        <f aca="false">T52*$D$2</f>
        <v>204.98794650776</v>
      </c>
      <c r="U53" s="396" t="n">
        <f aca="false">U52*$D$2</f>
        <v>-30.7276061613192</v>
      </c>
      <c r="V53" s="93" t="n">
        <f aca="false">V52*$D$2</f>
        <v>6733.407285</v>
      </c>
      <c r="W53" s="93" t="n">
        <f aca="false">W52*$D$2</f>
        <v>272.7014975</v>
      </c>
      <c r="X53" s="93" t="n">
        <f aca="false">X52*$D$2</f>
        <v>8408.54735226682</v>
      </c>
      <c r="Y53" s="93" t="n">
        <f aca="false">Y52*$D$2</f>
        <v>7847.39466226681</v>
      </c>
      <c r="Z53" s="172"/>
      <c r="AA53" s="93"/>
      <c r="AB53" s="172"/>
      <c r="AC53" s="172"/>
      <c r="AD53" s="112"/>
      <c r="AE53" s="93"/>
      <c r="AF53" s="397" t="n">
        <f aca="false">AF52*$D$2</f>
        <v>101.1585</v>
      </c>
      <c r="AG53" s="177" t="n">
        <f aca="false">AG52*$D$2</f>
        <v>77.3565</v>
      </c>
      <c r="AH53" s="93" t="n">
        <f aca="false">AH52*$D$2</f>
        <v>13490.1802</v>
      </c>
      <c r="AI53" s="93" t="n">
        <f aca="false">AI52*$D$2</f>
        <v>28645.0284</v>
      </c>
      <c r="AJ53" s="112" t="n">
        <f aca="false">AJ52*$D$2</f>
        <v>0</v>
      </c>
      <c r="AK53" s="93" t="n">
        <f aca="false">AK52*$D$2</f>
        <v>28238.986358</v>
      </c>
      <c r="AL53" s="93" t="n">
        <f aca="false">AL52*$D$2</f>
        <v>1790.2495605</v>
      </c>
      <c r="AM53" s="189" t="n">
        <f aca="false">AM52*$D$2</f>
        <v>30029.2359185</v>
      </c>
      <c r="AN53" s="109" t="n">
        <f aca="false">AN52*D2</f>
        <v>6180.169465</v>
      </c>
      <c r="AO53" s="178" t="n">
        <f aca="false">AO52*$D$2</f>
        <v>561.15269</v>
      </c>
      <c r="AP53" s="172"/>
      <c r="AQ53" s="173" t="n">
        <f aca="false">AQ47</f>
        <v>110.477269933904</v>
      </c>
      <c r="AR53" s="173"/>
      <c r="AS53" s="116"/>
      <c r="AU53" s="1"/>
      <c r="AV53" s="117"/>
      <c r="AW53" s="118"/>
      <c r="AX53" s="118"/>
      <c r="AY53" s="161"/>
      <c r="AZ53" s="189" t="n">
        <f aca="false">AZ52*$D$2</f>
        <v>1355.55837770819</v>
      </c>
      <c r="BA53" s="0" t="n">
        <f aca="false">BA52*D2</f>
        <v>217.554247</v>
      </c>
      <c r="BB53" s="161"/>
    </row>
    <row r="54" customFormat="false" ht="3" hidden="false" customHeight="true" outlineLevel="0" collapsed="false">
      <c r="A54" s="126"/>
      <c r="B54" s="165"/>
      <c r="C54" s="128"/>
      <c r="D54" s="126"/>
      <c r="E54" s="128"/>
      <c r="F54" s="129"/>
      <c r="G54" s="126"/>
      <c r="H54" s="126"/>
      <c r="I54" s="126"/>
      <c r="J54" s="126"/>
      <c r="K54" s="126"/>
      <c r="L54" s="126"/>
      <c r="M54" s="132"/>
      <c r="N54" s="126"/>
      <c r="O54" s="126"/>
      <c r="P54" s="133"/>
      <c r="Q54" s="126"/>
      <c r="R54" s="126"/>
      <c r="S54" s="126"/>
      <c r="T54" s="126"/>
      <c r="U54" s="416"/>
      <c r="V54" s="126"/>
      <c r="W54" s="126"/>
      <c r="X54" s="126"/>
      <c r="Y54" s="126"/>
      <c r="Z54" s="188"/>
      <c r="AA54" s="126"/>
      <c r="AB54" s="188"/>
      <c r="AC54" s="188"/>
      <c r="AD54" s="192"/>
      <c r="AE54" s="126"/>
      <c r="AF54" s="132"/>
      <c r="AG54" s="193"/>
      <c r="AH54" s="126"/>
      <c r="AI54" s="128"/>
      <c r="AJ54" s="417"/>
      <c r="AK54" s="126"/>
      <c r="AL54" s="126"/>
      <c r="AM54" s="126"/>
      <c r="AN54" s="418"/>
      <c r="AO54" s="192"/>
      <c r="AP54" s="188"/>
      <c r="AQ54" s="133"/>
      <c r="AR54" s="133"/>
      <c r="AS54" s="133"/>
      <c r="AT54" s="419"/>
      <c r="AU54" s="420"/>
      <c r="AV54" s="165"/>
      <c r="AW54" s="126"/>
      <c r="AX54" s="126"/>
      <c r="AY54" s="126"/>
      <c r="AZ54" s="126"/>
      <c r="BA54" s="126"/>
      <c r="BB54" s="126"/>
    </row>
    <row r="55" customFormat="false" ht="14.1" hidden="false" customHeight="true" outlineLevel="0" collapsed="false">
      <c r="A55" s="197"/>
      <c r="B55" s="198"/>
      <c r="D55" s="11"/>
      <c r="F55" s="11"/>
      <c r="G55" s="11"/>
      <c r="H55" s="11"/>
      <c r="I55" s="11"/>
      <c r="J55" s="11"/>
      <c r="K55" s="11"/>
      <c r="L55" s="11"/>
      <c r="M55" s="11"/>
      <c r="N55" s="11"/>
      <c r="O55" s="11"/>
      <c r="Q55" s="11"/>
      <c r="R55" s="11"/>
      <c r="S55" s="11"/>
      <c r="T55" s="11"/>
      <c r="V55" s="11"/>
      <c r="W55" s="11"/>
      <c r="X55" s="11"/>
      <c r="Y55" s="11"/>
      <c r="Z55" s="9"/>
      <c r="AA55" s="11"/>
      <c r="AB55" s="9"/>
      <c r="AC55" s="9"/>
      <c r="AD55" s="4"/>
      <c r="AE55" s="11"/>
      <c r="AF55" s="11"/>
      <c r="AG55" s="11"/>
      <c r="AH55" s="11"/>
      <c r="AI55" s="2"/>
      <c r="AK55" s="11"/>
      <c r="AL55" s="11"/>
      <c r="AM55" s="27"/>
      <c r="AN55" s="2"/>
      <c r="AO55" s="4"/>
      <c r="AP55" s="421"/>
      <c r="AQ55" s="74"/>
      <c r="AR55" s="74"/>
      <c r="AS55" s="1"/>
      <c r="AT55" s="100"/>
      <c r="AU55" s="100"/>
      <c r="AV55" s="422"/>
      <c r="AW55" s="145"/>
      <c r="AX55" s="145"/>
      <c r="AZ55" s="0"/>
    </row>
    <row r="56" customFormat="false" ht="11.1" hidden="false" customHeight="true" outlineLevel="0" collapsed="false">
      <c r="A56" s="11"/>
      <c r="B56" s="200"/>
      <c r="F56" s="11"/>
      <c r="G56" s="11"/>
      <c r="H56" s="11"/>
      <c r="I56" s="12"/>
      <c r="J56" s="11"/>
      <c r="K56" s="201"/>
      <c r="L56" s="11"/>
      <c r="M56" s="11"/>
      <c r="N56" s="11"/>
      <c r="O56" s="11"/>
      <c r="Q56" s="11"/>
      <c r="R56" s="11"/>
      <c r="S56" s="11"/>
      <c r="T56" s="11"/>
      <c r="V56" s="11"/>
      <c r="W56" s="11"/>
      <c r="X56" s="11"/>
      <c r="Y56" s="11"/>
      <c r="Z56" s="9"/>
      <c r="AA56" s="11"/>
      <c r="AB56" s="9"/>
      <c r="AC56" s="9"/>
      <c r="AD56" s="4"/>
      <c r="AE56" s="11"/>
      <c r="AF56" s="11"/>
      <c r="AG56" s="11"/>
      <c r="AH56" s="11"/>
      <c r="AI56" s="2"/>
      <c r="AK56" s="11"/>
      <c r="AL56" s="11"/>
      <c r="AM56" s="150"/>
      <c r="AN56" s="2"/>
      <c r="AO56" s="4"/>
      <c r="AP56" s="421"/>
      <c r="AQ56" s="74"/>
      <c r="AR56" s="74"/>
      <c r="AS56" s="1"/>
      <c r="AT56" s="100"/>
      <c r="AU56" s="100"/>
      <c r="AV56" s="422"/>
      <c r="AW56" s="145"/>
      <c r="AX56" s="145"/>
    </row>
    <row r="57" customFormat="false" ht="11.1" hidden="false" customHeight="true" outlineLevel="0" collapsed="false">
      <c r="D57" s="2"/>
      <c r="H57" s="11"/>
      <c r="S57" s="4"/>
      <c r="T57" s="4"/>
      <c r="X57" s="1"/>
      <c r="Y57" s="1"/>
      <c r="Z57" s="9"/>
      <c r="AA57" s="1"/>
      <c r="AB57" s="9"/>
      <c r="AC57" s="9"/>
      <c r="AD57" s="4"/>
      <c r="AH57" s="1"/>
      <c r="AI57" s="2"/>
      <c r="AM57" s="27"/>
      <c r="AN57" s="2"/>
      <c r="AO57" s="4"/>
      <c r="AP57" s="421"/>
      <c r="AQ57" s="74"/>
      <c r="AR57" s="74"/>
      <c r="AS57" s="1"/>
      <c r="AT57" s="100"/>
      <c r="AU57" s="100"/>
      <c r="AV57" s="422"/>
      <c r="AW57" s="145"/>
      <c r="AX57" s="145"/>
    </row>
    <row r="58" customFormat="false" ht="11.1" hidden="false" customHeight="true" outlineLevel="0" collapsed="false">
      <c r="B58" s="58"/>
      <c r="C58" s="176"/>
      <c r="D58" s="176"/>
      <c r="E58" s="423"/>
      <c r="H58" s="120"/>
      <c r="K58" s="424"/>
      <c r="L58" s="120"/>
      <c r="O58" s="120"/>
      <c r="P58" s="8"/>
      <c r="Q58" s="120"/>
      <c r="R58" s="120"/>
      <c r="S58" s="27"/>
      <c r="T58" s="27"/>
      <c r="U58" s="108"/>
      <c r="V58" s="27"/>
      <c r="W58" s="27"/>
      <c r="X58" s="103"/>
      <c r="Y58" s="103"/>
      <c r="Z58" s="206"/>
      <c r="AA58" s="103"/>
      <c r="AC58" s="206"/>
      <c r="AD58" s="206"/>
      <c r="AE58" s="176"/>
      <c r="AF58" s="176"/>
      <c r="AG58" s="176"/>
      <c r="AI58" s="176"/>
      <c r="AJ58" s="361"/>
      <c r="AN58" s="100"/>
      <c r="AO58" s="100"/>
      <c r="AP58" s="100"/>
    </row>
    <row r="59" customFormat="false" ht="11.1" hidden="false" customHeight="true" outlineLevel="0" collapsed="false">
      <c r="B59" s="8"/>
      <c r="C59" s="176"/>
      <c r="D59" s="176"/>
      <c r="E59" s="423"/>
      <c r="F59" s="425"/>
      <c r="G59" s="58"/>
      <c r="K59" s="201"/>
      <c r="V59" s="11"/>
      <c r="Z59" s="2"/>
      <c r="AC59" s="2"/>
      <c r="AD59" s="2"/>
      <c r="AN59" s="100"/>
      <c r="AO59" s="100"/>
      <c r="AP59" s="100"/>
    </row>
    <row r="60" customFormat="false" ht="11.1" hidden="false" customHeight="true" outlineLevel="0" collapsed="false">
      <c r="V60" s="93"/>
    </row>
    <row r="61" customFormat="false" ht="11.1" hidden="false" customHeight="true" outlineLevel="0" collapsed="false">
      <c r="B61" s="198"/>
    </row>
  </sheetData>
  <mergeCells count="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12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8"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301" width="4.32"/>
    <col collapsed="false" customWidth="true" hidden="false" outlineLevel="0" max="21" min="21" style="8" width="5.16"/>
    <col collapsed="false" customWidth="true" hidden="false" outlineLevel="0" max="23" min="22" style="58" width="5.49"/>
    <col collapsed="false" customWidth="true" hidden="false" outlineLevel="0" max="25" min="24" style="176" width="6.32"/>
    <col collapsed="false" customWidth="true" hidden="false" outlineLevel="0" max="26" min="26" style="58" width="5.49"/>
    <col collapsed="false" customWidth="true" hidden="false" outlineLevel="0" max="27" min="27" style="176" width="6.32"/>
    <col collapsed="false" customWidth="true" hidden="false" outlineLevel="0" max="28" min="28" style="58" width="5.49"/>
    <col collapsed="false" customWidth="true" hidden="false" outlineLevel="0" max="29" min="29" style="58" width="5.82"/>
    <col collapsed="false" customWidth="true" hidden="false" outlineLevel="0" max="33" min="30" style="58" width="5.49"/>
    <col collapsed="false" customWidth="true" hidden="false" outlineLevel="0" max="34" min="34" style="206" width="6.32"/>
    <col collapsed="false" customWidth="true" hidden="false" outlineLevel="0" max="35" min="35" style="58" width="5.49"/>
    <col collapsed="false" customWidth="true" hidden="false" outlineLevel="0" max="36" min="36" style="361"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176" width="5.49"/>
    <col collapsed="false" customWidth="true" hidden="false" outlineLevel="0" max="41" min="41" style="58" width="5.49"/>
    <col collapsed="false" customWidth="true" hidden="false" outlineLevel="0" max="42" min="42" style="58" width="6.32"/>
    <col collapsed="false" customWidth="true" hidden="false" outlineLevel="0" max="43" min="43" style="323" width="6.32"/>
    <col collapsed="false" customWidth="true" hidden="false" outlineLevel="0" max="44" min="44" style="216" width="5.49"/>
    <col collapsed="false" customWidth="true" hidden="false" outlineLevel="0" max="45" min="45" style="58" width="5.49"/>
    <col collapsed="false" customWidth="true" hidden="false" outlineLevel="0" max="46" min="46" style="361" width="5.82"/>
    <col collapsed="false" customWidth="true" hidden="false" outlineLevel="0" max="47" min="47" style="204" width="4.99"/>
    <col collapsed="false" customWidth="true" hidden="false" outlineLevel="0" max="48" min="48" style="203" width="5.32"/>
    <col collapsed="false" customWidth="true" hidden="false" outlineLevel="0" max="49" min="49" style="206" width="3.82"/>
    <col collapsed="false" customWidth="true" hidden="false" outlineLevel="0" max="50" min="50" style="207" width="3.82"/>
    <col collapsed="false" customWidth="true" hidden="false" outlineLevel="0" max="51" min="51" style="58" width="3.82"/>
    <col collapsed="false" customWidth="true" hidden="false" outlineLevel="0" max="52" min="52" style="58" width="5.49"/>
    <col collapsed="false" customWidth="false" hidden="false" outlineLevel="0" max="257" min="53" style="208" width="9.32"/>
  </cols>
  <sheetData>
    <row r="1" customFormat="false" ht="14.1" hidden="false" customHeight="true" outlineLevel="0" collapsed="false">
      <c r="A1" s="209"/>
      <c r="B1" s="209"/>
      <c r="D1" s="209"/>
      <c r="F1" s="209"/>
      <c r="G1" s="209"/>
      <c r="I1" s="209"/>
      <c r="J1" s="209"/>
      <c r="K1" s="321" t="s">
        <v>0</v>
      </c>
      <c r="L1" s="209"/>
      <c r="M1" s="209"/>
      <c r="O1" s="209"/>
      <c r="Q1" s="209"/>
      <c r="R1" s="209"/>
      <c r="V1" s="209"/>
      <c r="W1" s="209"/>
      <c r="Z1" s="209"/>
      <c r="AB1" s="209"/>
      <c r="AC1" s="209"/>
      <c r="AD1" s="209"/>
      <c r="AE1" s="209"/>
      <c r="AF1" s="209"/>
      <c r="AG1" s="209"/>
      <c r="AI1" s="209"/>
      <c r="AK1" s="209"/>
      <c r="AL1" s="209"/>
      <c r="AN1" s="254"/>
      <c r="AO1" s="212"/>
      <c r="AP1" s="212"/>
    </row>
    <row r="2" customFormat="false" ht="14.1" hidden="false" customHeight="true" outlineLevel="0" collapsed="false">
      <c r="A2" s="212" t="s">
        <v>1</v>
      </c>
      <c r="B2" s="209"/>
      <c r="D2" s="213" t="n">
        <v>1.9835</v>
      </c>
      <c r="F2" s="209"/>
      <c r="G2" s="209"/>
      <c r="I2" s="209"/>
      <c r="J2" s="209"/>
      <c r="K2" s="321" t="s">
        <v>131</v>
      </c>
      <c r="L2" s="322"/>
      <c r="M2" s="215"/>
      <c r="N2" s="323"/>
      <c r="O2" s="215"/>
      <c r="P2" s="323"/>
      <c r="Q2" s="215"/>
      <c r="R2" s="215"/>
      <c r="S2" s="426"/>
      <c r="T2" s="426"/>
      <c r="U2" s="323"/>
      <c r="V2" s="215"/>
      <c r="W2" s="215"/>
      <c r="X2" s="97"/>
      <c r="Y2" s="97"/>
      <c r="Z2" s="215"/>
      <c r="AA2" s="97"/>
      <c r="AB2" s="215"/>
      <c r="AC2" s="215"/>
      <c r="AD2" s="215"/>
      <c r="AE2" s="209"/>
      <c r="AF2" s="209"/>
      <c r="AG2" s="209"/>
      <c r="AI2" s="209"/>
      <c r="AK2" s="209"/>
      <c r="AL2" s="209"/>
      <c r="AN2" s="254"/>
      <c r="AO2" s="212"/>
      <c r="AP2" s="212"/>
    </row>
    <row r="3" customFormat="false" ht="14.1" hidden="false" customHeight="true" outlineLevel="0" collapsed="false">
      <c r="A3" s="209"/>
      <c r="B3" s="209"/>
      <c r="D3" s="427"/>
      <c r="F3" s="209"/>
      <c r="G3" s="209"/>
      <c r="I3" s="209"/>
      <c r="J3" s="209"/>
      <c r="K3" s="209"/>
      <c r="L3" s="209"/>
      <c r="M3" s="209"/>
      <c r="O3" s="209"/>
      <c r="Q3" s="209"/>
      <c r="R3" s="209"/>
      <c r="V3" s="209"/>
      <c r="W3" s="209"/>
      <c r="Z3" s="209"/>
      <c r="AB3" s="209"/>
      <c r="AC3" s="209"/>
      <c r="AD3" s="209"/>
      <c r="AE3" s="209"/>
      <c r="AF3" s="209"/>
      <c r="AG3" s="209"/>
      <c r="AI3" s="209"/>
      <c r="AK3" s="209"/>
      <c r="AL3" s="209"/>
      <c r="AN3" s="254"/>
      <c r="AO3" s="223"/>
      <c r="AP3" s="223"/>
      <c r="BA3" s="229"/>
      <c r="BB3" s="229"/>
    </row>
    <row r="4" s="58" customFormat="true" ht="14.1" hidden="false" customHeight="true" outlineLevel="0" collapsed="false">
      <c r="A4" s="428"/>
      <c r="B4" s="429"/>
      <c r="C4" s="430"/>
      <c r="D4" s="431" t="s">
        <v>3</v>
      </c>
      <c r="E4" s="430"/>
      <c r="F4" s="428"/>
      <c r="G4" s="429"/>
      <c r="H4" s="432"/>
      <c r="I4" s="433" t="s">
        <v>114</v>
      </c>
      <c r="J4" s="428"/>
      <c r="K4" s="428"/>
      <c r="L4" s="434"/>
      <c r="M4" s="428"/>
      <c r="N4" s="435"/>
      <c r="O4" s="428"/>
      <c r="P4" s="435"/>
      <c r="Q4" s="428"/>
      <c r="R4" s="428"/>
      <c r="S4" s="436"/>
      <c r="T4" s="436"/>
      <c r="U4" s="435"/>
      <c r="V4" s="433"/>
      <c r="W4" s="428"/>
      <c r="X4" s="433" t="s">
        <v>5</v>
      </c>
      <c r="Y4" s="430"/>
      <c r="Z4" s="428"/>
      <c r="AA4" s="430"/>
      <c r="AB4" s="428"/>
      <c r="AC4" s="428"/>
      <c r="AD4" s="428"/>
      <c r="AE4" s="428"/>
      <c r="AF4" s="428"/>
      <c r="AG4" s="428"/>
      <c r="AH4" s="437"/>
      <c r="AI4" s="428"/>
      <c r="AJ4" s="438"/>
      <c r="AK4" s="428"/>
      <c r="AL4" s="428"/>
      <c r="AM4" s="435"/>
      <c r="AN4" s="46"/>
      <c r="AO4" s="31"/>
      <c r="AP4" s="439" t="s">
        <v>6</v>
      </c>
      <c r="AQ4" s="50"/>
      <c r="AR4" s="440"/>
      <c r="AS4" s="51"/>
      <c r="AT4" s="438"/>
      <c r="AU4" s="438"/>
      <c r="AV4" s="441"/>
      <c r="AW4" s="442" t="s">
        <v>7</v>
      </c>
      <c r="AX4" s="443"/>
      <c r="AY4" s="59"/>
      <c r="AZ4" s="444"/>
      <c r="BA4" s="75"/>
      <c r="BB4" s="232"/>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48" t="s">
        <v>18</v>
      </c>
      <c r="N5" s="448"/>
      <c r="O5" s="448"/>
      <c r="P5" s="448"/>
      <c r="Q5" s="448"/>
      <c r="R5" s="448"/>
      <c r="S5" s="448"/>
      <c r="T5" s="448"/>
      <c r="U5" s="448"/>
      <c r="V5" s="359" t="s">
        <v>19</v>
      </c>
      <c r="W5" s="359" t="s">
        <v>20</v>
      </c>
      <c r="X5" s="60" t="s">
        <v>17</v>
      </c>
      <c r="Y5" s="60" t="s">
        <v>17</v>
      </c>
      <c r="Z5" s="67" t="s">
        <v>21</v>
      </c>
      <c r="AA5" s="60" t="s">
        <v>21</v>
      </c>
      <c r="AB5" s="67" t="s">
        <v>21</v>
      </c>
      <c r="AC5" s="446" t="s">
        <v>22</v>
      </c>
      <c r="AD5" s="446" t="s">
        <v>21</v>
      </c>
      <c r="AE5" s="359" t="s">
        <v>23</v>
      </c>
      <c r="AF5" s="449" t="s">
        <v>132</v>
      </c>
      <c r="AG5" s="450"/>
      <c r="AH5" s="451" t="s">
        <v>25</v>
      </c>
      <c r="AI5" s="446" t="s">
        <v>133</v>
      </c>
      <c r="AJ5" s="447" t="s">
        <v>27</v>
      </c>
      <c r="AK5" s="359" t="s">
        <v>15</v>
      </c>
      <c r="AL5" s="359" t="s">
        <v>16</v>
      </c>
      <c r="AM5" s="359" t="s">
        <v>17</v>
      </c>
      <c r="AN5" s="88" t="s">
        <v>28</v>
      </c>
      <c r="AO5" s="67" t="s">
        <v>21</v>
      </c>
      <c r="AP5" s="74" t="s">
        <v>29</v>
      </c>
      <c r="AQ5" s="74" t="s">
        <v>29</v>
      </c>
      <c r="AR5" s="69" t="s">
        <v>30</v>
      </c>
      <c r="AS5" s="75" t="s">
        <v>31</v>
      </c>
      <c r="AT5" s="447" t="s">
        <v>32</v>
      </c>
      <c r="AU5" s="76" t="s">
        <v>33</v>
      </c>
      <c r="AV5" s="452" t="s">
        <v>34</v>
      </c>
      <c r="AW5" s="451" t="s">
        <v>35</v>
      </c>
      <c r="AX5" s="451" t="s">
        <v>36</v>
      </c>
      <c r="AY5" s="91"/>
      <c r="AZ5" s="79" t="s">
        <v>17</v>
      </c>
      <c r="BA5" s="453" t="s">
        <v>37</v>
      </c>
      <c r="BB5" s="237" t="s">
        <v>37</v>
      </c>
    </row>
    <row r="6" customFormat="false" ht="12.95" hidden="false" customHeight="true" outlineLevel="0" collapsed="false">
      <c r="A6" s="454" t="s">
        <v>134</v>
      </c>
      <c r="B6" s="445" t="s">
        <v>39</v>
      </c>
      <c r="C6" s="446"/>
      <c r="D6" s="359" t="s">
        <v>40</v>
      </c>
      <c r="E6" s="446" t="s">
        <v>41</v>
      </c>
      <c r="F6" s="359" t="s">
        <v>42</v>
      </c>
      <c r="G6" s="445" t="s">
        <v>43</v>
      </c>
      <c r="H6" s="447" t="s">
        <v>44</v>
      </c>
      <c r="I6" s="359" t="s">
        <v>45</v>
      </c>
      <c r="J6" s="359" t="s">
        <v>45</v>
      </c>
      <c r="K6" s="359" t="s">
        <v>45</v>
      </c>
      <c r="L6" s="359" t="s">
        <v>46</v>
      </c>
      <c r="M6" s="455" t="s">
        <v>47</v>
      </c>
      <c r="N6" s="456"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359" t="s">
        <v>60</v>
      </c>
      <c r="AF6" s="83" t="s">
        <v>61</v>
      </c>
      <c r="AG6" s="87" t="s">
        <v>62</v>
      </c>
      <c r="AH6" s="451" t="s">
        <v>63</v>
      </c>
      <c r="AI6" s="446" t="s">
        <v>64</v>
      </c>
      <c r="AJ6" s="447"/>
      <c r="AK6" s="359" t="s">
        <v>65</v>
      </c>
      <c r="AL6" s="359" t="s">
        <v>65</v>
      </c>
      <c r="AM6" s="359" t="s">
        <v>65</v>
      </c>
      <c r="AN6" s="88" t="s">
        <v>66</v>
      </c>
      <c r="AO6" s="67" t="s">
        <v>67</v>
      </c>
      <c r="AP6" s="74" t="s">
        <v>68</v>
      </c>
      <c r="AQ6" s="74" t="s">
        <v>68</v>
      </c>
      <c r="AR6" s="69" t="s">
        <v>69</v>
      </c>
      <c r="AS6" s="75" t="s">
        <v>70</v>
      </c>
      <c r="AT6" s="447" t="s">
        <v>71</v>
      </c>
      <c r="AU6" s="76" t="s">
        <v>72</v>
      </c>
      <c r="AV6" s="458"/>
      <c r="AW6" s="451" t="s">
        <v>73</v>
      </c>
      <c r="AX6" s="451" t="s">
        <v>73</v>
      </c>
      <c r="AY6" s="91"/>
      <c r="AZ6" s="79" t="s">
        <v>74</v>
      </c>
      <c r="BA6" s="236" t="s">
        <v>75</v>
      </c>
      <c r="BB6" s="237" t="s">
        <v>76</v>
      </c>
    </row>
    <row r="7" customFormat="false" ht="12.95" hidden="false" customHeight="true" outlineLevel="0" collapsed="false">
      <c r="A7" s="359"/>
      <c r="B7" s="445"/>
      <c r="C7" s="446"/>
      <c r="D7" s="359"/>
      <c r="E7" s="446"/>
      <c r="F7" s="359"/>
      <c r="G7" s="445"/>
      <c r="H7" s="447"/>
      <c r="I7" s="359"/>
      <c r="J7" s="359"/>
      <c r="K7" s="359"/>
      <c r="L7" s="459"/>
      <c r="M7" s="359"/>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359"/>
      <c r="AF7" s="90" t="n">
        <v>1.7</v>
      </c>
      <c r="AG7" s="90" t="n">
        <v>1.3</v>
      </c>
      <c r="AH7" s="451"/>
      <c r="AI7" s="446"/>
      <c r="AJ7" s="447"/>
      <c r="AK7" s="359"/>
      <c r="AL7" s="359"/>
      <c r="AM7" s="359"/>
      <c r="AN7" s="88"/>
      <c r="AO7" s="67" t="s">
        <v>42</v>
      </c>
      <c r="AP7" s="74" t="s">
        <v>86</v>
      </c>
      <c r="AQ7" s="74" t="s">
        <v>87</v>
      </c>
      <c r="AR7" s="69" t="s">
        <v>88</v>
      </c>
      <c r="AS7" s="75" t="s">
        <v>89</v>
      </c>
      <c r="AT7" s="447" t="s">
        <v>90</v>
      </c>
      <c r="AU7" s="76" t="s">
        <v>81</v>
      </c>
      <c r="AV7" s="458"/>
      <c r="AW7" s="451"/>
      <c r="AX7" s="451"/>
      <c r="AY7" s="91"/>
      <c r="AZ7" s="79" t="s">
        <v>91</v>
      </c>
      <c r="BA7" s="236"/>
      <c r="BB7" s="237"/>
    </row>
    <row r="8" customFormat="false" ht="12.95" hidden="false" customHeight="true" outlineLevel="0" collapsed="false">
      <c r="A8" s="359"/>
      <c r="B8" s="445"/>
      <c r="C8" s="446"/>
      <c r="D8" s="359"/>
      <c r="E8" s="446"/>
      <c r="F8" s="359"/>
      <c r="G8" s="445"/>
      <c r="H8" s="447"/>
      <c r="I8" s="359"/>
      <c r="J8" s="359"/>
      <c r="K8" s="359"/>
      <c r="L8" s="459"/>
      <c r="M8" s="359"/>
      <c r="N8" s="63"/>
      <c r="O8" s="359"/>
      <c r="P8" s="80"/>
      <c r="Q8" s="63" t="s">
        <v>62</v>
      </c>
      <c r="R8" s="63" t="s">
        <v>62</v>
      </c>
      <c r="S8" s="63"/>
      <c r="T8" s="63"/>
      <c r="U8" s="457"/>
      <c r="V8" s="359"/>
      <c r="W8" s="359"/>
      <c r="X8" s="72" t="s">
        <v>92</v>
      </c>
      <c r="Y8" s="62" t="s">
        <v>81</v>
      </c>
      <c r="Z8" s="67"/>
      <c r="AA8" s="62" t="s">
        <v>93</v>
      </c>
      <c r="AB8" s="67" t="s">
        <v>94</v>
      </c>
      <c r="AC8" s="446"/>
      <c r="AD8" s="446"/>
      <c r="AE8" s="359"/>
      <c r="AF8" s="460"/>
      <c r="AG8" s="461"/>
      <c r="AH8" s="451"/>
      <c r="AI8" s="446"/>
      <c r="AJ8" s="447"/>
      <c r="AK8" s="359"/>
      <c r="AL8" s="359"/>
      <c r="AM8" s="359"/>
      <c r="AN8" s="88"/>
      <c r="AO8" s="67"/>
      <c r="AP8" s="74"/>
      <c r="AQ8" s="74"/>
      <c r="AR8" s="69"/>
      <c r="AS8" s="462" t="n">
        <v>1535.7</v>
      </c>
      <c r="AT8" s="447"/>
      <c r="AU8" s="76"/>
      <c r="AV8" s="458"/>
      <c r="AW8" s="451"/>
      <c r="AX8" s="451"/>
      <c r="AY8" s="91"/>
      <c r="AZ8" s="79"/>
      <c r="BA8" s="236"/>
      <c r="BB8" s="237"/>
    </row>
    <row r="9" customFormat="false" ht="12.95" hidden="false" customHeight="true" outlineLevel="0" collapsed="false">
      <c r="A9" s="359"/>
      <c r="B9" s="445"/>
      <c r="C9" s="446"/>
      <c r="D9" s="359"/>
      <c r="E9" s="446"/>
      <c r="F9" s="359"/>
      <c r="G9" s="445"/>
      <c r="H9" s="447"/>
      <c r="I9" s="359"/>
      <c r="J9" s="359"/>
      <c r="K9" s="359"/>
      <c r="L9" s="459"/>
      <c r="M9" s="359"/>
      <c r="N9" s="80"/>
      <c r="O9" s="359"/>
      <c r="P9" s="80"/>
      <c r="Q9" s="63"/>
      <c r="R9" s="92" t="n">
        <v>4.2</v>
      </c>
      <c r="S9" s="63"/>
      <c r="T9" s="63"/>
      <c r="U9" s="457"/>
      <c r="V9" s="359"/>
      <c r="W9" s="359"/>
      <c r="X9" s="72"/>
      <c r="Y9" s="62" t="s">
        <v>92</v>
      </c>
      <c r="Z9" s="67"/>
      <c r="AA9" s="62" t="s">
        <v>92</v>
      </c>
      <c r="AB9" s="67" t="s">
        <v>95</v>
      </c>
      <c r="AC9" s="446"/>
      <c r="AD9" s="446"/>
      <c r="AE9" s="359"/>
      <c r="AF9" s="460"/>
      <c r="AG9" s="461"/>
      <c r="AH9" s="451"/>
      <c r="AI9" s="446"/>
      <c r="AJ9" s="447"/>
      <c r="AK9" s="359"/>
      <c r="AL9" s="359"/>
      <c r="AM9" s="359"/>
      <c r="AN9" s="88"/>
      <c r="AO9" s="67"/>
      <c r="AP9" s="74"/>
      <c r="AQ9" s="74"/>
      <c r="AR9" s="69"/>
      <c r="AS9" s="75"/>
      <c r="AT9" s="447"/>
      <c r="AU9" s="76"/>
      <c r="AV9" s="458"/>
      <c r="AW9" s="451"/>
      <c r="AX9" s="451"/>
      <c r="AY9" s="91"/>
      <c r="AZ9" s="79"/>
      <c r="BA9" s="236"/>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63" t="s">
        <v>42</v>
      </c>
      <c r="M10" s="447"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65" t="s">
        <v>42</v>
      </c>
      <c r="AN10" s="67" t="s">
        <v>42</v>
      </c>
      <c r="AO10" s="67" t="s">
        <v>42</v>
      </c>
      <c r="AP10" s="67" t="s">
        <v>42</v>
      </c>
      <c r="AQ10" s="74" t="s">
        <v>99</v>
      </c>
      <c r="AR10" s="69" t="s">
        <v>42</v>
      </c>
      <c r="AS10" s="67" t="s">
        <v>42</v>
      </c>
      <c r="AT10" s="69" t="s">
        <v>42</v>
      </c>
      <c r="AU10" s="67" t="s">
        <v>42</v>
      </c>
      <c r="AV10" s="458"/>
      <c r="AW10" s="451"/>
      <c r="AX10" s="451"/>
      <c r="AY10" s="91"/>
      <c r="AZ10" s="79" t="s">
        <v>100</v>
      </c>
      <c r="BA10" s="236" t="s">
        <v>42</v>
      </c>
      <c r="BB10" s="237" t="s">
        <v>98</v>
      </c>
    </row>
    <row r="11" customFormat="false" ht="12.95" hidden="false" customHeight="true" outlineLevel="0" collapsed="false">
      <c r="A11" s="359"/>
      <c r="B11" s="445"/>
      <c r="C11" s="446"/>
      <c r="D11" s="359"/>
      <c r="E11" s="446"/>
      <c r="F11" s="359"/>
      <c r="G11" s="445"/>
      <c r="H11" s="447"/>
      <c r="I11" s="359"/>
      <c r="J11" s="359"/>
      <c r="K11" s="359"/>
      <c r="L11" s="359"/>
      <c r="M11" s="455"/>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446"/>
      <c r="AE11" s="359"/>
      <c r="AF11" s="460"/>
      <c r="AG11" s="461"/>
      <c r="AH11" s="451"/>
      <c r="AI11" s="446"/>
      <c r="AJ11" s="447"/>
      <c r="AK11" s="359"/>
      <c r="AL11" s="359"/>
      <c r="AM11" s="359"/>
      <c r="AN11" s="88"/>
      <c r="AO11" s="67"/>
      <c r="AP11" s="74"/>
      <c r="AQ11" s="74"/>
      <c r="AR11" s="69"/>
      <c r="AS11" s="100"/>
      <c r="AV11" s="458"/>
      <c r="AW11" s="451"/>
      <c r="AX11" s="451"/>
      <c r="AY11" s="91"/>
      <c r="AZ11" s="79" t="s">
        <v>42</v>
      </c>
      <c r="BA11" s="236"/>
      <c r="BB11" s="237"/>
    </row>
    <row r="12" customFormat="false" ht="12.95" hidden="false" customHeight="true" outlineLevel="0" collapsed="false">
      <c r="A12" s="212" t="s">
        <v>102</v>
      </c>
      <c r="B12" s="239"/>
      <c r="C12" s="123"/>
      <c r="D12" s="123"/>
      <c r="E12" s="123"/>
      <c r="F12" s="123" t="n">
        <f aca="false">APR!F49</f>
        <v>17179.2286362491</v>
      </c>
      <c r="G12" s="467" t="n">
        <f aca="false">APR!G49</f>
        <v>18509</v>
      </c>
      <c r="H12" s="156" t="n">
        <f aca="false">APR!H49</f>
        <v>1716.8</v>
      </c>
      <c r="I12" s="123" t="n">
        <f aca="false">APR!I49</f>
        <v>20225.8</v>
      </c>
      <c r="J12" s="123" t="n">
        <f aca="false">APR!J49</f>
        <v>2563.45199168137</v>
      </c>
      <c r="K12" s="123" t="n">
        <f aca="false">APR!K49</f>
        <v>22789.2519916814</v>
      </c>
      <c r="L12" s="123" t="n">
        <f aca="false">APR!L49</f>
        <v>1978.88163624905</v>
      </c>
      <c r="M12" s="242" t="n">
        <f aca="false">APR!M49</f>
        <v>2887.78</v>
      </c>
      <c r="N12" s="156" t="n">
        <f aca="false">APR!N49</f>
        <v>0</v>
      </c>
      <c r="O12" s="123" t="n">
        <f aca="false">APR!O49</f>
        <v>2222.9025</v>
      </c>
      <c r="P12" s="186" t="n">
        <f aca="false">APR!P49</f>
        <v>0</v>
      </c>
      <c r="Q12" s="123"/>
      <c r="R12" s="123"/>
      <c r="S12" s="373"/>
      <c r="T12" s="373"/>
      <c r="U12" s="243"/>
      <c r="V12" s="123" t="n">
        <f aca="false">APR!V49</f>
        <v>179.9</v>
      </c>
      <c r="W12" s="123" t="n">
        <f aca="false">APR!W49</f>
        <v>107.4</v>
      </c>
      <c r="X12" s="123" t="n">
        <f aca="false">APR!X49</f>
        <v>840.417638565416</v>
      </c>
      <c r="Y12" s="123" t="n">
        <f aca="false">APR!Y49</f>
        <v>807.647283133099</v>
      </c>
      <c r="Z12" s="123" t="n">
        <f aca="false">APR!Z44</f>
        <v>18365.6306970824</v>
      </c>
      <c r="AA12" s="123"/>
      <c r="AB12" s="123" t="n">
        <f aca="false">APR!AB44</f>
        <v>38030.1968737574</v>
      </c>
      <c r="AC12" s="123" t="n">
        <f aca="false">APR!AC44</f>
        <v>1659.38228132561</v>
      </c>
      <c r="AD12" s="123"/>
      <c r="AE12" s="123" t="n">
        <f aca="false">APR!AE49</f>
        <v>260.773</v>
      </c>
      <c r="AF12" s="242" t="n">
        <f aca="false">APR!AF49</f>
        <v>51</v>
      </c>
      <c r="AG12" s="245" t="n">
        <f aca="false">APR!AG49</f>
        <v>39</v>
      </c>
      <c r="AH12" s="241"/>
      <c r="AI12" s="123"/>
      <c r="AJ12" s="156" t="n">
        <f aca="false">APR!AJ49</f>
        <v>0</v>
      </c>
      <c r="AK12" s="123" t="n">
        <f aca="false">APR!AK49</f>
        <v>5025.453</v>
      </c>
      <c r="AL12" s="123" t="n">
        <f aca="false">APR!AL49</f>
        <v>584.570355432317</v>
      </c>
      <c r="AM12" s="123" t="n">
        <f aca="false">APR!AM49</f>
        <v>5610.02335543232</v>
      </c>
      <c r="AN12" s="467"/>
      <c r="AO12" s="241"/>
      <c r="AP12" s="155"/>
      <c r="AQ12" s="186" t="n">
        <f aca="false">APR!AQ50</f>
        <v>110.477269933904</v>
      </c>
      <c r="AR12" s="156"/>
      <c r="AS12" s="123" t="n">
        <f aca="false">APR!AS49</f>
        <v>0</v>
      </c>
      <c r="AT12" s="156" t="n">
        <f aca="false">APR!AT49</f>
        <v>0</v>
      </c>
      <c r="AV12" s="249"/>
      <c r="AW12" s="241"/>
      <c r="AX12" s="241"/>
      <c r="AY12" s="91"/>
      <c r="AZ12" s="468" t="n">
        <f aca="false">APR!AZ49</f>
        <v>128.465361434584</v>
      </c>
      <c r="BA12" s="248" t="n">
        <f aca="false">APR!BA49</f>
        <v>25.224</v>
      </c>
      <c r="BB12" s="253"/>
    </row>
    <row r="13" s="260" customFormat="true" ht="12.95" hidden="false" customHeight="true" outlineLevel="0" collapsed="false">
      <c r="A13" s="254" t="s">
        <v>103</v>
      </c>
      <c r="B13" s="122" t="n">
        <f aca="false">APR!B44</f>
        <v>6903.78</v>
      </c>
      <c r="C13" s="123" t="n">
        <f aca="false">APR!C44</f>
        <v>297736</v>
      </c>
      <c r="D13" s="123" t="n">
        <f aca="false">APR!D53</f>
        <v>54568</v>
      </c>
      <c r="E13" s="123" t="n">
        <f aca="false">APR!E53</f>
        <v>145736</v>
      </c>
      <c r="F13" s="123" t="n">
        <f aca="false">APR!F52</f>
        <v>27579.5311318377</v>
      </c>
      <c r="G13" s="467" t="n">
        <f aca="false">APR!G52</f>
        <v>34768.8798999244</v>
      </c>
      <c r="H13" s="156" t="n">
        <f aca="false">APR!H52</f>
        <v>2005.499</v>
      </c>
      <c r="I13" s="123" t="n">
        <f aca="false">APR!I52</f>
        <v>36774.3788999244</v>
      </c>
      <c r="J13" s="123" t="n">
        <f aca="false">APR!J52</f>
        <v>5944.67122283842</v>
      </c>
      <c r="K13" s="123" t="n">
        <f aca="false">APR!K52</f>
        <v>42719.0501227628</v>
      </c>
      <c r="L13" s="123" t="n">
        <f aca="false">APR!L52</f>
        <v>5042.10023191328</v>
      </c>
      <c r="M13" s="242" t="n">
        <f aca="false">APR!M52</f>
        <v>3642.78</v>
      </c>
      <c r="N13" s="156" t="n">
        <f aca="false">APR!N52</f>
        <v>0</v>
      </c>
      <c r="O13" s="123" t="n">
        <f aca="false">APR!O52</f>
        <v>2224.63605</v>
      </c>
      <c r="P13" s="186"/>
      <c r="Q13" s="123" t="n">
        <f aca="false">APR!Q52</f>
        <v>292.736991111422</v>
      </c>
      <c r="R13" s="123" t="n">
        <f aca="false">APR!R52</f>
        <v>306.72541744</v>
      </c>
      <c r="S13" s="307" t="n">
        <f aca="false">APR!S52</f>
        <v>0</v>
      </c>
      <c r="T13" s="255" t="n">
        <f aca="false">APR!T52</f>
        <v>103.34658256</v>
      </c>
      <c r="U13" s="469" t="n">
        <f aca="false">APR!U52</f>
        <v>-15.4916088537026</v>
      </c>
      <c r="V13" s="123" t="n">
        <f aca="false">APR!V52</f>
        <v>3394.71</v>
      </c>
      <c r="W13" s="123" t="n">
        <f aca="false">APR!W52</f>
        <v>137.485</v>
      </c>
      <c r="X13" s="123" t="n">
        <f aca="false">APR!X52</f>
        <v>4239.24746774228</v>
      </c>
      <c r="Y13" s="93" t="n">
        <f aca="false">APR!Y52</f>
        <v>3956.33711230996</v>
      </c>
      <c r="Z13" s="123"/>
      <c r="AA13" s="93"/>
      <c r="AB13" s="123"/>
      <c r="AC13" s="123"/>
      <c r="AD13" s="123"/>
      <c r="AE13" s="123"/>
      <c r="AF13" s="242" t="n">
        <f aca="false">AF12</f>
        <v>51</v>
      </c>
      <c r="AG13" s="245" t="n">
        <f aca="false">AG12</f>
        <v>39</v>
      </c>
      <c r="AH13" s="241" t="n">
        <f aca="false">APR!AH52</f>
        <v>6801.2</v>
      </c>
      <c r="AI13" s="123" t="n">
        <f aca="false">APR!AI52</f>
        <v>14441.6578774893</v>
      </c>
      <c r="AJ13" s="156" t="n">
        <f aca="false">APR!AJ52</f>
        <v>0</v>
      </c>
      <c r="AK13" s="123" t="n">
        <f aca="false">APR!AK52</f>
        <v>14236.948</v>
      </c>
      <c r="AL13" s="123" t="n">
        <f aca="false">APR!AL52</f>
        <v>902.570990925133</v>
      </c>
      <c r="AM13" s="123" t="n">
        <f aca="false">APR!AM52</f>
        <v>15139.5189909251</v>
      </c>
      <c r="AN13" s="470" t="n">
        <f aca="false">APR!AN52</f>
        <v>3115.79</v>
      </c>
      <c r="AO13" s="369" t="n">
        <f aca="false">APR!AO52</f>
        <v>282.910355432317</v>
      </c>
      <c r="AP13" s="123"/>
      <c r="AQ13" s="186"/>
      <c r="AR13" s="156"/>
      <c r="AS13" s="123" t="n">
        <f aca="false">APR!AS52</f>
        <v>0</v>
      </c>
      <c r="AT13" s="156"/>
      <c r="AU13" s="176"/>
      <c r="AV13" s="249" t="n">
        <f aca="false">APR!AV52</f>
        <v>8.13642857142857</v>
      </c>
      <c r="AW13" s="241"/>
      <c r="AX13" s="241"/>
      <c r="AY13" s="124"/>
      <c r="AZ13" s="471" t="n">
        <f aca="false">APR!AZ52</f>
        <v>683.417382257719</v>
      </c>
      <c r="BA13" s="123" t="n">
        <f aca="false">APR!BA52</f>
        <v>109.682</v>
      </c>
      <c r="BB13" s="259"/>
    </row>
    <row r="14" customFormat="false" ht="2.25" hidden="false" customHeight="true" outlineLevel="0" collapsed="false">
      <c r="A14" s="261"/>
      <c r="B14" s="262"/>
      <c r="C14" s="263"/>
      <c r="D14" s="264"/>
      <c r="E14" s="263"/>
      <c r="F14" s="264"/>
      <c r="G14" s="286"/>
      <c r="H14" s="271"/>
      <c r="I14" s="264"/>
      <c r="J14" s="264"/>
      <c r="K14" s="264"/>
      <c r="L14" s="264"/>
      <c r="M14" s="267"/>
      <c r="N14" s="268"/>
      <c r="O14" s="264"/>
      <c r="P14" s="268"/>
      <c r="Q14" s="264"/>
      <c r="R14" s="264"/>
      <c r="S14" s="472"/>
      <c r="T14" s="472"/>
      <c r="U14" s="269"/>
      <c r="V14" s="264"/>
      <c r="W14" s="264"/>
      <c r="X14" s="264"/>
      <c r="Y14" s="264"/>
      <c r="Z14" s="263"/>
      <c r="AA14" s="264"/>
      <c r="AB14" s="263"/>
      <c r="AC14" s="263"/>
      <c r="AD14" s="263"/>
      <c r="AE14" s="264"/>
      <c r="AF14" s="267"/>
      <c r="AG14" s="272"/>
      <c r="AH14" s="274"/>
      <c r="AI14" s="263"/>
      <c r="AJ14" s="271"/>
      <c r="AK14" s="264"/>
      <c r="AL14" s="264"/>
      <c r="AM14" s="264"/>
      <c r="AN14" s="293"/>
      <c r="AO14" s="274"/>
      <c r="AP14" s="274"/>
      <c r="AQ14" s="268"/>
      <c r="AR14" s="271"/>
      <c r="AS14" s="268"/>
      <c r="AT14" s="271"/>
      <c r="AU14" s="271"/>
      <c r="AV14" s="276"/>
      <c r="AW14" s="274"/>
      <c r="AX14" s="274"/>
      <c r="AY14" s="274"/>
      <c r="AZ14" s="274"/>
      <c r="BA14" s="274"/>
      <c r="BB14" s="274"/>
    </row>
    <row r="15" customFormat="false" ht="12.95" hidden="false" customHeight="true" outlineLevel="0" collapsed="false">
      <c r="A15" s="207" t="n">
        <v>1</v>
      </c>
      <c r="B15" s="122" t="n">
        <v>6903.97</v>
      </c>
      <c r="C15" s="123" t="n">
        <v>298457</v>
      </c>
      <c r="D15" s="241" t="n">
        <f aca="false">C15-C13</f>
        <v>721</v>
      </c>
      <c r="E15" s="123" t="n">
        <f aca="false">C15-152000</f>
        <v>146457</v>
      </c>
      <c r="F15" s="155" t="n">
        <f aca="false">D15/$D$2</f>
        <v>363.498865641543</v>
      </c>
      <c r="G15" s="239" t="n">
        <v>600</v>
      </c>
      <c r="H15" s="156" t="n">
        <v>24.7</v>
      </c>
      <c r="I15" s="155" t="n">
        <f aca="false">G15+H15</f>
        <v>624.7</v>
      </c>
      <c r="J15" s="156" t="n">
        <f aca="false">IF(L15&gt;0,L15,0)</f>
        <v>0</v>
      </c>
      <c r="K15" s="155" t="n">
        <f aca="false">I15+J15</f>
        <v>624.7</v>
      </c>
      <c r="L15" s="155" t="n">
        <f aca="false">F15-(I15-AK15)</f>
        <v>-32.4011343584573</v>
      </c>
      <c r="M15" s="279" t="n">
        <v>128</v>
      </c>
      <c r="N15" s="186" t="n">
        <v>0</v>
      </c>
      <c r="O15" s="155" t="n">
        <f aca="false">81.3*1.05</f>
        <v>85.365</v>
      </c>
      <c r="P15" s="186" t="n">
        <v>0</v>
      </c>
      <c r="Q15" s="373" t="n">
        <f aca="false">1012800/325851/1.9835*1.02</f>
        <v>1.59835263552441</v>
      </c>
      <c r="R15" s="151" t="n">
        <f aca="false">IF(((2*1.04)-T15)&gt;=4.2,4.2,(2*1.04)-T15)</f>
        <v>1.42605632</v>
      </c>
      <c r="S15" s="151" t="n">
        <f aca="false">IF(((2*1.04)-T15)&gt;=4.2,((2*1.04)-T15)-4.2,0)</f>
        <v>0</v>
      </c>
      <c r="T15" s="151" t="n">
        <f aca="false">(0.5932*1.06)*1.04</f>
        <v>0.65394368</v>
      </c>
      <c r="U15" s="393" t="n">
        <v>0</v>
      </c>
      <c r="V15" s="155" t="n">
        <v>30</v>
      </c>
      <c r="W15" s="155" t="n">
        <v>17.8</v>
      </c>
      <c r="X15" s="280" t="n">
        <f aca="false">M15-N15-O15-P15-Q15-R15-S15-T15-U15+V15+W15-AT15+AR15</f>
        <v>86.7566473644756</v>
      </c>
      <c r="Y15" s="280" t="n">
        <f aca="false">X15-AO15</f>
        <v>86.7566473644756</v>
      </c>
      <c r="Z15" s="244" t="n">
        <f aca="false">Z12+AP15</f>
        <v>18898.8496407624</v>
      </c>
      <c r="AA15" s="280"/>
      <c r="AB15" s="244" t="n">
        <f aca="false">AB12+(Y15+AP15)*1.9835</f>
        <v>39259.9184585941</v>
      </c>
      <c r="AC15" s="123" t="n">
        <f aca="false">AC12-(APR!AQ44/1.9835)</f>
        <v>1658.37841686226</v>
      </c>
      <c r="AD15" s="123"/>
      <c r="AE15" s="155" t="n">
        <v>0</v>
      </c>
      <c r="AF15" s="279" t="n">
        <v>1.7</v>
      </c>
      <c r="AG15" s="281" t="n">
        <v>1.3</v>
      </c>
      <c r="AH15" s="156" t="n">
        <v>53</v>
      </c>
      <c r="AI15" s="123" t="n">
        <f aca="false">AI13-AH15</f>
        <v>14388.6578774893</v>
      </c>
      <c r="AJ15" s="112"/>
      <c r="AK15" s="154" t="n">
        <f aca="false">N15+O15+P15+Q15+R15+S15+T15+U15+X15+AE15+AH15+AT15-AR15</f>
        <v>228.8</v>
      </c>
      <c r="AL15" s="155" t="n">
        <f aca="false">IF(L15&lt;0,L15*-1,0)</f>
        <v>32.4011343584573</v>
      </c>
      <c r="AM15" s="155" t="n">
        <f aca="false">AK15+AL15</f>
        <v>261.201134358457</v>
      </c>
      <c r="AN15" s="467"/>
      <c r="AO15" s="241"/>
      <c r="AP15" s="406" t="n">
        <f aca="false">I15-Q15-R15-X15-AF15</f>
        <v>533.21894368</v>
      </c>
      <c r="AQ15" s="186" t="n">
        <f aca="false">0*(12972*1.9835+AC15*1.9835)/E15</f>
        <v>0</v>
      </c>
      <c r="AR15" s="156"/>
      <c r="AS15" s="248"/>
      <c r="AT15" s="120" t="n">
        <v>0</v>
      </c>
      <c r="AU15" s="58"/>
      <c r="AV15" s="249" t="n">
        <v>0.12</v>
      </c>
      <c r="AW15" s="241" t="n">
        <v>54</v>
      </c>
      <c r="AX15" s="241" t="n">
        <v>32</v>
      </c>
      <c r="AY15" s="91"/>
      <c r="AZ15" s="282" t="n">
        <f aca="false">SUM(N15,P15:U15)</f>
        <v>3.67835263552441</v>
      </c>
      <c r="BA15" s="58" t="n">
        <v>0.857</v>
      </c>
      <c r="BB15" s="91" t="n">
        <v>24589</v>
      </c>
    </row>
    <row r="16" customFormat="false" ht="12.95" hidden="false" customHeight="true" outlineLevel="0" collapsed="false">
      <c r="A16" s="207" t="n">
        <f aca="false">A15+1</f>
        <v>2</v>
      </c>
      <c r="B16" s="122" t="n">
        <v>6904.23</v>
      </c>
      <c r="C16" s="123" t="n">
        <v>299451</v>
      </c>
      <c r="D16" s="241" t="n">
        <f aca="false">C16-C15</f>
        <v>994</v>
      </c>
      <c r="E16" s="123" t="n">
        <f aca="false">C16-152000</f>
        <v>147451</v>
      </c>
      <c r="F16" s="155" t="n">
        <f aca="false">D16/$D$2</f>
        <v>501.134358457272</v>
      </c>
      <c r="G16" s="239" t="n">
        <v>567</v>
      </c>
      <c r="H16" s="156" t="n">
        <v>21.9</v>
      </c>
      <c r="I16" s="155" t="n">
        <f aca="false">G16+H16</f>
        <v>588.9</v>
      </c>
      <c r="J16" s="156" t="n">
        <f aca="false">IF(L16&gt;0,L16,0)</f>
        <v>93.3343584572725</v>
      </c>
      <c r="K16" s="155" t="n">
        <f aca="false">I16+J16</f>
        <v>682.234358457272</v>
      </c>
      <c r="L16" s="155" t="n">
        <f aca="false">F16-(I16-AK16)</f>
        <v>93.3343584572725</v>
      </c>
      <c r="M16" s="279" t="n">
        <v>79.7</v>
      </c>
      <c r="N16" s="186" t="n">
        <v>0</v>
      </c>
      <c r="O16" s="155" t="n">
        <f aca="false">22.2*1.05</f>
        <v>23.31</v>
      </c>
      <c r="P16" s="186" t="n">
        <v>0</v>
      </c>
      <c r="Q16" s="373" t="n">
        <f aca="false">978500/325851/1.9835*1.02</f>
        <v>1.54422201210569</v>
      </c>
      <c r="R16" s="151" t="n">
        <f aca="false">IF(((2.4*1.04)-T16)&gt;=4.2,4.2,(2.4*1.04)-T16)</f>
        <v>1.84205632</v>
      </c>
      <c r="S16" s="151" t="n">
        <f aca="false">IF(((2.4*1.04)-T16)&gt;=4.2,((2.4*1.04)-T16)-4.2,0)</f>
        <v>0</v>
      </c>
      <c r="T16" s="151" t="n">
        <f aca="false">(0.5932*1.06)*1.04</f>
        <v>0.65394368</v>
      </c>
      <c r="U16" s="393" t="n">
        <v>0</v>
      </c>
      <c r="V16" s="155" t="n">
        <v>30.1</v>
      </c>
      <c r="W16" s="155" t="n">
        <v>18.1</v>
      </c>
      <c r="X16" s="280" t="n">
        <f aca="false">M16-N16-O16-P16-Q16-R16-S16-T16-U16+V16+W16-AT16+AR16</f>
        <v>99.4997779878943</v>
      </c>
      <c r="Y16" s="280" t="n">
        <f aca="false">X16-AO16</f>
        <v>99.4997779878943</v>
      </c>
      <c r="Z16" s="244" t="n">
        <f aca="false">Z15+AP16</f>
        <v>19383.1635844424</v>
      </c>
      <c r="AA16" s="280"/>
      <c r="AB16" s="244" t="n">
        <f aca="false">AB15+(Y16+AP16)*1.9835</f>
        <v>40417.9129755224</v>
      </c>
      <c r="AC16" s="123" t="n">
        <f aca="false">AC15-(AQ15/1.9835)</f>
        <v>1658.37841686226</v>
      </c>
      <c r="AD16" s="123"/>
      <c r="AE16" s="155" t="n">
        <v>0</v>
      </c>
      <c r="AF16" s="279" t="n">
        <v>1.7</v>
      </c>
      <c r="AG16" s="281" t="n">
        <v>1.3</v>
      </c>
      <c r="AH16" s="156" t="n">
        <v>53.2</v>
      </c>
      <c r="AI16" s="123" t="n">
        <f aca="false">AI15-AH16</f>
        <v>14335.4578774893</v>
      </c>
      <c r="AJ16" s="112"/>
      <c r="AK16" s="154" t="n">
        <f aca="false">N16+O16+P16+Q16+R16+S16+T16+U16+X16+AE16+AH16+AT16-AR16</f>
        <v>181.1</v>
      </c>
      <c r="AL16" s="155" t="n">
        <f aca="false">IF(L16&lt;0,L16*-1,0)</f>
        <v>0</v>
      </c>
      <c r="AM16" s="155" t="n">
        <f aca="false">AK16+AL16</f>
        <v>181.1</v>
      </c>
      <c r="AN16" s="467"/>
      <c r="AO16" s="241"/>
      <c r="AP16" s="406" t="n">
        <f aca="false">I16-Q16-R16-X16-AF16</f>
        <v>484.31394368</v>
      </c>
      <c r="AQ16" s="186" t="n">
        <f aca="false">45.771*(12972*1.9835+AC16*1.9835)/E16</f>
        <v>9.00804283933547</v>
      </c>
      <c r="AR16" s="156"/>
      <c r="AS16" s="248"/>
      <c r="AT16" s="120" t="n">
        <v>1.05</v>
      </c>
      <c r="AU16" s="58"/>
      <c r="AV16" s="249" t="n">
        <v>0</v>
      </c>
      <c r="AW16" s="241" t="n">
        <v>59</v>
      </c>
      <c r="AX16" s="241" t="n">
        <v>33</v>
      </c>
      <c r="AY16" s="91"/>
      <c r="AZ16" s="282" t="n">
        <f aca="false">SUM(N16,P16:U16)</f>
        <v>4.04022201210569</v>
      </c>
      <c r="BA16" s="58" t="n">
        <v>0.96</v>
      </c>
      <c r="BB16" s="91" t="n">
        <v>24767</v>
      </c>
    </row>
    <row r="17" customFormat="false" ht="12.95" hidden="false" customHeight="true" outlineLevel="0" collapsed="false">
      <c r="A17" s="207" t="n">
        <f aca="false">A16+1</f>
        <v>3</v>
      </c>
      <c r="B17" s="122" t="n">
        <v>6904.43</v>
      </c>
      <c r="C17" s="123" t="n">
        <v>300216</v>
      </c>
      <c r="D17" s="241" t="n">
        <f aca="false">C17-C16</f>
        <v>765</v>
      </c>
      <c r="E17" s="123" t="n">
        <f aca="false">C17-152000</f>
        <v>148216</v>
      </c>
      <c r="F17" s="155" t="n">
        <f aca="false">D17/$D$2</f>
        <v>385.681875472649</v>
      </c>
      <c r="G17" s="239" t="n">
        <v>550</v>
      </c>
      <c r="H17" s="156" t="n">
        <v>18.1</v>
      </c>
      <c r="I17" s="155" t="n">
        <f aca="false">G17+H17</f>
        <v>568.1</v>
      </c>
      <c r="J17" s="156" t="n">
        <f aca="false">IF(L17&gt;0,L17,0)</f>
        <v>13.7818754726493</v>
      </c>
      <c r="K17" s="155" t="n">
        <f aca="false">I17+J17</f>
        <v>581.881875472649</v>
      </c>
      <c r="L17" s="155" t="n">
        <f aca="false">F17-(I17-AK17)</f>
        <v>13.7818754726493</v>
      </c>
      <c r="M17" s="279" t="n">
        <v>92.5</v>
      </c>
      <c r="N17" s="186" t="n">
        <v>0</v>
      </c>
      <c r="O17" s="155" t="n">
        <f aca="false">20.4*1.05</f>
        <v>21.42</v>
      </c>
      <c r="P17" s="186" t="n">
        <v>0</v>
      </c>
      <c r="Q17" s="373" t="n">
        <f aca="false">1191900/325851/1.9835*1.02</f>
        <v>1.88099970999363</v>
      </c>
      <c r="R17" s="151" t="n">
        <f aca="false">IF(((2.6*1.04)-T17)&gt;=4.2,4.2,(2.6*1.04)-T17)</f>
        <v>2.05005632</v>
      </c>
      <c r="S17" s="151" t="n">
        <f aca="false">IF(((2.6*1.04)-T17)&gt;=4.2,((2.6*1.04)-T17)-4.2,0)</f>
        <v>0</v>
      </c>
      <c r="T17" s="151" t="n">
        <f aca="false">(0.5932*1.06)*1.04</f>
        <v>0.65394368</v>
      </c>
      <c r="U17" s="393" t="n">
        <v>0</v>
      </c>
      <c r="V17" s="155" t="n">
        <v>30.1</v>
      </c>
      <c r="W17" s="155" t="n">
        <v>20.4</v>
      </c>
      <c r="X17" s="280" t="n">
        <f aca="false">M17-N17-O17-P17-Q17-R17-S17-T17-U17+V17+W17-AT17+AR17</f>
        <v>114.795000290006</v>
      </c>
      <c r="Y17" s="280" t="n">
        <f aca="false">X17-AO17</f>
        <v>114.795000290006</v>
      </c>
      <c r="Z17" s="244" t="n">
        <f aca="false">Z16+AP17</f>
        <v>19830.8375281224</v>
      </c>
      <c r="AA17" s="280"/>
      <c r="AB17" s="244" t="n">
        <f aca="false">AB16+(Y17+AP17)*1.9835</f>
        <v>41533.5701258869</v>
      </c>
      <c r="AC17" s="123" t="n">
        <f aca="false">AC16-(AQ16/1.9835)</f>
        <v>1653.8369281608</v>
      </c>
      <c r="AD17" s="123"/>
      <c r="AE17" s="155" t="n">
        <v>0</v>
      </c>
      <c r="AF17" s="279" t="n">
        <v>1.7</v>
      </c>
      <c r="AG17" s="281" t="n">
        <v>1.3</v>
      </c>
      <c r="AH17" s="156" t="n">
        <v>53.2</v>
      </c>
      <c r="AI17" s="123" t="n">
        <f aca="false">AI16-AH17</f>
        <v>14282.2578774893</v>
      </c>
      <c r="AJ17" s="112"/>
      <c r="AK17" s="154" t="n">
        <f aca="false">N17+O17+P17+Q17+R17+S17+T17+U17+X17+AE17+AH17+AT17-AR17</f>
        <v>196.2</v>
      </c>
      <c r="AL17" s="155" t="n">
        <f aca="false">IF(L17&lt;0,L17*-1,0)</f>
        <v>0</v>
      </c>
      <c r="AM17" s="155" t="n">
        <f aca="false">AK17+AL17</f>
        <v>196.2</v>
      </c>
      <c r="AN17" s="467"/>
      <c r="AO17" s="241"/>
      <c r="AP17" s="406" t="n">
        <f aca="false">I17-Q17-R17-X17-AF17</f>
        <v>447.67394368</v>
      </c>
      <c r="AQ17" s="186" t="n">
        <f aca="false">44.661*(12972*1.9835+AC17*1.9835)/E17</f>
        <v>8.74150652963835</v>
      </c>
      <c r="AR17" s="156"/>
      <c r="AS17" s="248"/>
      <c r="AT17" s="120" t="n">
        <v>2.2</v>
      </c>
      <c r="AU17" s="58"/>
      <c r="AV17" s="249" t="n">
        <v>0</v>
      </c>
      <c r="AW17" s="241" t="n">
        <v>72</v>
      </c>
      <c r="AX17" s="241" t="n">
        <v>34</v>
      </c>
      <c r="AY17" s="91"/>
      <c r="AZ17" s="282" t="n">
        <f aca="false">SUM(N17,P17:U17)</f>
        <v>4.58499970999363</v>
      </c>
      <c r="BA17" s="58" t="n">
        <v>0.825</v>
      </c>
      <c r="BB17" s="91" t="n">
        <v>24880</v>
      </c>
    </row>
    <row r="18" customFormat="false" ht="12.95" hidden="false" customHeight="true" outlineLevel="0" collapsed="false">
      <c r="A18" s="207" t="n">
        <f aca="false">A17+1</f>
        <v>4</v>
      </c>
      <c r="B18" s="122" t="n">
        <v>6904.73</v>
      </c>
      <c r="C18" s="123" t="n">
        <v>301363</v>
      </c>
      <c r="D18" s="241" t="n">
        <f aca="false">C18-C17</f>
        <v>1147</v>
      </c>
      <c r="E18" s="123" t="n">
        <f aca="false">C18-152000</f>
        <v>149363</v>
      </c>
      <c r="F18" s="155" t="n">
        <f aca="false">D18/$D$2</f>
        <v>578.270733551802</v>
      </c>
      <c r="G18" s="239" t="n">
        <v>686</v>
      </c>
      <c r="H18" s="156" t="n">
        <v>34.9</v>
      </c>
      <c r="I18" s="155" t="n">
        <f aca="false">G18+H18</f>
        <v>720.9</v>
      </c>
      <c r="J18" s="156" t="n">
        <f aca="false">IF(L18&gt;0,L18,0)</f>
        <v>85.5707335518023</v>
      </c>
      <c r="K18" s="155" t="n">
        <f aca="false">I18+J18</f>
        <v>806.470733551802</v>
      </c>
      <c r="L18" s="155" t="n">
        <f aca="false">F18-(I18-AK18)</f>
        <v>85.5707335518023</v>
      </c>
      <c r="M18" s="279" t="n">
        <v>107</v>
      </c>
      <c r="N18" s="186" t="n">
        <v>0</v>
      </c>
      <c r="O18" s="155" t="n">
        <f aca="false">19.7*1.05</f>
        <v>20.685</v>
      </c>
      <c r="P18" s="186" t="n">
        <v>0</v>
      </c>
      <c r="Q18" s="373" t="n">
        <f aca="false">1204700/325851/1.9835*1.02</f>
        <v>1.90120005925776</v>
      </c>
      <c r="R18" s="151" t="n">
        <f aca="false">IF(((3.8*1.04)-T18)&gt;=4.2,4.2,(3.8*1.04)-T18)</f>
        <v>3.29805632</v>
      </c>
      <c r="S18" s="151" t="n">
        <f aca="false">IF(((3.8*1.04)-T18)&gt;=4.2,((3.8*1.04)-T18)-4.2,0)</f>
        <v>0</v>
      </c>
      <c r="T18" s="151" t="n">
        <f aca="false">(0.5932*1.06)*1.04</f>
        <v>0.65394368</v>
      </c>
      <c r="U18" s="393" t="n">
        <v>0</v>
      </c>
      <c r="V18" s="155" t="n">
        <v>30.1</v>
      </c>
      <c r="W18" s="155" t="n">
        <v>23.6</v>
      </c>
      <c r="X18" s="280" t="n">
        <f aca="false">M18-N18-O18-P18-Q18-R18-S18-T18-U18+V18+W18-AT18+AR18</f>
        <v>132.051799940742</v>
      </c>
      <c r="Y18" s="280" t="n">
        <f aca="false">X18-AO18</f>
        <v>132.051799940742</v>
      </c>
      <c r="Z18" s="244" t="n">
        <f aca="false">Z17+AP18</f>
        <v>20412.7864718024</v>
      </c>
      <c r="AA18" s="280"/>
      <c r="AB18" s="244" t="n">
        <f aca="false">AB17+(Y18+AP18)*1.9835</f>
        <v>42949.7906008586</v>
      </c>
      <c r="AC18" s="123" t="n">
        <f aca="false">AC17-(AQ17/1.9835)</f>
        <v>1649.42981622249</v>
      </c>
      <c r="AD18" s="123"/>
      <c r="AE18" s="155" t="n">
        <v>14.3</v>
      </c>
      <c r="AF18" s="279" t="n">
        <v>1.7</v>
      </c>
      <c r="AG18" s="281" t="n">
        <v>1.3</v>
      </c>
      <c r="AH18" s="156" t="n">
        <v>53.2</v>
      </c>
      <c r="AI18" s="123" t="n">
        <f aca="false">AI17-AH18</f>
        <v>14229.0578774893</v>
      </c>
      <c r="AJ18" s="112"/>
      <c r="AK18" s="154" t="n">
        <f aca="false">N18+O18+P18+Q18+R18+S18+T18+U18+X18+AE18+AH18+AT18-AR18</f>
        <v>228.2</v>
      </c>
      <c r="AL18" s="155" t="n">
        <f aca="false">IF(L18&lt;0,L18*-1,0)</f>
        <v>0</v>
      </c>
      <c r="AM18" s="155" t="n">
        <f aca="false">AK18+AL18</f>
        <v>228.2</v>
      </c>
      <c r="AN18" s="467"/>
      <c r="AO18" s="241"/>
      <c r="AP18" s="406" t="n">
        <f aca="false">I18-Q18-R18-X18-AF18</f>
        <v>581.94894368</v>
      </c>
      <c r="AQ18" s="186" t="n">
        <f aca="false">45.472*(12972*1.9835+AC18*1.9835)/E18</f>
        <v>8.82923501719023</v>
      </c>
      <c r="AR18" s="156"/>
      <c r="AS18" s="248"/>
      <c r="AT18" s="120" t="n">
        <v>2.11</v>
      </c>
      <c r="AU18" s="58"/>
      <c r="AV18" s="249" t="n">
        <v>0</v>
      </c>
      <c r="AW18" s="241" t="n">
        <v>75</v>
      </c>
      <c r="AX18" s="241" t="n">
        <v>40</v>
      </c>
      <c r="AY18" s="91"/>
      <c r="AZ18" s="282" t="n">
        <f aca="false">SUM(N18,P18:U18)</f>
        <v>5.85320005925776</v>
      </c>
      <c r="BA18" s="58" t="n">
        <v>0.813</v>
      </c>
      <c r="BB18" s="91" t="n">
        <v>24992</v>
      </c>
    </row>
    <row r="19" customFormat="false" ht="12.95" hidden="false" customHeight="true" outlineLevel="0" collapsed="false">
      <c r="A19" s="207" t="n">
        <f aca="false">A18+1</f>
        <v>5</v>
      </c>
      <c r="B19" s="122" t="n">
        <v>6905.13</v>
      </c>
      <c r="C19" s="123" t="n">
        <v>302897</v>
      </c>
      <c r="D19" s="241" t="n">
        <f aca="false">C19-C18</f>
        <v>1534</v>
      </c>
      <c r="E19" s="123" t="n">
        <f aca="false">C19-152000</f>
        <v>150897</v>
      </c>
      <c r="F19" s="155" t="n">
        <f aca="false">D19/$D$2</f>
        <v>773.380388202672</v>
      </c>
      <c r="G19" s="239" t="n">
        <v>966</v>
      </c>
      <c r="H19" s="156" t="n">
        <v>69.2</v>
      </c>
      <c r="I19" s="155" t="n">
        <f aca="false">G19+H19</f>
        <v>1035.2</v>
      </c>
      <c r="J19" s="156" t="n">
        <f aca="false">IF(L19&gt;0,L19,0)</f>
        <v>13.8803882026721</v>
      </c>
      <c r="K19" s="155" t="n">
        <f aca="false">I19+J19</f>
        <v>1049.08038820267</v>
      </c>
      <c r="L19" s="155" t="n">
        <f aca="false">F19-(I19-AK19)</f>
        <v>13.8803882026721</v>
      </c>
      <c r="M19" s="279" t="n">
        <v>139</v>
      </c>
      <c r="N19" s="186" t="n">
        <v>0</v>
      </c>
      <c r="O19" s="155" t="n">
        <f aca="false">21.8*1.05</f>
        <v>22.89</v>
      </c>
      <c r="P19" s="186" t="n">
        <v>0</v>
      </c>
      <c r="Q19" s="373" t="n">
        <f aca="false">1271600/325851/1.9835*1.02</f>
        <v>2.00677844720857</v>
      </c>
      <c r="R19" s="151" t="n">
        <f aca="false">IF(((3.9*1.04)-T19)&gt;=4.2,4.2,(3.9*1.04)-T19)</f>
        <v>3.40205632</v>
      </c>
      <c r="S19" s="151" t="n">
        <f aca="false">IF(((3.9*1.04)-T19)&gt;=4.2,((3.9*1.04)-T19)-4.2,0)</f>
        <v>0</v>
      </c>
      <c r="T19" s="151" t="n">
        <f aca="false">(0.5932*1.06)*1.04</f>
        <v>0.65394368</v>
      </c>
      <c r="U19" s="393" t="n">
        <v>0</v>
      </c>
      <c r="V19" s="155" t="n">
        <v>33.8</v>
      </c>
      <c r="W19" s="155" t="n">
        <v>27.4</v>
      </c>
      <c r="X19" s="280" t="n">
        <f aca="false">M19-N19-O19-P19-Q19-R19-S19-T19-U19+V19+W19-AT19+AR19</f>
        <v>169.297221552791</v>
      </c>
      <c r="Y19" s="280" t="n">
        <f aca="false">X19-AO19</f>
        <v>169.297221552791</v>
      </c>
      <c r="Z19" s="244" t="n">
        <f aca="false">Z18+AP19</f>
        <v>21038.4892502496</v>
      </c>
      <c r="AA19" s="280"/>
      <c r="AB19" s="244" t="n">
        <f aca="false">AB18+(Y19+AP19)*1.9835</f>
        <v>44526.6731008586</v>
      </c>
      <c r="AC19" s="123" t="n">
        <f aca="false">AC18-(AQ18/1.9835)</f>
        <v>1644.97847515005</v>
      </c>
      <c r="AD19" s="123"/>
      <c r="AE19" s="155" t="n">
        <v>22.3</v>
      </c>
      <c r="AF19" s="279" t="n">
        <v>1.7</v>
      </c>
      <c r="AG19" s="281" t="n">
        <v>1.3</v>
      </c>
      <c r="AH19" s="156" t="n">
        <v>53.2</v>
      </c>
      <c r="AI19" s="123" t="n">
        <f aca="false">AI18-AH19</f>
        <v>14175.8578774893</v>
      </c>
      <c r="AJ19" s="112"/>
      <c r="AK19" s="154" t="n">
        <f aca="false">N19+O19+P19+Q19+R19+S19+T19+U19+X19+AE19+AH19+AT19-AR19</f>
        <v>275.7</v>
      </c>
      <c r="AL19" s="155" t="n">
        <f aca="false">IF(L19&lt;0,L19*-1,0)</f>
        <v>0</v>
      </c>
      <c r="AM19" s="155" t="n">
        <f aca="false">AK19+AL19</f>
        <v>275.7</v>
      </c>
      <c r="AN19" s="467"/>
      <c r="AO19" s="241"/>
      <c r="AP19" s="406" t="n">
        <f aca="false">795-X19</f>
        <v>625.702778447209</v>
      </c>
      <c r="AQ19" s="186" t="n">
        <f aca="false">80.864*(12972*1.9835+AC19*1.9835)/E19</f>
        <v>15.5369020165857</v>
      </c>
      <c r="AR19" s="156"/>
      <c r="AS19" s="248"/>
      <c r="AT19" s="120" t="n">
        <v>1.95</v>
      </c>
      <c r="AU19" s="58"/>
      <c r="AV19" s="249" t="n">
        <v>0</v>
      </c>
      <c r="AW19" s="241" t="n">
        <v>81</v>
      </c>
      <c r="AX19" s="241" t="n">
        <v>44</v>
      </c>
      <c r="AY19" s="91"/>
      <c r="AZ19" s="282" t="n">
        <f aca="false">SUM(N19,P19:U19)</f>
        <v>6.06277844720858</v>
      </c>
      <c r="BA19" s="58" t="n">
        <v>0.422</v>
      </c>
      <c r="BB19" s="91" t="n">
        <v>25138</v>
      </c>
    </row>
    <row r="20" customFormat="false" ht="12.95" hidden="false" customHeight="true" outlineLevel="0" collapsed="false">
      <c r="A20" s="207" t="n">
        <f aca="false">A19+1</f>
        <v>6</v>
      </c>
      <c r="B20" s="122" t="n">
        <v>6905.72</v>
      </c>
      <c r="C20" s="123" t="n">
        <v>305172</v>
      </c>
      <c r="D20" s="241" t="n">
        <f aca="false">C20-C19</f>
        <v>2275</v>
      </c>
      <c r="E20" s="123" t="n">
        <f aca="false">C20-152000</f>
        <v>153172</v>
      </c>
      <c r="F20" s="155" t="n">
        <f aca="false">D20/$D$2</f>
        <v>1146.96244013108</v>
      </c>
      <c r="G20" s="239" t="n">
        <v>1340</v>
      </c>
      <c r="H20" s="156" t="n">
        <v>117</v>
      </c>
      <c r="I20" s="155" t="n">
        <f aca="false">G20+H20</f>
        <v>1457</v>
      </c>
      <c r="J20" s="156" t="n">
        <f aca="false">IF(L20&gt;0,L20,0)</f>
        <v>35.1624401310814</v>
      </c>
      <c r="K20" s="155" t="n">
        <f aca="false">I20+J20</f>
        <v>1492.16244013108</v>
      </c>
      <c r="L20" s="155" t="n">
        <f aca="false">F20-(I20-AK20)</f>
        <v>35.1624401310814</v>
      </c>
      <c r="M20" s="279" t="n">
        <v>197</v>
      </c>
      <c r="N20" s="186" t="n">
        <v>0</v>
      </c>
      <c r="O20" s="155" t="n">
        <f aca="false">67.2*1.05</f>
        <v>70.56</v>
      </c>
      <c r="P20" s="186" t="n">
        <v>0</v>
      </c>
      <c r="Q20" s="373" t="n">
        <f aca="false">1199400/325851/1.9835*1.02</f>
        <v>1.89283585214058</v>
      </c>
      <c r="R20" s="151" t="n">
        <f aca="false">IF(((4.1*1.04)-T20)&gt;=4.2,4.2,(4.1*1.04)-T20)</f>
        <v>3.50698192</v>
      </c>
      <c r="S20" s="151" t="n">
        <f aca="false">IF(((4.1*1.04)-T20)&gt;=4.2,((4.1*1.04)-T20)-4.2,0)</f>
        <v>0</v>
      </c>
      <c r="T20" s="151" t="n">
        <f aca="false">(0.6867*1.06)*1.04</f>
        <v>0.75701808</v>
      </c>
      <c r="U20" s="393" t="n">
        <v>0</v>
      </c>
      <c r="V20" s="155" t="n">
        <v>45.1</v>
      </c>
      <c r="W20" s="155" t="n">
        <v>29</v>
      </c>
      <c r="X20" s="280" t="n">
        <f aca="false">M20-N20-O20-P20-Q20-R20-S20-T20-U20+V20+W20-AT20+AR20</f>
        <v>192.133164147859</v>
      </c>
      <c r="Y20" s="280" t="n">
        <f aca="false">X20-AO20</f>
        <v>192.133164147859</v>
      </c>
      <c r="Z20" s="244" t="n">
        <f aca="false">Z19+AP20</f>
        <v>21641.3560861017</v>
      </c>
      <c r="AA20" s="280"/>
      <c r="AB20" s="244" t="n">
        <f aca="false">AB19+(Y20+AP20)*1.9835</f>
        <v>46103.5556008586</v>
      </c>
      <c r="AC20" s="123" t="n">
        <f aca="false">AC19-(AQ19/1.9835)</f>
        <v>1637.14540128235</v>
      </c>
      <c r="AD20" s="123"/>
      <c r="AE20" s="155" t="n">
        <v>20.9</v>
      </c>
      <c r="AF20" s="279" t="n">
        <v>1.7</v>
      </c>
      <c r="AG20" s="281" t="n">
        <v>1.3</v>
      </c>
      <c r="AH20" s="156" t="n">
        <v>53.2</v>
      </c>
      <c r="AI20" s="123" t="n">
        <f aca="false">AI19-AH20</f>
        <v>14122.6578774893</v>
      </c>
      <c r="AJ20" s="112"/>
      <c r="AK20" s="154" t="n">
        <f aca="false">N20+O20+P20+Q20+R20+S20+T20+U20+X20+AE20+AH20+AT20-AR20</f>
        <v>345.2</v>
      </c>
      <c r="AL20" s="155" t="n">
        <f aca="false">IF(L20&lt;0,L20*-1,0)</f>
        <v>0</v>
      </c>
      <c r="AM20" s="155" t="n">
        <f aca="false">AK20+AL20</f>
        <v>345.2</v>
      </c>
      <c r="AN20" s="467"/>
      <c r="AO20" s="241"/>
      <c r="AP20" s="406" t="n">
        <f aca="false">795-X20</f>
        <v>602.866835852141</v>
      </c>
      <c r="AQ20" s="186" t="n">
        <f aca="false">50.807*(12972*1.9835+AC20*1.9835)/E20</f>
        <v>9.61172164478009</v>
      </c>
      <c r="AR20" s="156"/>
      <c r="AS20" s="248"/>
      <c r="AT20" s="120" t="n">
        <v>2.25</v>
      </c>
      <c r="AU20" s="58"/>
      <c r="AV20" s="249" t="n">
        <v>0</v>
      </c>
      <c r="AW20" s="241" t="n">
        <v>76</v>
      </c>
      <c r="AX20" s="241" t="n">
        <v>49</v>
      </c>
      <c r="AY20" s="91"/>
      <c r="AZ20" s="282" t="n">
        <f aca="false">SUM(N20,P20:U20)</f>
        <v>6.15683585214058</v>
      </c>
      <c r="BA20" s="58" t="n">
        <v>0.133</v>
      </c>
      <c r="BB20" s="91" t="n">
        <v>25326</v>
      </c>
    </row>
    <row r="21" customFormat="false" ht="12.95" hidden="false" customHeight="true" outlineLevel="0" collapsed="false">
      <c r="A21" s="207" t="n">
        <f aca="false">A20+1</f>
        <v>7</v>
      </c>
      <c r="B21" s="122" t="n">
        <v>6906.48</v>
      </c>
      <c r="C21" s="123" t="n">
        <v>308117</v>
      </c>
      <c r="D21" s="241" t="n">
        <f aca="false">C21-C20</f>
        <v>2945</v>
      </c>
      <c r="E21" s="123" t="n">
        <f aca="false">C21-152000</f>
        <v>156117</v>
      </c>
      <c r="F21" s="155" t="n">
        <f aca="false">D21/$D$2</f>
        <v>1484.74918074111</v>
      </c>
      <c r="G21" s="239" t="n">
        <v>1630</v>
      </c>
      <c r="H21" s="156" t="n">
        <v>195</v>
      </c>
      <c r="I21" s="155" t="n">
        <f aca="false">G21+H21</f>
        <v>1825</v>
      </c>
      <c r="J21" s="156" t="n">
        <f aca="false">IF(L21&gt;0,L21,0)</f>
        <v>0</v>
      </c>
      <c r="K21" s="155" t="n">
        <f aca="false">I21+J21</f>
        <v>1825</v>
      </c>
      <c r="L21" s="155" t="n">
        <f aca="false">F21-(I21-AK21)</f>
        <v>-6.35081925888585</v>
      </c>
      <c r="M21" s="279" t="n">
        <v>182</v>
      </c>
      <c r="N21" s="186" t="n">
        <v>0</v>
      </c>
      <c r="O21" s="155" t="n">
        <f aca="false">62.5*1.05</f>
        <v>65.625</v>
      </c>
      <c r="P21" s="186" t="n">
        <v>0</v>
      </c>
      <c r="Q21" s="373" t="n">
        <f aca="false">1118500/325851/1.9835*1.02</f>
        <v>1.76516333218213</v>
      </c>
      <c r="R21" s="151" t="n">
        <f aca="false">IF(((3.9*1.04)-T21)&gt;=4.2,4.2,(3.9*1.04)-T21)</f>
        <v>3.29898192</v>
      </c>
      <c r="S21" s="151" t="n">
        <f aca="false">IF(((3.9*1.04)-T21)&gt;=4.2,((3.9*1.04)-T21)-4.2,0)</f>
        <v>0</v>
      </c>
      <c r="T21" s="151" t="n">
        <f aca="false">(0.6867*1.06)*1.04</f>
        <v>0.75701808</v>
      </c>
      <c r="U21" s="393" t="n">
        <v>0</v>
      </c>
      <c r="V21" s="155" t="n">
        <v>48</v>
      </c>
      <c r="W21" s="155" t="n">
        <v>29.3</v>
      </c>
      <c r="X21" s="280" t="n">
        <f aca="false">M21-N21-O21-P21-Q21-R21-S21-T21-U21+V21+W21-AT21+AR21</f>
        <v>185.843836667818</v>
      </c>
      <c r="Y21" s="280" t="n">
        <f aca="false">X21-AO21</f>
        <v>185.843836667818</v>
      </c>
      <c r="Z21" s="244" t="n">
        <f aca="false">Z20+AP21</f>
        <v>22250.5122494339</v>
      </c>
      <c r="AA21" s="280"/>
      <c r="AB21" s="244" t="n">
        <f aca="false">AB20+(Y21+AP21)*1.9835</f>
        <v>47680.4381008586</v>
      </c>
      <c r="AC21" s="123" t="n">
        <f aca="false">AC20-(AQ20/1.9835)</f>
        <v>1632.29956228826</v>
      </c>
      <c r="AD21" s="123"/>
      <c r="AE21" s="155" t="n">
        <v>20.9</v>
      </c>
      <c r="AF21" s="279" t="n">
        <v>1.7</v>
      </c>
      <c r="AG21" s="281" t="n">
        <v>1.3</v>
      </c>
      <c r="AH21" s="156" t="n">
        <v>53.7</v>
      </c>
      <c r="AI21" s="123" t="n">
        <f aca="false">AI20-AH21</f>
        <v>14068.9578774893</v>
      </c>
      <c r="AJ21" s="112"/>
      <c r="AK21" s="154" t="n">
        <f aca="false">N21+O21+P21+Q21+R21+S21+T21+U21+X21+AE21+AH21+AT21-AR21</f>
        <v>333.9</v>
      </c>
      <c r="AL21" s="155" t="n">
        <f aca="false">IF(L21&lt;0,L21*-1,0)</f>
        <v>6.35081925888585</v>
      </c>
      <c r="AM21" s="155" t="n">
        <f aca="false">AK21+AL21</f>
        <v>340.250819258886</v>
      </c>
      <c r="AN21" s="467"/>
      <c r="AO21" s="241"/>
      <c r="AP21" s="406" t="n">
        <f aca="false">795-X21</f>
        <v>609.156163332182</v>
      </c>
      <c r="AQ21" s="186" t="n">
        <f aca="false">0*(12972*1.9835+AC21*1.9835)/E21</f>
        <v>0</v>
      </c>
      <c r="AR21" s="156"/>
      <c r="AS21" s="248"/>
      <c r="AT21" s="120" t="n">
        <v>2.01</v>
      </c>
      <c r="AU21" s="58"/>
      <c r="AV21" s="249" t="n">
        <v>0.216049382716049</v>
      </c>
      <c r="AW21" s="241" t="n">
        <v>57</v>
      </c>
      <c r="AX21" s="241" t="n">
        <v>32</v>
      </c>
      <c r="AY21" s="91"/>
      <c r="AZ21" s="282" t="n">
        <f aca="false">SUM(N21,P21:U21)</f>
        <v>5.82116333218213</v>
      </c>
      <c r="BA21" s="58" t="n">
        <v>29.3</v>
      </c>
      <c r="BB21" s="91" t="n">
        <v>25532</v>
      </c>
    </row>
    <row r="22" customFormat="false" ht="12.95" hidden="false" customHeight="true" outlineLevel="0" collapsed="false">
      <c r="A22" s="207" t="n">
        <f aca="false">A21+1</f>
        <v>8</v>
      </c>
      <c r="B22" s="122" t="n">
        <v>6907</v>
      </c>
      <c r="C22" s="123" t="n">
        <v>310138</v>
      </c>
      <c r="D22" s="241" t="n">
        <f aca="false">C22-C21</f>
        <v>2021</v>
      </c>
      <c r="E22" s="123" t="n">
        <f aca="false">C22-152000</f>
        <v>158138</v>
      </c>
      <c r="F22" s="155" t="n">
        <f aca="false">D22/$D$2</f>
        <v>1018.90597428788</v>
      </c>
      <c r="G22" s="239" t="n">
        <v>1320</v>
      </c>
      <c r="H22" s="156" t="n">
        <v>98.4</v>
      </c>
      <c r="I22" s="155" t="n">
        <f aca="false">G22+H22</f>
        <v>1418.4</v>
      </c>
      <c r="J22" s="156" t="n">
        <f aca="false">IF(L22&gt;0,L22,0)</f>
        <v>0</v>
      </c>
      <c r="K22" s="155" t="n">
        <f aca="false">I22+J22</f>
        <v>1418.4</v>
      </c>
      <c r="L22" s="155" t="n">
        <f aca="false">F22-(I22-AK22)</f>
        <v>-19.6940257121252</v>
      </c>
      <c r="M22" s="279" t="n">
        <v>208</v>
      </c>
      <c r="N22" s="186" t="n">
        <v>0</v>
      </c>
      <c r="O22" s="155" t="n">
        <f aca="false">80.3*1.05</f>
        <v>84.315</v>
      </c>
      <c r="P22" s="186" t="n">
        <v>0</v>
      </c>
      <c r="Q22" s="373" t="n">
        <f aca="false">1125700/325851/1.9835*1.02</f>
        <v>1.7765260286432</v>
      </c>
      <c r="R22" s="151" t="n">
        <f aca="false">IF(((3.9*1.04)-T22)&gt;=4.2,4.2,(3.9*1.04)-T22)</f>
        <v>3.29898192</v>
      </c>
      <c r="S22" s="151" t="n">
        <f aca="false">IF(((3.9*1.04)-T22)&gt;=4.2,((3.9*1.04)-T22)-4.2,0)</f>
        <v>0</v>
      </c>
      <c r="T22" s="151" t="n">
        <f aca="false">(0.6867*1.06)*1.04</f>
        <v>0.75701808</v>
      </c>
      <c r="U22" s="393" t="n">
        <v>0</v>
      </c>
      <c r="V22" s="155" t="n">
        <v>50.5</v>
      </c>
      <c r="W22" s="155" t="n">
        <v>31.4</v>
      </c>
      <c r="X22" s="280" t="n">
        <f aca="false">M22-N22-O22-P22-Q22-R22-S22-T22-U22+V22+W22-AT22+AR22</f>
        <v>197.802473971357</v>
      </c>
      <c r="Y22" s="280" t="n">
        <f aca="false">X22-AO22</f>
        <v>197.802473971357</v>
      </c>
      <c r="Z22" s="244" t="n">
        <f aca="false">Z21+AP22</f>
        <v>22847.7097754625</v>
      </c>
      <c r="AA22" s="280"/>
      <c r="AB22" s="244" t="n">
        <f aca="false">AB21+(Y22+AP22)*1.9835</f>
        <v>49257.3206008586</v>
      </c>
      <c r="AC22" s="123" t="n">
        <f aca="false">AC21-(AQ21/1.9835)</f>
        <v>1632.29956228826</v>
      </c>
      <c r="AD22" s="123"/>
      <c r="AE22" s="155" t="n">
        <v>35.9</v>
      </c>
      <c r="AF22" s="279" t="n">
        <v>1.7</v>
      </c>
      <c r="AG22" s="281" t="n">
        <v>1.3</v>
      </c>
      <c r="AH22" s="156" t="n">
        <v>54</v>
      </c>
      <c r="AI22" s="123" t="n">
        <f aca="false">AI21-AH22</f>
        <v>14014.9578774893</v>
      </c>
      <c r="AJ22" s="112"/>
      <c r="AK22" s="154" t="n">
        <f aca="false">N22+O22+P22+Q22+R22+S22+T22+U22+X22+AE22+AH22+AT22-AR22</f>
        <v>379.8</v>
      </c>
      <c r="AL22" s="155" t="n">
        <f aca="false">IF(L22&lt;0,L22*-1,0)</f>
        <v>19.6940257121252</v>
      </c>
      <c r="AM22" s="155" t="n">
        <f aca="false">AK22+AL22</f>
        <v>399.494025712125</v>
      </c>
      <c r="AN22" s="467"/>
      <c r="AO22" s="241"/>
      <c r="AP22" s="406" t="n">
        <f aca="false">795-X22</f>
        <v>597.197526028643</v>
      </c>
      <c r="AQ22" s="186" t="n">
        <f aca="false">32.549*(12972*1.9835+AC22*1.9835)/E22</f>
        <v>5.96230716013462</v>
      </c>
      <c r="AR22" s="156"/>
      <c r="AS22" s="248"/>
      <c r="AT22" s="120" t="n">
        <v>1.95</v>
      </c>
      <c r="AU22" s="58"/>
      <c r="AV22" s="249" t="n">
        <v>0.0240740740740741</v>
      </c>
      <c r="AW22" s="241" t="n">
        <v>60</v>
      </c>
      <c r="AX22" s="241" t="n">
        <v>34</v>
      </c>
      <c r="AY22" s="91"/>
      <c r="AZ22" s="282" t="n">
        <f aca="false">SUM(N22,P22:U22)</f>
        <v>5.8325260286432</v>
      </c>
      <c r="BA22" s="58" t="n">
        <v>70.1</v>
      </c>
      <c r="BB22" s="91" t="n">
        <v>25609</v>
      </c>
    </row>
    <row r="23" customFormat="false" ht="12.95" hidden="false" customHeight="true" outlineLevel="0" collapsed="false">
      <c r="A23" s="207" t="n">
        <f aca="false">A22+1</f>
        <v>9</v>
      </c>
      <c r="B23" s="122" t="n">
        <v>6907.63</v>
      </c>
      <c r="C23" s="123" t="n">
        <v>312606</v>
      </c>
      <c r="D23" s="241" t="n">
        <f aca="false">C23-C22</f>
        <v>2468</v>
      </c>
      <c r="E23" s="123" t="n">
        <f aca="false">C23-152000</f>
        <v>160606</v>
      </c>
      <c r="F23" s="155" t="n">
        <f aca="false">D23/$D$2</f>
        <v>1244.26518779934</v>
      </c>
      <c r="G23" s="239" t="n">
        <v>1300</v>
      </c>
      <c r="H23" s="156" t="n">
        <v>81</v>
      </c>
      <c r="I23" s="155" t="n">
        <f aca="false">G23+H23</f>
        <v>1381</v>
      </c>
      <c r="J23" s="156" t="n">
        <f aca="false">IF(L23&gt;0,L23,0)</f>
        <v>160.465187799345</v>
      </c>
      <c r="K23" s="155" t="n">
        <f aca="false">I23+J23</f>
        <v>1541.46518779934</v>
      </c>
      <c r="L23" s="155" t="n">
        <f aca="false">F23-(I23-AK23)</f>
        <v>160.465187799345</v>
      </c>
      <c r="M23" s="279" t="n">
        <v>157</v>
      </c>
      <c r="N23" s="186" t="n">
        <v>0</v>
      </c>
      <c r="O23" s="155" t="n">
        <f aca="false">32.6*1.05</f>
        <v>34.23</v>
      </c>
      <c r="P23" s="186" t="n">
        <v>0</v>
      </c>
      <c r="Q23" s="373" t="n">
        <f aca="false">1046700/325851/1.9835*1.02</f>
        <v>1.65185199802864</v>
      </c>
      <c r="R23" s="151" t="n">
        <f aca="false">IF(((3.9*1.04)-T23)&gt;=4.2,4.2,(3.9*1.04)-T23)</f>
        <v>3.29898192</v>
      </c>
      <c r="S23" s="151" t="n">
        <f aca="false">IF(((3.9*1.04)-T23)&gt;=4.2,((3.9*1.04)-T23)-4.2,0)</f>
        <v>0</v>
      </c>
      <c r="T23" s="151" t="n">
        <f aca="false">(0.6867*1.06)*1.04</f>
        <v>0.75701808</v>
      </c>
      <c r="U23" s="393" t="n">
        <v>0</v>
      </c>
      <c r="V23" s="155" t="n">
        <v>50.4</v>
      </c>
      <c r="W23" s="155" t="n">
        <v>35.6</v>
      </c>
      <c r="X23" s="280" t="n">
        <f aca="false">M23-N23-O23-P23-Q23-R23-S23-T23-U23+V23+W23-AT23+AR23</f>
        <v>201.082148001971</v>
      </c>
      <c r="Y23" s="280" t="n">
        <f aca="false">X23-AO23</f>
        <v>201.082148001971</v>
      </c>
      <c r="Z23" s="244" t="n">
        <f aca="false">Z22+AP23</f>
        <v>23441.6276274606</v>
      </c>
      <c r="AA23" s="280"/>
      <c r="AB23" s="244" t="n">
        <f aca="false">AB22+(Y23+AP23)*1.9835</f>
        <v>50834.2031008586</v>
      </c>
      <c r="AC23" s="123" t="n">
        <f aca="false">AC22-(AQ22/1.9835)</f>
        <v>1629.2936095985</v>
      </c>
      <c r="AD23" s="123"/>
      <c r="AE23" s="155" t="n">
        <v>0</v>
      </c>
      <c r="AF23" s="279" t="n">
        <v>1.7</v>
      </c>
      <c r="AG23" s="281" t="n">
        <v>1.3</v>
      </c>
      <c r="AH23" s="156" t="n">
        <v>54.2</v>
      </c>
      <c r="AI23" s="123" t="n">
        <f aca="false">AI22-AH23</f>
        <v>13960.7578774893</v>
      </c>
      <c r="AJ23" s="112"/>
      <c r="AK23" s="154" t="n">
        <f aca="false">N23+O23+P23+Q23+R23+S23+T23+U23+X23+AE23+AH23+AT23-AR23</f>
        <v>297.2</v>
      </c>
      <c r="AL23" s="155" t="n">
        <f aca="false">IF(L23&lt;0,L23*-1,0)</f>
        <v>0</v>
      </c>
      <c r="AM23" s="155" t="n">
        <f aca="false">AK23+AL23</f>
        <v>297.2</v>
      </c>
      <c r="AN23" s="467"/>
      <c r="AO23" s="241"/>
      <c r="AP23" s="406" t="n">
        <f aca="false">795-X23</f>
        <v>593.917851998029</v>
      </c>
      <c r="AQ23" s="186" t="n">
        <f aca="false">0*(12972*1.9835+AC23*1.9835)/E23</f>
        <v>0</v>
      </c>
      <c r="AR23" s="156"/>
      <c r="AS23" s="248"/>
      <c r="AT23" s="120" t="n">
        <v>1.98</v>
      </c>
      <c r="AU23" s="58"/>
      <c r="AV23" s="249" t="n">
        <v>0.758333333333333</v>
      </c>
      <c r="AW23" s="241" t="n">
        <v>68</v>
      </c>
      <c r="AX23" s="241" t="n">
        <v>39</v>
      </c>
      <c r="AY23" s="91"/>
      <c r="AZ23" s="282" t="n">
        <f aca="false">SUM(N23,P23:U23)</f>
        <v>5.70785199802864</v>
      </c>
      <c r="BA23" s="58" t="n">
        <v>80.8</v>
      </c>
      <c r="BB23" s="91" t="n">
        <v>25637</v>
      </c>
    </row>
    <row r="24" customFormat="false" ht="12.95" hidden="false" customHeight="true" outlineLevel="0" collapsed="false">
      <c r="A24" s="207" t="n">
        <f aca="false">A23+1</f>
        <v>10</v>
      </c>
      <c r="B24" s="122" t="n">
        <v>6908.33</v>
      </c>
      <c r="C24" s="123" t="n">
        <v>315359</v>
      </c>
      <c r="D24" s="241" t="n">
        <f aca="false">C24-C23</f>
        <v>2753</v>
      </c>
      <c r="E24" s="123" t="n">
        <f aca="false">C24-152000</f>
        <v>163359</v>
      </c>
      <c r="F24" s="155" t="n">
        <f aca="false">D24/$D$2</f>
        <v>1387.95059238719</v>
      </c>
      <c r="G24" s="239" t="n">
        <v>1480</v>
      </c>
      <c r="H24" s="156" t="n">
        <v>145</v>
      </c>
      <c r="I24" s="155" t="n">
        <f aca="false">G24+H24</f>
        <v>1625</v>
      </c>
      <c r="J24" s="156" t="n">
        <f aca="false">IF(L24&gt;0,L24,0)</f>
        <v>79.4505923871943</v>
      </c>
      <c r="K24" s="155" t="n">
        <f aca="false">I24+J24</f>
        <v>1704.45059238719</v>
      </c>
      <c r="L24" s="155" t="n">
        <f aca="false">F24-(I24-AK24)</f>
        <v>79.4505923871943</v>
      </c>
      <c r="M24" s="279" t="n">
        <v>155</v>
      </c>
      <c r="N24" s="186" t="n">
        <v>0</v>
      </c>
      <c r="O24" s="155" t="n">
        <f aca="false">7.94*1.05</f>
        <v>8.337</v>
      </c>
      <c r="P24" s="186" t="n">
        <v>0</v>
      </c>
      <c r="Q24" s="373" t="n">
        <f aca="false">995900/325851/1.9835*1.02</f>
        <v>1.57168186188661</v>
      </c>
      <c r="R24" s="151" t="n">
        <f aca="false">IF(((4.2*1.04)-T24)&gt;=4.2,4.2,(4.2*1.04)-T24)</f>
        <v>3.61098192</v>
      </c>
      <c r="S24" s="151" t="n">
        <f aca="false">IF(((4.2*1.04)-T24)&gt;=4.2,((4.2*1.04)-T24)-4.2,0)</f>
        <v>0</v>
      </c>
      <c r="T24" s="151" t="n">
        <f aca="false">(0.6867*1.06)*1.04</f>
        <v>0.75701808</v>
      </c>
      <c r="U24" s="393" t="n">
        <v>0</v>
      </c>
      <c r="V24" s="155" t="n">
        <v>47</v>
      </c>
      <c r="W24" s="155" t="n">
        <v>36</v>
      </c>
      <c r="X24" s="280" t="n">
        <f aca="false">M24-N24-O24-P24-Q24-R24-S24-T24-U24+V24+W24-AT24+AR24</f>
        <v>221.783318138113</v>
      </c>
      <c r="Y24" s="280" t="n">
        <f aca="false">X24-AO24</f>
        <v>221.783318138113</v>
      </c>
      <c r="Z24" s="244" t="n">
        <f aca="false">Z23+AP24</f>
        <v>24014.8443093225</v>
      </c>
      <c r="AA24" s="280"/>
      <c r="AB24" s="244" t="n">
        <f aca="false">AB23+(Y24+AP24)*1.9835</f>
        <v>52411.0856008586</v>
      </c>
      <c r="AC24" s="123" t="n">
        <f aca="false">AC23-(AQ23/1.9835)</f>
        <v>1629.2936095985</v>
      </c>
      <c r="AD24" s="123"/>
      <c r="AE24" s="155" t="n">
        <v>25.3</v>
      </c>
      <c r="AF24" s="279" t="n">
        <v>1.7</v>
      </c>
      <c r="AG24" s="281" t="n">
        <v>1.3</v>
      </c>
      <c r="AH24" s="156" t="n">
        <v>53.2</v>
      </c>
      <c r="AI24" s="123" t="n">
        <f aca="false">AI23-AH24</f>
        <v>13907.5578774893</v>
      </c>
      <c r="AJ24" s="112"/>
      <c r="AK24" s="154" t="n">
        <f aca="false">N24+O24+P24+Q24+R24+S24+T24+U24+X24+AE24+AH24+AT24-AR24</f>
        <v>316.5</v>
      </c>
      <c r="AL24" s="155" t="n">
        <f aca="false">IF(L24&lt;0,L24*-1,0)</f>
        <v>0</v>
      </c>
      <c r="AM24" s="155" t="n">
        <f aca="false">AK24+AL24</f>
        <v>316.5</v>
      </c>
      <c r="AN24" s="467"/>
      <c r="AO24" s="241"/>
      <c r="AP24" s="406" t="n">
        <f aca="false">795-X24</f>
        <v>573.216681861887</v>
      </c>
      <c r="AQ24" s="186" t="n">
        <f aca="false">28.68*(12972*1.9835+AC24*1.9835)/E24</f>
        <v>5.08463309205269</v>
      </c>
      <c r="AR24" s="156"/>
      <c r="AS24" s="248"/>
      <c r="AT24" s="120" t="n">
        <v>1.94</v>
      </c>
      <c r="AU24" s="58"/>
      <c r="AV24" s="249" t="n">
        <v>0.04</v>
      </c>
      <c r="AW24" s="241" t="n">
        <v>65</v>
      </c>
      <c r="AX24" s="241" t="n">
        <v>40</v>
      </c>
      <c r="AY24" s="91"/>
      <c r="AZ24" s="282" t="n">
        <f aca="false">SUM(N24,P24:U24)</f>
        <v>5.93968186188662</v>
      </c>
      <c r="BA24" s="58" t="n">
        <v>101</v>
      </c>
      <c r="BB24" s="91" t="n">
        <v>25739</v>
      </c>
    </row>
    <row r="25" customFormat="false" ht="12.95" hidden="false" customHeight="true" outlineLevel="0" collapsed="false">
      <c r="A25" s="207" t="n">
        <f aca="false">A24+1</f>
        <v>11</v>
      </c>
      <c r="B25" s="122" t="n">
        <v>6909.13</v>
      </c>
      <c r="C25" s="123" t="n">
        <v>318523</v>
      </c>
      <c r="D25" s="241" t="n">
        <f aca="false">C25-C24</f>
        <v>3164</v>
      </c>
      <c r="E25" s="123" t="n">
        <f aca="false">C25-152000</f>
        <v>166523</v>
      </c>
      <c r="F25" s="155" t="n">
        <f aca="false">D25/$D$2</f>
        <v>1595.1600705823</v>
      </c>
      <c r="G25" s="239" t="n">
        <v>1650</v>
      </c>
      <c r="H25" s="156" t="n">
        <v>179</v>
      </c>
      <c r="I25" s="155" t="n">
        <f aca="false">G25+H25</f>
        <v>1829</v>
      </c>
      <c r="J25" s="156" t="n">
        <f aca="false">IF(L25&gt;0,L25,0)</f>
        <v>83.1600705823039</v>
      </c>
      <c r="K25" s="155" t="n">
        <f aca="false">I25+J25</f>
        <v>1912.1600705823</v>
      </c>
      <c r="L25" s="155" t="n">
        <f aca="false">F25-(I25-AK25)</f>
        <v>83.1600705823039</v>
      </c>
      <c r="M25" s="279" t="n">
        <v>150</v>
      </c>
      <c r="N25" s="186" t="n">
        <v>0</v>
      </c>
      <c r="O25" s="155" t="n">
        <f aca="false">4.26*1.05</f>
        <v>4.473</v>
      </c>
      <c r="P25" s="186" t="n">
        <v>0</v>
      </c>
      <c r="Q25" s="373" t="n">
        <f aca="false">1159100/325851/1.9835*1.02</f>
        <v>1.82923631500429</v>
      </c>
      <c r="R25" s="151" t="n">
        <f aca="false">IF(((4*1.04)-T25)&gt;=4.2,4.2,(4*1.04)-T25)</f>
        <v>3.40298192</v>
      </c>
      <c r="S25" s="151" t="n">
        <f aca="false">IF(((4*1.04)-T25)&gt;=4.2,((4*1.04)-T25)-4.2,0)</f>
        <v>0</v>
      </c>
      <c r="T25" s="151" t="n">
        <f aca="false">(0.6867*1.06)*1.04</f>
        <v>0.75701808</v>
      </c>
      <c r="U25" s="393" t="n">
        <v>0</v>
      </c>
      <c r="V25" s="155" t="n">
        <v>47.1</v>
      </c>
      <c r="W25" s="155" t="n">
        <v>35.6</v>
      </c>
      <c r="X25" s="280" t="n">
        <f aca="false">M25-N25-O25-P25-Q25-R25-S25-T25-U25+V25+W25-AT25+AR25</f>
        <v>220.117763684996</v>
      </c>
      <c r="Y25" s="280" t="n">
        <f aca="false">X25-AO25</f>
        <v>220.117763684996</v>
      </c>
      <c r="Z25" s="244" t="n">
        <f aca="false">Z24+AP25</f>
        <v>24589.7265456375</v>
      </c>
      <c r="AA25" s="280"/>
      <c r="AB25" s="244" t="n">
        <f aca="false">AB24+(Y25+AP25)*1.9835</f>
        <v>53987.9681008586</v>
      </c>
      <c r="AC25" s="123" t="n">
        <f aca="false">AC24-(AQ24/1.9835)</f>
        <v>1626.73014446512</v>
      </c>
      <c r="AD25" s="123"/>
      <c r="AE25" s="155" t="n">
        <v>31.9</v>
      </c>
      <c r="AF25" s="279" t="n">
        <v>1.7</v>
      </c>
      <c r="AG25" s="281" t="n">
        <v>1.3</v>
      </c>
      <c r="AH25" s="156" t="n">
        <v>52.4</v>
      </c>
      <c r="AI25" s="123" t="n">
        <f aca="false">AI24-AH25</f>
        <v>13855.1578774893</v>
      </c>
      <c r="AJ25" s="112"/>
      <c r="AK25" s="154" t="n">
        <f aca="false">N25+O25+P25+Q25+R25+S25+T25+U25+X25+AE25+AH25+AT25-AR25</f>
        <v>317</v>
      </c>
      <c r="AL25" s="155" t="n">
        <f aca="false">IF(L25&lt;0,L25*-1,0)</f>
        <v>0</v>
      </c>
      <c r="AM25" s="155" t="n">
        <f aca="false">AK25+AL25</f>
        <v>317</v>
      </c>
      <c r="AN25" s="467"/>
      <c r="AO25" s="241"/>
      <c r="AP25" s="406" t="n">
        <f aca="false">795-X25</f>
        <v>574.882236315004</v>
      </c>
      <c r="AQ25" s="186" t="n">
        <f aca="false">31.918*(12972*1.9835+AC25*1.9835)/E25</f>
        <v>5.5502012338697</v>
      </c>
      <c r="AR25" s="156"/>
      <c r="AS25" s="248"/>
      <c r="AT25" s="120" t="n">
        <v>2.12</v>
      </c>
      <c r="AU25" s="58"/>
      <c r="AV25" s="249" t="n">
        <v>0</v>
      </c>
      <c r="AW25" s="241" t="n">
        <v>65</v>
      </c>
      <c r="AX25" s="241" t="n">
        <v>34</v>
      </c>
      <c r="AY25" s="91"/>
      <c r="AZ25" s="282" t="n">
        <f aca="false">SUM(N25,P25:U25)</f>
        <v>5.98923631500429</v>
      </c>
      <c r="BA25" s="58" t="n">
        <v>117</v>
      </c>
      <c r="BB25" s="91" t="n">
        <v>25701</v>
      </c>
    </row>
    <row r="26" customFormat="false" ht="12.95" hidden="false" customHeight="true" outlineLevel="0" collapsed="false">
      <c r="A26" s="207" t="n">
        <f aca="false">A25+1</f>
        <v>12</v>
      </c>
      <c r="B26" s="122" t="n">
        <v>6909.78</v>
      </c>
      <c r="C26" s="123" t="n">
        <v>321111</v>
      </c>
      <c r="D26" s="241" t="n">
        <f aca="false">C26-C25</f>
        <v>2588</v>
      </c>
      <c r="E26" s="123" t="n">
        <f aca="false">C26-152000</f>
        <v>169111</v>
      </c>
      <c r="F26" s="155" t="n">
        <f aca="false">D26/$D$2</f>
        <v>1304.76430552054</v>
      </c>
      <c r="G26" s="239" t="n">
        <v>1450</v>
      </c>
      <c r="H26" s="156" t="n">
        <v>114</v>
      </c>
      <c r="I26" s="155" t="n">
        <f aca="false">G26+H26</f>
        <v>1564</v>
      </c>
      <c r="J26" s="156" t="n">
        <f aca="false">IF(L26&gt;0,L26,0)</f>
        <v>80.3643055205444</v>
      </c>
      <c r="K26" s="155" t="n">
        <f aca="false">I26+J26</f>
        <v>1644.36430552054</v>
      </c>
      <c r="L26" s="155" t="n">
        <f aca="false">F26-(I26-AK26)</f>
        <v>80.3643055205444</v>
      </c>
      <c r="M26" s="279" t="n">
        <v>160</v>
      </c>
      <c r="N26" s="186" t="n">
        <v>0</v>
      </c>
      <c r="O26" s="155" t="n">
        <f aca="false">8.48*1.05</f>
        <v>8.904</v>
      </c>
      <c r="P26" s="186" t="n">
        <v>0</v>
      </c>
      <c r="Q26" s="373" t="n">
        <f aca="false">1321400/325851/1.9835*1.02</f>
        <v>2.08537043106434</v>
      </c>
      <c r="R26" s="151" t="n">
        <f aca="false">IF(((3.7*1.04)-T26)&gt;=4.2,4.2,(3.7*1.04)-T26)</f>
        <v>3.09098192</v>
      </c>
      <c r="S26" s="151" t="n">
        <f aca="false">IF(((3.7*1.04)-T26)&gt;=4.2,((3.7*1.04)-T26)-4.2,0)</f>
        <v>0</v>
      </c>
      <c r="T26" s="151" t="n">
        <f aca="false">(0.6867*1.06)*1.04</f>
        <v>0.75701808</v>
      </c>
      <c r="U26" s="393" t="n">
        <v>0</v>
      </c>
      <c r="V26" s="155" t="n">
        <v>48.5</v>
      </c>
      <c r="W26" s="155" t="n">
        <v>40.9</v>
      </c>
      <c r="X26" s="280" t="n">
        <f aca="false">M26-N26-O26-P26-Q26-R26-S26-T26-U26+V26+W26-AT26+AR26</f>
        <v>232.342629568936</v>
      </c>
      <c r="Y26" s="280" t="n">
        <f aca="false">X26-AO26</f>
        <v>232.342629568936</v>
      </c>
      <c r="Z26" s="244" t="n">
        <f aca="false">Z25+AP26</f>
        <v>25152.3839160685</v>
      </c>
      <c r="AA26" s="280"/>
      <c r="AB26" s="244" t="n">
        <f aca="false">AB25+(Y26+AP26)*1.9835</f>
        <v>55564.8506008586</v>
      </c>
      <c r="AC26" s="123" t="n">
        <f aca="false">AC25-(AQ25/1.9835)</f>
        <v>1623.93195881659</v>
      </c>
      <c r="AD26" s="123"/>
      <c r="AE26" s="155" t="n">
        <v>37.8</v>
      </c>
      <c r="AF26" s="279" t="n">
        <v>1.7</v>
      </c>
      <c r="AG26" s="281" t="n">
        <v>1.3</v>
      </c>
      <c r="AH26" s="156" t="n">
        <v>52.4</v>
      </c>
      <c r="AI26" s="123" t="n">
        <f aca="false">AI25-AH26</f>
        <v>13802.7578774893</v>
      </c>
      <c r="AJ26" s="112"/>
      <c r="AK26" s="154" t="n">
        <f aca="false">N26+O26+P26+Q26+R26+S26+T26+U26+X26+AE26+AH26+AT26-AR26</f>
        <v>339.6</v>
      </c>
      <c r="AL26" s="155" t="n">
        <f aca="false">IF(L26&lt;0,L26*-1,0)</f>
        <v>0</v>
      </c>
      <c r="AM26" s="155" t="n">
        <f aca="false">AK26+AL26</f>
        <v>339.6</v>
      </c>
      <c r="AN26" s="467"/>
      <c r="AO26" s="241"/>
      <c r="AP26" s="406" t="n">
        <f aca="false">795-X26</f>
        <v>562.657370431064</v>
      </c>
      <c r="AQ26" s="186" t="n">
        <f aca="false">42.668*(12972*1.9835+AC26*1.9835)/E26</f>
        <v>7.3045667781993</v>
      </c>
      <c r="AR26" s="156"/>
      <c r="AS26" s="248"/>
      <c r="AT26" s="120" t="n">
        <v>2.22</v>
      </c>
      <c r="AU26" s="58"/>
      <c r="AV26" s="249" t="n">
        <v>0</v>
      </c>
      <c r="AW26" s="369" t="n">
        <v>73</v>
      </c>
      <c r="AX26" s="241" t="n">
        <v>36</v>
      </c>
      <c r="AY26" s="91"/>
      <c r="AZ26" s="282" t="n">
        <f aca="false">SUM(N26,P26:U26)</f>
        <v>5.93337043106434</v>
      </c>
      <c r="BA26" s="58" t="n">
        <v>117</v>
      </c>
      <c r="BB26" s="91" t="n">
        <v>25550</v>
      </c>
    </row>
    <row r="27" customFormat="false" ht="12.95" hidden="false" customHeight="true" outlineLevel="0" collapsed="false">
      <c r="A27" s="207" t="n">
        <f aca="false">A26+1</f>
        <v>13</v>
      </c>
      <c r="B27" s="122" t="n">
        <v>6910.39</v>
      </c>
      <c r="C27" s="123" t="n">
        <v>323551</v>
      </c>
      <c r="D27" s="241" t="n">
        <f aca="false">C27-C26</f>
        <v>2440</v>
      </c>
      <c r="E27" s="123" t="n">
        <f aca="false">C27-152000</f>
        <v>171551</v>
      </c>
      <c r="F27" s="155" t="n">
        <f aca="false">D27/$D$2</f>
        <v>1230.14872699773</v>
      </c>
      <c r="G27" s="239" t="n">
        <v>1530</v>
      </c>
      <c r="H27" s="156" t="n">
        <v>115</v>
      </c>
      <c r="I27" s="155" t="n">
        <f aca="false">G27+H27</f>
        <v>1645</v>
      </c>
      <c r="J27" s="156" t="n">
        <f aca="false">IF(L27&gt;0,L27,0)</f>
        <v>57.7487269977312</v>
      </c>
      <c r="K27" s="155" t="n">
        <f aca="false">I27+J27</f>
        <v>1702.74872699773</v>
      </c>
      <c r="L27" s="155" t="n">
        <f aca="false">F27-(I27-AK27)</f>
        <v>57.7487269977312</v>
      </c>
      <c r="M27" s="279" t="n">
        <v>240</v>
      </c>
      <c r="N27" s="186" t="n">
        <v>0</v>
      </c>
      <c r="O27" s="155" t="n">
        <f aca="false">51.3*1.05</f>
        <v>53.865</v>
      </c>
      <c r="P27" s="186" t="n">
        <v>0</v>
      </c>
      <c r="Q27" s="373" t="n">
        <f aca="false">1618300/325851/1.9835*1.02</f>
        <v>2.55392384485501</v>
      </c>
      <c r="R27" s="151" t="n">
        <f aca="false">IF(((2.6*1.04)-T27)&gt;=4.2,4.2,(2.6*1.04)-T27)</f>
        <v>1.71206048</v>
      </c>
      <c r="S27" s="151" t="n">
        <f aca="false">IF(((2.6*1.04)-T27)&gt;=4.2,((2.6*1.04)-T27)-4.2,0)</f>
        <v>0</v>
      </c>
      <c r="T27" s="151" t="n">
        <f aca="false">(0.8998*1.06)*1.04</f>
        <v>0.99193952</v>
      </c>
      <c r="U27" s="393" t="n">
        <v>0</v>
      </c>
      <c r="V27" s="155" t="n">
        <v>59.9</v>
      </c>
      <c r="W27" s="155" t="n">
        <v>45.3</v>
      </c>
      <c r="X27" s="280" t="n">
        <f aca="false">M27-N27-O27-P27-Q27-R27-S27-T27-U27+V27+W27-AT27+AR27</f>
        <v>283.847076155145</v>
      </c>
      <c r="Y27" s="280" t="n">
        <f aca="false">X27-AO27</f>
        <v>283.847076155145</v>
      </c>
      <c r="Z27" s="244" t="n">
        <f aca="false">Z26+AP27</f>
        <v>25663.5368399134</v>
      </c>
      <c r="AA27" s="280"/>
      <c r="AB27" s="244" t="n">
        <f aca="false">AB26+(Y27+AP27)*1.9835</f>
        <v>57141.7331008586</v>
      </c>
      <c r="AC27" s="123" t="n">
        <f aca="false">AC26-(AQ26/1.9835)</f>
        <v>1620.24929343812</v>
      </c>
      <c r="AD27" s="123"/>
      <c r="AE27" s="155" t="n">
        <v>74.7</v>
      </c>
      <c r="AF27" s="279" t="n">
        <v>1.7</v>
      </c>
      <c r="AG27" s="281" t="n">
        <v>1.3</v>
      </c>
      <c r="AH27" s="156" t="n">
        <v>52.7</v>
      </c>
      <c r="AI27" s="123" t="n">
        <f aca="false">AI26-AH27</f>
        <v>13750.0578774893</v>
      </c>
      <c r="AJ27" s="112"/>
      <c r="AK27" s="154" t="n">
        <f aca="false">N27+O27+P27+Q27+R27+S27+T27+U27+X27+AE27+AH27+AT27-AR27</f>
        <v>472.6</v>
      </c>
      <c r="AL27" s="155" t="n">
        <f aca="false">IF(L27&lt;0,L27*-1,0)</f>
        <v>0</v>
      </c>
      <c r="AM27" s="155" t="n">
        <f aca="false">AK27+AL27</f>
        <v>472.6</v>
      </c>
      <c r="AN27" s="467"/>
      <c r="AO27" s="241"/>
      <c r="AP27" s="406" t="n">
        <f aca="false">795-X27</f>
        <v>511.152923844855</v>
      </c>
      <c r="AQ27" s="186" t="n">
        <f aca="false">67.15*(12972*1.9835+AC27*1.9835)/E27</f>
        <v>11.3294077720202</v>
      </c>
      <c r="AR27" s="156"/>
      <c r="AS27" s="248"/>
      <c r="AT27" s="120" t="n">
        <v>2.23</v>
      </c>
      <c r="AU27" s="58"/>
      <c r="AV27" s="249" t="n">
        <v>0</v>
      </c>
      <c r="AW27" s="369" t="n">
        <v>80</v>
      </c>
      <c r="AX27" s="241" t="n">
        <v>41</v>
      </c>
      <c r="AY27" s="91"/>
      <c r="AZ27" s="282" t="n">
        <f aca="false">SUM(N27,P27:U27)</f>
        <v>5.25792384485501</v>
      </c>
      <c r="BA27" s="58" t="n">
        <v>117</v>
      </c>
      <c r="BB27" s="91" t="n">
        <v>25403</v>
      </c>
    </row>
    <row r="28" customFormat="false" ht="12.95" hidden="false" customHeight="true" outlineLevel="0" collapsed="false">
      <c r="A28" s="207" t="n">
        <f aca="false">A27+1</f>
        <v>14</v>
      </c>
      <c r="B28" s="122" t="n">
        <v>6911.23</v>
      </c>
      <c r="C28" s="123" t="n">
        <v>326930</v>
      </c>
      <c r="D28" s="241" t="n">
        <f aca="false">C28-C27</f>
        <v>3379</v>
      </c>
      <c r="E28" s="123" t="n">
        <f aca="false">C28-152000</f>
        <v>174930</v>
      </c>
      <c r="F28" s="155" t="n">
        <f aca="false">D28/$D$2</f>
        <v>1703.55432316612</v>
      </c>
      <c r="G28" s="239" t="n">
        <v>1910</v>
      </c>
      <c r="H28" s="156" t="n">
        <v>165</v>
      </c>
      <c r="I28" s="155" t="n">
        <f aca="false">G28+H28</f>
        <v>2075</v>
      </c>
      <c r="J28" s="156" t="n">
        <f aca="false">IF(L28&gt;0,L28,0)</f>
        <v>183.55432316612</v>
      </c>
      <c r="K28" s="155" t="n">
        <f aca="false">I28+J28</f>
        <v>2258.55432316612</v>
      </c>
      <c r="L28" s="155" t="n">
        <f aca="false">F28-(I28-AK28)</f>
        <v>183.55432316612</v>
      </c>
      <c r="M28" s="279" t="n">
        <v>243</v>
      </c>
      <c r="N28" s="186" t="n">
        <v>0</v>
      </c>
      <c r="O28" s="155" t="n">
        <f aca="false">90.4*1.05</f>
        <v>94.92</v>
      </c>
      <c r="P28" s="186" t="n">
        <v>0</v>
      </c>
      <c r="Q28" s="373" t="n">
        <f aca="false">1458400/325851/1.9835*1.02</f>
        <v>2.301577294282</v>
      </c>
      <c r="R28" s="151" t="n">
        <f aca="false">IF(((3.7*1.04)-T28)&gt;=4.2,4.2,(3.7*1.04)-T28)</f>
        <v>2.85606048</v>
      </c>
      <c r="S28" s="151" t="n">
        <f aca="false">IF(((3.7*1.04)-T28)&gt;=4.2,((3.7*1.04)-T28)-4.2,0)</f>
        <v>0</v>
      </c>
      <c r="T28" s="151" t="n">
        <f aca="false">(0.8998*1.06)*1.04</f>
        <v>0.99193952</v>
      </c>
      <c r="U28" s="393" t="n">
        <v>0</v>
      </c>
      <c r="V28" s="155" t="n">
        <v>79.1</v>
      </c>
      <c r="W28" s="155" t="n">
        <v>48.1</v>
      </c>
      <c r="X28" s="280" t="n">
        <f aca="false">M28-N28-O28-P28-Q28-R28-S28-T28-U28+V28+W28-AT28+AR28</f>
        <v>266.890422705718</v>
      </c>
      <c r="Y28" s="280" t="n">
        <f aca="false">X28-AO28</f>
        <v>266.890422705718</v>
      </c>
      <c r="Z28" s="244" t="n">
        <f aca="false">Z27+AP28</f>
        <v>26191.6464172077</v>
      </c>
      <c r="AA28" s="280"/>
      <c r="AB28" s="244" t="n">
        <f aca="false">AB27+(Y28+AP28)*1.9835</f>
        <v>58718.6156008586</v>
      </c>
      <c r="AC28" s="123" t="n">
        <f aca="false">AC27-(AQ27/1.9835)</f>
        <v>1614.53746698386</v>
      </c>
      <c r="AD28" s="123"/>
      <c r="AE28" s="155" t="n">
        <v>132</v>
      </c>
      <c r="AF28" s="279" t="n">
        <v>1.7</v>
      </c>
      <c r="AG28" s="281" t="n">
        <v>1.3</v>
      </c>
      <c r="AH28" s="156" t="n">
        <v>52.8</v>
      </c>
      <c r="AI28" s="123" t="n">
        <f aca="false">AI27-AH28</f>
        <v>13697.2578774893</v>
      </c>
      <c r="AJ28" s="112"/>
      <c r="AK28" s="154" t="n">
        <f aca="false">N28+O28+P28+Q28+R28+S28+T28+U28+X28+AE28+AH28+AT28-AR28</f>
        <v>555</v>
      </c>
      <c r="AL28" s="155" t="n">
        <f aca="false">IF(L28&lt;0,L28*-1,0)</f>
        <v>0</v>
      </c>
      <c r="AM28" s="155" t="n">
        <f aca="false">AK28+AL28</f>
        <v>555</v>
      </c>
      <c r="AN28" s="467"/>
      <c r="AO28" s="241"/>
      <c r="AP28" s="406" t="n">
        <f aca="false">795-X28</f>
        <v>528.109577294282</v>
      </c>
      <c r="AQ28" s="186" t="n">
        <f aca="false">64.632*(12972*1.9835+AC28*1.9835)/E28</f>
        <v>10.6897541139562</v>
      </c>
      <c r="AR28" s="156"/>
      <c r="AS28" s="248"/>
      <c r="AT28" s="120" t="n">
        <v>2.24</v>
      </c>
      <c r="AU28" s="58"/>
      <c r="AV28" s="249" t="n">
        <v>0</v>
      </c>
      <c r="AW28" s="369" t="n">
        <v>82</v>
      </c>
      <c r="AX28" s="241" t="n">
        <v>45</v>
      </c>
      <c r="AY28" s="91"/>
      <c r="AZ28" s="282" t="n">
        <f aca="false">SUM(N28,P28:U28)</f>
        <v>6.149577294282</v>
      </c>
      <c r="BA28" s="58" t="n">
        <v>116</v>
      </c>
      <c r="BB28" s="91" t="n">
        <v>25288</v>
      </c>
    </row>
    <row r="29" customFormat="false" ht="12.95" hidden="false" customHeight="true" outlineLevel="0" collapsed="false">
      <c r="A29" s="207" t="n">
        <f aca="false">A28+1</f>
        <v>15</v>
      </c>
      <c r="B29" s="122" t="n">
        <v>6912.08</v>
      </c>
      <c r="C29" s="123" t="n">
        <v>330370</v>
      </c>
      <c r="D29" s="241" t="n">
        <f aca="false">C29-C28</f>
        <v>3440</v>
      </c>
      <c r="E29" s="123" t="n">
        <f aca="false">C29-152000</f>
        <v>178370</v>
      </c>
      <c r="F29" s="155" t="n">
        <f aca="false">D29/$D$2</f>
        <v>1734.30804134106</v>
      </c>
      <c r="G29" s="239" t="n">
        <v>2290</v>
      </c>
      <c r="H29" s="156" t="n">
        <v>162</v>
      </c>
      <c r="I29" s="155" t="n">
        <f aca="false">G29+H29</f>
        <v>2452</v>
      </c>
      <c r="J29" s="156" t="n">
        <f aca="false">IF(L29&gt;0,L29,0)</f>
        <v>0</v>
      </c>
      <c r="K29" s="155" t="n">
        <f aca="false">I29+J29</f>
        <v>2452</v>
      </c>
      <c r="L29" s="155" t="n">
        <f aca="false">F29-(I29-AK29)</f>
        <v>-132.791958658936</v>
      </c>
      <c r="M29" s="279" t="n">
        <v>272</v>
      </c>
      <c r="N29" s="186" t="n">
        <v>0</v>
      </c>
      <c r="O29" s="155" t="n">
        <f aca="false">101*1.05</f>
        <v>106.05</v>
      </c>
      <c r="P29" s="186" t="n">
        <v>0</v>
      </c>
      <c r="Q29" s="373" t="n">
        <f aca="false">1540200/325851/1.9835*1.02</f>
        <v>2.43067015129809</v>
      </c>
      <c r="R29" s="151" t="n">
        <f aca="false">IF(((3.6*1.04)-T29)&gt;=4.2,4.2,(3.6*1.04)-T29)</f>
        <v>2.75206048</v>
      </c>
      <c r="S29" s="151" t="n">
        <f aca="false">IF(((3.6*1.04)-T29)&gt;=4.2,((3.6*1.04)-T29)-4.2,0)</f>
        <v>0</v>
      </c>
      <c r="T29" s="151" t="n">
        <f aca="false">(0.8998*1.06)*1.04</f>
        <v>0.99193952</v>
      </c>
      <c r="U29" s="393" t="n">
        <v>0</v>
      </c>
      <c r="V29" s="155" t="n">
        <v>87.6</v>
      </c>
      <c r="W29" s="155" t="n">
        <v>51.1</v>
      </c>
      <c r="X29" s="280" t="n">
        <f aca="false">M29-N29-O29-P29-Q29-R29-S29-T29-U29+V29+W29-AT29+AR29</f>
        <v>296.325329848702</v>
      </c>
      <c r="Y29" s="280" t="n">
        <f aca="false">X29-AO29</f>
        <v>296.325329848702</v>
      </c>
      <c r="Z29" s="244" t="n">
        <f aca="false">Z28+AP29</f>
        <v>26690.321087359</v>
      </c>
      <c r="AA29" s="280"/>
      <c r="AB29" s="244" t="n">
        <f aca="false">AB28+(Y29+AP29)*1.9835</f>
        <v>60295.4981008586</v>
      </c>
      <c r="AC29" s="123" t="n">
        <f aca="false">AC28-(AQ28/1.9835)</f>
        <v>1609.14812787927</v>
      </c>
      <c r="AD29" s="123"/>
      <c r="AE29" s="155" t="n">
        <v>121</v>
      </c>
      <c r="AF29" s="279" t="n">
        <v>1.7</v>
      </c>
      <c r="AG29" s="281" t="n">
        <v>1.3</v>
      </c>
      <c r="AH29" s="156" t="n">
        <v>53.2</v>
      </c>
      <c r="AI29" s="123" t="n">
        <f aca="false">AI28-AH29</f>
        <v>13644.0578774893</v>
      </c>
      <c r="AJ29" s="112"/>
      <c r="AK29" s="154" t="n">
        <f aca="false">N29+O29+P29+Q29+R29+S29+T29+U29+X29+AE29+AH29+AT29-AR29</f>
        <v>584.9</v>
      </c>
      <c r="AL29" s="155" t="n">
        <f aca="false">IF(L29&lt;0,L29*-1,0)</f>
        <v>132.791958658936</v>
      </c>
      <c r="AM29" s="155" t="n">
        <f aca="false">AK29+AL29</f>
        <v>717.691958658936</v>
      </c>
      <c r="AN29" s="467"/>
      <c r="AO29" s="241"/>
      <c r="AP29" s="406" t="n">
        <f aca="false">795-X29</f>
        <v>498.674670151298</v>
      </c>
      <c r="AQ29" s="186" t="n">
        <f aca="false">47.378*(12972*1.9835+AC29*1.9835)/E29</f>
        <v>7.68208022095242</v>
      </c>
      <c r="AR29" s="156"/>
      <c r="AS29" s="248"/>
      <c r="AT29" s="120" t="n">
        <v>2.15</v>
      </c>
      <c r="AU29" s="58"/>
      <c r="AV29" s="249" t="n">
        <v>0.02</v>
      </c>
      <c r="AW29" s="369" t="n">
        <v>75</v>
      </c>
      <c r="AX29" s="241" t="n">
        <v>50</v>
      </c>
      <c r="AY29" s="91"/>
      <c r="AZ29" s="282" t="n">
        <f aca="false">SUM(N29,P29:U29)</f>
        <v>6.17467015129809</v>
      </c>
      <c r="BA29" s="58" t="n">
        <v>95.3</v>
      </c>
      <c r="BB29" s="91" t="n">
        <v>25205</v>
      </c>
    </row>
    <row r="30" customFormat="false" ht="12.95" hidden="false" customHeight="true" outlineLevel="0" collapsed="false">
      <c r="A30" s="207" t="n">
        <f aca="false">A29+1</f>
        <v>16</v>
      </c>
      <c r="B30" s="122" t="n">
        <v>6912.98</v>
      </c>
      <c r="C30" s="123" t="n">
        <v>334040</v>
      </c>
      <c r="D30" s="241" t="n">
        <f aca="false">C30-C29</f>
        <v>3670</v>
      </c>
      <c r="E30" s="123" t="n">
        <f aca="false">C30-152000</f>
        <v>182040</v>
      </c>
      <c r="F30" s="155" t="n">
        <f aca="false">D30/$D$2</f>
        <v>1850.26468364003</v>
      </c>
      <c r="G30" s="239" t="n">
        <v>2340</v>
      </c>
      <c r="H30" s="156" t="n">
        <v>171</v>
      </c>
      <c r="I30" s="155" t="n">
        <f aca="false">G30+H30</f>
        <v>2511</v>
      </c>
      <c r="J30" s="156" t="n">
        <f aca="false">IF(L30&gt;0,L30,0)</f>
        <v>0</v>
      </c>
      <c r="K30" s="155" t="n">
        <f aca="false">I30+J30</f>
        <v>2511</v>
      </c>
      <c r="L30" s="155" t="n">
        <f aca="false">F30-(I30-AK30)</f>
        <v>-77.9353163599697</v>
      </c>
      <c r="M30" s="279" t="n">
        <v>258</v>
      </c>
      <c r="N30" s="186" t="n">
        <v>0</v>
      </c>
      <c r="O30" s="155" t="n">
        <f aca="false">88.9*1.05</f>
        <v>93.345</v>
      </c>
      <c r="P30" s="186" t="n">
        <v>0</v>
      </c>
      <c r="Q30" s="373" t="n">
        <f aca="false">1081100/325851/1.9835*1.02</f>
        <v>1.70614043667599</v>
      </c>
      <c r="R30" s="151" t="n">
        <f aca="false">IF(((3*1.04)-T30)&gt;=4.2,4.2,(3*1.04)-T30)</f>
        <v>2.12806048</v>
      </c>
      <c r="S30" s="151" t="n">
        <f aca="false">IF(((3*1.04)-T30)&gt;=4.2,((3*1.04)-T30)-4.2,0)</f>
        <v>0</v>
      </c>
      <c r="T30" s="151" t="n">
        <f aca="false">(0.8998*1.06)*1.04</f>
        <v>0.99193952</v>
      </c>
      <c r="U30" s="393" t="n">
        <v>0</v>
      </c>
      <c r="V30" s="155" t="n">
        <v>94.5</v>
      </c>
      <c r="W30" s="155" t="n">
        <v>58.1</v>
      </c>
      <c r="X30" s="280" t="n">
        <f aca="false">M30-N30-O30-P30-Q30-R30-S30-T30-U30+V30+W30-AT30+AR30</f>
        <v>310.158859563324</v>
      </c>
      <c r="Y30" s="280" t="n">
        <f aca="false">X30-AO30</f>
        <v>310.158859563324</v>
      </c>
      <c r="Z30" s="244" t="n">
        <f aca="false">Z29+AP30</f>
        <v>27175.1622277956</v>
      </c>
      <c r="AA30" s="280"/>
      <c r="AB30" s="244" t="n">
        <f aca="false">AB29+(Y30+AP30)*1.9835</f>
        <v>61872.3806008586</v>
      </c>
      <c r="AC30" s="123" t="n">
        <f aca="false">AC29-(AQ29/1.9835)</f>
        <v>1605.27513558234</v>
      </c>
      <c r="AD30" s="123"/>
      <c r="AE30" s="155" t="n">
        <v>119</v>
      </c>
      <c r="AF30" s="279" t="n">
        <v>1.7</v>
      </c>
      <c r="AG30" s="281" t="n">
        <v>1.3</v>
      </c>
      <c r="AH30" s="156" t="n">
        <v>53.2</v>
      </c>
      <c r="AI30" s="123" t="n">
        <f aca="false">AI29-AH30</f>
        <v>13590.8578774893</v>
      </c>
      <c r="AJ30" s="112"/>
      <c r="AK30" s="154" t="n">
        <f aca="false">N30+O30+P30+Q30+R30+S30+T30+U30+X30+AE30+AH30+AT30-AR30</f>
        <v>582.8</v>
      </c>
      <c r="AL30" s="155" t="n">
        <f aca="false">IF(L30&lt;0,L30*-1,0)</f>
        <v>77.9353163599697</v>
      </c>
      <c r="AM30" s="155" t="n">
        <f aca="false">AK30+AL30</f>
        <v>660.73531635997</v>
      </c>
      <c r="AN30" s="467"/>
      <c r="AO30" s="241"/>
      <c r="AP30" s="406" t="n">
        <f aca="false">795-X30</f>
        <v>484.841140436676</v>
      </c>
      <c r="AQ30" s="186" t="n">
        <f aca="false">0*(12972*1.9835+AC30*1.9835)/E30</f>
        <v>0</v>
      </c>
      <c r="AR30" s="156"/>
      <c r="AS30" s="248"/>
      <c r="AT30" s="120" t="n">
        <v>2.27</v>
      </c>
      <c r="AU30" s="58"/>
      <c r="AV30" s="249" t="n">
        <v>0.25</v>
      </c>
      <c r="AW30" s="241" t="n">
        <v>62</v>
      </c>
      <c r="AX30" s="241" t="n">
        <v>39</v>
      </c>
      <c r="AY30" s="91"/>
      <c r="AZ30" s="282" t="n">
        <f aca="false">SUM(N30,P30:U30)</f>
        <v>4.82614043667599</v>
      </c>
      <c r="BA30" s="58" t="n">
        <v>74.3</v>
      </c>
      <c r="BB30" s="91" t="n">
        <v>25341</v>
      </c>
    </row>
    <row r="31" customFormat="false" ht="12.95" hidden="false" customHeight="true" outlineLevel="0" collapsed="false">
      <c r="A31" s="207" t="n">
        <f aca="false">A30+1</f>
        <v>17</v>
      </c>
      <c r="B31" s="122" t="n">
        <v>6913.67</v>
      </c>
      <c r="C31" s="123" t="n">
        <v>336875</v>
      </c>
      <c r="D31" s="241" t="n">
        <f aca="false">C31-C30</f>
        <v>2835</v>
      </c>
      <c r="E31" s="123" t="n">
        <f aca="false">C31-152000</f>
        <v>184875</v>
      </c>
      <c r="F31" s="155" t="n">
        <f aca="false">D31/$D$2</f>
        <v>1429.29165616335</v>
      </c>
      <c r="G31" s="239" t="n">
        <v>1850</v>
      </c>
      <c r="H31" s="156" t="n">
        <v>109</v>
      </c>
      <c r="I31" s="155" t="n">
        <f aca="false">G31+H31</f>
        <v>1959</v>
      </c>
      <c r="J31" s="156" t="n">
        <f aca="false">IF(L31&gt;0,L31,0)</f>
        <v>86.9916561633477</v>
      </c>
      <c r="K31" s="155" t="n">
        <f aca="false">I31+J31</f>
        <v>2045.99165616335</v>
      </c>
      <c r="L31" s="155" t="n">
        <f aca="false">F31-(I31-AK31)</f>
        <v>86.9916561633477</v>
      </c>
      <c r="M31" s="279" t="n">
        <v>243</v>
      </c>
      <c r="N31" s="186" t="n">
        <v>0</v>
      </c>
      <c r="O31" s="155" t="n">
        <f aca="false">81.4*1.05</f>
        <v>85.47</v>
      </c>
      <c r="P31" s="186" t="n">
        <v>0</v>
      </c>
      <c r="Q31" s="373" t="n">
        <f aca="false">1045000/325851/1.9835*1.02</f>
        <v>1.64916913914199</v>
      </c>
      <c r="R31" s="151" t="n">
        <f aca="false">IF(((4*1.04)-T31)&gt;=4.2,4.2,(4*1.04)-T31)</f>
        <v>3.16806048</v>
      </c>
      <c r="S31" s="151" t="n">
        <f aca="false">IF(((4*1.04)-T31)&gt;=4.2,((4*1.04)-T31)-4.2,0)</f>
        <v>0</v>
      </c>
      <c r="T31" s="151" t="n">
        <f aca="false">(0.8998*1.06)*1.04</f>
        <v>0.99193952</v>
      </c>
      <c r="U31" s="393" t="n">
        <v>0</v>
      </c>
      <c r="V31" s="155" t="n">
        <v>95</v>
      </c>
      <c r="W31" s="155" t="n">
        <v>59.5</v>
      </c>
      <c r="X31" s="280" t="n">
        <f aca="false">M31-N31-O31-P31-Q31-R31-S31-T31-U31+V31+W31-AT31+AR31</f>
        <v>303.860830860858</v>
      </c>
      <c r="Y31" s="280" t="n">
        <f aca="false">X31-AO31</f>
        <v>303.860830860858</v>
      </c>
      <c r="Z31" s="244" t="n">
        <f aca="false">Z30+AP31</f>
        <v>27666.3013969348</v>
      </c>
      <c r="AA31" s="280"/>
      <c r="AB31" s="244" t="n">
        <f aca="false">AB30+(Y31+AP31)*1.9835</f>
        <v>63449.2631008586</v>
      </c>
      <c r="AC31" s="123" t="n">
        <f aca="false">AC30-(AQ30/1.9835)</f>
        <v>1605.27513558234</v>
      </c>
      <c r="AD31" s="123"/>
      <c r="AE31" s="155" t="n">
        <v>166</v>
      </c>
      <c r="AF31" s="279" t="n">
        <v>1.7</v>
      </c>
      <c r="AG31" s="281" t="n">
        <v>1.3</v>
      </c>
      <c r="AH31" s="156" t="n">
        <v>53.2</v>
      </c>
      <c r="AI31" s="123" t="n">
        <f aca="false">AI30-AH31</f>
        <v>13537.6578774893</v>
      </c>
      <c r="AJ31" s="112"/>
      <c r="AK31" s="154" t="n">
        <f aca="false">N31+O31+P31+Q31+R31+S31+T31+U31+X31+AE31+AH31+AT31-AR31</f>
        <v>616.7</v>
      </c>
      <c r="AL31" s="155" t="n">
        <f aca="false">IF(L31&lt;0,L31*-1,0)</f>
        <v>0</v>
      </c>
      <c r="AM31" s="155" t="n">
        <f aca="false">AK31+AL31</f>
        <v>616.7</v>
      </c>
      <c r="AN31" s="467"/>
      <c r="AO31" s="241"/>
      <c r="AP31" s="406" t="n">
        <f aca="false">795-X31</f>
        <v>491.139169139142</v>
      </c>
      <c r="AQ31" s="186" t="n">
        <f aca="false">20.694*(12972*1.9835+AC31*1.9835)/E31</f>
        <v>3.23649405349107</v>
      </c>
      <c r="AR31" s="156"/>
      <c r="AS31" s="248"/>
      <c r="AT31" s="120" t="n">
        <v>2.36</v>
      </c>
      <c r="AU31" s="58"/>
      <c r="AV31" s="249" t="n">
        <v>0.07</v>
      </c>
      <c r="AW31" s="241" t="n">
        <v>68</v>
      </c>
      <c r="AX31" s="241" t="n">
        <v>38</v>
      </c>
      <c r="AY31" s="91"/>
      <c r="AZ31" s="282" t="n">
        <f aca="false">SUM(N31,P31:U31)</f>
        <v>5.80916913914199</v>
      </c>
      <c r="BA31" s="58" t="n">
        <v>74.2</v>
      </c>
      <c r="BB31" s="91" t="n">
        <v>25344</v>
      </c>
    </row>
    <row r="32" customFormat="false" ht="12.95" hidden="false" customHeight="true" outlineLevel="0" collapsed="false">
      <c r="A32" s="207" t="n">
        <f aca="false">A31+1</f>
        <v>18</v>
      </c>
      <c r="B32" s="122" t="n">
        <v>6914.26</v>
      </c>
      <c r="C32" s="123" t="n">
        <v>339307</v>
      </c>
      <c r="D32" s="241" t="n">
        <f aca="false">C32-C31</f>
        <v>2432</v>
      </c>
      <c r="E32" s="123" t="n">
        <f aca="false">C32-152000</f>
        <v>187307</v>
      </c>
      <c r="F32" s="155" t="n">
        <f aca="false">D32/$D$2</f>
        <v>1226.11545248298</v>
      </c>
      <c r="G32" s="239" t="n">
        <v>1620</v>
      </c>
      <c r="H32" s="156" t="n">
        <v>99.7</v>
      </c>
      <c r="I32" s="155" t="n">
        <f aca="false">G32+H32</f>
        <v>1719.7</v>
      </c>
      <c r="J32" s="156" t="n">
        <f aca="false">IF(L32&gt;0,L32,0)</f>
        <v>109.915452482985</v>
      </c>
      <c r="K32" s="155" t="n">
        <f aca="false">I32+J32</f>
        <v>1829.61545248298</v>
      </c>
      <c r="L32" s="155" t="n">
        <f aca="false">F32-(I32-AK32)</f>
        <v>109.915452482985</v>
      </c>
      <c r="M32" s="279" t="n">
        <v>225</v>
      </c>
      <c r="N32" s="186" t="n">
        <v>0</v>
      </c>
      <c r="O32" s="155" t="n">
        <f aca="false">80.1*1.05</f>
        <v>84.105</v>
      </c>
      <c r="P32" s="186" t="n">
        <v>0</v>
      </c>
      <c r="Q32" s="373" t="n">
        <f aca="false">1016100/325851/1.9835*1.02</f>
        <v>1.60356053806907</v>
      </c>
      <c r="R32" s="151" t="n">
        <f aca="false">IF(((5*1.04)-T32)&gt;=4.2,4.2,(5*1.04)-T32)</f>
        <v>4.2</v>
      </c>
      <c r="S32" s="151" t="n">
        <f aca="false">IF(((5*1.04)-T32)&gt;=4.2,((5*1.04)-T32)-4.2,0)</f>
        <v>0.00806048000000015</v>
      </c>
      <c r="T32" s="151" t="n">
        <f aca="false">(0.8998*1.06)*1.04</f>
        <v>0.99193952</v>
      </c>
      <c r="U32" s="393" t="n">
        <v>0</v>
      </c>
      <c r="V32" s="155" t="n">
        <v>94.8</v>
      </c>
      <c r="W32" s="155" t="n">
        <v>59.4</v>
      </c>
      <c r="X32" s="280" t="n">
        <f aca="false">M32-N32-O32-P32-Q32-R32-S32-T32-U32+V32+W32-AT32+AR32</f>
        <v>285.971439461931</v>
      </c>
      <c r="Y32" s="280" t="n">
        <f aca="false">X32-AO32</f>
        <v>285.971439461931</v>
      </c>
      <c r="Z32" s="244" t="n">
        <f aca="false">Z31+AP32</f>
        <v>28175.3299574728</v>
      </c>
      <c r="AA32" s="280"/>
      <c r="AB32" s="244" t="n">
        <f aca="false">AB31+(Y32+AP32)*1.9835</f>
        <v>65026.1456008586</v>
      </c>
      <c r="AC32" s="123" t="n">
        <f aca="false">AC31-(AQ31/1.9835)</f>
        <v>1603.64342695946</v>
      </c>
      <c r="AD32" s="123"/>
      <c r="AE32" s="155" t="n">
        <v>171</v>
      </c>
      <c r="AF32" s="279" t="n">
        <v>1.7</v>
      </c>
      <c r="AG32" s="281" t="n">
        <v>1.3</v>
      </c>
      <c r="AH32" s="156" t="n">
        <v>53.3</v>
      </c>
      <c r="AI32" s="123" t="n">
        <f aca="false">AI31-AH32</f>
        <v>13484.3578774893</v>
      </c>
      <c r="AJ32" s="112"/>
      <c r="AK32" s="154" t="n">
        <f aca="false">N32+O32+P32+Q32+R32+S32+T32+U32+X32+AE32+AH32+AT32-AR32</f>
        <v>603.5</v>
      </c>
      <c r="AL32" s="155" t="n">
        <f aca="false">IF(L32&lt;0,L32*-1,0)</f>
        <v>0</v>
      </c>
      <c r="AM32" s="155" t="n">
        <f aca="false">AK32+AL32</f>
        <v>603.5</v>
      </c>
      <c r="AN32" s="467"/>
      <c r="AO32" s="241"/>
      <c r="AP32" s="406" t="n">
        <f aca="false">795-X32</f>
        <v>509.028560538069</v>
      </c>
      <c r="AQ32" s="186" t="n">
        <f aca="false">12.513*(12972*1.9835+AC32*1.9835)/E32</f>
        <v>1.93137842937403</v>
      </c>
      <c r="AR32" s="156"/>
      <c r="AS32" s="248"/>
      <c r="AT32" s="120" t="n">
        <v>2.32</v>
      </c>
      <c r="AU32" s="58"/>
      <c r="AV32" s="249" t="n">
        <v>0.02</v>
      </c>
      <c r="AW32" s="241" t="n">
        <v>61</v>
      </c>
      <c r="AX32" s="241" t="n">
        <v>42</v>
      </c>
      <c r="AY32" s="91"/>
      <c r="AZ32" s="282" t="n">
        <f aca="false">SUM(N32,P32:U32)</f>
        <v>6.80356053806907</v>
      </c>
      <c r="BA32" s="58" t="n">
        <v>74.4</v>
      </c>
      <c r="BB32" s="91" t="n">
        <v>25359</v>
      </c>
    </row>
    <row r="33" customFormat="false" ht="12.95" hidden="false" customHeight="true" outlineLevel="0" collapsed="false">
      <c r="A33" s="207" t="n">
        <f aca="false">A32+1</f>
        <v>19</v>
      </c>
      <c r="B33" s="122" t="n">
        <v>6914.8</v>
      </c>
      <c r="C33" s="343" t="n">
        <v>341544</v>
      </c>
      <c r="D33" s="241" t="n">
        <f aca="false">C33-C32</f>
        <v>2237</v>
      </c>
      <c r="E33" s="123" t="n">
        <f aca="false">C33-152000</f>
        <v>189544</v>
      </c>
      <c r="F33" s="155" t="n">
        <f aca="false">D33/$D$2</f>
        <v>1127.80438618603</v>
      </c>
      <c r="G33" s="239" t="n">
        <v>1530</v>
      </c>
      <c r="H33" s="156" t="n">
        <v>110</v>
      </c>
      <c r="I33" s="155" t="n">
        <f aca="false">G33+H33</f>
        <v>1640</v>
      </c>
      <c r="J33" s="156" t="n">
        <f aca="false">IF(L33&gt;0,L33,0)</f>
        <v>72.8043861860347</v>
      </c>
      <c r="K33" s="155" t="n">
        <f aca="false">I33+J33</f>
        <v>1712.80438618603</v>
      </c>
      <c r="L33" s="155" t="n">
        <f aca="false">F33-(I33-AK33)</f>
        <v>72.8043861860347</v>
      </c>
      <c r="M33" s="279" t="n">
        <v>217</v>
      </c>
      <c r="N33" s="186" t="n">
        <v>0</v>
      </c>
      <c r="O33" s="155" t="n">
        <f aca="false">67.9*1.05</f>
        <v>71.295</v>
      </c>
      <c r="P33" s="186" t="n">
        <v>0</v>
      </c>
      <c r="Q33" s="373" t="n">
        <f aca="false">1151400/325851/1.9835*1.02</f>
        <v>1.81708454240009</v>
      </c>
      <c r="R33" s="151" t="n">
        <f aca="false">IF(((5*1.04)-T33)&gt;=4.2,4.2,(5*1.04)-T33)</f>
        <v>4.2</v>
      </c>
      <c r="S33" s="151" t="n">
        <f aca="false">IF(((5*1.04)-T33)&gt;=4.2,((5*1.04)-T33)-4.2,0)</f>
        <v>0.00806048000000015</v>
      </c>
      <c r="T33" s="151" t="n">
        <f aca="false">(0.8998*1.06)*1.04</f>
        <v>0.99193952</v>
      </c>
      <c r="U33" s="393" t="n">
        <v>0</v>
      </c>
      <c r="V33" s="155" t="n">
        <v>93.8</v>
      </c>
      <c r="W33" s="155" t="n">
        <v>59.8</v>
      </c>
      <c r="X33" s="280" t="n">
        <f aca="false">M33-N33-O33-P33-Q33-R33-S33-T33-U33+V33+W33-AT33+AR33</f>
        <v>289.9279154576</v>
      </c>
      <c r="Y33" s="280" t="n">
        <f aca="false">X33-AO33</f>
        <v>289.9279154576</v>
      </c>
      <c r="Z33" s="244" t="n">
        <f aca="false">Z32+AP33</f>
        <v>28680.4020420152</v>
      </c>
      <c r="AA33" s="280"/>
      <c r="AB33" s="244" t="n">
        <f aca="false">AB32+(Y33+AP33)*1.9835</f>
        <v>66603.0281008586</v>
      </c>
      <c r="AC33" s="123" t="n">
        <f aca="false">AC32-(AQ32/1.9835)</f>
        <v>1602.66970453477</v>
      </c>
      <c r="AD33" s="123"/>
      <c r="AE33" s="155" t="n">
        <v>161</v>
      </c>
      <c r="AF33" s="279" t="n">
        <v>1.7</v>
      </c>
      <c r="AG33" s="281" t="n">
        <v>1.3</v>
      </c>
      <c r="AH33" s="156" t="n">
        <v>53.4</v>
      </c>
      <c r="AI33" s="123" t="n">
        <f aca="false">AI32-AH33</f>
        <v>13430.9578774893</v>
      </c>
      <c r="AJ33" s="112"/>
      <c r="AK33" s="154" t="n">
        <f aca="false">N33+O33+P33+Q33+R33+S33+T33+U33+X33+AE33+AH33+AT33-AR33</f>
        <v>585</v>
      </c>
      <c r="AL33" s="155" t="n">
        <f aca="false">IF(L33&lt;0,L33*-1,0)</f>
        <v>0</v>
      </c>
      <c r="AM33" s="155" t="n">
        <f aca="false">AK33+AL33</f>
        <v>585</v>
      </c>
      <c r="AN33" s="467"/>
      <c r="AO33" s="241"/>
      <c r="AP33" s="406" t="n">
        <f aca="false">795-X33</f>
        <v>505.0720845424</v>
      </c>
      <c r="AQ33" s="186" t="n">
        <f aca="false">37.838*(12972*1.9835+AC33*1.9835)/E33</f>
        <v>5.77097320278009</v>
      </c>
      <c r="AR33" s="156"/>
      <c r="AS33" s="248"/>
      <c r="AT33" s="120" t="n">
        <v>2.36</v>
      </c>
      <c r="AU33" s="58"/>
      <c r="AV33" s="249" t="n">
        <v>0</v>
      </c>
      <c r="AW33" s="241" t="n">
        <v>70</v>
      </c>
      <c r="AX33" s="241" t="n">
        <v>37</v>
      </c>
      <c r="AY33" s="91"/>
      <c r="AZ33" s="282" t="n">
        <f aca="false">SUM(N33,P33:U33)</f>
        <v>7.01708454240009</v>
      </c>
      <c r="BA33" s="58" t="n">
        <v>74.4</v>
      </c>
      <c r="BB33" s="91" t="n">
        <v>25349</v>
      </c>
    </row>
    <row r="34" customFormat="false" ht="12.95" hidden="false" customHeight="true" outlineLevel="0" collapsed="false">
      <c r="A34" s="207" t="n">
        <f aca="false">A33+1</f>
        <v>20</v>
      </c>
      <c r="B34" s="122" t="n">
        <v>6915.37</v>
      </c>
      <c r="C34" s="123" t="n">
        <v>343917</v>
      </c>
      <c r="D34" s="241" t="n">
        <f aca="false">C34-C33</f>
        <v>2373</v>
      </c>
      <c r="E34" s="123" t="n">
        <f aca="false">C34-152000</f>
        <v>191917</v>
      </c>
      <c r="F34" s="155" t="n">
        <f aca="false">D34/$D$2</f>
        <v>1196.37005293673</v>
      </c>
      <c r="G34" s="239" t="n">
        <v>1630</v>
      </c>
      <c r="H34" s="156" t="n">
        <v>89.2</v>
      </c>
      <c r="I34" s="155" t="n">
        <f aca="false">G34+H34</f>
        <v>1719.2</v>
      </c>
      <c r="J34" s="156" t="n">
        <f aca="false">IF(L34&gt;0,L34,0)</f>
        <v>121.270052936728</v>
      </c>
      <c r="K34" s="155" t="n">
        <f aca="false">I34+J34</f>
        <v>1840.47005293673</v>
      </c>
      <c r="L34" s="155" t="n">
        <f aca="false">F34-(I34-AK34)</f>
        <v>121.270052936728</v>
      </c>
      <c r="M34" s="279" t="n">
        <v>236</v>
      </c>
      <c r="N34" s="186" t="n">
        <v>0</v>
      </c>
      <c r="O34" s="155" t="n">
        <f aca="false">59.7*1.05</f>
        <v>62.685</v>
      </c>
      <c r="P34" s="186" t="n">
        <v>0</v>
      </c>
      <c r="Q34" s="373" t="n">
        <f aca="false">1313100/325851/1.9835*1.02</f>
        <v>2.07227176708838</v>
      </c>
      <c r="R34" s="151" t="n">
        <f aca="false">IF(((4.5*1.04)-T34)&gt;=4.2,4.2,(4.5*1.04)-T34)</f>
        <v>3.84471152</v>
      </c>
      <c r="S34" s="151" t="n">
        <f aca="false">IF(((4.5*1.04)-T34)&gt;=4.2,((4.5*1.04)-T34)-4.2,0)</f>
        <v>0</v>
      </c>
      <c r="T34" s="151" t="n">
        <f aca="false">(0.7577*1.06)*1.04</f>
        <v>0.83528848</v>
      </c>
      <c r="U34" s="393" t="n">
        <v>0</v>
      </c>
      <c r="V34" s="155" t="n">
        <v>110</v>
      </c>
      <c r="W34" s="155" t="n">
        <v>61.3</v>
      </c>
      <c r="X34" s="280" t="n">
        <f aca="false">M34-N34-O34-P34-Q34-R34-S34-T34-U34+V34+W34-AT34+AR34</f>
        <v>335.562728232912</v>
      </c>
      <c r="Y34" s="280" t="n">
        <f aca="false">X34-AO34</f>
        <v>335.562728232912</v>
      </c>
      <c r="Z34" s="244" t="n">
        <f aca="false">Z33+AP34</f>
        <v>29139.8393137823</v>
      </c>
      <c r="AA34" s="280"/>
      <c r="AB34" s="244" t="n">
        <f aca="false">AB33+(Y34+AP34)*1.9835</f>
        <v>68179.9106008586</v>
      </c>
      <c r="AC34" s="123" t="n">
        <f aca="false">AC33-(AQ33/1.9835)</f>
        <v>1599.76021464176</v>
      </c>
      <c r="AD34" s="123"/>
      <c r="AE34" s="155" t="n">
        <v>183</v>
      </c>
      <c r="AF34" s="279" t="n">
        <v>1.7</v>
      </c>
      <c r="AG34" s="281" t="n">
        <v>1.3</v>
      </c>
      <c r="AH34" s="156" t="n">
        <v>53.8</v>
      </c>
      <c r="AI34" s="123" t="n">
        <f aca="false">AI33-AH34</f>
        <v>13377.1578774893</v>
      </c>
      <c r="AJ34" s="112"/>
      <c r="AK34" s="154" t="n">
        <f aca="false">N34+O34+P34+Q34+R34+S34+T34+U34+X34+AE34+AH34+AT34-AR34</f>
        <v>644.1</v>
      </c>
      <c r="AL34" s="155" t="n">
        <f aca="false">IF(L34&lt;0,L34*-1,0)</f>
        <v>0</v>
      </c>
      <c r="AM34" s="155" t="n">
        <f aca="false">AK34+AL34</f>
        <v>644.1</v>
      </c>
      <c r="AN34" s="467"/>
      <c r="AO34" s="241"/>
      <c r="AP34" s="406" t="n">
        <f aca="false">795-X34</f>
        <v>459.437271767088</v>
      </c>
      <c r="AQ34" s="186" t="n">
        <f aca="false">50.45*(12972*1.9835+AC34*1.9835)/E34</f>
        <v>7.59787151821194</v>
      </c>
      <c r="AR34" s="156"/>
      <c r="AS34" s="248"/>
      <c r="AT34" s="120" t="n">
        <v>2.3</v>
      </c>
      <c r="AU34" s="58"/>
      <c r="AV34" s="249" t="n">
        <v>0</v>
      </c>
      <c r="AW34" s="241" t="n">
        <v>77</v>
      </c>
      <c r="AX34" s="241" t="n">
        <v>47</v>
      </c>
      <c r="AY34" s="91"/>
      <c r="AZ34" s="282" t="n">
        <f aca="false">SUM(N34,P34:U34)</f>
        <v>6.75227176708838</v>
      </c>
      <c r="BA34" s="58" t="n">
        <v>74.5</v>
      </c>
      <c r="BB34" s="91" t="n">
        <v>25309</v>
      </c>
    </row>
    <row r="35" customFormat="false" ht="12.95" hidden="false" customHeight="true" outlineLevel="0" collapsed="false">
      <c r="A35" s="207" t="n">
        <f aca="false">A34+1</f>
        <v>21</v>
      </c>
      <c r="B35" s="473" t="n">
        <v>6916.06</v>
      </c>
      <c r="C35" s="123" t="n">
        <v>346799</v>
      </c>
      <c r="D35" s="241" t="n">
        <f aca="false">C35-C34</f>
        <v>2882</v>
      </c>
      <c r="E35" s="123" t="n">
        <f aca="false">C35-152000</f>
        <v>194799</v>
      </c>
      <c r="F35" s="155" t="n">
        <f aca="false">D35/$D$2</f>
        <v>1452.98714393748</v>
      </c>
      <c r="G35" s="239" t="n">
        <v>2020</v>
      </c>
      <c r="H35" s="156" t="n">
        <v>107</v>
      </c>
      <c r="I35" s="155" t="n">
        <f aca="false">G35+H35</f>
        <v>2127</v>
      </c>
      <c r="J35" s="156" t="n">
        <f aca="false">IF(L35&gt;0,L35,0)</f>
        <v>0</v>
      </c>
      <c r="K35" s="155" t="n">
        <f aca="false">I35+J35</f>
        <v>2127</v>
      </c>
      <c r="L35" s="155" t="n">
        <f aca="false">F35-(I35-AK35)</f>
        <v>-32.2128560625156</v>
      </c>
      <c r="M35" s="279" t="n">
        <v>227</v>
      </c>
      <c r="N35" s="186" t="n">
        <v>0</v>
      </c>
      <c r="O35" s="155" t="n">
        <f aca="false">42.8*1.05</f>
        <v>44.94</v>
      </c>
      <c r="P35" s="186" t="n">
        <v>0</v>
      </c>
      <c r="Q35" s="373" t="n">
        <f aca="false">1254200/325851/1.9835*1.02</f>
        <v>1.97931859742765</v>
      </c>
      <c r="R35" s="151" t="n">
        <f aca="false">IF(((4.4*1.04)-T35)&gt;=4.2,4.2,(4.4*1.04)-T35)</f>
        <v>3.74071152</v>
      </c>
      <c r="S35" s="151" t="n">
        <f aca="false">IF(((4.4*1.04)-T35)&gt;=4.2,((4.4*1.04)-T35)-4.2,0)</f>
        <v>0</v>
      </c>
      <c r="T35" s="151" t="n">
        <f aca="false">(0.7577*1.06)*1.04</f>
        <v>0.83528848</v>
      </c>
      <c r="U35" s="393" t="n">
        <v>0</v>
      </c>
      <c r="V35" s="155" t="n">
        <v>110</v>
      </c>
      <c r="W35" s="155" t="n">
        <v>63.8</v>
      </c>
      <c r="X35" s="280" t="n">
        <f aca="false">M35-N35-O35-P35-Q35-R35-S35-T35-U35+V35+W35-AT35+AR35</f>
        <v>346.944681402572</v>
      </c>
      <c r="Y35" s="280" t="n">
        <f aca="false">X35-AO35</f>
        <v>346.944681402572</v>
      </c>
      <c r="Z35" s="244" t="n">
        <f aca="false">Z34+AP35</f>
        <v>29587.8946323798</v>
      </c>
      <c r="AA35" s="280"/>
      <c r="AB35" s="244" t="n">
        <f aca="false">AB34+(Y35+AP35)*1.9835</f>
        <v>69756.7931008586</v>
      </c>
      <c r="AC35" s="123" t="n">
        <f aca="false">AC34-(AQ34/1.9835)</f>
        <v>1595.92967694667</v>
      </c>
      <c r="AD35" s="123"/>
      <c r="AE35" s="155" t="n">
        <v>187</v>
      </c>
      <c r="AF35" s="279" t="n">
        <v>1.7</v>
      </c>
      <c r="AG35" s="281" t="n">
        <v>1.3</v>
      </c>
      <c r="AH35" s="156" t="n">
        <v>54</v>
      </c>
      <c r="AI35" s="123" t="n">
        <f aca="false">AI34-AH35</f>
        <v>13323.1578774893</v>
      </c>
      <c r="AJ35" s="112"/>
      <c r="AK35" s="154" t="n">
        <f aca="false">N35+O35+P35+Q35+R35+S35+T35+U35+X35+AE35+AH35+AT35-AR35</f>
        <v>641.8</v>
      </c>
      <c r="AL35" s="155" t="n">
        <f aca="false">IF(L35&lt;0,L35*-1,0)</f>
        <v>32.2128560625156</v>
      </c>
      <c r="AM35" s="155" t="n">
        <f aca="false">AK35+AL35</f>
        <v>674.012856062516</v>
      </c>
      <c r="AN35" s="467"/>
      <c r="AO35" s="241"/>
      <c r="AP35" s="406" t="n">
        <f aca="false">795-X35</f>
        <v>448.055318597428</v>
      </c>
      <c r="AQ35" s="186" t="n">
        <f aca="false">64.541*(12972*1.9835+AC35*1.9835)/E35</f>
        <v>9.57368222730359</v>
      </c>
      <c r="AR35" s="156"/>
      <c r="AS35" s="248"/>
      <c r="AT35" s="120" t="n">
        <v>2.36</v>
      </c>
      <c r="AU35" s="58"/>
      <c r="AV35" s="249" t="n">
        <v>0</v>
      </c>
      <c r="AW35" s="241" t="n">
        <v>77</v>
      </c>
      <c r="AX35" s="241" t="n">
        <v>46</v>
      </c>
      <c r="AY35" s="91"/>
      <c r="AZ35" s="282" t="n">
        <f aca="false">SUM(N35,P35:U35)</f>
        <v>6.55531859742765</v>
      </c>
      <c r="BA35" s="58" t="n">
        <v>65.1</v>
      </c>
      <c r="BB35" s="91" t="n">
        <v>25271</v>
      </c>
    </row>
    <row r="36" customFormat="false" ht="12.95" hidden="false" customHeight="true" outlineLevel="0" collapsed="false">
      <c r="A36" s="207" t="n">
        <f aca="false">A35+1</f>
        <v>22</v>
      </c>
      <c r="B36" s="122" t="n">
        <v>6916.9</v>
      </c>
      <c r="C36" s="123" t="n">
        <v>350333</v>
      </c>
      <c r="D36" s="241" t="n">
        <f aca="false">C36-C35</f>
        <v>3534</v>
      </c>
      <c r="E36" s="123" t="n">
        <f aca="false">C36-152000</f>
        <v>198333</v>
      </c>
      <c r="F36" s="155" t="n">
        <f aca="false">D36/$D$2</f>
        <v>1781.69901688934</v>
      </c>
      <c r="G36" s="239" t="n">
        <v>2350</v>
      </c>
      <c r="H36" s="156" t="n">
        <v>108</v>
      </c>
      <c r="I36" s="155" t="n">
        <f aca="false">G36+H36</f>
        <v>2458</v>
      </c>
      <c r="J36" s="156" t="n">
        <f aca="false">IF(L36&gt;0,L36,0)</f>
        <v>0</v>
      </c>
      <c r="K36" s="155" t="n">
        <f aca="false">I36+J36</f>
        <v>2458</v>
      </c>
      <c r="L36" s="155" t="n">
        <f aca="false">F36-(I36-AK36)</f>
        <v>-40.6009831106633</v>
      </c>
      <c r="M36" s="279" t="n">
        <v>223</v>
      </c>
      <c r="N36" s="186" t="n">
        <v>0</v>
      </c>
      <c r="O36" s="155" t="n">
        <f aca="false">31.6*1.05</f>
        <v>33.18</v>
      </c>
      <c r="P36" s="186" t="n">
        <v>0</v>
      </c>
      <c r="Q36" s="373" t="n">
        <f aca="false">1515300/325851/1.9835*1.02</f>
        <v>2.39137415937021</v>
      </c>
      <c r="R36" s="151" t="n">
        <f aca="false">IF(((4.5*1.04)-T36)&gt;=4.2,4.2,(4.5*1.04)-T36)</f>
        <v>3.84471152</v>
      </c>
      <c r="S36" s="151" t="n">
        <f aca="false">IF(((4.5*1.04)-T36)&gt;=4.2,((4.5*1.04)-T36)-4.2,0)</f>
        <v>0</v>
      </c>
      <c r="T36" s="151" t="n">
        <f aca="false">(0.7577*1.06)*1.04</f>
        <v>0.83528848</v>
      </c>
      <c r="U36" s="393" t="n">
        <v>0</v>
      </c>
      <c r="V36" s="155" t="n">
        <v>108</v>
      </c>
      <c r="W36" s="155" t="n">
        <v>65.6</v>
      </c>
      <c r="X36" s="280" t="n">
        <f aca="false">M36-N36-O36-P36-Q36-R36-S36-T36-U36+V36+W36-AT36+AR36</f>
        <v>354.08862584063</v>
      </c>
      <c r="Y36" s="280" t="n">
        <f aca="false">X36-AO36</f>
        <v>354.08862584063</v>
      </c>
      <c r="Z36" s="244" t="n">
        <f aca="false">Z35+AP36</f>
        <v>30028.8060065391</v>
      </c>
      <c r="AA36" s="280"/>
      <c r="AB36" s="244" t="n">
        <f aca="false">AB35+(Y36+AP36)*1.9835</f>
        <v>71333.6756008586</v>
      </c>
      <c r="AC36" s="123" t="n">
        <f aca="false">AC35-(AQ35/1.9835)</f>
        <v>1591.10301587921</v>
      </c>
      <c r="AD36" s="123"/>
      <c r="AE36" s="155" t="n">
        <v>185</v>
      </c>
      <c r="AF36" s="279" t="n">
        <v>1.7</v>
      </c>
      <c r="AG36" s="281" t="n">
        <v>1.3</v>
      </c>
      <c r="AH36" s="156" t="n">
        <v>54.1</v>
      </c>
      <c r="AI36" s="123" t="n">
        <f aca="false">AI35-AH36</f>
        <v>13269.0578774893</v>
      </c>
      <c r="AJ36" s="112"/>
      <c r="AK36" s="154" t="n">
        <f aca="false">N36+O36+P36+Q36+R36+S36+T36+U36+X36+AE36+AH36+AT36-AR36</f>
        <v>635.7</v>
      </c>
      <c r="AL36" s="155" t="n">
        <f aca="false">IF(L36&lt;0,L36*-1,0)</f>
        <v>40.6009831106633</v>
      </c>
      <c r="AM36" s="155" t="n">
        <f aca="false">AK36+AL36</f>
        <v>676.300983110663</v>
      </c>
      <c r="AN36" s="467"/>
      <c r="AO36" s="241"/>
      <c r="AP36" s="406" t="n">
        <f aca="false">795-X36</f>
        <v>440.91137415937</v>
      </c>
      <c r="AQ36" s="186" t="n">
        <f aca="false">77.616*(12972*1.9835+AC36*1.9835)/E36</f>
        <v>11.3042668925506</v>
      </c>
      <c r="AR36" s="156"/>
      <c r="AS36" s="248"/>
      <c r="AT36" s="120" t="n">
        <v>2.26</v>
      </c>
      <c r="AU36" s="58"/>
      <c r="AV36" s="249" t="n">
        <v>0</v>
      </c>
      <c r="AW36" s="241" t="n">
        <v>71</v>
      </c>
      <c r="AX36" s="241" t="n">
        <v>44</v>
      </c>
      <c r="AY36" s="91"/>
      <c r="AZ36" s="282" t="n">
        <f aca="false">SUM(N36,P36:U36)</f>
        <v>7.07137415937021</v>
      </c>
      <c r="BA36" s="58" t="n">
        <v>48</v>
      </c>
      <c r="BB36" s="91" t="n">
        <v>25245</v>
      </c>
    </row>
    <row r="37" customFormat="false" ht="12.95" hidden="false" customHeight="true" outlineLevel="0" collapsed="false">
      <c r="A37" s="207" t="n">
        <f aca="false">A36+1</f>
        <v>23</v>
      </c>
      <c r="B37" s="122" t="n">
        <v>6917.7</v>
      </c>
      <c r="C37" s="123" t="n">
        <v>353722</v>
      </c>
      <c r="D37" s="241" t="n">
        <f aca="false">C37-C36</f>
        <v>3389</v>
      </c>
      <c r="E37" s="123" t="n">
        <f aca="false">C37-152000</f>
        <v>201722</v>
      </c>
      <c r="F37" s="155" t="n">
        <f aca="false">D37/$D$2</f>
        <v>1708.59591630955</v>
      </c>
      <c r="G37" s="239" t="n">
        <v>2300</v>
      </c>
      <c r="H37" s="156" t="n">
        <v>88.6</v>
      </c>
      <c r="I37" s="155" t="n">
        <f aca="false">G37+H37</f>
        <v>2388.6</v>
      </c>
      <c r="J37" s="156" t="n">
        <f aca="false">IF(L37&gt;0,L37,0)</f>
        <v>0</v>
      </c>
      <c r="K37" s="155" t="n">
        <f aca="false">I37+J37</f>
        <v>2388.6</v>
      </c>
      <c r="L37" s="155" t="n">
        <f aca="false">F37-(I37-AK37)</f>
        <v>-17.604083690446</v>
      </c>
      <c r="M37" s="279" t="n">
        <v>232</v>
      </c>
      <c r="N37" s="186" t="n">
        <v>0</v>
      </c>
      <c r="O37" s="155" t="n">
        <f aca="false">27.3*1.05</f>
        <v>28.665</v>
      </c>
      <c r="P37" s="186" t="n">
        <v>0</v>
      </c>
      <c r="Q37" s="373" t="n">
        <f aca="false">1534000/325851/1.9835*1.02</f>
        <v>2.42088560712327</v>
      </c>
      <c r="R37" s="151" t="n">
        <f aca="false">IF(((4.4*1.04)-T37)&gt;=4.2,4.2,(4.4*1.04)-T37)</f>
        <v>3.74071152</v>
      </c>
      <c r="S37" s="151" t="n">
        <f aca="false">IF(((4.4*1.04)-T37)&gt;=4.2,((4.4*1.04)-T37)-4.2,0)</f>
        <v>0</v>
      </c>
      <c r="T37" s="151" t="n">
        <f aca="false">(0.7577*1.06)*1.04</f>
        <v>0.83528848</v>
      </c>
      <c r="U37" s="393" t="n">
        <v>0</v>
      </c>
      <c r="V37" s="155" t="n">
        <v>109</v>
      </c>
      <c r="W37" s="155" t="n">
        <v>67.8</v>
      </c>
      <c r="X37" s="280" t="n">
        <f aca="false">M37-N37-O37-P37-Q37-R37-S37-T37-U37+V37+W37-AT37+AR37</f>
        <v>370.838114392877</v>
      </c>
      <c r="Y37" s="280" t="n">
        <f aca="false">X37-AO37</f>
        <v>370.838114392877</v>
      </c>
      <c r="Z37" s="123" t="n">
        <f aca="false">Z36+AP37+AA37</f>
        <v>29993.9015443476</v>
      </c>
      <c r="AA37" s="280" t="n">
        <f aca="false">(72000-AB37)/D2</f>
        <v>0</v>
      </c>
      <c r="AB37" s="244" t="n">
        <f aca="false">AB36+(Y37+AP37)*1.9835</f>
        <v>72000</v>
      </c>
      <c r="AC37" s="123" t="n">
        <f aca="false">AC36-(AQ36/1.9835)</f>
        <v>1585.40386443351</v>
      </c>
      <c r="AD37" s="123"/>
      <c r="AE37" s="155" t="n">
        <v>199</v>
      </c>
      <c r="AF37" s="279" t="n">
        <v>1.7</v>
      </c>
      <c r="AG37" s="281" t="n">
        <v>1.3</v>
      </c>
      <c r="AH37" s="156" t="n">
        <v>54.6</v>
      </c>
      <c r="AI37" s="123" t="n">
        <f aca="false">AI36-AH37</f>
        <v>13214.4578774893</v>
      </c>
      <c r="AJ37" s="112"/>
      <c r="AK37" s="154" t="n">
        <f aca="false">N37+O37+P37+Q37+R37+S37+T37+U37+X37+AE37+AH37+AT37-AR37</f>
        <v>662.4</v>
      </c>
      <c r="AL37" s="155" t="n">
        <f aca="false">IF(L37&lt;0,L37*-1,0)</f>
        <v>17.604083690446</v>
      </c>
      <c r="AM37" s="155" t="n">
        <f aca="false">AK37+AL37</f>
        <v>680.004083690446</v>
      </c>
      <c r="AN37" s="467"/>
      <c r="AO37" s="241"/>
      <c r="AP37" s="406" t="n">
        <f aca="false">IF((AB36/1.9835)+Y37+(795-Y37)&gt;(72000/1.9835),(795-Y37)-((AB36/1.9835)+Y37+(795-Y37)-(72000/1.9835)),(795-Y37))</f>
        <v>-34.9044621915294</v>
      </c>
      <c r="AQ37" s="186" t="n">
        <f aca="false">41.967*(12972*1.9835+AC37*1.9835)/E37</f>
        <v>6.00718207030326</v>
      </c>
      <c r="AR37" s="156"/>
      <c r="AS37" s="248"/>
      <c r="AT37" s="120" t="n">
        <v>2.3</v>
      </c>
      <c r="AU37" s="58"/>
      <c r="AV37" s="249" t="n">
        <v>0</v>
      </c>
      <c r="AW37" s="241" t="n">
        <v>72</v>
      </c>
      <c r="AX37" s="241" t="n">
        <v>38</v>
      </c>
      <c r="AY37" s="91"/>
      <c r="AZ37" s="282" t="n">
        <f aca="false">SUM(N37,P37:U37)</f>
        <v>6.99688560712327</v>
      </c>
      <c r="BA37" s="58" t="n">
        <v>48.2</v>
      </c>
      <c r="BB37" s="91" t="n">
        <v>25244</v>
      </c>
    </row>
    <row r="38" customFormat="false" ht="12.95" hidden="false" customHeight="true" outlineLevel="0" collapsed="false">
      <c r="A38" s="207" t="n">
        <f aca="false">A37+1</f>
        <v>24</v>
      </c>
      <c r="B38" s="122" t="n">
        <v>6918.42</v>
      </c>
      <c r="C38" s="123" t="n">
        <v>356788</v>
      </c>
      <c r="D38" s="241" t="n">
        <f aca="false">C38-C37</f>
        <v>3066</v>
      </c>
      <c r="E38" s="123" t="n">
        <f aca="false">C38-152000</f>
        <v>204788</v>
      </c>
      <c r="F38" s="155" t="n">
        <f aca="false">D38/$D$2</f>
        <v>1545.75245777666</v>
      </c>
      <c r="G38" s="239" t="n">
        <v>2190</v>
      </c>
      <c r="H38" s="156" t="n">
        <v>70.8</v>
      </c>
      <c r="I38" s="155" t="n">
        <f aca="false">G38+H38</f>
        <v>2260.8</v>
      </c>
      <c r="J38" s="156" t="n">
        <f aca="false">IF(L38&gt;0,L38,0)</f>
        <v>0</v>
      </c>
      <c r="K38" s="155" t="n">
        <f aca="false">I38+J38</f>
        <v>2260.8</v>
      </c>
      <c r="L38" s="155" t="n">
        <f aca="false">F38-(I38-AK38)</f>
        <v>-7.847542223343</v>
      </c>
      <c r="M38" s="279" t="n">
        <v>243</v>
      </c>
      <c r="N38" s="186" t="n">
        <v>0</v>
      </c>
      <c r="O38" s="155" t="n">
        <f aca="false">27.2*1.05</f>
        <v>28.56</v>
      </c>
      <c r="P38" s="186" t="n">
        <v>0</v>
      </c>
      <c r="Q38" s="373" t="n">
        <f aca="false">1511400/325851/1.9835*1.02</f>
        <v>2.38521936545379</v>
      </c>
      <c r="R38" s="151" t="n">
        <f aca="false">IF(((5.1*1.04)-T38)&gt;=4.2,4.2,(5.1*1.04)-T38)</f>
        <v>4.2</v>
      </c>
      <c r="S38" s="151" t="n">
        <f aca="false">IF(((5.1*1.04)-T38)&gt;=4.2,((5.1*1.04)-T38)-4.2,0)</f>
        <v>0.268711519999999</v>
      </c>
      <c r="T38" s="151" t="n">
        <f aca="false">(0.7577*1.06)*1.04</f>
        <v>0.83528848</v>
      </c>
      <c r="U38" s="393" t="n">
        <v>0</v>
      </c>
      <c r="V38" s="155" t="n">
        <v>109</v>
      </c>
      <c r="W38" s="155" t="n">
        <v>69.4</v>
      </c>
      <c r="X38" s="280" t="n">
        <f aca="false">M38-N38-O38-P38-Q38-R38-S38-T38-U38+V38+W38-AT38+AR38</f>
        <v>382.850780634546</v>
      </c>
      <c r="Y38" s="280" t="n">
        <f aca="false">X38-AO38</f>
        <v>382.850780634546</v>
      </c>
      <c r="Z38" s="123" t="n">
        <f aca="false">Z37-AA38</f>
        <v>29611.0507637131</v>
      </c>
      <c r="AA38" s="155" t="n">
        <f aca="false">Y38</f>
        <v>382.850780634546</v>
      </c>
      <c r="AB38" s="244" t="n">
        <f aca="false">AB37+(Y38+AP38)*1.9835</f>
        <v>72000</v>
      </c>
      <c r="AC38" s="123" t="n">
        <f aca="false">AC37-(AQ37/1.9835)</f>
        <v>1582.37528763981</v>
      </c>
      <c r="AD38" s="123"/>
      <c r="AE38" s="155" t="n">
        <v>231</v>
      </c>
      <c r="AF38" s="279" t="n">
        <v>1.7</v>
      </c>
      <c r="AG38" s="281" t="n">
        <v>1.3</v>
      </c>
      <c r="AH38" s="156" t="n">
        <v>54.8</v>
      </c>
      <c r="AI38" s="123" t="n">
        <f aca="false">AI37-AH38</f>
        <v>13159.6578774893</v>
      </c>
      <c r="AJ38" s="112"/>
      <c r="AK38" s="154" t="n">
        <f aca="false">N38+O38+P38+Q38+R38+S38+T38+U38+X38+AE38+AH38+AT38-AR38</f>
        <v>707.2</v>
      </c>
      <c r="AL38" s="155" t="n">
        <f aca="false">IF(L38&lt;0,L38*-1,0)</f>
        <v>7.847542223343</v>
      </c>
      <c r="AM38" s="155" t="n">
        <f aca="false">AK38+AL38</f>
        <v>715.047542223343</v>
      </c>
      <c r="AN38" s="467"/>
      <c r="AO38" s="241"/>
      <c r="AP38" s="406" t="n">
        <f aca="false">IF((AB37/1.9835)+Y38+(795-Y38)&gt;(72000/1.9835),(795-Y38)-((AB37/1.9835)+Y38+(795-Y38)-(72000/1.9835)),(795-Y38))</f>
        <v>-382.850780634546</v>
      </c>
      <c r="AQ38" s="186" t="n">
        <f aca="false">84.927*(12972*1.9835+AC38*1.9835)/E38</f>
        <v>11.9720094903553</v>
      </c>
      <c r="AR38" s="156"/>
      <c r="AS38" s="248"/>
      <c r="AT38" s="120" t="n">
        <v>2.3</v>
      </c>
      <c r="AU38" s="58"/>
      <c r="AV38" s="249" t="n">
        <v>0</v>
      </c>
      <c r="AW38" s="241" t="n">
        <v>74</v>
      </c>
      <c r="AX38" s="241" t="n">
        <v>41</v>
      </c>
      <c r="AY38" s="91"/>
      <c r="AZ38" s="282" t="n">
        <f aca="false">SUM(N38,P38:U38)</f>
        <v>7.68921936545379</v>
      </c>
      <c r="BA38" s="58" t="n">
        <v>48.3</v>
      </c>
      <c r="BB38" s="91" t="n">
        <v>25250</v>
      </c>
    </row>
    <row r="39" customFormat="false" ht="12.95" hidden="false" customHeight="true" outlineLevel="0" collapsed="false">
      <c r="A39" s="207" t="n">
        <f aca="false">A38+1</f>
        <v>25</v>
      </c>
      <c r="B39" s="122" t="n">
        <v>6919.04</v>
      </c>
      <c r="C39" s="123" t="n">
        <v>359429</v>
      </c>
      <c r="D39" s="241" t="n">
        <f aca="false">C39-C38</f>
        <v>2641</v>
      </c>
      <c r="E39" s="123" t="n">
        <f aca="false">C39-152000</f>
        <v>207429</v>
      </c>
      <c r="F39" s="155" t="n">
        <f aca="false">D39/$D$2</f>
        <v>1331.48474918074</v>
      </c>
      <c r="G39" s="239" t="n">
        <v>2030</v>
      </c>
      <c r="H39" s="156" t="n">
        <v>31.4</v>
      </c>
      <c r="I39" s="155" t="n">
        <f aca="false">G39+H39</f>
        <v>2061.4</v>
      </c>
      <c r="J39" s="156" t="n">
        <f aca="false">IF(L39&gt;0,L39,0)</f>
        <v>0</v>
      </c>
      <c r="K39" s="155" t="n">
        <f aca="false">I39+J39</f>
        <v>2061.4</v>
      </c>
      <c r="L39" s="155" t="n">
        <f aca="false">F39-(I39-AK39)</f>
        <v>-23.2152508192589</v>
      </c>
      <c r="M39" s="279" t="n">
        <v>276</v>
      </c>
      <c r="N39" s="186" t="n">
        <v>0</v>
      </c>
      <c r="O39" s="155" t="n">
        <f aca="false">53.9*1.05</f>
        <v>56.595</v>
      </c>
      <c r="P39" s="186" t="n">
        <v>0</v>
      </c>
      <c r="Q39" s="373" t="n">
        <f aca="false">1621200/325851/1.9835*1.02</f>
        <v>2.55850048648517</v>
      </c>
      <c r="R39" s="151" t="n">
        <f aca="false">IF(((5.5*1.04)-T39)&gt;=4.2,4.2,(5.5*1.04)-T39)</f>
        <v>4.2</v>
      </c>
      <c r="S39" s="151" t="n">
        <f aca="false">IF(((5.5*1.04)-T39)&gt;=4.2,((5.5*1.04)-T39)-4.2,0)</f>
        <v>0.68471152</v>
      </c>
      <c r="T39" s="151" t="n">
        <f aca="false">(0.7577*1.06)*1.04</f>
        <v>0.83528848</v>
      </c>
      <c r="U39" s="393" t="n">
        <v>0</v>
      </c>
      <c r="V39" s="155" t="n">
        <v>110</v>
      </c>
      <c r="W39" s="155" t="n">
        <v>70.9</v>
      </c>
      <c r="X39" s="280" t="n">
        <f aca="false">M39-N39-O39-P39-Q39-R39-S39-T39-U39+V39+W39-AT39+AR39</f>
        <v>389.806499513515</v>
      </c>
      <c r="Y39" s="280" t="n">
        <f aca="false">X39-AO39</f>
        <v>389.806499513515</v>
      </c>
      <c r="Z39" s="123" t="n">
        <f aca="false">Z38-AA39</f>
        <v>29221.2442641995</v>
      </c>
      <c r="AA39" s="155" t="n">
        <f aca="false">Y39</f>
        <v>389.806499513515</v>
      </c>
      <c r="AB39" s="244" t="n">
        <f aca="false">AB38+(Y39+AP39)*1.9835</f>
        <v>72000</v>
      </c>
      <c r="AC39" s="123" t="n">
        <f aca="false">AC38-(AQ38/1.9835)</f>
        <v>1576.33948754384</v>
      </c>
      <c r="AD39" s="123"/>
      <c r="AE39" s="155" t="n">
        <v>195</v>
      </c>
      <c r="AF39" s="279" t="n">
        <v>1.7</v>
      </c>
      <c r="AG39" s="281" t="n">
        <v>1.3</v>
      </c>
      <c r="AH39" s="156" t="n">
        <v>54.8</v>
      </c>
      <c r="AI39" s="123" t="n">
        <f aca="false">AI38-AH39</f>
        <v>13104.8578774893</v>
      </c>
      <c r="AJ39" s="112"/>
      <c r="AK39" s="154" t="n">
        <f aca="false">N39+O39+P39+Q39+R39+S39+T39+U39+X39+AE39+AH39+AT39-AR39</f>
        <v>706.7</v>
      </c>
      <c r="AL39" s="155" t="n">
        <f aca="false">IF(L39&lt;0,L39*-1,0)</f>
        <v>23.2152508192589</v>
      </c>
      <c r="AM39" s="155" t="n">
        <f aca="false">AK39+AL39</f>
        <v>729.915250819259</v>
      </c>
      <c r="AN39" s="467"/>
      <c r="AO39" s="241"/>
      <c r="AP39" s="406" t="n">
        <f aca="false">IF((AB38/1.9835)+Y39+(795-Y39)&gt;(72000/1.9835),(795-Y39)-((AB38/1.9835)+Y39+(795-Y39)-(72000/1.9835)),(795-Y39))</f>
        <v>-389.806499513515</v>
      </c>
      <c r="AQ39" s="186" t="n">
        <f aca="false">47.047*(12972*1.9835+AC39*1.9835)/E39</f>
        <v>6.54497652802206</v>
      </c>
      <c r="AR39" s="156"/>
      <c r="AS39" s="248"/>
      <c r="AT39" s="120" t="n">
        <v>2.22</v>
      </c>
      <c r="AU39" s="58"/>
      <c r="AV39" s="249" t="n">
        <v>0</v>
      </c>
      <c r="AW39" s="241" t="n">
        <v>71</v>
      </c>
      <c r="AX39" s="241" t="n">
        <v>37</v>
      </c>
      <c r="AY39" s="91"/>
      <c r="AZ39" s="282" t="n">
        <f aca="false">SUM(N39,P39:U39)</f>
        <v>8.27850048648517</v>
      </c>
      <c r="BA39" s="474" t="n">
        <v>48.3</v>
      </c>
      <c r="BB39" s="91" t="n">
        <v>25265</v>
      </c>
    </row>
    <row r="40" customFormat="false" ht="12.95" hidden="false" customHeight="true" outlineLevel="0" collapsed="false">
      <c r="A40" s="207" t="n">
        <f aca="false">A39+1</f>
        <v>26</v>
      </c>
      <c r="B40" s="122" t="n">
        <v>6919.55</v>
      </c>
      <c r="C40" s="123" t="n">
        <v>361635</v>
      </c>
      <c r="D40" s="241" t="n">
        <f aca="false">C40-C39</f>
        <v>2206</v>
      </c>
      <c r="E40" s="123" t="n">
        <f aca="false">C40-152000</f>
        <v>209635</v>
      </c>
      <c r="F40" s="155" t="n">
        <f aca="false">D40/$D$2</f>
        <v>1112.17544744139</v>
      </c>
      <c r="G40" s="239" t="n">
        <v>1950</v>
      </c>
      <c r="H40" s="156" t="n">
        <v>13.6</v>
      </c>
      <c r="I40" s="155" t="n">
        <f aca="false">G40+H40</f>
        <v>1963.6</v>
      </c>
      <c r="J40" s="156" t="n">
        <f aca="false">IF(L40&gt;0,L40,0)</f>
        <v>0</v>
      </c>
      <c r="K40" s="155" t="n">
        <f aca="false">I40+J40</f>
        <v>1963.6</v>
      </c>
      <c r="L40" s="155" t="n">
        <f aca="false">F40-(I40-AK40)</f>
        <v>-98.0245525586083</v>
      </c>
      <c r="M40" s="279" t="n">
        <v>281</v>
      </c>
      <c r="N40" s="186" t="n">
        <v>0</v>
      </c>
      <c r="O40" s="155" t="n">
        <f aca="false">66*1.05</f>
        <v>69.3</v>
      </c>
      <c r="P40" s="186" t="n">
        <v>0</v>
      </c>
      <c r="Q40" s="373" t="n">
        <f aca="false">1576500/325851/1.9835*1.02</f>
        <v>2.48795707928933</v>
      </c>
      <c r="R40" s="151" t="n">
        <f aca="false">IF(((6*1.04)-T40)&gt;=4.2,4.2,(6*1.04)-T40)</f>
        <v>4.2</v>
      </c>
      <c r="S40" s="151" t="n">
        <f aca="false">IF(((6*1.04)-T40)&gt;=4.2,((6*1.04)-T40)-4.2,0)</f>
        <v>1.20471152</v>
      </c>
      <c r="T40" s="151" t="n">
        <f aca="false">(0.7577*1.06)*1.04</f>
        <v>0.83528848</v>
      </c>
      <c r="U40" s="393" t="n">
        <v>0</v>
      </c>
      <c r="V40" s="155" t="n">
        <v>116</v>
      </c>
      <c r="W40" s="155" t="n">
        <v>71.6</v>
      </c>
      <c r="X40" s="280" t="n">
        <f aca="false">M40-N40-O40-P40-Q40-R40-S40-T40-U40+V40+W40-AT40+AR40</f>
        <v>388.232042920711</v>
      </c>
      <c r="Y40" s="280" t="n">
        <f aca="false">X40-AO40</f>
        <v>388.232042920711</v>
      </c>
      <c r="Z40" s="123" t="n">
        <f aca="false">Z39-AA40</f>
        <v>28833.0122212788</v>
      </c>
      <c r="AA40" s="155" t="n">
        <f aca="false">Y40</f>
        <v>388.232042920711</v>
      </c>
      <c r="AB40" s="244" t="n">
        <f aca="false">AB39+(Y40+AP40)*1.9835</f>
        <v>72000</v>
      </c>
      <c r="AC40" s="123" t="n">
        <f aca="false">AC39-(AQ39/1.9835)</f>
        <v>1573.03977666508</v>
      </c>
      <c r="AD40" s="123"/>
      <c r="AE40" s="155" t="n">
        <v>230</v>
      </c>
      <c r="AF40" s="279" t="n">
        <v>1.7</v>
      </c>
      <c r="AG40" s="281" t="n">
        <v>1.3</v>
      </c>
      <c r="AH40" s="156" t="n">
        <v>54.8</v>
      </c>
      <c r="AI40" s="123" t="n">
        <f aca="false">AI39-AH40</f>
        <v>13050.0578774893</v>
      </c>
      <c r="AJ40" s="112"/>
      <c r="AK40" s="154" t="n">
        <f aca="false">N40+O40+P40+Q40+R40+S40+T40+U40+X40+AE40+AH40+AT40-AR40</f>
        <v>753.4</v>
      </c>
      <c r="AL40" s="155" t="n">
        <f aca="false">IF(L40&lt;0,L40*-1,0)</f>
        <v>98.0245525586083</v>
      </c>
      <c r="AM40" s="155" t="n">
        <f aca="false">AK40+AL40</f>
        <v>851.424552558608</v>
      </c>
      <c r="AN40" s="467"/>
      <c r="AO40" s="241"/>
      <c r="AP40" s="406" t="n">
        <f aca="false">IF((AB39/1.9835)+Y40+(795-Y40)&gt;(72000/1.9835),(795-Y40)-((AB39/1.9835)+Y40+(795-Y40)-(72000/1.9835)),(795-Y40))</f>
        <v>-388.232042920711</v>
      </c>
      <c r="AQ40" s="186" t="n">
        <f aca="false">48.418*(12972*1.9835+AC40*1.9835)/E40</f>
        <v>6.66331234369586</v>
      </c>
      <c r="AR40" s="156"/>
      <c r="AS40" s="248"/>
      <c r="AT40" s="120" t="n">
        <v>2.34</v>
      </c>
      <c r="AU40" s="58"/>
      <c r="AV40" s="249" t="n">
        <v>0</v>
      </c>
      <c r="AW40" s="241" t="n">
        <v>67</v>
      </c>
      <c r="AX40" s="241" t="n">
        <v>42</v>
      </c>
      <c r="AY40" s="91"/>
      <c r="AZ40" s="282" t="n">
        <f aca="false">SUM(N40,P40:U40)</f>
        <v>8.72795707928933</v>
      </c>
      <c r="BA40" s="474" t="n">
        <v>48.6</v>
      </c>
      <c r="BB40" s="91" t="n">
        <v>25281</v>
      </c>
    </row>
    <row r="41" customFormat="false" ht="12.95" hidden="false" customHeight="true" outlineLevel="0" collapsed="false">
      <c r="A41" s="207" t="n">
        <f aca="false">A40+1</f>
        <v>27</v>
      </c>
      <c r="B41" s="122" t="n">
        <v>6919.87</v>
      </c>
      <c r="C41" s="123" t="n">
        <v>363013</v>
      </c>
      <c r="D41" s="241" t="n">
        <f aca="false">C41-C40</f>
        <v>1378</v>
      </c>
      <c r="E41" s="123" t="n">
        <f aca="false">C41-152000</f>
        <v>211013</v>
      </c>
      <c r="F41" s="155" t="n">
        <f aca="false">D41/$D$2</f>
        <v>694.731535165112</v>
      </c>
      <c r="G41" s="239" t="n">
        <v>1530</v>
      </c>
      <c r="H41" s="156" t="n">
        <v>13.3</v>
      </c>
      <c r="I41" s="155" t="n">
        <f aca="false">G41+H41</f>
        <v>1543.3</v>
      </c>
      <c r="J41" s="156" t="n">
        <f aca="false">IF(L41&gt;0,L41,0)</f>
        <v>0</v>
      </c>
      <c r="K41" s="155" t="n">
        <f aca="false">I41+J41</f>
        <v>1543.3</v>
      </c>
      <c r="L41" s="155" t="n">
        <f aca="false">F41-(I41-AK41)</f>
        <v>-128.468464834888</v>
      </c>
      <c r="M41" s="279" t="n">
        <v>269</v>
      </c>
      <c r="N41" s="186" t="n">
        <v>0</v>
      </c>
      <c r="O41" s="155" t="n">
        <f aca="false">53.3*1.05</f>
        <v>55.965</v>
      </c>
      <c r="P41" s="186" t="n">
        <v>0</v>
      </c>
      <c r="Q41" s="373" t="n">
        <f aca="false">1412600/325851/1.9835*1.02</f>
        <v>2.22929791957127</v>
      </c>
      <c r="R41" s="151" t="n">
        <f aca="false">IF(((6.1*1.04)-T41)&gt;=4.2,4.2,(6.1*1.04)-T41)</f>
        <v>4.2</v>
      </c>
      <c r="S41" s="151" t="n">
        <f aca="false">IF(((6.1*1.04)-T41)&gt;=4.2,((6.1*1.04)-T41)-4.2,0)</f>
        <v>1.08305024</v>
      </c>
      <c r="T41" s="151" t="n">
        <f aca="false">(0.9624*1.06)*1.04</f>
        <v>1.06094976</v>
      </c>
      <c r="U41" s="393" t="n">
        <v>0</v>
      </c>
      <c r="V41" s="155" t="n">
        <v>119</v>
      </c>
      <c r="W41" s="155" t="n">
        <v>72.1</v>
      </c>
      <c r="X41" s="280" t="n">
        <f aca="false">M41-N41-O41-P41-Q41-R41-S41-T41-U41+V41+W41-AT41+AR41</f>
        <v>393.341702080429</v>
      </c>
      <c r="Y41" s="280" t="n">
        <f aca="false">X41-AO41</f>
        <v>393.341702080429</v>
      </c>
      <c r="Z41" s="123" t="n">
        <f aca="false">Z40-AA41</f>
        <v>28439.6705191984</v>
      </c>
      <c r="AA41" s="155" t="n">
        <f aca="false">Y41</f>
        <v>393.341702080429</v>
      </c>
      <c r="AB41" s="244" t="n">
        <f aca="false">AB40+(Y41+AP41)*1.9835</f>
        <v>72000</v>
      </c>
      <c r="AC41" s="123" t="n">
        <f aca="false">AC40-(AQ40/1.9835)</f>
        <v>1569.68040568262</v>
      </c>
      <c r="AD41" s="123"/>
      <c r="AE41" s="155" t="n">
        <v>206</v>
      </c>
      <c r="AF41" s="279" t="n">
        <v>1.7</v>
      </c>
      <c r="AG41" s="281" t="n">
        <v>1.3</v>
      </c>
      <c r="AH41" s="156" t="n">
        <v>54</v>
      </c>
      <c r="AI41" s="123" t="n">
        <f aca="false">AI40-AH41</f>
        <v>12996.0578774893</v>
      </c>
      <c r="AJ41" s="112"/>
      <c r="AK41" s="154" t="n">
        <f aca="false">N41+O41+P41+Q41+R41+S41+T41+U41+X41+AE41+AH41+AT41-AR41</f>
        <v>720.1</v>
      </c>
      <c r="AL41" s="155" t="n">
        <f aca="false">IF(L41&lt;0,L41*-1,0)</f>
        <v>128.468464834888</v>
      </c>
      <c r="AM41" s="155" t="n">
        <f aca="false">AK41+AL41</f>
        <v>848.568464834888</v>
      </c>
      <c r="AN41" s="467"/>
      <c r="AO41" s="241"/>
      <c r="AP41" s="406" t="n">
        <f aca="false">IF((AB40/1.9835)+Y41+(795-Y41)&gt;(72000/1.9835),(795-Y41)-((AB40/1.9835)+Y41+(795-Y41)-(72000/1.9835)),(795-Y41))</f>
        <v>-393.341702080429</v>
      </c>
      <c r="AQ41" s="186" t="n">
        <f aca="false">44.635*(12972*1.9835+AC41*1.9835)/E41</f>
        <v>6.10117001978225</v>
      </c>
      <c r="AR41" s="156"/>
      <c r="AS41" s="248"/>
      <c r="AT41" s="120" t="n">
        <v>2.22</v>
      </c>
      <c r="AU41" s="58"/>
      <c r="AV41" s="249" t="n">
        <v>0</v>
      </c>
      <c r="AW41" s="241" t="n">
        <v>71</v>
      </c>
      <c r="AX41" s="241" t="n">
        <v>36</v>
      </c>
      <c r="AY41" s="91"/>
      <c r="AZ41" s="282" t="n">
        <f aca="false">SUM(N41,P41:U41)</f>
        <v>8.57329791957127</v>
      </c>
      <c r="BA41" s="474" t="n">
        <v>42.3</v>
      </c>
      <c r="BB41" s="91" t="n">
        <v>25295</v>
      </c>
    </row>
    <row r="42" customFormat="false" ht="12.95" hidden="false" customHeight="true" outlineLevel="0" collapsed="false">
      <c r="A42" s="207" t="n">
        <v>28</v>
      </c>
      <c r="B42" s="122" t="n">
        <v>6920.15</v>
      </c>
      <c r="C42" s="123" t="n">
        <v>364224</v>
      </c>
      <c r="D42" s="241" t="n">
        <f aca="false">C42-C41</f>
        <v>1211</v>
      </c>
      <c r="E42" s="123" t="n">
        <f aca="false">C42-152000</f>
        <v>212224</v>
      </c>
      <c r="F42" s="155" t="n">
        <f aca="false">D42/$D$2</f>
        <v>610.536929669776</v>
      </c>
      <c r="G42" s="239" t="n">
        <v>1320</v>
      </c>
      <c r="H42" s="156" t="n">
        <v>13.4</v>
      </c>
      <c r="I42" s="155" t="n">
        <f aca="false">G42+H42</f>
        <v>1333.4</v>
      </c>
      <c r="J42" s="156" t="n">
        <f aca="false">IF(L42&gt;0,L42,0)</f>
        <v>43.9369296697756</v>
      </c>
      <c r="K42" s="155" t="n">
        <f aca="false">I42+J42</f>
        <v>1377.33692966978</v>
      </c>
      <c r="L42" s="155" t="n">
        <f aca="false">F42-(I42-AK42)</f>
        <v>43.9369296697756</v>
      </c>
      <c r="M42" s="279" t="n">
        <v>292</v>
      </c>
      <c r="N42" s="186" t="n">
        <v>0</v>
      </c>
      <c r="O42" s="155" t="n">
        <f aca="false">60.9*1.05</f>
        <v>63.945</v>
      </c>
      <c r="P42" s="186" t="n">
        <v>0</v>
      </c>
      <c r="Q42" s="373" t="n">
        <f aca="false">1785000/325851/1.9835*1.02</f>
        <v>2.8170018309746</v>
      </c>
      <c r="R42" s="151" t="n">
        <f aca="false">IF(((5.1*1.04)-T42)&gt;=4.2,4.2,(5.1*1.04)-T42)</f>
        <v>4.2</v>
      </c>
      <c r="S42" s="151" t="n">
        <f aca="false">IF(((5.1*1.04)-T42)&gt;=4.2,((5.1*1.04)-T42)-4.2,0)</f>
        <v>0.0430502399999986</v>
      </c>
      <c r="T42" s="151" t="n">
        <f aca="false">(0.9624*1.06)*1.04</f>
        <v>1.06094976</v>
      </c>
      <c r="U42" s="393" t="n">
        <v>0</v>
      </c>
      <c r="V42" s="155" t="n">
        <v>119</v>
      </c>
      <c r="W42" s="155" t="n">
        <v>71.6</v>
      </c>
      <c r="X42" s="280" t="n">
        <f aca="false">M42-N42-O42-P42-Q42-R42-S42-T42-U42+V42+W42-AT42+AR42</f>
        <v>408.243998169025</v>
      </c>
      <c r="Y42" s="280" t="n">
        <f aca="false">X42-AO42</f>
        <v>408.243998169025</v>
      </c>
      <c r="Z42" s="123" t="n">
        <f aca="false">Z41-AA42</f>
        <v>28031.4265210294</v>
      </c>
      <c r="AA42" s="155" t="n">
        <f aca="false">Y42</f>
        <v>408.243998169025</v>
      </c>
      <c r="AB42" s="244" t="n">
        <f aca="false">AB41+(Y42+AP42)*1.9835</f>
        <v>72000</v>
      </c>
      <c r="AC42" s="123" t="n">
        <f aca="false">AC41-(AQ41/1.9835)</f>
        <v>1566.60444398876</v>
      </c>
      <c r="AD42" s="123"/>
      <c r="AE42" s="155" t="n">
        <v>231</v>
      </c>
      <c r="AF42" s="279" t="n">
        <v>1.7</v>
      </c>
      <c r="AG42" s="281" t="n">
        <v>1.3</v>
      </c>
      <c r="AH42" s="156" t="n">
        <v>53.2</v>
      </c>
      <c r="AI42" s="123" t="n">
        <f aca="false">AI41-AH42</f>
        <v>12942.8578774893</v>
      </c>
      <c r="AJ42" s="112"/>
      <c r="AK42" s="154" t="n">
        <f aca="false">N42+O42+P42+Q42+R42+S42+T42+U42+X42+AE42+AH42+AT42-AR42</f>
        <v>766.8</v>
      </c>
      <c r="AL42" s="155" t="n">
        <f aca="false">IF(L42&lt;0,L42*-1,0)</f>
        <v>0</v>
      </c>
      <c r="AM42" s="155" t="n">
        <f aca="false">AK42+AL42</f>
        <v>766.8</v>
      </c>
      <c r="AN42" s="467"/>
      <c r="AO42" s="241"/>
      <c r="AP42" s="406" t="n">
        <f aca="false">IF((AB41/1.9835)+Y42+(795-Y42)&gt;(72000/1.9835),(795-Y42)-((AB41/1.9835)+Y42+(795-Y42)-(72000/1.9835)),(795-Y42))</f>
        <v>-408.243998169025</v>
      </c>
      <c r="AQ42" s="186" t="n">
        <f aca="false">58.252*(12972*1.9835+AC42*1.9835)/E42</f>
        <v>7.91537091079374</v>
      </c>
      <c r="AR42" s="156"/>
      <c r="AS42" s="248"/>
      <c r="AT42" s="120" t="n">
        <v>2.29</v>
      </c>
      <c r="AU42" s="58"/>
      <c r="AV42" s="249" t="n">
        <v>0</v>
      </c>
      <c r="AW42" s="241" t="n">
        <v>75</v>
      </c>
      <c r="AX42" s="241" t="n">
        <v>39</v>
      </c>
      <c r="AY42" s="91"/>
      <c r="AZ42" s="282" t="n">
        <f aca="false">SUM(N42,P42:U42)</f>
        <v>8.1210018309746</v>
      </c>
      <c r="BA42" s="474" t="n">
        <v>21.6</v>
      </c>
      <c r="BB42" s="91" t="n">
        <v>25334</v>
      </c>
    </row>
    <row r="43" customFormat="false" ht="12.95" hidden="false" customHeight="true" outlineLevel="0" collapsed="false">
      <c r="A43" s="207" t="n">
        <v>29</v>
      </c>
      <c r="B43" s="122" t="n">
        <v>6920.41</v>
      </c>
      <c r="C43" s="123" t="n">
        <v>365353</v>
      </c>
      <c r="D43" s="241" t="n">
        <f aca="false">C43-C42</f>
        <v>1129</v>
      </c>
      <c r="E43" s="123" t="n">
        <f aca="false">C43-152000</f>
        <v>213353</v>
      </c>
      <c r="F43" s="155" t="n">
        <f aca="false">D43/$D$2</f>
        <v>569.195865893622</v>
      </c>
      <c r="G43" s="239" t="n">
        <v>1250</v>
      </c>
      <c r="H43" s="156" t="n">
        <v>8.06</v>
      </c>
      <c r="I43" s="155" t="n">
        <f aca="false">G43+H43</f>
        <v>1258.06</v>
      </c>
      <c r="J43" s="156" t="n">
        <f aca="false">IF(L43&gt;0,L43,0)</f>
        <v>55.1358658936224</v>
      </c>
      <c r="K43" s="155" t="n">
        <f aca="false">I43+J43</f>
        <v>1313.19586589362</v>
      </c>
      <c r="L43" s="155" t="n">
        <f aca="false">F43-(I43-AK43)</f>
        <v>55.1358658936224</v>
      </c>
      <c r="M43" s="279" t="n">
        <v>284</v>
      </c>
      <c r="N43" s="186" t="n">
        <v>0</v>
      </c>
      <c r="O43" s="155" t="n">
        <f aca="false">63.4*1.05</f>
        <v>66.57</v>
      </c>
      <c r="P43" s="186" t="n">
        <v>0</v>
      </c>
      <c r="Q43" s="373" t="n">
        <f aca="false">1776700/325851/1.9835*1.02</f>
        <v>2.80390316699864</v>
      </c>
      <c r="R43" s="151" t="n">
        <f aca="false">IF(((5*1.04)-T43)&gt;=4.2,4.2,(5*1.04)-T43)</f>
        <v>4.13905024</v>
      </c>
      <c r="S43" s="151" t="n">
        <f aca="false">IF(((5*1.04)-T43)&gt;=4.2,((5*1.04)-T43)-4.2,0)</f>
        <v>0</v>
      </c>
      <c r="T43" s="151" t="n">
        <f aca="false">(0.9624*1.06)*1.04</f>
        <v>1.06094976</v>
      </c>
      <c r="U43" s="393" t="n">
        <v>0</v>
      </c>
      <c r="V43" s="155" t="n">
        <v>118</v>
      </c>
      <c r="W43" s="155" t="n">
        <v>71.8</v>
      </c>
      <c r="X43" s="280" t="n">
        <f aca="false">M43-N43-O43-P43-Q43-R43-S43-T43-U43+V43+W43-AT43+AR43</f>
        <v>396.986096833001</v>
      </c>
      <c r="Y43" s="280" t="n">
        <f aca="false">X43-AO43</f>
        <v>396.986096833001</v>
      </c>
      <c r="Z43" s="123" t="n">
        <f aca="false">Z42-AA43</f>
        <v>27634.4404241964</v>
      </c>
      <c r="AA43" s="155" t="n">
        <f aca="false">Y43</f>
        <v>396.986096833001</v>
      </c>
      <c r="AB43" s="244" t="n">
        <f aca="false">AB42+(Y43+AP43)*1.9835</f>
        <v>72000</v>
      </c>
      <c r="AC43" s="123" t="n">
        <f aca="false">AC42-(AQ42/1.9835)</f>
        <v>1562.6138360176</v>
      </c>
      <c r="AD43" s="123"/>
      <c r="AE43" s="155" t="n">
        <v>217</v>
      </c>
      <c r="AF43" s="279" t="n">
        <v>1.7</v>
      </c>
      <c r="AG43" s="281" t="n">
        <v>1.3</v>
      </c>
      <c r="AH43" s="156" t="n">
        <v>53.2</v>
      </c>
      <c r="AI43" s="123" t="n">
        <f aca="false">AI42-AH43</f>
        <v>12889.6578774893</v>
      </c>
      <c r="AJ43" s="112"/>
      <c r="AK43" s="154" t="n">
        <f aca="false">N43+O43+P43+Q43+R43+S43+T43+U43+X43+AE43+AH43+AT43-AR43</f>
        <v>744</v>
      </c>
      <c r="AL43" s="155" t="n">
        <f aca="false">IF(L43&lt;0,L43*-1,0)</f>
        <v>0</v>
      </c>
      <c r="AM43" s="155" t="n">
        <f aca="false">AK43+AL43</f>
        <v>744</v>
      </c>
      <c r="AN43" s="467"/>
      <c r="AO43" s="241"/>
      <c r="AP43" s="406" t="n">
        <f aca="false">IF((AB42/1.9835)+Y43+(795-Y43)&gt;(72000/1.9835),(795-Y43)-((AB42/1.9835)+Y43+(795-Y43)-(72000/1.9835)),(795-Y43))</f>
        <v>-396.986096833001</v>
      </c>
      <c r="AQ43" s="186" t="n">
        <f aca="false">60.018*(12972*1.9835+AC43*1.9835)/E43</f>
        <v>8.10995543508759</v>
      </c>
      <c r="AR43" s="156"/>
      <c r="AS43" s="248"/>
      <c r="AT43" s="120" t="n">
        <v>2.24</v>
      </c>
      <c r="AU43" s="58"/>
      <c r="AV43" s="249" t="n">
        <v>0</v>
      </c>
      <c r="AW43" s="241" t="n">
        <v>80</v>
      </c>
      <c r="AX43" s="241" t="n">
        <v>46</v>
      </c>
      <c r="AY43" s="91"/>
      <c r="AZ43" s="282" t="n">
        <f aca="false">SUM(N43,P43:U43)</f>
        <v>8.00390316699864</v>
      </c>
      <c r="BA43" s="474" t="n">
        <v>21.7</v>
      </c>
      <c r="BB43" s="91" t="n">
        <v>25402</v>
      </c>
    </row>
    <row r="44" customFormat="false" ht="12.95" hidden="false" customHeight="true" outlineLevel="0" collapsed="false">
      <c r="A44" s="207" t="n">
        <v>30</v>
      </c>
      <c r="B44" s="122" t="n">
        <v>6920.59</v>
      </c>
      <c r="C44" s="123" t="n">
        <v>366135</v>
      </c>
      <c r="D44" s="241" t="n">
        <f aca="false">C44-C43</f>
        <v>782</v>
      </c>
      <c r="E44" s="123" t="n">
        <f aca="false">C44-152000</f>
        <v>214135</v>
      </c>
      <c r="F44" s="155" t="n">
        <f aca="false">D44/$D$2</f>
        <v>394.252583816486</v>
      </c>
      <c r="G44" s="239" t="n">
        <v>1220</v>
      </c>
      <c r="H44" s="156" t="n">
        <v>6.72</v>
      </c>
      <c r="I44" s="155" t="n">
        <f aca="false">G44+H44</f>
        <v>1226.72</v>
      </c>
      <c r="J44" s="156" t="n">
        <f aca="false">IF(L44&gt;0,L44,0)</f>
        <v>0</v>
      </c>
      <c r="K44" s="155" t="n">
        <f aca="false">I44+J44</f>
        <v>1226.72</v>
      </c>
      <c r="L44" s="155" t="n">
        <f aca="false">F44-(I44-AK44)</f>
        <v>-79.267416183514</v>
      </c>
      <c r="M44" s="279" t="n">
        <v>285</v>
      </c>
      <c r="N44" s="186" t="n">
        <v>0</v>
      </c>
      <c r="O44" s="155" t="n">
        <f aca="false">59.3*1.05</f>
        <v>62.265</v>
      </c>
      <c r="P44" s="186" t="n">
        <v>0</v>
      </c>
      <c r="Q44" s="373" t="n">
        <f aca="false">1984800/325851/1.9835*1.02</f>
        <v>3.13231665776941</v>
      </c>
      <c r="R44" s="151" t="n">
        <f aca="false">IF(((4.9*1.04)-T44)&gt;=4.2,4.2,(4.9*1.04)-T44)</f>
        <v>4.03505024</v>
      </c>
      <c r="S44" s="151" t="n">
        <f aca="false">IF(((4.9*1.04)-T44)&gt;=4.2,((4.9*1.04)-T44)-4.2,0)</f>
        <v>0</v>
      </c>
      <c r="T44" s="151" t="n">
        <f aca="false">(0.9624*1.06)*1.04</f>
        <v>1.06094976</v>
      </c>
      <c r="U44" s="393" t="n">
        <v>0</v>
      </c>
      <c r="V44" s="155" t="n">
        <v>117</v>
      </c>
      <c r="W44" s="155" t="n">
        <v>71</v>
      </c>
      <c r="X44" s="280" t="n">
        <f aca="false">M44-N44-O44-P44-Q44-R44-S44-T44-U44+V44+W44-AT44+AR44</f>
        <v>400.286683342231</v>
      </c>
      <c r="Y44" s="280" t="n">
        <f aca="false">X44-AO44</f>
        <v>400.286683342231</v>
      </c>
      <c r="Z44" s="123" t="n">
        <f aca="false">Z43-AA44</f>
        <v>27234.1537408541</v>
      </c>
      <c r="AA44" s="155" t="n">
        <f aca="false">Y44</f>
        <v>400.286683342231</v>
      </c>
      <c r="AB44" s="244" t="n">
        <f aca="false">AB43+(Y44+AP44)*1.9835</f>
        <v>72000</v>
      </c>
      <c r="AC44" s="123" t="n">
        <f aca="false">AC43-(AQ43/1.9835)</f>
        <v>1558.52512644609</v>
      </c>
      <c r="AD44" s="123"/>
      <c r="AE44" s="155" t="n">
        <v>227</v>
      </c>
      <c r="AF44" s="279" t="n">
        <v>1.7</v>
      </c>
      <c r="AG44" s="281" t="n">
        <v>1.3</v>
      </c>
      <c r="AH44" s="156" t="n">
        <v>53.2</v>
      </c>
      <c r="AI44" s="123" t="n">
        <f aca="false">AI43-AH44</f>
        <v>12836.4578774893</v>
      </c>
      <c r="AJ44" s="112"/>
      <c r="AK44" s="154" t="n">
        <f aca="false">N44+O44+P44+Q44+R44+S44+T44+U44+X44+AE44+AH44+AT44-AR44</f>
        <v>753.2</v>
      </c>
      <c r="AL44" s="155" t="n">
        <f aca="false">IF(L44&lt;0,L44*-1,0)</f>
        <v>79.267416183514</v>
      </c>
      <c r="AM44" s="155" t="n">
        <f aca="false">AK44+AL44</f>
        <v>832.467416183514</v>
      </c>
      <c r="AN44" s="467"/>
      <c r="AO44" s="241"/>
      <c r="AP44" s="406" t="n">
        <f aca="false">IF((AB43/1.9835)+Y44+(795-Y44)&gt;(72000/1.9835),(795-Y44)-((AB43/1.9835)+Y44+(795-Y44)-(72000/1.9835)),(795-Y44))</f>
        <v>-400.286683342231</v>
      </c>
      <c r="AQ44" s="186" t="n">
        <f aca="false">70.705*(12972*1.9835+AC44*1.9835)/E44</f>
        <v>9.51647220340515</v>
      </c>
      <c r="AR44" s="156"/>
      <c r="AS44" s="248"/>
      <c r="AT44" s="120" t="n">
        <v>2.22</v>
      </c>
      <c r="AU44" s="58"/>
      <c r="AV44" s="249" t="n">
        <v>0</v>
      </c>
      <c r="AW44" s="241" t="n">
        <v>78</v>
      </c>
      <c r="AX44" s="241" t="n">
        <v>45</v>
      </c>
      <c r="AY44" s="91"/>
      <c r="AZ44" s="282" t="n">
        <f aca="false">SUM(N44,P44:U44)</f>
        <v>8.22831665776941</v>
      </c>
      <c r="BA44" s="474" t="n">
        <v>21.7</v>
      </c>
      <c r="BB44" s="91" t="n">
        <v>25456</v>
      </c>
    </row>
    <row r="45" customFormat="false" ht="12.95" hidden="false" customHeight="true" outlineLevel="0" collapsed="false">
      <c r="A45" s="207" t="n">
        <v>31</v>
      </c>
      <c r="B45" s="122" t="n">
        <v>6920.89</v>
      </c>
      <c r="C45" s="123" t="n">
        <v>367457</v>
      </c>
      <c r="D45" s="241" t="n">
        <f aca="false">C45-C44</f>
        <v>1322</v>
      </c>
      <c r="E45" s="123" t="n">
        <f aca="false">C45-152000</f>
        <v>215457</v>
      </c>
      <c r="F45" s="155" t="n">
        <f aca="false">D45/$D$2</f>
        <v>666.498613561886</v>
      </c>
      <c r="G45" s="239" t="n">
        <v>1440</v>
      </c>
      <c r="H45" s="156" t="n">
        <v>6.03</v>
      </c>
      <c r="I45" s="155" t="n">
        <f aca="false">G45+H45</f>
        <v>1446.03</v>
      </c>
      <c r="J45" s="156" t="n">
        <f aca="false">IF(L45&gt;0,L45,0)</f>
        <v>0</v>
      </c>
      <c r="K45" s="155" t="n">
        <f aca="false">I45+J45</f>
        <v>1446.03</v>
      </c>
      <c r="L45" s="155" t="n">
        <f aca="false">F45-(I45-AK45)</f>
        <v>-5.43138643811449</v>
      </c>
      <c r="M45" s="279" t="n">
        <v>276</v>
      </c>
      <c r="N45" s="186" t="n">
        <v>0</v>
      </c>
      <c r="O45" s="155" t="n">
        <f aca="false">55.1*1.05</f>
        <v>57.855</v>
      </c>
      <c r="P45" s="186" t="n">
        <v>0</v>
      </c>
      <c r="Q45" s="373" t="n">
        <f aca="false">1739000/325851/1.9835*1.02</f>
        <v>2.74440682580663</v>
      </c>
      <c r="R45" s="151" t="n">
        <f aca="false">IF(((5.7*1.04)-T45)&gt;=4.2,4.2,(5.7*1.04)-T45)</f>
        <v>4.2</v>
      </c>
      <c r="S45" s="151" t="n">
        <f aca="false">IF(((5.7*1.04)-T45)&gt;=4.2,((5.7*1.04)-T45)-4.2,0)</f>
        <v>0.667050240000001</v>
      </c>
      <c r="T45" s="151" t="n">
        <f aca="false">(0.9624*1.06)*1.04</f>
        <v>1.06094976</v>
      </c>
      <c r="U45" s="393" t="n">
        <v>0</v>
      </c>
      <c r="V45" s="155" t="n">
        <v>121</v>
      </c>
      <c r="W45" s="155" t="n">
        <v>71.8</v>
      </c>
      <c r="X45" s="280" t="n">
        <f aca="false">M45-N45-O45-P45-Q45-R45-S45-T45-U45+V45+W45-AT45+AR45</f>
        <v>399.992593174193</v>
      </c>
      <c r="Y45" s="280" t="n">
        <f aca="false">X45-AO45</f>
        <v>399.992593174193</v>
      </c>
      <c r="Z45" s="123" t="n">
        <f aca="false">Z44-AA45</f>
        <v>26834.1611476799</v>
      </c>
      <c r="AA45" s="155" t="n">
        <f aca="false">Y45</f>
        <v>399.992593174193</v>
      </c>
      <c r="AB45" s="244" t="n">
        <f aca="false">AB44+(Y45+AP45)*1.9835</f>
        <v>72000</v>
      </c>
      <c r="AC45" s="123" t="n">
        <f aca="false">AC44-(AQ44/1.9835)</f>
        <v>1553.72730834505</v>
      </c>
      <c r="AD45" s="123"/>
      <c r="AE45" s="155" t="n">
        <v>248</v>
      </c>
      <c r="AF45" s="279" t="n">
        <v>1.7</v>
      </c>
      <c r="AG45" s="281" t="n">
        <v>1.3</v>
      </c>
      <c r="AH45" s="156" t="n">
        <v>57.3</v>
      </c>
      <c r="AI45" s="123" t="n">
        <f aca="false">AI44-AH45</f>
        <v>12779.1578774893</v>
      </c>
      <c r="AJ45" s="112"/>
      <c r="AK45" s="154" t="n">
        <f aca="false">N45+O45+P45+Q45+R45+S45+T45+U45+X45+AE45+AH45+AT45-AR45</f>
        <v>774.1</v>
      </c>
      <c r="AL45" s="155" t="n">
        <f aca="false">IF(L45&lt;0,L45*-1,0)</f>
        <v>5.43138643811449</v>
      </c>
      <c r="AM45" s="277" t="n">
        <f aca="false">AK45+AL45</f>
        <v>779.531386438114</v>
      </c>
      <c r="AN45" s="467"/>
      <c r="AO45" s="241"/>
      <c r="AP45" s="406" t="n">
        <f aca="false">IF((AB44/1.9835)+Y45+(795-Y45)&gt;(72000/1.9835),(795-Y45)-((AB44/1.9835)+Y45+(795-Y45)-(72000/1.9835)),(795-Y45))</f>
        <v>-399.992593174193</v>
      </c>
      <c r="AQ45" s="186" t="n">
        <f aca="false">73.502*(12972*1.9835+AC45*1.9835)/E45</f>
        <v>9.8289842617959</v>
      </c>
      <c r="AR45" s="156"/>
      <c r="AS45" s="248"/>
      <c r="AT45" s="120" t="n">
        <v>2.28</v>
      </c>
      <c r="AU45" s="58"/>
      <c r="AV45" s="249" t="n">
        <v>0</v>
      </c>
      <c r="AW45" s="241" t="n">
        <v>82</v>
      </c>
      <c r="AX45" s="241" t="n">
        <v>47</v>
      </c>
      <c r="AY45" s="91"/>
      <c r="AZ45" s="282" t="n">
        <f aca="false">SUM(N45,P45:U45)</f>
        <v>8.67240682580663</v>
      </c>
      <c r="BA45" s="474" t="n">
        <v>21.8</v>
      </c>
      <c r="BB45" s="91" t="n">
        <v>25521</v>
      </c>
    </row>
    <row r="46" customFormat="false" ht="3" hidden="false" customHeight="true" outlineLevel="0" collapsed="false">
      <c r="A46" s="261"/>
      <c r="B46" s="286"/>
      <c r="C46" s="263"/>
      <c r="D46" s="264"/>
      <c r="E46" s="263"/>
      <c r="F46" s="264"/>
      <c r="G46" s="286"/>
      <c r="H46" s="271" t="n">
        <v>0.01</v>
      </c>
      <c r="I46" s="264" t="n">
        <f aca="false">G46+H46</f>
        <v>0.01</v>
      </c>
      <c r="J46" s="264"/>
      <c r="K46" s="264"/>
      <c r="L46" s="264"/>
      <c r="M46" s="267"/>
      <c r="N46" s="268"/>
      <c r="O46" s="264"/>
      <c r="P46" s="268"/>
      <c r="Q46" s="264"/>
      <c r="R46" s="264"/>
      <c r="S46" s="472"/>
      <c r="T46" s="472"/>
      <c r="U46" s="269"/>
      <c r="V46" s="264"/>
      <c r="W46" s="264"/>
      <c r="X46" s="264"/>
      <c r="Y46" s="264"/>
      <c r="Z46" s="263"/>
      <c r="AA46" s="264"/>
      <c r="AB46" s="263"/>
      <c r="AC46" s="263"/>
      <c r="AD46" s="263"/>
      <c r="AE46" s="264"/>
      <c r="AF46" s="286"/>
      <c r="AG46" s="265"/>
      <c r="AH46" s="274"/>
      <c r="AI46" s="264"/>
      <c r="AJ46" s="271"/>
      <c r="AK46" s="264"/>
      <c r="AL46" s="264"/>
      <c r="AM46" s="265"/>
      <c r="AN46" s="263"/>
      <c r="AO46" s="274"/>
      <c r="AP46" s="274"/>
      <c r="AQ46" s="268"/>
      <c r="AR46" s="271"/>
      <c r="AS46" s="268"/>
      <c r="AT46" s="271"/>
      <c r="AU46" s="271"/>
      <c r="AV46" s="276"/>
      <c r="AW46" s="274"/>
      <c r="AX46" s="274"/>
      <c r="AY46" s="274"/>
      <c r="AZ46" s="274"/>
      <c r="BA46" s="274"/>
      <c r="BB46" s="274"/>
    </row>
    <row r="47" customFormat="false" ht="12.95" hidden="false" customHeight="true" outlineLevel="0" collapsed="false">
      <c r="A47" s="209" t="s">
        <v>104</v>
      </c>
      <c r="B47" s="239"/>
      <c r="C47" s="123"/>
      <c r="D47" s="123"/>
      <c r="E47" s="123"/>
      <c r="F47" s="123" t="n">
        <f aca="false">SUM(F15:F45)</f>
        <v>35150.4915553315</v>
      </c>
      <c r="G47" s="467" t="n">
        <f aca="false">SUM(G15:G45)</f>
        <v>47839</v>
      </c>
      <c r="H47" s="156" t="n">
        <f aca="false">SUM(H15:H46)</f>
        <v>2586.02</v>
      </c>
      <c r="I47" s="123" t="n">
        <f aca="false">SUM(I15:I46)</f>
        <v>50425.02</v>
      </c>
      <c r="J47" s="123" t="n">
        <f aca="false">SUM(J15:J45)</f>
        <v>1376.52734560121</v>
      </c>
      <c r="K47" s="123" t="n">
        <f aca="false">SUM(K15:K45)</f>
        <v>51801.5373456012</v>
      </c>
      <c r="L47" s="123" t="n">
        <f aca="false">SUM(L15:L45)</f>
        <v>674.681555331484</v>
      </c>
      <c r="M47" s="242" t="n">
        <f aca="false">SUM(M15:M45)</f>
        <v>6577.2</v>
      </c>
      <c r="N47" s="156" t="n">
        <f aca="false">SUM(N15:N45)</f>
        <v>0</v>
      </c>
      <c r="O47" s="123" t="n">
        <f aca="false">SUM(O15:O45)</f>
        <v>1669.689</v>
      </c>
      <c r="P47" s="186" t="n">
        <f aca="false">SUM(P15:P45)</f>
        <v>0</v>
      </c>
      <c r="Q47" s="123" t="n">
        <f aca="false">SUM(Q15:Q45)</f>
        <v>65.5887980931204</v>
      </c>
      <c r="R47" s="123" t="n">
        <f aca="false">SUM(R15:R45)</f>
        <v>105.088404</v>
      </c>
      <c r="S47" s="155" t="n">
        <f aca="false">SUM(S15:S45)</f>
        <v>3.96740624</v>
      </c>
      <c r="T47" s="155" t="n">
        <f aca="false">SUM(T15:T45)</f>
        <v>26.66418976</v>
      </c>
      <c r="U47" s="245" t="n">
        <f aca="false">SUM(U15:U45)</f>
        <v>0</v>
      </c>
      <c r="V47" s="123" t="n">
        <f aca="false">SUM(V15:V45)</f>
        <v>2461.4</v>
      </c>
      <c r="W47" s="123" t="n">
        <f aca="false">SUM(W15:W45)</f>
        <v>1555.1</v>
      </c>
      <c r="X47" s="123" t="n">
        <f aca="false">SUM(X15:X45)</f>
        <v>8657.66220190688</v>
      </c>
      <c r="Y47" s="123" t="n">
        <f aca="false">SUM(Y15:Y45)</f>
        <v>8657.66220190688</v>
      </c>
      <c r="Z47" s="123"/>
      <c r="AA47" s="123" t="n">
        <f aca="false">SUM(AA15:AA45)</f>
        <v>3159.74039666765</v>
      </c>
      <c r="AB47" s="123"/>
      <c r="AC47" s="123"/>
      <c r="AD47" s="123"/>
      <c r="AE47" s="123" t="n">
        <f aca="false">SUM(AE15:AE45)</f>
        <v>3693</v>
      </c>
      <c r="AF47" s="475" t="n">
        <f aca="false">SUM(AF15:AF45)</f>
        <v>52.7</v>
      </c>
      <c r="AG47" s="476" t="n">
        <f aca="false">SUM(AG15:AG45)</f>
        <v>40.3</v>
      </c>
      <c r="AH47" s="241" t="n">
        <f aca="false">SUM(AH15:AH45)</f>
        <v>1662.5</v>
      </c>
      <c r="AI47" s="123"/>
      <c r="AJ47" s="156" t="n">
        <f aca="false">SUM(AJ15:AJ45)</f>
        <v>0</v>
      </c>
      <c r="AK47" s="123" t="n">
        <f aca="false">SUM(AK15:AK45)</f>
        <v>15949.2</v>
      </c>
      <c r="AL47" s="123" t="n">
        <f aca="false">SUM(AL15:AL45)</f>
        <v>701.845790269726</v>
      </c>
      <c r="AM47" s="240" t="n">
        <f aca="false">SUM(AM15:AM45)</f>
        <v>16651.0457902697</v>
      </c>
      <c r="AN47" s="109" t="n">
        <f aca="false">SUM(AN15:AN45)</f>
        <v>0</v>
      </c>
      <c r="AO47" s="123" t="n">
        <f aca="false">SUM(AO15:AO45)</f>
        <v>0</v>
      </c>
      <c r="AP47" s="155"/>
      <c r="AQ47" s="186"/>
      <c r="AR47" s="156" t="n">
        <f aca="false">SUM(AR15:AR45)</f>
        <v>0</v>
      </c>
      <c r="AS47" s="248" t="n">
        <f aca="false">SUM(AS15:AS45)</f>
        <v>0</v>
      </c>
      <c r="AT47" s="156" t="n">
        <f aca="false">SUM(AT15:AT45)</f>
        <v>65.04</v>
      </c>
      <c r="AU47" s="58"/>
      <c r="AV47" s="249" t="n">
        <f aca="false">SUM(AV15:AV45)</f>
        <v>1.51845679012346</v>
      </c>
      <c r="AW47" s="241" t="n">
        <f aca="false">AVERAGE(AW15:AW45)</f>
        <v>70.9032258064516</v>
      </c>
      <c r="AX47" s="241" t="n">
        <f aca="false">AVERAGE(AX15:AX45)</f>
        <v>40.2258064516129</v>
      </c>
      <c r="AY47" s="240" t="s">
        <v>130</v>
      </c>
      <c r="AZ47" s="375" t="n">
        <f aca="false">SUM(AZ15:AZ45)</f>
        <v>201.30879809312</v>
      </c>
      <c r="BA47" s="0" t="n">
        <f aca="false">SUM(BA15:BA45)</f>
        <v>1654.91</v>
      </c>
      <c r="BB47" s="283"/>
    </row>
    <row r="48" customFormat="false" ht="12.95" hidden="false" customHeight="true" outlineLevel="0" collapsed="false">
      <c r="A48" s="209" t="s">
        <v>106</v>
      </c>
      <c r="B48" s="239"/>
      <c r="C48" s="123"/>
      <c r="D48" s="123" t="n">
        <f aca="false">SUM(D15:D45)</f>
        <v>69721</v>
      </c>
      <c r="E48" s="123"/>
      <c r="F48" s="123" t="n">
        <f aca="false">F47*$D$2</f>
        <v>69721</v>
      </c>
      <c r="G48" s="467" t="n">
        <f aca="false">G47*$D$2</f>
        <v>94888.6565</v>
      </c>
      <c r="H48" s="156" t="n">
        <f aca="false">H47*$D$2</f>
        <v>5129.37067</v>
      </c>
      <c r="I48" s="123" t="n">
        <f aca="false">I47*$D$2</f>
        <v>100018.02717</v>
      </c>
      <c r="J48" s="123" t="n">
        <f aca="false">J47*$D$2</f>
        <v>2730.34199</v>
      </c>
      <c r="K48" s="123" t="n">
        <f aca="false">K47*$D$2</f>
        <v>102748.349325</v>
      </c>
      <c r="L48" s="123" t="n">
        <f aca="false">L47*$D$2</f>
        <v>1338.230865</v>
      </c>
      <c r="M48" s="242" t="n">
        <f aca="false">M47*$D$2</f>
        <v>13045.8762</v>
      </c>
      <c r="N48" s="241" t="n">
        <f aca="false">N47*$D$2</f>
        <v>0</v>
      </c>
      <c r="O48" s="123" t="n">
        <f aca="false">O47*$D$2</f>
        <v>3311.8281315</v>
      </c>
      <c r="P48" s="186" t="n">
        <f aca="false">P47*$D$2</f>
        <v>0</v>
      </c>
      <c r="Q48" s="123" t="n">
        <f aca="false">Q47*$D$2</f>
        <v>130.095381017704</v>
      </c>
      <c r="R48" s="123" t="n">
        <f aca="false">R47*$D$2</f>
        <v>208.442849334</v>
      </c>
      <c r="S48" s="155" t="n">
        <f aca="false">S47*$D$2</f>
        <v>7.86935027704</v>
      </c>
      <c r="T48" s="155" t="n">
        <f aca="false">T47*$D$2</f>
        <v>52.88842038896</v>
      </c>
      <c r="U48" s="245" t="n">
        <f aca="false">U47*$D$2</f>
        <v>0</v>
      </c>
      <c r="V48" s="123" t="n">
        <f aca="false">V47*$D$2</f>
        <v>4882.1869</v>
      </c>
      <c r="W48" s="123" t="n">
        <f aca="false">W47*$D$2</f>
        <v>3084.54085</v>
      </c>
      <c r="X48" s="123" t="n">
        <f aca="false">X47*$D$2</f>
        <v>17172.4729774823</v>
      </c>
      <c r="Y48" s="123" t="n">
        <f aca="false">Y47*$D$2</f>
        <v>17172.4729774823</v>
      </c>
      <c r="Z48" s="123"/>
      <c r="AA48" s="123" t="n">
        <f aca="false">AA47*$D$2</f>
        <v>6267.34507679029</v>
      </c>
      <c r="AB48" s="123"/>
      <c r="AC48" s="123"/>
      <c r="AD48" s="123"/>
      <c r="AE48" s="123" t="n">
        <f aca="false">AE47*$D$2</f>
        <v>7325.0655</v>
      </c>
      <c r="AF48" s="242" t="n">
        <f aca="false">AF47*$D$2</f>
        <v>104.53045</v>
      </c>
      <c r="AG48" s="245" t="n">
        <f aca="false">AG47*$D$2</f>
        <v>79.93505</v>
      </c>
      <c r="AH48" s="241" t="n">
        <f aca="false">AH47*$D$2</f>
        <v>3297.56875</v>
      </c>
      <c r="AI48" s="123"/>
      <c r="AJ48" s="312" t="n">
        <f aca="false">AJ47*$D$2</f>
        <v>0</v>
      </c>
      <c r="AK48" s="244" t="n">
        <f aca="false">AK47*$D$2</f>
        <v>31635.2382</v>
      </c>
      <c r="AL48" s="123" t="n">
        <f aca="false">AL47*$D$2</f>
        <v>1392.111125</v>
      </c>
      <c r="AM48" s="240" t="n">
        <f aca="false">AM47*$D$2</f>
        <v>33027.349325</v>
      </c>
      <c r="AN48" s="123" t="n">
        <f aca="false">AN47*$D$2</f>
        <v>0</v>
      </c>
      <c r="AO48" s="123" t="n">
        <f aca="false">AO47*$D$2</f>
        <v>0</v>
      </c>
      <c r="AP48" s="155"/>
      <c r="AQ48" s="186" t="n">
        <f aca="false">SUM(AQ15:AQ45)</f>
        <v>217.404458005667</v>
      </c>
      <c r="AR48" s="156" t="n">
        <f aca="false">AR47*$D$2</f>
        <v>0</v>
      </c>
      <c r="AS48" s="123" t="n">
        <f aca="false">AS47*$D$2</f>
        <v>0</v>
      </c>
      <c r="AT48" s="156" t="n">
        <f aca="false">AT47*$D$2</f>
        <v>129.00684</v>
      </c>
      <c r="AU48" s="58"/>
      <c r="AV48" s="249"/>
      <c r="AW48" s="241" t="n">
        <f aca="false">MAX(AW15:AW45)</f>
        <v>82</v>
      </c>
      <c r="AX48" s="241" t="n">
        <f aca="false">MAX(AX15:AX45)</f>
        <v>50</v>
      </c>
      <c r="AY48" s="240" t="s">
        <v>107</v>
      </c>
      <c r="AZ48" s="375" t="n">
        <f aca="false">AZ47*$D$2</f>
        <v>399.296001017704</v>
      </c>
      <c r="BA48" s="0" t="n">
        <f aca="false">BA47*D2</f>
        <v>3282.513985</v>
      </c>
      <c r="BB48" s="283"/>
    </row>
    <row r="49" customFormat="false" ht="3" hidden="false" customHeight="true" outlineLevel="0" collapsed="false">
      <c r="A49" s="261"/>
      <c r="B49" s="286"/>
      <c r="C49" s="263"/>
      <c r="D49" s="263"/>
      <c r="E49" s="263"/>
      <c r="F49" s="263"/>
      <c r="G49" s="293"/>
      <c r="H49" s="271"/>
      <c r="I49" s="263"/>
      <c r="J49" s="263"/>
      <c r="K49" s="263"/>
      <c r="L49" s="263"/>
      <c r="M49" s="290"/>
      <c r="N49" s="268"/>
      <c r="O49" s="263"/>
      <c r="P49" s="268"/>
      <c r="Q49" s="263"/>
      <c r="R49" s="263"/>
      <c r="S49" s="472"/>
      <c r="T49" s="472"/>
      <c r="U49" s="291"/>
      <c r="V49" s="263"/>
      <c r="W49" s="263"/>
      <c r="X49" s="263"/>
      <c r="Y49" s="263"/>
      <c r="Z49" s="263"/>
      <c r="AA49" s="263"/>
      <c r="AB49" s="263"/>
      <c r="AC49" s="263"/>
      <c r="AD49" s="263"/>
      <c r="AE49" s="263"/>
      <c r="AF49" s="290"/>
      <c r="AG49" s="291"/>
      <c r="AH49" s="274"/>
      <c r="AI49" s="264"/>
      <c r="AJ49" s="271"/>
      <c r="AK49" s="263"/>
      <c r="AL49" s="263"/>
      <c r="AM49" s="289"/>
      <c r="AN49" s="263"/>
      <c r="AO49" s="263"/>
      <c r="AP49" s="263"/>
      <c r="AQ49" s="268"/>
      <c r="AR49" s="271"/>
      <c r="AS49" s="268"/>
      <c r="AT49" s="271"/>
      <c r="AU49" s="271"/>
      <c r="AV49" s="263"/>
      <c r="AW49" s="263"/>
      <c r="AX49" s="263"/>
      <c r="AY49" s="263"/>
      <c r="AZ49" s="263"/>
      <c r="BA49" s="137"/>
      <c r="BB49" s="263"/>
    </row>
    <row r="50" customFormat="false" ht="12.95" hidden="false" customHeight="true" outlineLevel="0" collapsed="false">
      <c r="A50" s="209" t="s">
        <v>108</v>
      </c>
      <c r="B50" s="239"/>
      <c r="C50" s="123"/>
      <c r="D50" s="123"/>
      <c r="E50" s="123"/>
      <c r="F50" s="123" t="n">
        <f aca="false">F12+F47</f>
        <v>52329.7201915805</v>
      </c>
      <c r="G50" s="467" t="n">
        <f aca="false">G12+G47</f>
        <v>66348</v>
      </c>
      <c r="H50" s="156" t="n">
        <f aca="false">H12+H47</f>
        <v>4302.82</v>
      </c>
      <c r="I50" s="123" t="n">
        <f aca="false">I12+I47</f>
        <v>70650.82</v>
      </c>
      <c r="J50" s="123" t="n">
        <f aca="false">J12+J47</f>
        <v>3939.97933728258</v>
      </c>
      <c r="K50" s="123" t="n">
        <f aca="false">K12+K47</f>
        <v>74590.7893372826</v>
      </c>
      <c r="L50" s="123" t="n">
        <f aca="false">L12+L47</f>
        <v>2653.56319158054</v>
      </c>
      <c r="M50" s="242" t="n">
        <f aca="false">M12+M47</f>
        <v>9464.98</v>
      </c>
      <c r="N50" s="241" t="n">
        <f aca="false">N12+N47</f>
        <v>0</v>
      </c>
      <c r="O50" s="123" t="n">
        <f aca="false">O12+O47</f>
        <v>3892.5915</v>
      </c>
      <c r="P50" s="186" t="n">
        <f aca="false">P12+P47</f>
        <v>0</v>
      </c>
      <c r="Q50" s="123"/>
      <c r="R50" s="123"/>
      <c r="S50" s="373"/>
      <c r="T50" s="373"/>
      <c r="U50" s="245"/>
      <c r="V50" s="123" t="n">
        <f aca="false">V12+V47</f>
        <v>2641.3</v>
      </c>
      <c r="W50" s="123" t="n">
        <f aca="false">W12+W47</f>
        <v>1662.5</v>
      </c>
      <c r="X50" s="123" t="n">
        <f aca="false">X12+X47</f>
        <v>9498.0798404723</v>
      </c>
      <c r="Y50" s="123" t="n">
        <f aca="false">Y12+Y47</f>
        <v>9465.30948503998</v>
      </c>
      <c r="Z50" s="93" t="n">
        <f aca="false">Z45</f>
        <v>26834.1611476799</v>
      </c>
      <c r="AA50" s="123" t="n">
        <f aca="false">AA12+AA47</f>
        <v>3159.74039666765</v>
      </c>
      <c r="AB50" s="123"/>
      <c r="AC50" s="123"/>
      <c r="AD50" s="123"/>
      <c r="AE50" s="123" t="n">
        <f aca="false">AE12+AE47</f>
        <v>3953.773</v>
      </c>
      <c r="AF50" s="242" t="n">
        <f aca="false">AF12+AF47</f>
        <v>103.7</v>
      </c>
      <c r="AG50" s="245" t="n">
        <f aca="false">AG12+AG47</f>
        <v>79.3</v>
      </c>
      <c r="AH50" s="241"/>
      <c r="AI50" s="123"/>
      <c r="AJ50" s="156" t="n">
        <f aca="false">AJ12+AJ47</f>
        <v>0</v>
      </c>
      <c r="AK50" s="123" t="n">
        <f aca="false">AK12+AK47</f>
        <v>20974.653</v>
      </c>
      <c r="AL50" s="123" t="n">
        <f aca="false">AL12+AL47</f>
        <v>1286.41614570204</v>
      </c>
      <c r="AM50" s="240" t="n">
        <f aca="false">AM12+AM47</f>
        <v>22261.069145702</v>
      </c>
      <c r="AN50" s="123"/>
      <c r="AO50" s="241"/>
      <c r="AP50" s="155"/>
      <c r="AQ50" s="186"/>
      <c r="AR50" s="156" t="n">
        <f aca="false">AR12+AR47</f>
        <v>0</v>
      </c>
      <c r="AS50" s="123" t="n">
        <f aca="false">AS12+AS47</f>
        <v>0</v>
      </c>
      <c r="AT50" s="156" t="n">
        <f aca="false">AT12+AT47</f>
        <v>65.04</v>
      </c>
      <c r="AU50" s="58"/>
      <c r="AV50" s="249" t="s">
        <v>136</v>
      </c>
      <c r="AW50" s="241" t="n">
        <f aca="false">MIN(AW15:AW45)</f>
        <v>54</v>
      </c>
      <c r="AX50" s="241" t="n">
        <f aca="false">MIN(AX15:AX45)</f>
        <v>32</v>
      </c>
      <c r="AY50" s="240" t="s">
        <v>109</v>
      </c>
      <c r="AZ50" s="375" t="n">
        <f aca="false">AZ12+AZ47</f>
        <v>329.774159527705</v>
      </c>
      <c r="BA50" s="123" t="n">
        <f aca="false">BA12+BA47</f>
        <v>1680.134</v>
      </c>
      <c r="BB50" s="283"/>
    </row>
    <row r="51" customFormat="false" ht="12.95" hidden="false" customHeight="true" outlineLevel="0" collapsed="false">
      <c r="A51" s="209" t="s">
        <v>110</v>
      </c>
      <c r="B51" s="239"/>
      <c r="C51" s="123"/>
      <c r="D51" s="123"/>
      <c r="E51" s="123"/>
      <c r="F51" s="123" t="n">
        <f aca="false">F50*$D$2</f>
        <v>103796</v>
      </c>
      <c r="G51" s="467" t="n">
        <f aca="false">G50*$D$2</f>
        <v>131601.258</v>
      </c>
      <c r="H51" s="241" t="n">
        <f aca="false">H50*$D$2</f>
        <v>8534.64347</v>
      </c>
      <c r="I51" s="123" t="n">
        <f aca="false">I50*$D$2</f>
        <v>140135.90147</v>
      </c>
      <c r="J51" s="123" t="n">
        <f aca="false">J50*$D$2</f>
        <v>7814.9490155</v>
      </c>
      <c r="K51" s="123" t="n">
        <f aca="false">K50*$D$2</f>
        <v>147950.8306505</v>
      </c>
      <c r="L51" s="123" t="n">
        <f aca="false">L50*$D$2</f>
        <v>5263.3425905</v>
      </c>
      <c r="M51" s="242" t="n">
        <f aca="false">M50*$D$2</f>
        <v>18773.78783</v>
      </c>
      <c r="N51" s="241" t="n">
        <f aca="false">N50*$D$2</f>
        <v>0</v>
      </c>
      <c r="O51" s="123" t="n">
        <f aca="false">O50*$D$2</f>
        <v>7720.95524025</v>
      </c>
      <c r="P51" s="186" t="n">
        <f aca="false">P50*$D$2</f>
        <v>0</v>
      </c>
      <c r="Q51" s="123"/>
      <c r="R51" s="123"/>
      <c r="S51" s="373"/>
      <c r="T51" s="373"/>
      <c r="U51" s="245"/>
      <c r="V51" s="123" t="n">
        <f aca="false">V50*$D$2</f>
        <v>5239.01855</v>
      </c>
      <c r="W51" s="123" t="n">
        <f aca="false">W50*$D$2</f>
        <v>3297.56875</v>
      </c>
      <c r="X51" s="123" t="n">
        <f aca="false">X50*$D$2</f>
        <v>18839.4413635768</v>
      </c>
      <c r="Y51" s="123" t="n">
        <f aca="false">Y50*$D$2</f>
        <v>18774.4413635768</v>
      </c>
      <c r="Z51" s="93" t="n">
        <f aca="false">Z50*$D$2</f>
        <v>53225.5586364232</v>
      </c>
      <c r="AA51" s="123" t="n">
        <f aca="false">AA50*$D$2</f>
        <v>6267.34507679029</v>
      </c>
      <c r="AB51" s="123"/>
      <c r="AC51" s="123"/>
      <c r="AD51" s="123"/>
      <c r="AE51" s="123" t="n">
        <f aca="false">AE50*$D$2</f>
        <v>7842.3087455</v>
      </c>
      <c r="AF51" s="242" t="n">
        <f aca="false">AF50*$D$2</f>
        <v>205.68895</v>
      </c>
      <c r="AG51" s="245" t="n">
        <f aca="false">AG50*$D$2</f>
        <v>157.29155</v>
      </c>
      <c r="AH51" s="241"/>
      <c r="AI51" s="123"/>
      <c r="AJ51" s="156" t="n">
        <f aca="false">AJ50*$D$2</f>
        <v>0</v>
      </c>
      <c r="AK51" s="123" t="n">
        <f aca="false">AK50*$D$2</f>
        <v>41603.2242255</v>
      </c>
      <c r="AL51" s="123" t="n">
        <f aca="false">AL50*$D$2</f>
        <v>2551.606425</v>
      </c>
      <c r="AM51" s="240" t="n">
        <f aca="false">AM50*$D$2</f>
        <v>44154.8306505</v>
      </c>
      <c r="AN51" s="123"/>
      <c r="AO51" s="241"/>
      <c r="AP51" s="155"/>
      <c r="AQ51" s="186" t="n">
        <f aca="false">AQ12+AQ48</f>
        <v>327.881727939572</v>
      </c>
      <c r="AR51" s="156" t="n">
        <f aca="false">AR50*$D$2</f>
        <v>0</v>
      </c>
      <c r="AS51" s="123" t="n">
        <f aca="false">AS50*$D$2</f>
        <v>0</v>
      </c>
      <c r="AT51" s="156" t="n">
        <f aca="false">AT50*$D$2</f>
        <v>129.00684</v>
      </c>
      <c r="AU51" s="58"/>
      <c r="AV51" s="249" t="n">
        <f aca="false">AV47</f>
        <v>1.51845679012346</v>
      </c>
      <c r="AW51" s="241"/>
      <c r="AX51" s="241"/>
      <c r="AY51" s="91"/>
      <c r="AZ51" s="375" t="n">
        <f aca="false">AZ50*$D$2</f>
        <v>654.107045423203</v>
      </c>
      <c r="BA51" s="123" t="n">
        <f aca="false">BA50*$D$2</f>
        <v>3332.545789</v>
      </c>
      <c r="BB51" s="283"/>
    </row>
    <row r="52" customFormat="false" ht="3" hidden="false" customHeight="true" outlineLevel="0" collapsed="false">
      <c r="A52" s="261"/>
      <c r="B52" s="286"/>
      <c r="C52" s="263"/>
      <c r="D52" s="263"/>
      <c r="E52" s="263"/>
      <c r="F52" s="263"/>
      <c r="G52" s="293"/>
      <c r="H52" s="271"/>
      <c r="I52" s="263"/>
      <c r="J52" s="263"/>
      <c r="K52" s="263"/>
      <c r="L52" s="263"/>
      <c r="M52" s="290"/>
      <c r="N52" s="271"/>
      <c r="O52" s="263"/>
      <c r="P52" s="268"/>
      <c r="Q52" s="263"/>
      <c r="R52" s="263"/>
      <c r="S52" s="472"/>
      <c r="T52" s="472"/>
      <c r="U52" s="291"/>
      <c r="V52" s="263"/>
      <c r="W52" s="263"/>
      <c r="X52" s="263"/>
      <c r="Y52" s="263"/>
      <c r="Z52" s="263"/>
      <c r="AA52" s="263"/>
      <c r="AB52" s="263"/>
      <c r="AC52" s="263"/>
      <c r="AD52" s="263"/>
      <c r="AE52" s="263"/>
      <c r="AF52" s="290"/>
      <c r="AG52" s="291"/>
      <c r="AH52" s="274"/>
      <c r="AI52" s="263"/>
      <c r="AJ52" s="271"/>
      <c r="AK52" s="263"/>
      <c r="AL52" s="263"/>
      <c r="AM52" s="289"/>
      <c r="AN52" s="263"/>
      <c r="AO52" s="294"/>
      <c r="AP52" s="294"/>
      <c r="AQ52" s="268"/>
      <c r="AR52" s="271"/>
      <c r="AS52" s="268"/>
      <c r="AT52" s="271"/>
      <c r="AU52" s="271"/>
      <c r="AV52" s="276"/>
      <c r="AW52" s="477"/>
      <c r="AX52" s="294"/>
      <c r="AY52" s="294"/>
      <c r="AZ52" s="294"/>
      <c r="BA52" s="413"/>
      <c r="BB52" s="294"/>
    </row>
    <row r="53" customFormat="false" ht="12.95" hidden="false" customHeight="true" outlineLevel="0" collapsed="false">
      <c r="A53" s="209" t="s">
        <v>111</v>
      </c>
      <c r="B53" s="239"/>
      <c r="C53" s="123"/>
      <c r="D53" s="123"/>
      <c r="E53" s="123"/>
      <c r="F53" s="123" t="n">
        <f aca="false">F13+F47</f>
        <v>62730.0226871691</v>
      </c>
      <c r="G53" s="467" t="n">
        <f aca="false">G13+G47</f>
        <v>82607.8798999244</v>
      </c>
      <c r="H53" s="156" t="n">
        <f aca="false">H13+H47</f>
        <v>4591.519</v>
      </c>
      <c r="I53" s="123" t="n">
        <f aca="false">I13+I47</f>
        <v>87199.3988999244</v>
      </c>
      <c r="J53" s="123" t="n">
        <f aca="false">J13+J47</f>
        <v>7321.19856843963</v>
      </c>
      <c r="K53" s="123" t="n">
        <f aca="false">K13+K47</f>
        <v>94520.587468364</v>
      </c>
      <c r="L53" s="123" t="n">
        <f aca="false">L13+L47</f>
        <v>5716.78178724477</v>
      </c>
      <c r="M53" s="242" t="n">
        <f aca="false">M13+M47</f>
        <v>10219.98</v>
      </c>
      <c r="N53" s="241" t="n">
        <f aca="false">N13+N47</f>
        <v>0</v>
      </c>
      <c r="O53" s="123" t="n">
        <f aca="false">O13+O47</f>
        <v>3894.32505</v>
      </c>
      <c r="P53" s="373" t="n">
        <f aca="false">P13+P47</f>
        <v>0</v>
      </c>
      <c r="Q53" s="123" t="n">
        <f aca="false">Q13+Q47</f>
        <v>358.325789204542</v>
      </c>
      <c r="R53" s="123" t="n">
        <f aca="false">R13+R47</f>
        <v>411.81382144</v>
      </c>
      <c r="S53" s="155" t="n">
        <f aca="false">S13+S47</f>
        <v>3.96740624</v>
      </c>
      <c r="T53" s="123" t="n">
        <f aca="false">T13+T47</f>
        <v>130.01077232</v>
      </c>
      <c r="U53" s="245" t="n">
        <f aca="false">U13+U47</f>
        <v>-15.4916088537026</v>
      </c>
      <c r="V53" s="123" t="n">
        <f aca="false">V13+V47</f>
        <v>5856.11</v>
      </c>
      <c r="W53" s="123" t="n">
        <f aca="false">W13+W47</f>
        <v>1692.585</v>
      </c>
      <c r="X53" s="123" t="n">
        <f aca="false">X13+X47</f>
        <v>12896.9096696492</v>
      </c>
      <c r="Y53" s="123" t="n">
        <f aca="false">Y13+Y47</f>
        <v>12613.9993142168</v>
      </c>
      <c r="Z53" s="123"/>
      <c r="AA53" s="123"/>
      <c r="AB53" s="123"/>
      <c r="AC53" s="123"/>
      <c r="AD53" s="123"/>
      <c r="AE53" s="123"/>
      <c r="AF53" s="242" t="n">
        <f aca="false">AF13+AF47</f>
        <v>103.7</v>
      </c>
      <c r="AG53" s="245" t="n">
        <f aca="false">AG13+AG47</f>
        <v>79.3</v>
      </c>
      <c r="AH53" s="241" t="n">
        <f aca="false">AH13+AH47</f>
        <v>8463.7</v>
      </c>
      <c r="AI53" s="123" t="n">
        <f aca="false">AI45</f>
        <v>12779.1578774893</v>
      </c>
      <c r="AJ53" s="156" t="n">
        <f aca="false">AJ13+AJ47</f>
        <v>0</v>
      </c>
      <c r="AK53" s="123" t="n">
        <f aca="false">AK13+AK47</f>
        <v>30186.148</v>
      </c>
      <c r="AL53" s="123" t="n">
        <f aca="false">AL13+AL47</f>
        <v>1604.41678119486</v>
      </c>
      <c r="AM53" s="240" t="n">
        <f aca="false">AM13+AM47</f>
        <v>31790.5647811949</v>
      </c>
      <c r="AN53" s="123" t="n">
        <f aca="false">AN13+AN47</f>
        <v>3115.79</v>
      </c>
      <c r="AO53" s="123" t="n">
        <f aca="false">AO13+AO47</f>
        <v>282.910355432317</v>
      </c>
      <c r="AP53" s="155"/>
      <c r="AQ53" s="186"/>
      <c r="AR53" s="156" t="n">
        <f aca="false">AR13+AR47</f>
        <v>0</v>
      </c>
      <c r="AS53" s="123" t="n">
        <f aca="false">AS13+AS47</f>
        <v>0</v>
      </c>
      <c r="AT53" s="156"/>
      <c r="AU53" s="58"/>
      <c r="AV53" s="249" t="n">
        <f aca="false">AV13+AV47</f>
        <v>9.65488536155203</v>
      </c>
      <c r="AW53" s="241"/>
      <c r="AX53" s="241"/>
      <c r="AY53" s="91"/>
      <c r="AZ53" s="375" t="n">
        <f aca="false">AZ13+AZ47</f>
        <v>884.72618035084</v>
      </c>
      <c r="BA53" s="125" t="n">
        <f aca="false">BA47+BA13</f>
        <v>1764.592</v>
      </c>
      <c r="BB53" s="283"/>
    </row>
    <row r="54" customFormat="false" ht="12.95" hidden="false" customHeight="true" outlineLevel="0" collapsed="false">
      <c r="A54" s="209" t="s">
        <v>112</v>
      </c>
      <c r="B54" s="239"/>
      <c r="C54" s="123"/>
      <c r="D54" s="123" t="n">
        <f aca="false">D13+D48</f>
        <v>124289</v>
      </c>
      <c r="E54" s="123" t="n">
        <f aca="false">E45</f>
        <v>215457</v>
      </c>
      <c r="F54" s="123" t="n">
        <f aca="false">F53*$D$2</f>
        <v>124425</v>
      </c>
      <c r="G54" s="467" t="n">
        <f aca="false">G53*$D$2</f>
        <v>163852.7297815</v>
      </c>
      <c r="H54" s="241" t="n">
        <f aca="false">H53*$D$2</f>
        <v>9107.2779365</v>
      </c>
      <c r="I54" s="123" t="n">
        <f aca="false">I53*$D$2</f>
        <v>172960.007718</v>
      </c>
      <c r="J54" s="123" t="n">
        <f aca="false">J53*$D$2</f>
        <v>14521.5973605</v>
      </c>
      <c r="K54" s="123" t="n">
        <f aca="false">K53*$D$2</f>
        <v>187481.5852435</v>
      </c>
      <c r="L54" s="123" t="n">
        <f aca="false">L53*$D$2</f>
        <v>11339.236675</v>
      </c>
      <c r="M54" s="242" t="n">
        <f aca="false">M53*$D$2</f>
        <v>20271.33033</v>
      </c>
      <c r="N54" s="241" t="n">
        <f aca="false">N53*$D$2</f>
        <v>0</v>
      </c>
      <c r="O54" s="123" t="n">
        <f aca="false">O53*$D$2</f>
        <v>7724.393736675</v>
      </c>
      <c r="P54" s="373" t="n">
        <f aca="false">P53*$D$2</f>
        <v>0</v>
      </c>
      <c r="Q54" s="123" t="n">
        <f aca="false">Q53*$D$2</f>
        <v>710.739202887209</v>
      </c>
      <c r="R54" s="123" t="n">
        <f aca="false">R53*$D$2</f>
        <v>816.83271482624</v>
      </c>
      <c r="S54" s="155" t="n">
        <f aca="false">S53*$D$2</f>
        <v>7.86935027704</v>
      </c>
      <c r="T54" s="123" t="n">
        <f aca="false">T53*$D$2</f>
        <v>257.87636689672</v>
      </c>
      <c r="U54" s="245" t="n">
        <f aca="false">U53*$D$2</f>
        <v>-30.7276061613192</v>
      </c>
      <c r="V54" s="123" t="n">
        <f aca="false">V53*$D$2</f>
        <v>11615.594185</v>
      </c>
      <c r="W54" s="123" t="n">
        <f aca="false">W53*$D$2</f>
        <v>3357.2423475</v>
      </c>
      <c r="X54" s="123" t="n">
        <f aca="false">X53*$D$2</f>
        <v>25581.0203297491</v>
      </c>
      <c r="Y54" s="123" t="n">
        <f aca="false">Y53*$D$2</f>
        <v>25019.8676397491</v>
      </c>
      <c r="Z54" s="123"/>
      <c r="AA54" s="123"/>
      <c r="AB54" s="123"/>
      <c r="AC54" s="123"/>
      <c r="AD54" s="123"/>
      <c r="AE54" s="123"/>
      <c r="AF54" s="296" t="n">
        <f aca="false">AF53*$D$2</f>
        <v>205.68895</v>
      </c>
      <c r="AG54" s="297" t="n">
        <f aca="false">AG53*$D$2</f>
        <v>157.29155</v>
      </c>
      <c r="AH54" s="241" t="n">
        <f aca="false">AH53*$D$2</f>
        <v>16787.74895</v>
      </c>
      <c r="AI54" s="123" t="n">
        <f aca="false">AI53*$D$2</f>
        <v>25347.45965</v>
      </c>
      <c r="AJ54" s="156" t="n">
        <f aca="false">AJ53*$D$2</f>
        <v>0</v>
      </c>
      <c r="AK54" s="123" t="n">
        <f aca="false">AK53*$D$2</f>
        <v>59874.224558</v>
      </c>
      <c r="AL54" s="123" t="n">
        <f aca="false">AL53*$D$2</f>
        <v>3182.3606855</v>
      </c>
      <c r="AM54" s="298" t="n">
        <f aca="false">AM53*$D$2</f>
        <v>63056.5852435</v>
      </c>
      <c r="AN54" s="123" t="n">
        <f aca="false">AN53*$D$2</f>
        <v>6180.169465</v>
      </c>
      <c r="AO54" s="123" t="n">
        <f aca="false">AO53*$D$2</f>
        <v>561.15269</v>
      </c>
      <c r="AP54" s="155"/>
      <c r="AQ54" s="186" t="n">
        <f aca="false">AQ12+AQ48</f>
        <v>327.881727939572</v>
      </c>
      <c r="AR54" s="156" t="n">
        <f aca="false">AR53*$D$2</f>
        <v>0</v>
      </c>
      <c r="AS54" s="123" t="n">
        <f aca="false">AS53*$D$2</f>
        <v>0</v>
      </c>
      <c r="AT54" s="156"/>
      <c r="AU54" s="58"/>
      <c r="AV54" s="249"/>
      <c r="AW54" s="241"/>
      <c r="AX54" s="241"/>
      <c r="AY54" s="91"/>
      <c r="AZ54" s="375" t="n">
        <f aca="false">AZ53*$D$2</f>
        <v>1754.85437872589</v>
      </c>
      <c r="BA54" s="0" t="n">
        <f aca="false">BA53*D2</f>
        <v>3500.068232</v>
      </c>
      <c r="BB54" s="283"/>
    </row>
    <row r="55" customFormat="false" ht="3" hidden="false" customHeight="true" outlineLevel="0" collapsed="false">
      <c r="A55" s="261"/>
      <c r="B55" s="286"/>
      <c r="C55" s="263"/>
      <c r="D55" s="264"/>
      <c r="E55" s="263"/>
      <c r="F55" s="478"/>
      <c r="G55" s="479"/>
      <c r="H55" s="480"/>
      <c r="I55" s="264"/>
      <c r="J55" s="264"/>
      <c r="K55" s="264"/>
      <c r="L55" s="264"/>
      <c r="M55" s="267"/>
      <c r="N55" s="268"/>
      <c r="O55" s="264"/>
      <c r="P55" s="268"/>
      <c r="Q55" s="264"/>
      <c r="R55" s="264"/>
      <c r="S55" s="472"/>
      <c r="T55" s="472"/>
      <c r="U55" s="269"/>
      <c r="V55" s="264"/>
      <c r="W55" s="264"/>
      <c r="X55" s="264"/>
      <c r="Y55" s="264"/>
      <c r="Z55" s="263"/>
      <c r="AA55" s="264"/>
      <c r="AB55" s="263"/>
      <c r="AC55" s="263"/>
      <c r="AD55" s="263"/>
      <c r="AE55" s="264"/>
      <c r="AF55" s="267"/>
      <c r="AG55" s="272"/>
      <c r="AH55" s="274"/>
      <c r="AI55" s="263"/>
      <c r="AJ55" s="271"/>
      <c r="AK55" s="264"/>
      <c r="AL55" s="264"/>
      <c r="AM55" s="264"/>
      <c r="AN55" s="293"/>
      <c r="AO55" s="264"/>
      <c r="AP55" s="264"/>
      <c r="AQ55" s="268"/>
      <c r="AR55" s="271"/>
      <c r="AS55" s="268"/>
      <c r="AT55" s="271"/>
      <c r="AU55" s="271"/>
      <c r="AV55" s="264"/>
      <c r="AW55" s="264"/>
      <c r="AX55" s="264"/>
      <c r="AY55" s="264"/>
      <c r="AZ55" s="264"/>
      <c r="BA55" s="264"/>
      <c r="BB55" s="264"/>
    </row>
    <row r="56" customFormat="false" ht="11.1" hidden="false" customHeight="true" outlineLevel="0" collapsed="false">
      <c r="A56" s="481"/>
      <c r="B56" s="300"/>
      <c r="D56" s="209"/>
      <c r="F56" s="482"/>
      <c r="G56" s="482"/>
      <c r="H56" s="483"/>
      <c r="I56" s="209"/>
      <c r="J56" s="209"/>
      <c r="K56" s="209"/>
      <c r="L56" s="209"/>
      <c r="M56" s="209"/>
      <c r="O56" s="209"/>
      <c r="Q56" s="209"/>
      <c r="R56" s="209"/>
      <c r="V56" s="209"/>
      <c r="W56" s="209"/>
      <c r="X56" s="209"/>
      <c r="Y56" s="209"/>
      <c r="Z56" s="176"/>
      <c r="AA56" s="209"/>
      <c r="AB56" s="176"/>
      <c r="AC56" s="176"/>
      <c r="AD56" s="176"/>
      <c r="AE56" s="209"/>
      <c r="AF56" s="209"/>
      <c r="AG56" s="209"/>
      <c r="AI56" s="176"/>
      <c r="AK56" s="209"/>
      <c r="AL56" s="209"/>
      <c r="AM56" s="209"/>
      <c r="AN56" s="97"/>
      <c r="AO56" s="207"/>
      <c r="AP56" s="212"/>
      <c r="AQ56" s="80"/>
      <c r="AR56" s="447"/>
      <c r="AX56" s="206"/>
    </row>
    <row r="57" customFormat="false" ht="11.1" hidden="false" customHeight="true" outlineLevel="0" collapsed="false">
      <c r="A57" s="209"/>
      <c r="B57" s="176"/>
      <c r="E57" s="423"/>
      <c r="F57" s="254"/>
      <c r="G57" s="204"/>
      <c r="I57" s="423"/>
      <c r="J57" s="209"/>
      <c r="K57" s="201"/>
      <c r="L57" s="209"/>
      <c r="M57" s="209"/>
      <c r="O57" s="27"/>
      <c r="P57" s="108"/>
      <c r="Q57" s="27"/>
      <c r="R57" s="27"/>
      <c r="V57" s="209"/>
      <c r="W57" s="176"/>
      <c r="X57" s="27"/>
      <c r="Y57" s="27"/>
      <c r="Z57" s="176"/>
      <c r="AA57" s="27"/>
      <c r="AB57" s="176"/>
      <c r="AC57" s="176"/>
      <c r="AD57" s="176"/>
      <c r="AE57" s="176"/>
      <c r="AF57" s="176"/>
      <c r="AG57" s="176"/>
      <c r="AI57" s="484"/>
      <c r="AJ57" s="485"/>
      <c r="AK57" s="209"/>
      <c r="AL57" s="209"/>
      <c r="AN57" s="254"/>
      <c r="AO57" s="212"/>
      <c r="AP57" s="212"/>
    </row>
    <row r="59" customFormat="false" ht="11.1" hidden="false" customHeight="true" outlineLevel="0" collapsed="false">
      <c r="B59" s="8"/>
      <c r="D59" s="176"/>
      <c r="F59" s="425"/>
      <c r="AE59" s="176"/>
      <c r="AF59" s="176"/>
      <c r="AG59" s="176"/>
      <c r="AN59" s="254"/>
      <c r="AO59" s="204"/>
      <c r="AP59" s="204"/>
    </row>
    <row r="60" customFormat="false" ht="11.1" hidden="false" customHeight="true" outlineLevel="0" collapsed="false">
      <c r="B60" s="1"/>
      <c r="D60" s="1"/>
      <c r="G60" s="486"/>
      <c r="H60" s="487"/>
      <c r="I60" s="488"/>
      <c r="AN60" s="254"/>
      <c r="AO60" s="204"/>
      <c r="AP60" s="489"/>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D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8"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100"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1" min="40" style="1" width="5.49"/>
    <col collapsed="false" customWidth="true" hidden="false" outlineLevel="0" max="42" min="42" style="1" width="6.32"/>
    <col collapsed="false" customWidth="true" hidden="false" outlineLevel="0" max="43" min="43" style="323" width="6.32"/>
    <col collapsed="false" customWidth="true" hidden="false" outlineLevel="0" max="44" min="44" style="216" width="5.49"/>
    <col collapsed="false" customWidth="true" hidden="false" outlineLevel="0" max="45" min="45" style="199" width="5.49"/>
    <col collapsed="false" customWidth="true" hidden="false" outlineLevel="0" max="46" min="46" style="1" width="5.82"/>
    <col collapsed="false" customWidth="true" hidden="false" outlineLevel="0" max="47" min="47" style="4" width="4.99"/>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0" width="5.49"/>
    <col collapsed="false" customWidth="false" hidden="false" outlineLevel="0" max="53" min="53" style="490" width="9.32"/>
  </cols>
  <sheetData>
    <row r="1" customFormat="false" ht="14.1" hidden="false" customHeight="true" outlineLevel="0" collapsed="false">
      <c r="A1" s="11" t="s">
        <v>117</v>
      </c>
      <c r="B1" s="11"/>
      <c r="D1" s="11"/>
      <c r="F1" s="11"/>
      <c r="G1" s="11"/>
      <c r="I1" s="11"/>
      <c r="J1" s="11"/>
      <c r="K1" s="13" t="s">
        <v>0</v>
      </c>
      <c r="L1" s="11"/>
      <c r="M1" s="11"/>
      <c r="N1" s="11"/>
      <c r="S1" s="11"/>
      <c r="T1" s="11"/>
      <c r="V1" s="11"/>
      <c r="W1" s="11"/>
      <c r="Z1" s="11"/>
      <c r="AB1" s="209"/>
      <c r="AC1" s="11"/>
      <c r="AD1" s="11"/>
      <c r="AE1" s="11"/>
      <c r="AF1" s="11"/>
      <c r="AG1" s="11"/>
      <c r="AI1" s="11"/>
      <c r="AJ1" s="14"/>
      <c r="AK1" s="11"/>
      <c r="AL1" s="11"/>
      <c r="AN1" s="14"/>
      <c r="AO1" s="14"/>
      <c r="AP1" s="14"/>
    </row>
    <row r="2" customFormat="false" ht="14.1" hidden="false" customHeight="true" outlineLevel="0" collapsed="false">
      <c r="A2" s="14" t="s">
        <v>1</v>
      </c>
      <c r="B2" s="11"/>
      <c r="D2" s="15" t="n">
        <v>1.9835</v>
      </c>
      <c r="F2" s="11"/>
      <c r="G2" s="11"/>
      <c r="I2" s="11"/>
      <c r="J2" s="11"/>
      <c r="K2" s="491" t="s">
        <v>137</v>
      </c>
      <c r="L2" s="491"/>
      <c r="M2" s="491"/>
      <c r="N2" s="491"/>
      <c r="O2" s="491"/>
      <c r="P2" s="491"/>
      <c r="Q2" s="491"/>
      <c r="R2" s="491"/>
      <c r="S2" s="491"/>
      <c r="T2" s="491"/>
      <c r="U2" s="491"/>
      <c r="V2" s="491"/>
      <c r="W2" s="384"/>
      <c r="X2" s="385"/>
      <c r="Y2" s="385"/>
      <c r="Z2" s="384"/>
      <c r="AA2" s="385"/>
      <c r="AB2" s="215"/>
      <c r="AC2" s="384"/>
      <c r="AD2" s="384"/>
      <c r="AE2" s="384"/>
      <c r="AF2" s="384"/>
      <c r="AG2" s="384"/>
      <c r="AH2" s="385"/>
      <c r="AI2" s="11"/>
      <c r="AJ2" s="14"/>
      <c r="AK2" s="11"/>
      <c r="AL2" s="11"/>
      <c r="AN2" s="14"/>
      <c r="AO2" s="14"/>
      <c r="AP2" s="14"/>
    </row>
    <row r="3" customFormat="false" ht="14.1" hidden="false" customHeight="true" outlineLevel="0" collapsed="false">
      <c r="A3" s="17"/>
      <c r="B3" s="17"/>
      <c r="C3" s="18"/>
      <c r="D3" s="19"/>
      <c r="E3" s="18"/>
      <c r="F3" s="17"/>
      <c r="G3" s="17"/>
      <c r="H3" s="23"/>
      <c r="I3" s="17"/>
      <c r="J3" s="17"/>
      <c r="K3" s="17"/>
      <c r="L3" s="17"/>
      <c r="M3" s="17"/>
      <c r="N3" s="17"/>
      <c r="O3" s="23"/>
      <c r="P3" s="21"/>
      <c r="Q3" s="23"/>
      <c r="R3" s="23"/>
      <c r="S3" s="17"/>
      <c r="T3" s="17"/>
      <c r="U3" s="21"/>
      <c r="V3" s="17"/>
      <c r="W3" s="17"/>
      <c r="X3" s="18"/>
      <c r="Y3" s="18"/>
      <c r="Z3" s="17"/>
      <c r="AA3" s="103"/>
      <c r="AB3" s="209"/>
      <c r="AC3" s="17"/>
      <c r="AD3" s="17"/>
      <c r="AE3" s="17"/>
      <c r="AF3" s="17"/>
      <c r="AG3" s="17"/>
      <c r="AH3" s="18"/>
      <c r="AI3" s="17"/>
      <c r="AJ3" s="387"/>
      <c r="AK3" s="17"/>
      <c r="AL3" s="17"/>
      <c r="AM3" s="21"/>
      <c r="AN3" s="387"/>
      <c r="AO3" s="387"/>
      <c r="AP3" s="387"/>
      <c r="AV3" s="28"/>
      <c r="AW3" s="29"/>
      <c r="AX3" s="30"/>
      <c r="BA3" s="492"/>
      <c r="BB3" s="32"/>
    </row>
    <row r="4" s="58" customFormat="true" ht="14.1" hidden="false" customHeight="true" outlineLevel="0" collapsed="false">
      <c r="A4" s="428"/>
      <c r="B4" s="429"/>
      <c r="C4" s="430"/>
      <c r="D4" s="431" t="s">
        <v>3</v>
      </c>
      <c r="E4" s="430"/>
      <c r="F4" s="428"/>
      <c r="G4" s="429"/>
      <c r="H4" s="432"/>
      <c r="I4" s="433" t="s">
        <v>114</v>
      </c>
      <c r="J4" s="428"/>
      <c r="K4" s="428"/>
      <c r="L4" s="434"/>
      <c r="M4" s="428"/>
      <c r="N4" s="435"/>
      <c r="O4" s="428"/>
      <c r="P4" s="435"/>
      <c r="Q4" s="428"/>
      <c r="R4" s="428"/>
      <c r="S4" s="428"/>
      <c r="T4" s="428"/>
      <c r="U4" s="435"/>
      <c r="V4" s="433"/>
      <c r="W4" s="428"/>
      <c r="X4" s="433" t="s">
        <v>5</v>
      </c>
      <c r="Y4" s="430"/>
      <c r="Z4" s="428"/>
      <c r="AA4" s="430"/>
      <c r="AB4" s="428"/>
      <c r="AC4" s="428"/>
      <c r="AD4" s="428"/>
      <c r="AE4" s="428"/>
      <c r="AF4" s="428"/>
      <c r="AG4" s="428"/>
      <c r="AH4" s="437"/>
      <c r="AI4" s="428"/>
      <c r="AJ4" s="493"/>
      <c r="AK4" s="428"/>
      <c r="AL4" s="428"/>
      <c r="AM4" s="435"/>
      <c r="AN4" s="494"/>
      <c r="AO4" s="31"/>
      <c r="AP4" s="439" t="s">
        <v>6</v>
      </c>
      <c r="AQ4" s="50"/>
      <c r="AR4" s="440"/>
      <c r="AS4" s="44"/>
      <c r="AT4" s="438"/>
      <c r="AU4" s="438"/>
      <c r="AV4" s="441"/>
      <c r="AW4" s="442" t="s">
        <v>7</v>
      </c>
      <c r="AX4" s="443"/>
      <c r="AY4" s="59"/>
      <c r="AZ4" s="444"/>
      <c r="BA4" s="495"/>
      <c r="BB4" s="496"/>
    </row>
    <row r="5" s="208" customFormat="tru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459" t="s">
        <v>16</v>
      </c>
      <c r="M5" s="497" t="s">
        <v>18</v>
      </c>
      <c r="N5" s="497"/>
      <c r="O5" s="497"/>
      <c r="P5" s="497"/>
      <c r="Q5" s="497"/>
      <c r="R5" s="497"/>
      <c r="S5" s="497"/>
      <c r="T5" s="497"/>
      <c r="U5" s="497"/>
      <c r="V5" s="359" t="s">
        <v>19</v>
      </c>
      <c r="W5" s="359" t="s">
        <v>20</v>
      </c>
      <c r="X5" s="60" t="s">
        <v>17</v>
      </c>
      <c r="Y5" s="60" t="s">
        <v>17</v>
      </c>
      <c r="Z5" s="67" t="s">
        <v>21</v>
      </c>
      <c r="AA5" s="65" t="s">
        <v>21</v>
      </c>
      <c r="AB5" s="68" t="s">
        <v>21</v>
      </c>
      <c r="AC5" s="446" t="s">
        <v>22</v>
      </c>
      <c r="AD5" s="446" t="s">
        <v>21</v>
      </c>
      <c r="AE5" s="359" t="s">
        <v>23</v>
      </c>
      <c r="AF5" s="449" t="s">
        <v>132</v>
      </c>
      <c r="AG5" s="450"/>
      <c r="AH5" s="451" t="s">
        <v>25</v>
      </c>
      <c r="AI5" s="446" t="s">
        <v>133</v>
      </c>
      <c r="AJ5" s="446" t="s">
        <v>27</v>
      </c>
      <c r="AK5" s="359" t="s">
        <v>15</v>
      </c>
      <c r="AL5" s="359" t="s">
        <v>16</v>
      </c>
      <c r="AM5" s="359" t="s">
        <v>17</v>
      </c>
      <c r="AN5" s="498" t="s">
        <v>28</v>
      </c>
      <c r="AO5" s="67" t="s">
        <v>21</v>
      </c>
      <c r="AP5" s="74" t="s">
        <v>29</v>
      </c>
      <c r="AQ5" s="74" t="s">
        <v>29</v>
      </c>
      <c r="AR5" s="69" t="s">
        <v>30</v>
      </c>
      <c r="AS5" s="69" t="s">
        <v>31</v>
      </c>
      <c r="AT5" s="447" t="s">
        <v>32</v>
      </c>
      <c r="AU5" s="76" t="s">
        <v>33</v>
      </c>
      <c r="AV5" s="452" t="s">
        <v>34</v>
      </c>
      <c r="AW5" s="451" t="s">
        <v>35</v>
      </c>
      <c r="AX5" s="451" t="s">
        <v>36</v>
      </c>
      <c r="AY5" s="499"/>
      <c r="AZ5" s="328" t="s">
        <v>17</v>
      </c>
      <c r="BA5" s="80" t="s">
        <v>37</v>
      </c>
      <c r="BB5" s="81" t="s">
        <v>37</v>
      </c>
    </row>
    <row r="6" s="208" customFormat="true" ht="12.95" hidden="false" customHeight="true" outlineLevel="0" collapsed="false">
      <c r="A6" s="454" t="s">
        <v>138</v>
      </c>
      <c r="B6" s="445" t="s">
        <v>39</v>
      </c>
      <c r="C6" s="446"/>
      <c r="D6" s="359" t="s">
        <v>40</v>
      </c>
      <c r="E6" s="446" t="s">
        <v>41</v>
      </c>
      <c r="F6" s="359" t="s">
        <v>42</v>
      </c>
      <c r="G6" s="445" t="s">
        <v>43</v>
      </c>
      <c r="H6" s="447" t="s">
        <v>44</v>
      </c>
      <c r="I6" s="359" t="s">
        <v>45</v>
      </c>
      <c r="J6" s="359" t="s">
        <v>45</v>
      </c>
      <c r="K6" s="359" t="s">
        <v>45</v>
      </c>
      <c r="L6" s="459" t="s">
        <v>46</v>
      </c>
      <c r="M6" s="359" t="s">
        <v>47</v>
      </c>
      <c r="N6" s="80"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359" t="s">
        <v>60</v>
      </c>
      <c r="AF6" s="83" t="s">
        <v>61</v>
      </c>
      <c r="AG6" s="87" t="s">
        <v>62</v>
      </c>
      <c r="AH6" s="451" t="s">
        <v>63</v>
      </c>
      <c r="AI6" s="446" t="s">
        <v>64</v>
      </c>
      <c r="AJ6" s="446"/>
      <c r="AK6" s="359" t="s">
        <v>65</v>
      </c>
      <c r="AL6" s="359" t="s">
        <v>65</v>
      </c>
      <c r="AM6" s="359" t="s">
        <v>65</v>
      </c>
      <c r="AN6" s="500" t="s">
        <v>66</v>
      </c>
      <c r="AO6" s="67" t="s">
        <v>67</v>
      </c>
      <c r="AP6" s="74" t="s">
        <v>68</v>
      </c>
      <c r="AQ6" s="74" t="s">
        <v>68</v>
      </c>
      <c r="AR6" s="69" t="s">
        <v>69</v>
      </c>
      <c r="AS6" s="69" t="s">
        <v>70</v>
      </c>
      <c r="AT6" s="447" t="s">
        <v>71</v>
      </c>
      <c r="AU6" s="76" t="s">
        <v>72</v>
      </c>
      <c r="AV6" s="458"/>
      <c r="AW6" s="451" t="s">
        <v>73</v>
      </c>
      <c r="AX6" s="451" t="s">
        <v>73</v>
      </c>
      <c r="AY6" s="499"/>
      <c r="AZ6" s="328" t="s">
        <v>74</v>
      </c>
      <c r="BA6" s="80" t="s">
        <v>75</v>
      </c>
      <c r="BB6" s="81" t="s">
        <v>76</v>
      </c>
    </row>
    <row r="7" s="208" customFormat="true" ht="12.95" hidden="false" customHeight="true" outlineLevel="0" collapsed="false">
      <c r="A7" s="359"/>
      <c r="B7" s="445"/>
      <c r="C7" s="446"/>
      <c r="D7" s="359"/>
      <c r="E7" s="446"/>
      <c r="F7" s="359"/>
      <c r="G7" s="445"/>
      <c r="H7" s="447"/>
      <c r="I7" s="359"/>
      <c r="J7" s="359"/>
      <c r="K7" s="359"/>
      <c r="L7" s="459"/>
      <c r="M7" s="359"/>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359"/>
      <c r="AF7" s="90" t="n">
        <v>1.7</v>
      </c>
      <c r="AG7" s="90" t="n">
        <v>1.3</v>
      </c>
      <c r="AH7" s="451"/>
      <c r="AI7" s="446"/>
      <c r="AJ7" s="446"/>
      <c r="AK7" s="359"/>
      <c r="AL7" s="359"/>
      <c r="AM7" s="359"/>
      <c r="AN7" s="500"/>
      <c r="AO7" s="67" t="s">
        <v>42</v>
      </c>
      <c r="AP7" s="74" t="s">
        <v>86</v>
      </c>
      <c r="AQ7" s="74" t="s">
        <v>87</v>
      </c>
      <c r="AR7" s="69" t="s">
        <v>88</v>
      </c>
      <c r="AS7" s="69" t="s">
        <v>89</v>
      </c>
      <c r="AT7" s="447" t="s">
        <v>90</v>
      </c>
      <c r="AU7" s="76" t="s">
        <v>81</v>
      </c>
      <c r="AV7" s="458"/>
      <c r="AW7" s="451"/>
      <c r="AX7" s="451"/>
      <c r="AY7" s="499"/>
      <c r="AZ7" s="328" t="s">
        <v>91</v>
      </c>
      <c r="BA7" s="8"/>
      <c r="BB7" s="91"/>
    </row>
    <row r="8" s="208" customFormat="true" ht="12.95" hidden="false" customHeight="true" outlineLevel="0" collapsed="false">
      <c r="A8" s="359"/>
      <c r="B8" s="445"/>
      <c r="C8" s="446"/>
      <c r="D8" s="359"/>
      <c r="E8" s="446"/>
      <c r="F8" s="359"/>
      <c r="G8" s="445"/>
      <c r="H8" s="447"/>
      <c r="I8" s="359"/>
      <c r="J8" s="359"/>
      <c r="K8" s="359"/>
      <c r="L8" s="459"/>
      <c r="M8" s="359"/>
      <c r="N8" s="63"/>
      <c r="O8" s="359"/>
      <c r="P8" s="80"/>
      <c r="Q8" s="63" t="s">
        <v>62</v>
      </c>
      <c r="R8" s="63" t="s">
        <v>62</v>
      </c>
      <c r="S8" s="63"/>
      <c r="T8" s="63"/>
      <c r="U8" s="457"/>
      <c r="V8" s="359"/>
      <c r="W8" s="359"/>
      <c r="X8" s="72" t="s">
        <v>92</v>
      </c>
      <c r="Y8" s="62" t="s">
        <v>81</v>
      </c>
      <c r="Z8" s="67"/>
      <c r="AA8" s="62" t="s">
        <v>93</v>
      </c>
      <c r="AB8" s="67" t="s">
        <v>94</v>
      </c>
      <c r="AC8" s="446"/>
      <c r="AD8" s="446"/>
      <c r="AE8" s="359"/>
      <c r="AF8" s="460"/>
      <c r="AG8" s="461"/>
      <c r="AH8" s="451"/>
      <c r="AI8" s="446"/>
      <c r="AJ8" s="446"/>
      <c r="AK8" s="359"/>
      <c r="AL8" s="359"/>
      <c r="AM8" s="359"/>
      <c r="AN8" s="500"/>
      <c r="AO8" s="67"/>
      <c r="AP8" s="74"/>
      <c r="AQ8" s="74"/>
      <c r="AR8" s="69"/>
      <c r="AS8" s="462" t="n">
        <v>1524.4</v>
      </c>
      <c r="AT8" s="447"/>
      <c r="AU8" s="76"/>
      <c r="AV8" s="458"/>
      <c r="AW8" s="451"/>
      <c r="AX8" s="451"/>
      <c r="AY8" s="499"/>
      <c r="AZ8" s="328"/>
      <c r="BA8" s="8"/>
      <c r="BB8" s="91"/>
    </row>
    <row r="9" s="208" customFormat="true" ht="12.95" hidden="false" customHeight="true" outlineLevel="0" collapsed="false">
      <c r="A9" s="359"/>
      <c r="B9" s="445"/>
      <c r="C9" s="446"/>
      <c r="D9" s="359"/>
      <c r="E9" s="446"/>
      <c r="F9" s="359"/>
      <c r="G9" s="445"/>
      <c r="H9" s="447"/>
      <c r="I9" s="359"/>
      <c r="J9" s="359"/>
      <c r="K9" s="359"/>
      <c r="L9" s="459"/>
      <c r="M9" s="359"/>
      <c r="N9" s="80"/>
      <c r="O9" s="359"/>
      <c r="P9" s="80"/>
      <c r="Q9" s="63"/>
      <c r="R9" s="92" t="n">
        <v>4.2</v>
      </c>
      <c r="S9" s="63"/>
      <c r="T9" s="63"/>
      <c r="U9" s="457"/>
      <c r="V9" s="359"/>
      <c r="W9" s="359"/>
      <c r="X9" s="72"/>
      <c r="Y9" s="62" t="s">
        <v>92</v>
      </c>
      <c r="Z9" s="67"/>
      <c r="AA9" s="62" t="s">
        <v>92</v>
      </c>
      <c r="AB9" s="67" t="s">
        <v>95</v>
      </c>
      <c r="AC9" s="446"/>
      <c r="AD9" s="446"/>
      <c r="AE9" s="359"/>
      <c r="AF9" s="460"/>
      <c r="AG9" s="461"/>
      <c r="AH9" s="451"/>
      <c r="AI9" s="446"/>
      <c r="AJ9" s="446"/>
      <c r="AK9" s="359"/>
      <c r="AL9" s="359"/>
      <c r="AM9" s="359"/>
      <c r="AN9" s="500"/>
      <c r="AO9" s="67"/>
      <c r="AP9" s="74"/>
      <c r="AQ9" s="74"/>
      <c r="AR9" s="69"/>
      <c r="AS9" s="199"/>
      <c r="AT9" s="447"/>
      <c r="AU9" s="76"/>
      <c r="AV9" s="458"/>
      <c r="AW9" s="451"/>
      <c r="AX9" s="451"/>
      <c r="AY9" s="499"/>
      <c r="AZ9" s="328"/>
      <c r="BA9" s="8"/>
      <c r="BB9" s="94" t="s">
        <v>96</v>
      </c>
    </row>
    <row r="10" s="208" customFormat="true" ht="12.95" hidden="false" customHeight="true" outlineLevel="0" collapsed="false">
      <c r="A10" s="359"/>
      <c r="B10" s="445"/>
      <c r="C10" s="446" t="s">
        <v>10</v>
      </c>
      <c r="D10" s="359"/>
      <c r="E10" s="446" t="s">
        <v>98</v>
      </c>
      <c r="F10" s="359"/>
      <c r="G10" s="445" t="s">
        <v>42</v>
      </c>
      <c r="H10" s="447" t="s">
        <v>42</v>
      </c>
      <c r="I10" s="447" t="s">
        <v>42</v>
      </c>
      <c r="J10" s="447" t="s">
        <v>42</v>
      </c>
      <c r="K10" s="447" t="s">
        <v>42</v>
      </c>
      <c r="L10" s="463" t="s">
        <v>42</v>
      </c>
      <c r="M10" s="447"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69" t="s">
        <v>42</v>
      </c>
      <c r="AS10" s="69" t="s">
        <v>42</v>
      </c>
      <c r="AT10" s="67" t="s">
        <v>42</v>
      </c>
      <c r="AU10" s="67" t="s">
        <v>42</v>
      </c>
      <c r="AV10" s="458"/>
      <c r="AW10" s="451"/>
      <c r="AX10" s="451"/>
      <c r="AY10" s="283"/>
      <c r="AZ10" s="328" t="s">
        <v>100</v>
      </c>
      <c r="BA10" s="80" t="s">
        <v>42</v>
      </c>
      <c r="BB10" s="81" t="s">
        <v>98</v>
      </c>
    </row>
    <row r="11" s="208" customFormat="true" ht="12.95" hidden="false" customHeight="true" outlineLevel="0" collapsed="false">
      <c r="A11" s="359"/>
      <c r="B11" s="445"/>
      <c r="C11" s="446"/>
      <c r="D11" s="359"/>
      <c r="E11" s="446"/>
      <c r="F11" s="501"/>
      <c r="G11" s="359"/>
      <c r="H11" s="447"/>
      <c r="I11" s="359"/>
      <c r="J11" s="359"/>
      <c r="K11" s="359"/>
      <c r="L11" s="459"/>
      <c r="M11" s="359"/>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446"/>
      <c r="AE11" s="359"/>
      <c r="AF11" s="460"/>
      <c r="AG11" s="461"/>
      <c r="AH11" s="451"/>
      <c r="AI11" s="446"/>
      <c r="AJ11" s="446"/>
      <c r="AK11" s="359"/>
      <c r="AL11" s="359"/>
      <c r="AM11" s="359"/>
      <c r="AN11" s="500"/>
      <c r="AO11" s="67"/>
      <c r="AP11" s="74"/>
      <c r="AQ11" s="74"/>
      <c r="AR11" s="69"/>
      <c r="AS11" s="381"/>
      <c r="AT11" s="361"/>
      <c r="AU11" s="204"/>
      <c r="AV11" s="458"/>
      <c r="AW11" s="451"/>
      <c r="AX11" s="451"/>
      <c r="AY11" s="283"/>
      <c r="AZ11" s="328" t="s">
        <v>42</v>
      </c>
      <c r="BA11" s="8"/>
      <c r="BB11" s="91"/>
    </row>
    <row r="12" customFormat="false" ht="12.95" hidden="false" customHeight="true" outlineLevel="0" collapsed="false">
      <c r="A12" s="11" t="s">
        <v>102</v>
      </c>
      <c r="B12" s="392"/>
      <c r="C12" s="109"/>
      <c r="D12" s="109"/>
      <c r="E12" s="109"/>
      <c r="F12" s="171" t="n">
        <f aca="false">MAY!F50</f>
        <v>52329.7201915805</v>
      </c>
      <c r="G12" s="109" t="n">
        <f aca="false">MAY!G50</f>
        <v>66348</v>
      </c>
      <c r="H12" s="109" t="n">
        <f aca="false">MAY!H50</f>
        <v>4302.82</v>
      </c>
      <c r="I12" s="109" t="n">
        <f aca="false">MAY!I50</f>
        <v>70650.82</v>
      </c>
      <c r="J12" s="109" t="n">
        <f aca="false">MAY!J50</f>
        <v>3939.97933728258</v>
      </c>
      <c r="K12" s="109" t="n">
        <f aca="false">MAY!K50</f>
        <v>74590.7893372826</v>
      </c>
      <c r="L12" s="114" t="n">
        <f aca="false">MAY!L50</f>
        <v>2653.56319158054</v>
      </c>
      <c r="M12" s="109" t="n">
        <f aca="false">MAY!M50</f>
        <v>9464.98</v>
      </c>
      <c r="N12" s="109" t="n">
        <f aca="false">MAY!N50</f>
        <v>0</v>
      </c>
      <c r="O12" s="109" t="n">
        <f aca="false">MAY!O50</f>
        <v>3892.5915</v>
      </c>
      <c r="P12" s="96" t="n">
        <f aca="false">MAY!P50</f>
        <v>0</v>
      </c>
      <c r="Q12" s="178"/>
      <c r="R12" s="178"/>
      <c r="S12" s="109"/>
      <c r="T12" s="109"/>
      <c r="U12" s="393"/>
      <c r="V12" s="109" t="n">
        <f aca="false">MAY!V50</f>
        <v>2641.3</v>
      </c>
      <c r="W12" s="109" t="n">
        <f aca="false">MAY!W50</f>
        <v>1662.5</v>
      </c>
      <c r="X12" s="109" t="n">
        <f aca="false">MAY!X50</f>
        <v>9498.0798404723</v>
      </c>
      <c r="Y12" s="109" t="n">
        <f aca="false">MAY!Y50</f>
        <v>9465.30948503998</v>
      </c>
      <c r="Z12" s="123" t="n">
        <f aca="false">MAY!Z45</f>
        <v>26834.1611476799</v>
      </c>
      <c r="AA12" s="123" t="n">
        <f aca="false">MAY!AA50</f>
        <v>3159.74039666765</v>
      </c>
      <c r="AB12" s="123" t="n">
        <f aca="false">MAY!AB45</f>
        <v>72000</v>
      </c>
      <c r="AC12" s="123" t="n">
        <f aca="false">MAY!AC45</f>
        <v>1553.72730834505</v>
      </c>
      <c r="AD12" s="93"/>
      <c r="AE12" s="109" t="n">
        <f aca="false">MAY!AE50</f>
        <v>3953.773</v>
      </c>
      <c r="AF12" s="113" t="n">
        <f aca="false">MAY!AF50</f>
        <v>103.7</v>
      </c>
      <c r="AG12" s="114" t="n">
        <f aca="false">MAY!AG50</f>
        <v>79.3</v>
      </c>
      <c r="AH12" s="93"/>
      <c r="AI12" s="93"/>
      <c r="AJ12" s="109" t="n">
        <f aca="false">MAY!AJ50</f>
        <v>0</v>
      </c>
      <c r="AK12" s="109" t="n">
        <f aca="false">MAY!AK50</f>
        <v>20974.653</v>
      </c>
      <c r="AL12" s="109" t="n">
        <f aca="false">MAY!AL50</f>
        <v>1286.41614570204</v>
      </c>
      <c r="AM12" s="109" t="n">
        <f aca="false">MAY!AM50</f>
        <v>22261.069145702</v>
      </c>
      <c r="AN12" s="502"/>
      <c r="AO12" s="172"/>
      <c r="AP12" s="93"/>
      <c r="AQ12" s="109" t="n">
        <f aca="false">MAY!AQ51</f>
        <v>327.881727939572</v>
      </c>
      <c r="AR12" s="118" t="n">
        <f aca="false">MAY!AR50</f>
        <v>0</v>
      </c>
      <c r="AS12" s="178" t="n">
        <f aca="false">MAY!AS50</f>
        <v>0</v>
      </c>
      <c r="AT12" s="109" t="n">
        <f aca="false">MAY!AT50</f>
        <v>65.04</v>
      </c>
      <c r="AU12" s="503"/>
      <c r="AV12" s="504"/>
      <c r="AW12" s="118"/>
      <c r="AX12" s="118"/>
      <c r="AY12" s="161"/>
      <c r="AZ12" s="505" t="n">
        <f aca="false">MAY!AZ50</f>
        <v>329.774159527705</v>
      </c>
      <c r="BA12" s="108" t="n">
        <f aca="false">MAY!BA50</f>
        <v>1680.134</v>
      </c>
      <c r="BB12" s="407"/>
    </row>
    <row r="13" s="125" customFormat="true" ht="12.95" hidden="false" customHeight="true" outlineLevel="0" collapsed="false">
      <c r="A13" s="2" t="s">
        <v>103</v>
      </c>
      <c r="B13" s="151" t="n">
        <f aca="false">MAY!B45</f>
        <v>6920.89</v>
      </c>
      <c r="C13" s="109" t="n">
        <f aca="false">MAY!C45</f>
        <v>367457</v>
      </c>
      <c r="D13" s="109" t="n">
        <f aca="false">MAY!D54</f>
        <v>124289</v>
      </c>
      <c r="E13" s="109" t="n">
        <f aca="false">MAY!E54</f>
        <v>215457</v>
      </c>
      <c r="F13" s="189" t="n">
        <f aca="false">MAY!F53</f>
        <v>62730.0226871691</v>
      </c>
      <c r="G13" s="109" t="n">
        <f aca="false">MAY!G53</f>
        <v>82607.8798999244</v>
      </c>
      <c r="H13" s="109" t="n">
        <f aca="false">MAY!H53</f>
        <v>4591.519</v>
      </c>
      <c r="I13" s="109" t="n">
        <f aca="false">MAY!I53</f>
        <v>87199.3988999244</v>
      </c>
      <c r="J13" s="109" t="n">
        <f aca="false">MAY!J53</f>
        <v>7321.19856843963</v>
      </c>
      <c r="K13" s="109" t="n">
        <f aca="false">MAY!K53</f>
        <v>94520.587468364</v>
      </c>
      <c r="L13" s="177" t="n">
        <f aca="false">MAY!L53</f>
        <v>5716.78178724477</v>
      </c>
      <c r="M13" s="109" t="n">
        <f aca="false">MAY!M53</f>
        <v>10219.98</v>
      </c>
      <c r="N13" s="109" t="n">
        <f aca="false">MAY!N53</f>
        <v>0</v>
      </c>
      <c r="O13" s="109" t="n">
        <f aca="false">MAY!O53</f>
        <v>3894.32505</v>
      </c>
      <c r="P13" s="96"/>
      <c r="Q13" s="109" t="n">
        <f aca="false">MAY!Q53</f>
        <v>358.325789204542</v>
      </c>
      <c r="R13" s="109" t="n">
        <f aca="false">MAY!R53</f>
        <v>411.81382144</v>
      </c>
      <c r="S13" s="109" t="n">
        <f aca="false">MAY!S53</f>
        <v>3.96740624</v>
      </c>
      <c r="T13" s="109" t="n">
        <f aca="false">MAY!T53</f>
        <v>130.01077232</v>
      </c>
      <c r="U13" s="506" t="n">
        <f aca="false">MAY!U53</f>
        <v>-15.4916088537026</v>
      </c>
      <c r="V13" s="109" t="n">
        <f aca="false">MAY!V53</f>
        <v>5856.11</v>
      </c>
      <c r="W13" s="109" t="n">
        <f aca="false">MAY!W53</f>
        <v>1692.585</v>
      </c>
      <c r="X13" s="109" t="n">
        <f aca="false">MAY!X53</f>
        <v>12896.9096696492</v>
      </c>
      <c r="Y13" s="109" t="n">
        <f aca="false">MAY!Y53</f>
        <v>12613.9993142168</v>
      </c>
      <c r="Z13" s="93"/>
      <c r="AA13" s="109"/>
      <c r="AB13" s="123"/>
      <c r="AC13" s="93"/>
      <c r="AD13" s="93"/>
      <c r="AE13" s="109"/>
      <c r="AF13" s="397" t="n">
        <f aca="false">AF12</f>
        <v>103.7</v>
      </c>
      <c r="AG13" s="177" t="n">
        <f aca="false">AG12</f>
        <v>79.3</v>
      </c>
      <c r="AH13" s="109" t="n">
        <f aca="false">MAY!AH53</f>
        <v>8463.7</v>
      </c>
      <c r="AI13" s="109" t="n">
        <f aca="false">MAY!AI53</f>
        <v>12779.1578774893</v>
      </c>
      <c r="AJ13" s="109" t="n">
        <f aca="false">MAY!AJ53</f>
        <v>0</v>
      </c>
      <c r="AK13" s="109" t="n">
        <f aca="false">MAY!AK53</f>
        <v>30186.148</v>
      </c>
      <c r="AL13" s="109" t="n">
        <f aca="false">MAY!AL53</f>
        <v>1604.41678119486</v>
      </c>
      <c r="AM13" s="109" t="n">
        <f aca="false">MAY!AM53</f>
        <v>31790.5647811949</v>
      </c>
      <c r="AN13" s="394" t="n">
        <f aca="false">MAY!AN53</f>
        <v>3115.79</v>
      </c>
      <c r="AO13" s="109" t="n">
        <f aca="false">MAY!AO53</f>
        <v>282.910355432317</v>
      </c>
      <c r="AP13" s="154"/>
      <c r="AQ13" s="109" t="n">
        <f aca="false">MAY!AQ54</f>
        <v>327.881727939572</v>
      </c>
      <c r="AR13" s="118" t="n">
        <f aca="false">MAY!AR53</f>
        <v>0</v>
      </c>
      <c r="AS13" s="178" t="n">
        <f aca="false">MAY!AS53</f>
        <v>0</v>
      </c>
      <c r="AT13" s="109" t="n">
        <f aca="false">MAY!AT53</f>
        <v>0</v>
      </c>
      <c r="AU13" s="507"/>
      <c r="AV13" s="151" t="n">
        <f aca="false">MAY!AV53</f>
        <v>9.65488536155203</v>
      </c>
      <c r="AW13" s="118"/>
      <c r="AX13" s="118"/>
      <c r="AY13" s="398"/>
      <c r="AZ13" s="508" t="n">
        <f aca="false">MAY!AZ53</f>
        <v>884.72618035084</v>
      </c>
      <c r="BA13" s="108" t="n">
        <f aca="false">MAY!BA53</f>
        <v>1764.592</v>
      </c>
      <c r="BB13" s="104"/>
    </row>
    <row r="14" customFormat="false" ht="3" hidden="false" customHeight="true" outlineLevel="0" collapsed="false">
      <c r="A14" s="126"/>
      <c r="B14" s="399"/>
      <c r="C14" s="137"/>
      <c r="D14" s="134"/>
      <c r="E14" s="137"/>
      <c r="F14" s="167"/>
      <c r="G14" s="134"/>
      <c r="H14" s="136"/>
      <c r="I14" s="134"/>
      <c r="J14" s="134"/>
      <c r="K14" s="134"/>
      <c r="L14" s="134"/>
      <c r="M14" s="138"/>
      <c r="N14" s="134"/>
      <c r="O14" s="136" t="n">
        <v>0</v>
      </c>
      <c r="P14" s="400"/>
      <c r="Q14" s="136"/>
      <c r="R14" s="136"/>
      <c r="S14" s="134"/>
      <c r="T14" s="134"/>
      <c r="U14" s="401"/>
      <c r="V14" s="134"/>
      <c r="W14" s="134" t="n">
        <v>0</v>
      </c>
      <c r="X14" s="134"/>
      <c r="Y14" s="134"/>
      <c r="Z14" s="137"/>
      <c r="AA14" s="134"/>
      <c r="AB14" s="263"/>
      <c r="AC14" s="137"/>
      <c r="AD14" s="137"/>
      <c r="AE14" s="134"/>
      <c r="AF14" s="138"/>
      <c r="AG14" s="139"/>
      <c r="AH14" s="134"/>
      <c r="AI14" s="137"/>
      <c r="AJ14" s="137"/>
      <c r="AK14" s="134"/>
      <c r="AL14" s="134"/>
      <c r="AM14" s="134"/>
      <c r="AN14" s="509"/>
      <c r="AO14" s="141"/>
      <c r="AP14" s="141"/>
      <c r="AQ14" s="268"/>
      <c r="AR14" s="271"/>
      <c r="AS14" s="271"/>
      <c r="AT14" s="274"/>
      <c r="AU14" s="271"/>
      <c r="AV14" s="143"/>
      <c r="AW14" s="141"/>
      <c r="AX14" s="141"/>
      <c r="AY14" s="184"/>
      <c r="AZ14" s="510"/>
      <c r="BA14" s="400"/>
      <c r="BB14" s="510"/>
    </row>
    <row r="15" customFormat="false" ht="12.95" hidden="false" customHeight="true" outlineLevel="0" collapsed="false">
      <c r="A15" s="10" t="n">
        <v>1</v>
      </c>
      <c r="B15" s="395" t="n">
        <v>6921.09</v>
      </c>
      <c r="C15" s="109" t="n">
        <v>368309</v>
      </c>
      <c r="D15" s="118" t="n">
        <f aca="false">C15-C13</f>
        <v>852</v>
      </c>
      <c r="E15" s="109" t="n">
        <f aca="false">C15-152000</f>
        <v>216309</v>
      </c>
      <c r="F15" s="164" t="n">
        <f aca="false">D15/$D$2</f>
        <v>429.543735820519</v>
      </c>
      <c r="G15" s="154" t="n">
        <v>1590</v>
      </c>
      <c r="H15" s="112" t="n">
        <v>5.62</v>
      </c>
      <c r="I15" s="154" t="n">
        <f aca="false">G15+H15</f>
        <v>1595.62</v>
      </c>
      <c r="J15" s="403" t="n">
        <f aca="false">IF(L15&gt;0,L15,0)</f>
        <v>0</v>
      </c>
      <c r="K15" s="154" t="n">
        <f aca="false">I15+J15</f>
        <v>1595.62</v>
      </c>
      <c r="L15" s="154" t="n">
        <f aca="false">F15-(I15-AK15)</f>
        <v>-251.296264179481</v>
      </c>
      <c r="M15" s="157" t="n">
        <v>287</v>
      </c>
      <c r="N15" s="186" t="n">
        <v>0</v>
      </c>
      <c r="O15" s="156" t="n">
        <f aca="false">63.5*1/5</f>
        <v>12.7</v>
      </c>
      <c r="P15" s="186" t="n">
        <v>0</v>
      </c>
      <c r="Q15" s="511" t="n">
        <f aca="false">1809500/325851/1.9835*1.02</f>
        <v>2.85566656198798</v>
      </c>
      <c r="R15" s="512" t="n">
        <f aca="false">IF(((6.2*1.04)-T15)&gt;=4.2,4.2,(6.2*1.04)-T15)</f>
        <v>4.2</v>
      </c>
      <c r="S15" s="512" t="n">
        <f aca="false">IF(((6.2*1.04)-T15)&gt;=4.2,((6.2*1.04)-T15)-4.2,0)</f>
        <v>0.60035296</v>
      </c>
      <c r="T15" s="512" t="n">
        <f aca="false">(1.4946*1.06)*1.04</f>
        <v>1.64764704</v>
      </c>
      <c r="U15" s="393" t="n">
        <v>0</v>
      </c>
      <c r="V15" s="154" t="n">
        <v>134</v>
      </c>
      <c r="W15" s="154" t="n">
        <v>73</v>
      </c>
      <c r="X15" s="280" t="n">
        <f aca="false">M15-N15-O15-P15-Q15-R15-S15-T15-U15+V15+W15-AT15+AR15</f>
        <v>469.776333438012</v>
      </c>
      <c r="Y15" s="280" t="n">
        <f aca="false">X15-AO15</f>
        <v>469.776333438012</v>
      </c>
      <c r="Z15" s="244" t="n">
        <f aca="false">Z12-AA15+AP15</f>
        <v>26364.3848142419</v>
      </c>
      <c r="AA15" s="280" t="n">
        <f aca="false">AJ15</f>
        <v>183</v>
      </c>
      <c r="AB15" s="244" t="n">
        <f aca="false">72000+(Y15-AJ15+AP15)*$D$2</f>
        <v>72000</v>
      </c>
      <c r="AC15" s="123" t="n">
        <f aca="false">AC12-(MAY!AQ45/1.9835)</f>
        <v>1548.77193437894</v>
      </c>
      <c r="AD15" s="390"/>
      <c r="AE15" s="154" t="n">
        <v>240</v>
      </c>
      <c r="AF15" s="157" t="n">
        <v>1.7</v>
      </c>
      <c r="AG15" s="158" t="n">
        <v>1.3</v>
      </c>
      <c r="AH15" s="154" t="n">
        <v>183</v>
      </c>
      <c r="AI15" s="93" t="n">
        <f aca="false">AI13</f>
        <v>12779.1578774893</v>
      </c>
      <c r="AJ15" s="163" t="n">
        <f aca="false">AH15</f>
        <v>183</v>
      </c>
      <c r="AK15" s="154" t="n">
        <f aca="false">N16+O15+P15+Q15+R15+S15+T15+U15+X15+AE15+AH15-AR15</f>
        <v>914.78</v>
      </c>
      <c r="AL15" s="154" t="n">
        <f aca="false">IF(L15&lt;0,L15*-1,0)</f>
        <v>251.296264179481</v>
      </c>
      <c r="AM15" s="513" t="n">
        <f aca="false">AK15+AL15</f>
        <v>1166.07626417948</v>
      </c>
      <c r="AN15" s="514"/>
      <c r="AO15" s="172"/>
      <c r="AP15" s="406" t="n">
        <f aca="false">IF((72000/$D$2)+Y15-AJ15+(795-X15)&gt;(72000/$D$2),(795-X15)-((72000/$D$2)+Y15-AJ15+(795-X15)-(72000/$D$2)),(795-X15))</f>
        <v>-286.776333438012</v>
      </c>
      <c r="AQ15" s="186" t="n">
        <f aca="false">68.67*(12972*1.9835+AC15*1.9835)/E15</f>
        <v>9.14353995545028</v>
      </c>
      <c r="AR15" s="156"/>
      <c r="AS15" s="112"/>
      <c r="AT15" s="200" t="n">
        <v>2.22</v>
      </c>
      <c r="AV15" s="117" t="n">
        <v>0</v>
      </c>
      <c r="AW15" s="118" t="n">
        <v>82</v>
      </c>
      <c r="AX15" s="118" t="n">
        <v>45</v>
      </c>
      <c r="AY15" s="161"/>
      <c r="AZ15" s="282" t="n">
        <f aca="false">SUM(N16,P15:U15)</f>
        <v>9.30366656198798</v>
      </c>
      <c r="BA15" s="108" t="n">
        <v>21.8</v>
      </c>
      <c r="BB15" s="407" t="n">
        <v>25613</v>
      </c>
    </row>
    <row r="16" customFormat="false" ht="12.95" hidden="false" customHeight="true" outlineLevel="0" collapsed="false">
      <c r="A16" s="10" t="n">
        <f aca="false">A15+1</f>
        <v>2</v>
      </c>
      <c r="B16" s="395" t="n">
        <v>6921.21</v>
      </c>
      <c r="C16" s="109" t="n">
        <v>368834</v>
      </c>
      <c r="D16" s="118" t="n">
        <f aca="false">C16-C15</f>
        <v>525</v>
      </c>
      <c r="E16" s="109" t="n">
        <f aca="false">C16-152000</f>
        <v>216834</v>
      </c>
      <c r="F16" s="164" t="n">
        <f aca="false">D16/$D$2</f>
        <v>264.68364003025</v>
      </c>
      <c r="G16" s="154" t="n">
        <v>1650</v>
      </c>
      <c r="H16" s="112" t="n">
        <v>5.36</v>
      </c>
      <c r="I16" s="154" t="n">
        <f aca="false">G16+H16</f>
        <v>1655.36</v>
      </c>
      <c r="J16" s="403" t="n">
        <f aca="false">IF(L16&gt;0,L16,0)</f>
        <v>56.1936400302495</v>
      </c>
      <c r="K16" s="154" t="n">
        <f aca="false">I16+J16</f>
        <v>1711.55364003025</v>
      </c>
      <c r="L16" s="154" t="n">
        <f aca="false">F16-(I16-AK16)</f>
        <v>56.1936400302495</v>
      </c>
      <c r="M16" s="157" t="n">
        <v>317</v>
      </c>
      <c r="N16" s="186" t="n">
        <v>0</v>
      </c>
      <c r="O16" s="404" t="n">
        <f aca="false">85.6*1.05</f>
        <v>89.88</v>
      </c>
      <c r="P16" s="186" t="n">
        <v>0</v>
      </c>
      <c r="Q16" s="511" t="n">
        <f aca="false">1883700/325851/1.9835*1.02</f>
        <v>2.97276546162849</v>
      </c>
      <c r="R16" s="512" t="n">
        <f aca="false">IF(((5.8*1.04)-T16)&gt;=4.2,4.2,(5.8*1.04)-T16)</f>
        <v>4.2</v>
      </c>
      <c r="S16" s="512" t="n">
        <f aca="false">IF(((5.8*1.04)-T16)&gt;=4.2,((5.8*1.04)-T16)-4.2,0)</f>
        <v>0.18435296</v>
      </c>
      <c r="T16" s="512" t="n">
        <f aca="false">(1.4946*1.06)*1.04</f>
        <v>1.64764704</v>
      </c>
      <c r="U16" s="393" t="n">
        <v>0</v>
      </c>
      <c r="V16" s="154" t="n">
        <v>142</v>
      </c>
      <c r="W16" s="154" t="n">
        <v>73.2</v>
      </c>
      <c r="X16" s="280" t="n">
        <f aca="false">M16-N16-O16-P16-Q16-R16-S16-T16-U16+V16+W16-AT16+AR16</f>
        <v>430.985234538372</v>
      </c>
      <c r="Y16" s="280" t="n">
        <f aca="false">X16-AO16</f>
        <v>430.985234538372</v>
      </c>
      <c r="Z16" s="244" t="n">
        <f aca="false">Z15-AA16+AP16</f>
        <v>25933.3995797036</v>
      </c>
      <c r="AA16" s="280" t="n">
        <f aca="false">AJ16</f>
        <v>676</v>
      </c>
      <c r="AB16" s="244" t="n">
        <f aca="false">AB15+(Y16-AJ16+AP16)*$D$2</f>
        <v>72000</v>
      </c>
      <c r="AC16" s="123" t="n">
        <f aca="false">AC15-(AQ15/1.9835)</f>
        <v>1544.16213354433</v>
      </c>
      <c r="AD16" s="390"/>
      <c r="AE16" s="154" t="n">
        <v>241</v>
      </c>
      <c r="AF16" s="157" t="n">
        <v>1.7</v>
      </c>
      <c r="AG16" s="158" t="n">
        <v>1.3</v>
      </c>
      <c r="AH16" s="154" t="n">
        <v>676</v>
      </c>
      <c r="AI16" s="93" t="n">
        <f aca="false">AI15</f>
        <v>12779.1578774893</v>
      </c>
      <c r="AJ16" s="163" t="n">
        <f aca="false">AH16</f>
        <v>676</v>
      </c>
      <c r="AK16" s="154" t="n">
        <f aca="false">N17+O16+P16+Q16+R16+S16+T16+U16+X16+AE16+AH16-AR16</f>
        <v>1446.87</v>
      </c>
      <c r="AL16" s="154" t="n">
        <f aca="false">IF(L16&lt;0,L16*-1,0)</f>
        <v>0</v>
      </c>
      <c r="AM16" s="164" t="n">
        <f aca="false">AK16+AL16</f>
        <v>1446.87</v>
      </c>
      <c r="AN16" s="514"/>
      <c r="AO16" s="172"/>
      <c r="AP16" s="406" t="n">
        <f aca="false">IF((AB15/$D$2)+Y16-AJ16+(795-X16)&gt;(72000/$D$2),(795-X16)-((AB15/$D$2)+Y16-AJ16+(795-X16)-(72000/$D$2)),(795-X16))</f>
        <v>245.014765461628</v>
      </c>
      <c r="AQ16" s="186" t="n">
        <f aca="false">86.219*(12972*1.9835+AC16*1.9835)/E16</f>
        <v>11.4487906774987</v>
      </c>
      <c r="AR16" s="156"/>
      <c r="AS16" s="112"/>
      <c r="AT16" s="200" t="n">
        <v>2.33</v>
      </c>
      <c r="AV16" s="117" t="n">
        <v>0</v>
      </c>
      <c r="AW16" s="118" t="n">
        <v>84</v>
      </c>
      <c r="AX16" s="118" t="n">
        <v>49</v>
      </c>
      <c r="AY16" s="161"/>
      <c r="AZ16" s="282" t="n">
        <f aca="false">SUM(N17,P16:U16)</f>
        <v>9.00476546162849</v>
      </c>
      <c r="BA16" s="108" t="n">
        <v>21.8</v>
      </c>
      <c r="BB16" s="407" t="n">
        <v>25705</v>
      </c>
    </row>
    <row r="17" customFormat="false" ht="12.95" hidden="false" customHeight="true" outlineLevel="0" collapsed="false">
      <c r="A17" s="10" t="n">
        <f aca="false">A16+1</f>
        <v>3</v>
      </c>
      <c r="B17" s="395" t="n">
        <v>6921.35</v>
      </c>
      <c r="C17" s="109" t="n">
        <v>369447</v>
      </c>
      <c r="D17" s="118" t="n">
        <f aca="false">C17-C16</f>
        <v>613</v>
      </c>
      <c r="E17" s="109" t="n">
        <f aca="false">C17-152000</f>
        <v>217447</v>
      </c>
      <c r="F17" s="164" t="n">
        <f aca="false">D17/$D$2</f>
        <v>309.049659692463</v>
      </c>
      <c r="G17" s="154" t="n">
        <v>2000</v>
      </c>
      <c r="H17" s="112" t="n">
        <v>5.29</v>
      </c>
      <c r="I17" s="154" t="n">
        <f aca="false">G17+H17</f>
        <v>2005.29</v>
      </c>
      <c r="J17" s="403" t="n">
        <f aca="false">IF(L17&gt;0,L17,0)</f>
        <v>16.7596596924628</v>
      </c>
      <c r="K17" s="154" t="n">
        <f aca="false">I17+J17</f>
        <v>2022.04965969246</v>
      </c>
      <c r="L17" s="154" t="n">
        <f aca="false">F17-(I17-AK17)</f>
        <v>16.7596596924628</v>
      </c>
      <c r="M17" s="157" t="n">
        <v>296</v>
      </c>
      <c r="N17" s="186" t="n">
        <v>0</v>
      </c>
      <c r="O17" s="178" t="n">
        <f aca="false">84.8*1.05</f>
        <v>89.04</v>
      </c>
      <c r="P17" s="186" t="n">
        <v>0</v>
      </c>
      <c r="Q17" s="511" t="n">
        <f aca="false">1773000/325851/1.9835*1.02</f>
        <v>2.79806400353948</v>
      </c>
      <c r="R17" s="512" t="n">
        <f aca="false">IF(((7.7*1.04)-T17)&gt;=4.2,4.2,(7.7*1.04)-T17)</f>
        <v>4.2</v>
      </c>
      <c r="S17" s="512" t="n">
        <f aca="false">IF(((7.7*1.04)-T17)&gt;=4.2,((7.7*1.04)-T17)-4.2,0)</f>
        <v>2.38821904</v>
      </c>
      <c r="T17" s="512" t="n">
        <f aca="false">(1.2879*1.06)*1.04</f>
        <v>1.41978096</v>
      </c>
      <c r="U17" s="393" t="n">
        <v>0</v>
      </c>
      <c r="V17" s="154" t="n">
        <v>149</v>
      </c>
      <c r="W17" s="154" t="n">
        <v>71.3</v>
      </c>
      <c r="X17" s="280" t="n">
        <f aca="false">M17-N17-O17-P17-Q17-R17-S17-T17-U17+V17+W17-AT17+AR17</f>
        <v>414.153935996461</v>
      </c>
      <c r="Y17" s="280" t="n">
        <f aca="false">X17-AO17</f>
        <v>414.153935996461</v>
      </c>
      <c r="Z17" s="244" t="n">
        <f aca="false">Z16-AA17+AP17</f>
        <v>25344.2456437071</v>
      </c>
      <c r="AA17" s="280" t="n">
        <f aca="false">AJ17</f>
        <v>970</v>
      </c>
      <c r="AB17" s="244" t="n">
        <f aca="false">AB16+(Y17-AJ17+AP17)*$D$2</f>
        <v>71652.8875</v>
      </c>
      <c r="AC17" s="123" t="n">
        <f aca="false">AC16-(AQ16/1.9835)</f>
        <v>1538.3901190863</v>
      </c>
      <c r="AD17" s="390"/>
      <c r="AE17" s="154" t="n">
        <v>229</v>
      </c>
      <c r="AF17" s="157" t="n">
        <v>1.7</v>
      </c>
      <c r="AG17" s="158" t="n">
        <v>1.3</v>
      </c>
      <c r="AH17" s="154" t="n">
        <v>970</v>
      </c>
      <c r="AI17" s="93" t="n">
        <f aca="false">AI16</f>
        <v>12779.1578774893</v>
      </c>
      <c r="AJ17" s="163" t="n">
        <f aca="false">AH17</f>
        <v>970</v>
      </c>
      <c r="AK17" s="154" t="n">
        <f aca="false">N18+O17+P17+Q17+R17+S17+T17+U17+X17+AE17+AH17-AR17</f>
        <v>1713</v>
      </c>
      <c r="AL17" s="154" t="n">
        <f aca="false">IF(L17&lt;0,L17*-1,0)</f>
        <v>0</v>
      </c>
      <c r="AM17" s="164" t="n">
        <f aca="false">AK17+AL17</f>
        <v>1713</v>
      </c>
      <c r="AN17" s="514"/>
      <c r="AO17" s="406"/>
      <c r="AP17" s="406" t="n">
        <f aca="false">IF((AB16/$D$2)+Y17-AJ17+(795-X17)&gt;(72000/$D$2),(795-X17)-((AB16/$D$2)+Y17-AJ17+(795-X17)-(72000/$D$2)),(795-X17))</f>
        <v>380.846064003539</v>
      </c>
      <c r="AQ17" s="186" t="n">
        <f aca="false">81.132*(12972*1.9835+AC17*1.9835)/E17</f>
        <v>10.7386590859363</v>
      </c>
      <c r="AR17" s="156"/>
      <c r="AS17" s="112"/>
      <c r="AT17" s="200" t="n">
        <v>2.3</v>
      </c>
      <c r="AU17" s="0"/>
      <c r="AV17" s="117" t="n">
        <v>0</v>
      </c>
      <c r="AW17" s="118" t="n">
        <v>87</v>
      </c>
      <c r="AX17" s="118" t="n">
        <v>51</v>
      </c>
      <c r="AY17" s="161"/>
      <c r="AZ17" s="282" t="n">
        <f aca="false">SUM(N17,P17:U17)</f>
        <v>10.8060640035395</v>
      </c>
      <c r="BA17" s="108" t="n">
        <v>25.4</v>
      </c>
      <c r="BB17" s="407" t="n">
        <v>25827</v>
      </c>
    </row>
    <row r="18" customFormat="false" ht="12.95" hidden="false" customHeight="true" outlineLevel="0" collapsed="false">
      <c r="A18" s="10" t="n">
        <f aca="false">A17+1</f>
        <v>4</v>
      </c>
      <c r="B18" s="395" t="n">
        <v>6921.59</v>
      </c>
      <c r="C18" s="109" t="n">
        <v>370498</v>
      </c>
      <c r="D18" s="118" t="n">
        <f aca="false">C18-C17</f>
        <v>1051</v>
      </c>
      <c r="E18" s="109" t="n">
        <f aca="false">C18-152000</f>
        <v>218498</v>
      </c>
      <c r="F18" s="164" t="n">
        <f aca="false">D18/$D$2</f>
        <v>529.871439374842</v>
      </c>
      <c r="G18" s="154" t="n">
        <v>2190</v>
      </c>
      <c r="H18" s="112" t="n">
        <v>5.08</v>
      </c>
      <c r="I18" s="154" t="n">
        <f aca="false">G18+H18</f>
        <v>2195.08</v>
      </c>
      <c r="J18" s="403" t="n">
        <f aca="false">IF(L18&gt;0,L18,0)</f>
        <v>76.6714393748426</v>
      </c>
      <c r="K18" s="154" t="n">
        <f aca="false">I18+J18</f>
        <v>2271.75143937484</v>
      </c>
      <c r="L18" s="154" t="n">
        <f aca="false">F18-(I18-AK18)</f>
        <v>76.6714393748426</v>
      </c>
      <c r="M18" s="157" t="n">
        <v>303</v>
      </c>
      <c r="N18" s="186" t="n">
        <v>0</v>
      </c>
      <c r="O18" s="178" t="n">
        <f aca="false">78*1.05</f>
        <v>81.9</v>
      </c>
      <c r="P18" s="186" t="n">
        <v>0</v>
      </c>
      <c r="Q18" s="511" t="n">
        <f aca="false">2047200/325851/1.9835*1.02</f>
        <v>3.23079336043205</v>
      </c>
      <c r="R18" s="512" t="n">
        <f aca="false">IF(((7.4*1.04)-T18)&gt;=4.2,4.2,(7.4*1.04)-T18)</f>
        <v>4.2</v>
      </c>
      <c r="S18" s="512" t="n">
        <f aca="false">IF(((7.4*1.04)-T18)&gt;=4.2,((7.4*1.04)-T18)-4.2,0)</f>
        <v>2.07621904</v>
      </c>
      <c r="T18" s="512" t="n">
        <f aca="false">(1.2879*1.06)*1.04</f>
        <v>1.41978096</v>
      </c>
      <c r="U18" s="393" t="n">
        <v>0</v>
      </c>
      <c r="V18" s="154" t="n">
        <v>152</v>
      </c>
      <c r="W18" s="154" t="n">
        <v>71.1</v>
      </c>
      <c r="X18" s="280" t="n">
        <f aca="false">M18-N18-O18-P18-Q18-R18-S18-T18-U18+V18+W18-AT18+AR18</f>
        <v>431.053206639568</v>
      </c>
      <c r="Y18" s="280" t="n">
        <f aca="false">X18-AO18</f>
        <v>431.053206639568</v>
      </c>
      <c r="Z18" s="244" t="n">
        <f aca="false">Z17-AA18+AP18</f>
        <v>24698.1924370675</v>
      </c>
      <c r="AA18" s="280" t="n">
        <f aca="false">AJ18</f>
        <v>1010</v>
      </c>
      <c r="AB18" s="244" t="n">
        <f aca="false">AB17+(Y18-AJ18+AP18)*$D$2</f>
        <v>71226.435</v>
      </c>
      <c r="AC18" s="123" t="n">
        <f aca="false">AC17-(AQ17/1.9835)</f>
        <v>1532.97612408456</v>
      </c>
      <c r="AD18" s="390"/>
      <c r="AE18" s="154" t="n">
        <v>208</v>
      </c>
      <c r="AF18" s="157" t="n">
        <v>1.7</v>
      </c>
      <c r="AG18" s="158" t="n">
        <v>1.3</v>
      </c>
      <c r="AH18" s="154" t="n">
        <v>1010</v>
      </c>
      <c r="AI18" s="93" t="n">
        <f aca="false">AI17</f>
        <v>12779.1578774893</v>
      </c>
      <c r="AJ18" s="163" t="n">
        <f aca="false">AH18</f>
        <v>1010</v>
      </c>
      <c r="AK18" s="154" t="n">
        <f aca="false">N19+O18+P18+Q18+R18+S18+T18+U18+X18+AE18+AH18-AR18</f>
        <v>1741.88</v>
      </c>
      <c r="AL18" s="154" t="n">
        <f aca="false">IF(L18&lt;0,L18*-1,0)</f>
        <v>0</v>
      </c>
      <c r="AM18" s="164" t="n">
        <f aca="false">AK18+AL18</f>
        <v>1741.88</v>
      </c>
      <c r="AN18" s="514"/>
      <c r="AO18" s="406"/>
      <c r="AP18" s="406" t="n">
        <f aca="false">IF((AB17/$D$2)+Y18-AJ18+(795-X18)&gt;(72000/$D$2),(795-X18)-((AB17/$D$2)+Y18-AJ18+(795-X18)-(72000/$D$2)),(795-X18))</f>
        <v>363.946793360432</v>
      </c>
      <c r="AQ18" s="186" t="n">
        <f aca="false">81.308*(12972*1.9835+AC18*1.9835)/E18</f>
        <v>10.7061921963388</v>
      </c>
      <c r="AR18" s="156"/>
      <c r="AS18" s="112"/>
      <c r="AT18" s="200" t="n">
        <v>2.22</v>
      </c>
      <c r="AV18" s="117" t="n">
        <v>0</v>
      </c>
      <c r="AW18" s="118" t="n">
        <v>89</v>
      </c>
      <c r="AX18" s="118" t="n">
        <v>54</v>
      </c>
      <c r="AY18" s="161"/>
      <c r="AZ18" s="282" t="n">
        <f aca="false">SUM(N18,P18:U18)</f>
        <v>10.9267933604321</v>
      </c>
      <c r="BA18" s="108" t="n">
        <v>53.6</v>
      </c>
      <c r="BB18" s="407" t="n">
        <v>25835</v>
      </c>
    </row>
    <row r="19" customFormat="false" ht="12.95" hidden="false" customHeight="true" outlineLevel="0" collapsed="false">
      <c r="A19" s="10" t="n">
        <f aca="false">A18+1</f>
        <v>5</v>
      </c>
      <c r="B19" s="395" t="n">
        <v>6921.94</v>
      </c>
      <c r="C19" s="109" t="n">
        <v>372031</v>
      </c>
      <c r="D19" s="118" t="n">
        <f aca="false">C19-C18</f>
        <v>1533</v>
      </c>
      <c r="E19" s="109" t="n">
        <f aca="false">C19-152000</f>
        <v>220031</v>
      </c>
      <c r="F19" s="164" t="n">
        <f aca="false">D19/$D$2</f>
        <v>772.876228888329</v>
      </c>
      <c r="G19" s="154" t="n">
        <v>2440</v>
      </c>
      <c r="H19" s="112" t="n">
        <v>4.86</v>
      </c>
      <c r="I19" s="154" t="n">
        <f aca="false">G19+H19</f>
        <v>2444.86</v>
      </c>
      <c r="J19" s="403" t="n">
        <f aca="false">IF(L19&gt;0,L19,0)</f>
        <v>39.3662288883287</v>
      </c>
      <c r="K19" s="154" t="n">
        <f aca="false">I19+J19</f>
        <v>2484.22622888833</v>
      </c>
      <c r="L19" s="154" t="n">
        <f aca="false">F19-(I19-AK19)</f>
        <v>39.3662288883287</v>
      </c>
      <c r="M19" s="157" t="n">
        <v>279</v>
      </c>
      <c r="N19" s="186" t="n">
        <v>0</v>
      </c>
      <c r="O19" s="178" t="n">
        <f aca="false">68.6*1.05</f>
        <v>72.03</v>
      </c>
      <c r="P19" s="186" t="n">
        <v>0</v>
      </c>
      <c r="Q19" s="511" t="n">
        <f aca="false">2154300/325851/1.9835*1.02</f>
        <v>3.39981347029053</v>
      </c>
      <c r="R19" s="512" t="n">
        <f aca="false">IF(((6.8*1.04)-T19)&gt;=4.2,4.2,(6.8*1.04)-T19)</f>
        <v>4.2</v>
      </c>
      <c r="S19" s="512" t="n">
        <f aca="false">IF(((6.8*1.04)-T19)&gt;=4.2,((6.8*1.04)-T19)-4.2,0)</f>
        <v>1.45221904</v>
      </c>
      <c r="T19" s="512" t="n">
        <f aca="false">(1.2879*1.06)*1.04</f>
        <v>1.41978096</v>
      </c>
      <c r="U19" s="393" t="n">
        <v>0</v>
      </c>
      <c r="V19" s="154" t="n">
        <v>153</v>
      </c>
      <c r="W19" s="154" t="n">
        <v>71.6</v>
      </c>
      <c r="X19" s="280" t="n">
        <f aca="false">M19-N19-O19-P19-Q19-R19-S19-T19-U19+V19+W19-AT19+AR19</f>
        <v>418.84818652971</v>
      </c>
      <c r="Y19" s="280" t="n">
        <f aca="false">X19-AO19</f>
        <v>418.84818652971</v>
      </c>
      <c r="Z19" s="244" t="n">
        <f aca="false">Z18-AA19+AP19</f>
        <v>24076.3442505378</v>
      </c>
      <c r="AA19" s="280" t="n">
        <f aca="false">AJ19</f>
        <v>998</v>
      </c>
      <c r="AB19" s="244" t="n">
        <f aca="false">AB18+(Y19-AJ19+AP19)*$D$2</f>
        <v>70823.7845</v>
      </c>
      <c r="AC19" s="123" t="n">
        <f aca="false">AC18-(AQ18/1.9835)</f>
        <v>1527.57849756763</v>
      </c>
      <c r="AD19" s="390"/>
      <c r="AE19" s="154" t="n">
        <v>212</v>
      </c>
      <c r="AF19" s="157" t="n">
        <v>1.7</v>
      </c>
      <c r="AG19" s="158" t="n">
        <v>1.3</v>
      </c>
      <c r="AH19" s="154" t="n">
        <v>998</v>
      </c>
      <c r="AI19" s="93" t="n">
        <f aca="false">AI18</f>
        <v>12779.1578774893</v>
      </c>
      <c r="AJ19" s="163" t="n">
        <f aca="false">AH19</f>
        <v>998</v>
      </c>
      <c r="AK19" s="154" t="n">
        <f aca="false">N20+O19+P19+Q19+R19+S19+T19+U19+X19+AE19+AH19-AR19</f>
        <v>1711.35</v>
      </c>
      <c r="AL19" s="154" t="n">
        <f aca="false">IF(L19&lt;0,L19*-1,0)</f>
        <v>0</v>
      </c>
      <c r="AM19" s="164" t="n">
        <f aca="false">AK19+AL19</f>
        <v>1711.35</v>
      </c>
      <c r="AN19" s="514"/>
      <c r="AO19" s="406"/>
      <c r="AP19" s="406" t="n">
        <f aca="false">IF((AB18/$D$2)+Y19-AJ19+(795-X19)&gt;(72000/$D$2),(795-X19)-((AB18/$D$2)+Y19-AJ19+(795-X19)-(72000/$D$2)),(795-X19))</f>
        <v>376.15181347029</v>
      </c>
      <c r="AQ19" s="186" t="n">
        <f aca="false">84.129*(12972*1.9835+AC19*1.9835)/E19</f>
        <v>10.9963723325044</v>
      </c>
      <c r="AR19" s="156"/>
      <c r="AS19" s="112"/>
      <c r="AT19" s="200" t="n">
        <v>2.25</v>
      </c>
      <c r="AV19" s="117" t="n">
        <v>0</v>
      </c>
      <c r="AW19" s="118" t="n">
        <v>90</v>
      </c>
      <c r="AX19" s="118" t="n">
        <v>54</v>
      </c>
      <c r="AY19" s="161"/>
      <c r="AZ19" s="282" t="n">
        <f aca="false">SUM(N19,P19:U19)</f>
        <v>10.4718134702905</v>
      </c>
      <c r="BA19" s="108" t="n">
        <v>68</v>
      </c>
      <c r="BB19" s="407" t="n">
        <v>25901</v>
      </c>
    </row>
    <row r="20" customFormat="false" ht="12.95" hidden="false" customHeight="true" outlineLevel="0" collapsed="false">
      <c r="A20" s="10" t="n">
        <f aca="false">A19+1</f>
        <v>6</v>
      </c>
      <c r="B20" s="395" t="n">
        <v>6922.37</v>
      </c>
      <c r="C20" s="109" t="n">
        <v>373927</v>
      </c>
      <c r="D20" s="118" t="n">
        <f aca="false">C20-C19</f>
        <v>1896</v>
      </c>
      <c r="E20" s="109" t="n">
        <f aca="false">C20-152000</f>
        <v>221927</v>
      </c>
      <c r="F20" s="164" t="n">
        <f aca="false">D20/$D$2</f>
        <v>955.886059994958</v>
      </c>
      <c r="G20" s="154" t="n">
        <v>2600</v>
      </c>
      <c r="H20" s="112" t="n">
        <v>3.94</v>
      </c>
      <c r="I20" s="154" t="n">
        <f aca="false">G20+H20</f>
        <v>2603.94</v>
      </c>
      <c r="J20" s="403" t="n">
        <f aca="false">IF(L20&gt;0,L20,0)</f>
        <v>2.73605999495828</v>
      </c>
      <c r="K20" s="154" t="n">
        <f aca="false">I20+J20</f>
        <v>2606.67605999496</v>
      </c>
      <c r="L20" s="154" t="n">
        <f aca="false">F20-(I20-AK20)</f>
        <v>2.73605999495828</v>
      </c>
      <c r="M20" s="157" t="n">
        <v>283</v>
      </c>
      <c r="N20" s="186" t="n">
        <v>0</v>
      </c>
      <c r="O20" s="178" t="n">
        <f aca="false">65.1*1.05</f>
        <v>68.355</v>
      </c>
      <c r="P20" s="186" t="n">
        <v>0</v>
      </c>
      <c r="Q20" s="511" t="n">
        <f aca="false">2191500/325851/1.9835*1.02</f>
        <v>3.45852073533941</v>
      </c>
      <c r="R20" s="512" t="n">
        <f aca="false">IF(((6*1.04)-T20)&gt;=4.2,4.2,(6*1.04)-T20)</f>
        <v>4.2</v>
      </c>
      <c r="S20" s="512" t="n">
        <f aca="false">IF(((6*1.04)-T20)&gt;=4.2,((6*1.04)-T20)-4.2,0)</f>
        <v>0.620219039999999</v>
      </c>
      <c r="T20" s="512" t="n">
        <f aca="false">(1.2879*1.06)*1.04</f>
        <v>1.41978096</v>
      </c>
      <c r="U20" s="393" t="n">
        <v>0</v>
      </c>
      <c r="V20" s="154" t="n">
        <v>153</v>
      </c>
      <c r="W20" s="154" t="n">
        <v>72.1</v>
      </c>
      <c r="X20" s="280" t="n">
        <f aca="false">M20-N20-O20-P20-Q20-R20-S20-T20-U20+V20+W20-AT20+AR20</f>
        <v>427.736479264661</v>
      </c>
      <c r="Y20" s="280" t="n">
        <f aca="false">X20-AO20</f>
        <v>427.736479264661</v>
      </c>
      <c r="Z20" s="244" t="n">
        <f aca="false">Z19-AA20+AP20</f>
        <v>23493.6077712732</v>
      </c>
      <c r="AA20" s="280" t="n">
        <f aca="false">AJ20</f>
        <v>950</v>
      </c>
      <c r="AB20" s="244" t="n">
        <f aca="false">AB19+(Y20-AJ20+AP20)*$D$2</f>
        <v>70516.342</v>
      </c>
      <c r="AC20" s="123" t="n">
        <f aca="false">AC19-(AQ19/1.9835)</f>
        <v>1522.03457403221</v>
      </c>
      <c r="AD20" s="390"/>
      <c r="AE20" s="154" t="n">
        <v>195</v>
      </c>
      <c r="AF20" s="157" t="n">
        <v>1.7</v>
      </c>
      <c r="AG20" s="158" t="n">
        <v>1.3</v>
      </c>
      <c r="AH20" s="154" t="n">
        <v>950</v>
      </c>
      <c r="AI20" s="93" t="n">
        <f aca="false">AI19</f>
        <v>12779.1578774893</v>
      </c>
      <c r="AJ20" s="163" t="n">
        <f aca="false">AH20</f>
        <v>950</v>
      </c>
      <c r="AK20" s="154" t="n">
        <f aca="false">N21+O20+P20+Q20+R20+S20+T20+U20+X20+AE20+AH20-AR20</f>
        <v>1650.79</v>
      </c>
      <c r="AL20" s="154" t="n">
        <f aca="false">IF(L20&lt;0,L20*-1,0)</f>
        <v>0</v>
      </c>
      <c r="AM20" s="164" t="n">
        <f aca="false">AK20+AL20</f>
        <v>1650.79</v>
      </c>
      <c r="AN20" s="514"/>
      <c r="AO20" s="406"/>
      <c r="AP20" s="406" t="n">
        <f aca="false">IF((AB19/$D$2)+Y20-AJ20+(795-X20)&gt;(72000/$D$2),(795-X20)-((AB19/$D$2)+Y20-AJ20+(795-X20)-(72000/$D$2)),(795-X20))</f>
        <v>367.263520735339</v>
      </c>
      <c r="AQ20" s="186" t="n">
        <f aca="false">85.412*(12972*1.9835+AC20*1.9835)/E20</f>
        <v>11.0644606025286</v>
      </c>
      <c r="AR20" s="156"/>
      <c r="AS20" s="112"/>
      <c r="AT20" s="200" t="n">
        <v>2.31</v>
      </c>
      <c r="AV20" s="117" t="n">
        <v>0</v>
      </c>
      <c r="AW20" s="118" t="n">
        <v>91</v>
      </c>
      <c r="AX20" s="118" t="n">
        <v>57</v>
      </c>
      <c r="AY20" s="161"/>
      <c r="AZ20" s="282" t="n">
        <f aca="false">SUM(N20,P20:U20)</f>
        <v>9.69852073533941</v>
      </c>
      <c r="BA20" s="108" t="n">
        <v>76.8</v>
      </c>
      <c r="BB20" s="407" t="n">
        <v>25916</v>
      </c>
    </row>
    <row r="21" customFormat="false" ht="12.95" hidden="false" customHeight="true" outlineLevel="0" collapsed="false">
      <c r="A21" s="10" t="n">
        <f aca="false">A20+1</f>
        <v>7</v>
      </c>
      <c r="B21" s="395" t="n">
        <v>6922.73</v>
      </c>
      <c r="C21" s="109" t="n">
        <v>375517</v>
      </c>
      <c r="D21" s="118" t="n">
        <f aca="false">C21-C20</f>
        <v>1590</v>
      </c>
      <c r="E21" s="109" t="n">
        <f aca="false">C21-152000</f>
        <v>223517</v>
      </c>
      <c r="F21" s="164" t="n">
        <f aca="false">D21/$D$2</f>
        <v>801.613309805899</v>
      </c>
      <c r="G21" s="154" t="n">
        <v>2300</v>
      </c>
      <c r="H21" s="112" t="n">
        <v>3.51</v>
      </c>
      <c r="I21" s="154" t="n">
        <f aca="false">G21+H21</f>
        <v>2303.51</v>
      </c>
      <c r="J21" s="403" t="n">
        <f aca="false">IF(L21&gt;0,L21,0)</f>
        <v>0</v>
      </c>
      <c r="K21" s="154" t="n">
        <f aca="false">I21+J21</f>
        <v>2303.51</v>
      </c>
      <c r="L21" s="154" t="n">
        <f aca="false">F21-(I21-AK21)</f>
        <v>-2.37669019410157</v>
      </c>
      <c r="M21" s="157" t="n">
        <v>299</v>
      </c>
      <c r="N21" s="186" t="n">
        <v>0</v>
      </c>
      <c r="O21" s="178" t="n">
        <f aca="false">81.1*1.05</f>
        <v>85.155</v>
      </c>
      <c r="P21" s="186" t="n">
        <v>0</v>
      </c>
      <c r="Q21" s="373" t="n">
        <f aca="false">2027000/325851/1.9835*1.02</f>
        <v>3.19891468424959</v>
      </c>
      <c r="R21" s="512" t="n">
        <f aca="false">IF(((6.4*1.04)-T21)&gt;=4.2,4.2,(6.4*1.04)-T21)</f>
        <v>4.2</v>
      </c>
      <c r="S21" s="512" t="n">
        <f aca="false">IF(((6.4*1.04)-T21)&gt;=4.2,((6.4*1.04)-T21)-4.2,0)</f>
        <v>1.03621904</v>
      </c>
      <c r="T21" s="512" t="n">
        <f aca="false">(1.2879*1.06)*1.04</f>
        <v>1.41978096</v>
      </c>
      <c r="U21" s="393" t="n">
        <v>0</v>
      </c>
      <c r="V21" s="154" t="n">
        <v>155</v>
      </c>
      <c r="W21" s="154" t="n">
        <v>72.8</v>
      </c>
      <c r="X21" s="280" t="n">
        <f aca="false">M21-N21-O21-P21-Q21-R21-S21-T21-U21+V21+W21-AT21+AR21</f>
        <v>429.51008531575</v>
      </c>
      <c r="Y21" s="280" t="n">
        <f aca="false">X21-AO21</f>
        <v>429.51008531575</v>
      </c>
      <c r="Z21" s="244" t="n">
        <f aca="false">Z20-AA21+AP21</f>
        <v>23074.0976859574</v>
      </c>
      <c r="AA21" s="280" t="n">
        <f aca="false">AJ21</f>
        <v>785</v>
      </c>
      <c r="AB21" s="244" t="n">
        <f aca="false">AB20+(Y21-AJ21+AP21)*$D$2</f>
        <v>70536.177</v>
      </c>
      <c r="AC21" s="123" t="n">
        <f aca="false">AC20-(AQ20/1.9835)</f>
        <v>1516.45632316126</v>
      </c>
      <c r="AD21" s="390"/>
      <c r="AE21" s="154" t="n">
        <v>190</v>
      </c>
      <c r="AF21" s="157" t="n">
        <v>1.7</v>
      </c>
      <c r="AG21" s="158" t="n">
        <v>1.3</v>
      </c>
      <c r="AH21" s="154" t="n">
        <v>785</v>
      </c>
      <c r="AI21" s="93" t="n">
        <f aca="false">AI20</f>
        <v>12779.1578774893</v>
      </c>
      <c r="AJ21" s="163" t="n">
        <f aca="false">AH21</f>
        <v>785</v>
      </c>
      <c r="AK21" s="154" t="n">
        <f aca="false">N22+O21+P21+Q21+R21+S21+T21+U21+X21+AE21+AH21-AR21</f>
        <v>1499.52</v>
      </c>
      <c r="AL21" s="154" t="n">
        <f aca="false">IF(L21&lt;0,L21*-1,0)</f>
        <v>2.37669019410157</v>
      </c>
      <c r="AM21" s="164" t="n">
        <f aca="false">AK21+AL21</f>
        <v>1501.8966901941</v>
      </c>
      <c r="AN21" s="514"/>
      <c r="AO21" s="406"/>
      <c r="AP21" s="406" t="n">
        <f aca="false">IF((AB20/$D$2)+Y21-AJ21+(795-X21)&gt;(72000/$D$2),(795-X21)-((AB20/$D$2)+Y21-AJ21+(795-X21)-(72000/$D$2)),(795-X21))</f>
        <v>365.48991468425</v>
      </c>
      <c r="AQ21" s="186" t="n">
        <f aca="false">84.301*(12972*1.9835+AC21*1.9835)/E21</f>
        <v>10.838682317745</v>
      </c>
      <c r="AR21" s="156"/>
      <c r="AS21" s="112"/>
      <c r="AT21" s="200" t="n">
        <v>2.28</v>
      </c>
      <c r="AV21" s="117" t="n">
        <v>0</v>
      </c>
      <c r="AW21" s="118" t="n">
        <v>89</v>
      </c>
      <c r="AX21" s="118" t="n">
        <v>54</v>
      </c>
      <c r="AY21" s="161"/>
      <c r="AZ21" s="282" t="n">
        <f aca="false">SUM(N21,P21:U21)</f>
        <v>9.85491468424959</v>
      </c>
      <c r="BA21" s="108" t="n">
        <v>76.6</v>
      </c>
      <c r="BB21" s="407" t="n">
        <v>25878</v>
      </c>
    </row>
    <row r="22" customFormat="false" ht="12.95" hidden="false" customHeight="true" outlineLevel="0" collapsed="false">
      <c r="A22" s="10" t="n">
        <f aca="false">A21+1</f>
        <v>8</v>
      </c>
      <c r="B22" s="395" t="n">
        <v>6923.19</v>
      </c>
      <c r="C22" s="109" t="n">
        <v>377554</v>
      </c>
      <c r="D22" s="118" t="n">
        <f aca="false">C22-C21</f>
        <v>2037</v>
      </c>
      <c r="E22" s="109" t="n">
        <f aca="false">C22-152000</f>
        <v>225554</v>
      </c>
      <c r="F22" s="164" t="n">
        <f aca="false">D22/$D$2</f>
        <v>1026.97252331737</v>
      </c>
      <c r="G22" s="154" t="n">
        <v>2350</v>
      </c>
      <c r="H22" s="112" t="n">
        <v>3.32</v>
      </c>
      <c r="I22" s="154" t="n">
        <f aca="false">G22+H22</f>
        <v>2353.32</v>
      </c>
      <c r="J22" s="403" t="n">
        <f aca="false">IF(L22&gt;0,L22,0)</f>
        <v>42.9225233173681</v>
      </c>
      <c r="K22" s="154" t="n">
        <f aca="false">I22+J22</f>
        <v>2396.24252331737</v>
      </c>
      <c r="L22" s="154" t="n">
        <f aca="false">F22-(I22-AK22)</f>
        <v>42.9225233173681</v>
      </c>
      <c r="M22" s="157" t="n">
        <v>335</v>
      </c>
      <c r="N22" s="186" t="n">
        <v>0</v>
      </c>
      <c r="O22" s="178" t="n">
        <f aca="false">118*1.05</f>
        <v>123.9</v>
      </c>
      <c r="P22" s="186" t="n">
        <v>0</v>
      </c>
      <c r="Q22" s="373" t="n">
        <f aca="false">2153700/325851/1.9835*1.02</f>
        <v>3.39886657891877</v>
      </c>
      <c r="R22" s="512" t="n">
        <f aca="false">IF(((6.8*1.04)-T22)&gt;=4.2,4.2,(6.8*1.04)-T22)</f>
        <v>4.2</v>
      </c>
      <c r="S22" s="512" t="n">
        <f aca="false">IF(((6.8*1.04)-T22)&gt;=4.2,((6.8*1.04)-T22)-4.2,0)</f>
        <v>1.45221904</v>
      </c>
      <c r="T22" s="512" t="n">
        <f aca="false">(1.2879*1.06)*1.04</f>
        <v>1.41978096</v>
      </c>
      <c r="U22" s="393" t="n">
        <v>0</v>
      </c>
      <c r="V22" s="154" t="n">
        <v>152</v>
      </c>
      <c r="W22" s="154" t="n">
        <v>72.5</v>
      </c>
      <c r="X22" s="280" t="n">
        <f aca="false">M22-N22-O22-P22-Q22-R22-S22-T22-U22+V22+W22-AT22+AR22</f>
        <v>422.899133421081</v>
      </c>
      <c r="Y22" s="280" t="n">
        <f aca="false">X22-AO22</f>
        <v>422.899133421081</v>
      </c>
      <c r="Z22" s="244" t="n">
        <f aca="false">Z21-AA22+AP22</f>
        <v>22816.1985525363</v>
      </c>
      <c r="AA22" s="280" t="n">
        <f aca="false">AJ22</f>
        <v>630</v>
      </c>
      <c r="AB22" s="244" t="n">
        <f aca="false">AB21+(Y22-AJ22+AP22)*$D$2</f>
        <v>70863.4545</v>
      </c>
      <c r="AC22" s="123" t="n">
        <f aca="false">AC21-(AQ21/1.9835)</f>
        <v>1510.99190051556</v>
      </c>
      <c r="AD22" s="390"/>
      <c r="AE22" s="154" t="n">
        <v>182</v>
      </c>
      <c r="AF22" s="157" t="n">
        <v>1.7</v>
      </c>
      <c r="AG22" s="158" t="n">
        <v>1.3</v>
      </c>
      <c r="AH22" s="154" t="n">
        <v>630</v>
      </c>
      <c r="AI22" s="93" t="n">
        <f aca="false">AI21</f>
        <v>12779.1578774893</v>
      </c>
      <c r="AJ22" s="163" t="n">
        <f aca="false">AH22</f>
        <v>630</v>
      </c>
      <c r="AK22" s="154" t="n">
        <f aca="false">N23+O22+P22+Q22+R22+S22+T22+U22+X22+AE22+AH22-AR22</f>
        <v>1369.27</v>
      </c>
      <c r="AL22" s="154" t="n">
        <f aca="false">IF(L22&lt;0,L22*-1,0)</f>
        <v>0</v>
      </c>
      <c r="AM22" s="164" t="n">
        <f aca="false">AK22+AL22</f>
        <v>1369.27</v>
      </c>
      <c r="AN22" s="514"/>
      <c r="AO22" s="406"/>
      <c r="AP22" s="406" t="n">
        <f aca="false">IF((AB21/$D$2)+Y22-AJ22+(795-X22)&gt;(72000/$D$2),(795-X22)-((AB21/$D$2)+Y22-AJ22+(795-X22)-(72000/$D$2)),(795-X22))</f>
        <v>372.100866578919</v>
      </c>
      <c r="AQ22" s="186" t="n">
        <f aca="false">84.818*(12972*1.9835+AC22*1.9835)/E22</f>
        <v>10.802592329642</v>
      </c>
      <c r="AR22" s="156"/>
      <c r="AS22" s="112"/>
      <c r="AT22" s="200" t="n">
        <v>2.23</v>
      </c>
      <c r="AV22" s="117" t="n">
        <v>0</v>
      </c>
      <c r="AW22" s="118" t="n">
        <v>88</v>
      </c>
      <c r="AX22" s="118" t="n">
        <v>54</v>
      </c>
      <c r="AY22" s="161"/>
      <c r="AZ22" s="282" t="n">
        <f aca="false">SUM(N22,P22:U22)</f>
        <v>10.4708665789188</v>
      </c>
      <c r="BA22" s="108" t="n">
        <v>76.7</v>
      </c>
      <c r="BB22" s="407" t="n">
        <v>25811</v>
      </c>
    </row>
    <row r="23" customFormat="false" ht="12.95" hidden="false" customHeight="true" outlineLevel="0" collapsed="false">
      <c r="A23" s="10" t="n">
        <f aca="false">A22+1</f>
        <v>9</v>
      </c>
      <c r="B23" s="395" t="n">
        <v>6923.58</v>
      </c>
      <c r="C23" s="109" t="n">
        <v>379290</v>
      </c>
      <c r="D23" s="118" t="n">
        <f aca="false">C23-C22</f>
        <v>1736</v>
      </c>
      <c r="E23" s="109" t="n">
        <f aca="false">C23-152000</f>
        <v>227290</v>
      </c>
      <c r="F23" s="164" t="n">
        <f aca="false">D23/$D$2</f>
        <v>875.220569700025</v>
      </c>
      <c r="G23" s="154" t="n">
        <v>2060</v>
      </c>
      <c r="H23" s="112" t="n">
        <v>3.59</v>
      </c>
      <c r="I23" s="154" t="n">
        <f aca="false">G23+H23</f>
        <v>2063.59</v>
      </c>
      <c r="J23" s="403" t="n">
        <f aca="false">IF(L23&gt;0,L23,0)</f>
        <v>97.6005697000251</v>
      </c>
      <c r="K23" s="154" t="n">
        <f aca="false">I23+J23</f>
        <v>2161.19056970003</v>
      </c>
      <c r="L23" s="154" t="n">
        <f aca="false">F23-(I23-AK23)</f>
        <v>97.6005697000251</v>
      </c>
      <c r="M23" s="157" t="n">
        <v>319</v>
      </c>
      <c r="N23" s="186" t="n">
        <v>0</v>
      </c>
      <c r="O23" s="178" t="n">
        <f aca="false">116*1.05</f>
        <v>121.8</v>
      </c>
      <c r="P23" s="186" t="n">
        <v>0</v>
      </c>
      <c r="Q23" s="373" t="n">
        <f aca="false">2152500/325851/1.9835*1.02</f>
        <v>3.39697279617526</v>
      </c>
      <c r="R23" s="512" t="n">
        <f aca="false">IF(((6.8*1.04)-T23)&gt;=4.2,4.2,(6.8*1.04)-T23)</f>
        <v>4.2</v>
      </c>
      <c r="S23" s="512" t="n">
        <f aca="false">IF(((6.8*1.04)-T23)&gt;=4.2,((6.8*1.04)-T23)-4.2,0)</f>
        <v>1.45221904</v>
      </c>
      <c r="T23" s="512" t="n">
        <f aca="false">(1.2879*1.06)*1.04</f>
        <v>1.41978096</v>
      </c>
      <c r="U23" s="393" t="n">
        <v>0</v>
      </c>
      <c r="V23" s="154" t="n">
        <v>153</v>
      </c>
      <c r="W23" s="154" t="n">
        <v>69.1</v>
      </c>
      <c r="X23" s="280" t="n">
        <f aca="false">M23-N23-O23-P23-Q23-R23-S23-T23-U23+V23+W23-AT23+AR23</f>
        <v>403.701027203825</v>
      </c>
      <c r="Y23" s="280" t="n">
        <f aca="false">X23-AO23</f>
        <v>403.701027203825</v>
      </c>
      <c r="Z23" s="244" t="n">
        <f aca="false">Z22-AA23+AP23</f>
        <v>22608.4975253325</v>
      </c>
      <c r="AA23" s="280" t="n">
        <f aca="false">AJ23</f>
        <v>599</v>
      </c>
      <c r="AB23" s="244" t="n">
        <f aca="false">AB22+(Y23-AJ23+AP23)*$D$2</f>
        <v>71252.2205</v>
      </c>
      <c r="AC23" s="123" t="n">
        <f aca="false">AC22-(AQ22/1.9835)</f>
        <v>1505.54567297352</v>
      </c>
      <c r="AD23" s="390"/>
      <c r="AE23" s="154" t="n">
        <v>151</v>
      </c>
      <c r="AF23" s="157" t="n">
        <v>1.7</v>
      </c>
      <c r="AG23" s="158" t="n">
        <v>1.3</v>
      </c>
      <c r="AH23" s="154" t="n">
        <v>599</v>
      </c>
      <c r="AI23" s="93" t="n">
        <f aca="false">AI22</f>
        <v>12779.1578774893</v>
      </c>
      <c r="AJ23" s="163" t="n">
        <f aca="false">AH23</f>
        <v>599</v>
      </c>
      <c r="AK23" s="154" t="n">
        <f aca="false">N24+O23+P23+Q23+R23+S23+T23+U23+X23+AE23+AH23-AR23</f>
        <v>1285.97</v>
      </c>
      <c r="AL23" s="154" t="n">
        <f aca="false">IF(L23&lt;0,L23*-1,0)</f>
        <v>0</v>
      </c>
      <c r="AM23" s="164" t="n">
        <f aca="false">AK23+AL23</f>
        <v>1285.97</v>
      </c>
      <c r="AN23" s="514"/>
      <c r="AO23" s="406"/>
      <c r="AP23" s="406" t="n">
        <f aca="false">IF((AB22/$D$2)+Y23-AJ23+(795-X23)&gt;(72000/$D$2),(795-X23)-((AB22/$D$2)+Y23-AJ23+(795-X23)-(72000/$D$2)),(795-X23))</f>
        <v>391.298972796175</v>
      </c>
      <c r="AQ23" s="186" t="n">
        <f aca="false">88.374*(12972*1.9835+AC23*1.9835)/E23</f>
        <v>11.1653240589345</v>
      </c>
      <c r="AR23" s="156"/>
      <c r="AS23" s="112"/>
      <c r="AT23" s="200" t="n">
        <v>5.13</v>
      </c>
      <c r="AV23" s="117" t="n">
        <v>0</v>
      </c>
      <c r="AW23" s="118" t="n">
        <v>92</v>
      </c>
      <c r="AX23" s="118" t="n">
        <v>55</v>
      </c>
      <c r="AY23" s="161"/>
      <c r="AZ23" s="282" t="n">
        <f aca="false">SUM(N23,P23:U23)</f>
        <v>10.4689727961753</v>
      </c>
      <c r="BA23" s="108" t="n">
        <v>76.7</v>
      </c>
      <c r="BB23" s="407" t="n">
        <v>25682</v>
      </c>
    </row>
    <row r="24" customFormat="false" ht="12.95" hidden="false" customHeight="true" outlineLevel="0" collapsed="false">
      <c r="A24" s="10" t="n">
        <f aca="false">A23+1</f>
        <v>10</v>
      </c>
      <c r="B24" s="395" t="n">
        <v>6923.89</v>
      </c>
      <c r="C24" s="109" t="n">
        <v>380670</v>
      </c>
      <c r="D24" s="118" t="n">
        <f aca="false">C24-C23</f>
        <v>1380</v>
      </c>
      <c r="E24" s="109" t="n">
        <f aca="false">C24-152000</f>
        <v>228670</v>
      </c>
      <c r="F24" s="164" t="n">
        <f aca="false">D24/$D$2</f>
        <v>695.739853793799</v>
      </c>
      <c r="G24" s="154" t="n">
        <v>2070</v>
      </c>
      <c r="H24" s="112" t="n">
        <v>3.66</v>
      </c>
      <c r="I24" s="154" t="n">
        <f aca="false">G24+H24</f>
        <v>2073.66</v>
      </c>
      <c r="J24" s="403" t="n">
        <f aca="false">IF(L24&gt;0,L24,0)</f>
        <v>28.8798537937989</v>
      </c>
      <c r="K24" s="154" t="n">
        <f aca="false">I24+J24</f>
        <v>2102.5398537938</v>
      </c>
      <c r="L24" s="154" t="n">
        <f aca="false">F24-(I24-AK24)</f>
        <v>28.8798537937989</v>
      </c>
      <c r="M24" s="157" t="n">
        <v>319</v>
      </c>
      <c r="N24" s="186" t="n">
        <v>0</v>
      </c>
      <c r="O24" s="178" t="n">
        <f aca="false">101*1.05</f>
        <v>106.05</v>
      </c>
      <c r="P24" s="186" t="n">
        <v>0</v>
      </c>
      <c r="Q24" s="373" t="n">
        <f aca="false">2194400/325851/1.9835*1.02</f>
        <v>3.46309737696956</v>
      </c>
      <c r="R24" s="512" t="n">
        <f aca="false">IF(((7*1.04)-T24)&gt;=4.2,4.2,(7*1.04)-T24)</f>
        <v>4.2</v>
      </c>
      <c r="S24" s="512" t="n">
        <f aca="false">IF(((7*1.04)-T24)&gt;=4.2,((7*1.04)-T24)-4.2,0)</f>
        <v>1.5454592</v>
      </c>
      <c r="T24" s="512" t="n">
        <f aca="false">(1.392*1.06)*1.04</f>
        <v>1.5345408</v>
      </c>
      <c r="U24" s="393" t="n">
        <v>0</v>
      </c>
      <c r="V24" s="154" t="n">
        <v>149</v>
      </c>
      <c r="W24" s="154" t="n">
        <v>65</v>
      </c>
      <c r="X24" s="280" t="n">
        <f aca="false">M24-N24-O24-P24-Q24-R24-S24-T24-U24+V24+W24-AT24+AR24</f>
        <v>405.006902623031</v>
      </c>
      <c r="Y24" s="280" t="n">
        <f aca="false">X24-AO24</f>
        <v>405.006902623031</v>
      </c>
      <c r="Z24" s="244" t="n">
        <f aca="false">Z23-AA24+AP24</f>
        <v>22281.4906227095</v>
      </c>
      <c r="AA24" s="280" t="n">
        <f aca="false">AJ24</f>
        <v>717</v>
      </c>
      <c r="AB24" s="244" t="n">
        <f aca="false">AB23+(Y24-AJ24+AP24)*$D$2</f>
        <v>71406.9335</v>
      </c>
      <c r="AC24" s="123" t="n">
        <f aca="false">AC23-(AQ23/1.9835)</f>
        <v>1499.91657085155</v>
      </c>
      <c r="AD24" s="390"/>
      <c r="AE24" s="154" t="n">
        <v>168</v>
      </c>
      <c r="AF24" s="157" t="n">
        <v>1.7</v>
      </c>
      <c r="AG24" s="158" t="n">
        <v>1.3</v>
      </c>
      <c r="AH24" s="154" t="n">
        <v>717</v>
      </c>
      <c r="AI24" s="93" t="n">
        <f aca="false">AI23</f>
        <v>12779.1578774893</v>
      </c>
      <c r="AJ24" s="163" t="n">
        <f aca="false">AH24</f>
        <v>717</v>
      </c>
      <c r="AK24" s="154" t="n">
        <f aca="false">N25+O24+P24+Q24+R24+S24+T24+U24+X24+AE24+AH24-AR24</f>
        <v>1406.8</v>
      </c>
      <c r="AL24" s="154" t="n">
        <f aca="false">IF(L24&lt;0,L24*-1,0)</f>
        <v>0</v>
      </c>
      <c r="AM24" s="164" t="n">
        <f aca="false">AK24+AL24</f>
        <v>1406.8</v>
      </c>
      <c r="AN24" s="514"/>
      <c r="AO24" s="406"/>
      <c r="AP24" s="406" t="n">
        <f aca="false">IF((AB23/$D$2)+Y24-AJ24+(795-X24)&gt;(72000/$D$2),(795-X24)-((AB23/$D$2)+Y24-AJ24+(795-X24)-(72000/$D$2)),(795-X24))</f>
        <v>389.99309737697</v>
      </c>
      <c r="AQ24" s="186" t="n">
        <f aca="false">69.605*(12972*1.9835+AC24*1.9835)/E24</f>
        <v>8.737546520773</v>
      </c>
      <c r="AR24" s="156"/>
      <c r="AS24" s="112"/>
      <c r="AT24" s="200" t="n">
        <v>11.2</v>
      </c>
      <c r="AV24" s="117" t="n">
        <v>0</v>
      </c>
      <c r="AW24" s="118" t="n">
        <v>92</v>
      </c>
      <c r="AX24" s="118" t="n">
        <v>53</v>
      </c>
      <c r="AY24" s="161"/>
      <c r="AZ24" s="282" t="n">
        <f aca="false">SUM(N24,P24:U24)</f>
        <v>10.7430973769696</v>
      </c>
      <c r="BA24" s="108" t="n">
        <v>76.6</v>
      </c>
      <c r="BB24" s="407" t="n">
        <v>25611</v>
      </c>
    </row>
    <row r="25" customFormat="false" ht="12.95" hidden="false" customHeight="true" outlineLevel="0" collapsed="false">
      <c r="A25" s="10" t="n">
        <f aca="false">A24+1</f>
        <v>11</v>
      </c>
      <c r="B25" s="395" t="n">
        <v>6923.95</v>
      </c>
      <c r="C25" s="109" t="n">
        <v>380937</v>
      </c>
      <c r="D25" s="118" t="n">
        <f aca="false">C25-C24</f>
        <v>267</v>
      </c>
      <c r="E25" s="109" t="n">
        <f aca="false">C25-152000</f>
        <v>228937</v>
      </c>
      <c r="F25" s="164" t="n">
        <f aca="false">D25/$D$2</f>
        <v>134.61053692967</v>
      </c>
      <c r="G25" s="154" t="n">
        <v>1990</v>
      </c>
      <c r="H25" s="112" t="n">
        <v>3.6</v>
      </c>
      <c r="I25" s="154" t="n">
        <f aca="false">G25+H25</f>
        <v>1993.6</v>
      </c>
      <c r="J25" s="403" t="n">
        <f aca="false">IF(L25&gt;0,L25,0)</f>
        <v>0</v>
      </c>
      <c r="K25" s="154" t="n">
        <f aca="false">I25+J25</f>
        <v>1993.6</v>
      </c>
      <c r="L25" s="154" t="n">
        <f aca="false">F25-(I25-AK25)</f>
        <v>-53.0894630703301</v>
      </c>
      <c r="M25" s="157" t="n">
        <v>337</v>
      </c>
      <c r="N25" s="186" t="n">
        <v>0</v>
      </c>
      <c r="O25" s="178" t="n">
        <f aca="false">125*1.05</f>
        <v>131.25</v>
      </c>
      <c r="P25" s="186" t="n">
        <v>0</v>
      </c>
      <c r="Q25" s="373" t="n">
        <f aca="false">2094600/325851/1.9835*1.02</f>
        <v>3.30559777880079</v>
      </c>
      <c r="R25" s="512" t="n">
        <f aca="false">IF(((6.7*1.04)-T25)&gt;=4.2,4.2,(6.7*1.04)-T25)</f>
        <v>4.2</v>
      </c>
      <c r="S25" s="512" t="n">
        <f aca="false">IF(((6.7*1.04)-T25)&gt;=4.2,((6.7*1.04)-T25)-4.2,0)</f>
        <v>1.2334592</v>
      </c>
      <c r="T25" s="512" t="n">
        <f aca="false">(1.392*1.06)*1.04</f>
        <v>1.5345408</v>
      </c>
      <c r="U25" s="393" t="n">
        <v>0</v>
      </c>
      <c r="V25" s="154" t="n">
        <v>150</v>
      </c>
      <c r="W25" s="154" t="n">
        <v>64.6</v>
      </c>
      <c r="X25" s="280" t="n">
        <f aca="false">M25-N25-O25-P25-Q25-R25-S25-T25-U25+V25+W25-AT25+AR25</f>
        <v>398.376402221199</v>
      </c>
      <c r="Y25" s="280" t="n">
        <f aca="false">X25-AO25</f>
        <v>398.376402221199</v>
      </c>
      <c r="Z25" s="244" t="n">
        <f aca="false">Z24-AA25+AP25</f>
        <v>21558.1142204883</v>
      </c>
      <c r="AA25" s="280" t="n">
        <f aca="false">AJ25</f>
        <v>1120</v>
      </c>
      <c r="AB25" s="244" t="n">
        <f aca="false">AB24+(Y25-AJ25+AP25)*$D$2</f>
        <v>70762.296</v>
      </c>
      <c r="AC25" s="123" t="n">
        <f aca="false">AC24-(AQ24/1.9835)</f>
        <v>1495.51145538859</v>
      </c>
      <c r="AD25" s="390"/>
      <c r="AE25" s="154" t="n">
        <v>146</v>
      </c>
      <c r="AF25" s="157" t="n">
        <v>1.7</v>
      </c>
      <c r="AG25" s="158" t="n">
        <v>1.3</v>
      </c>
      <c r="AH25" s="154" t="n">
        <v>1120</v>
      </c>
      <c r="AI25" s="93" t="n">
        <f aca="false">AI24</f>
        <v>12779.1578774893</v>
      </c>
      <c r="AJ25" s="163" t="n">
        <f aca="false">AH25</f>
        <v>1120</v>
      </c>
      <c r="AK25" s="154" t="n">
        <f aca="false">N26+O25+P25+Q25+R25+S25+T25+U25+X25+AE25+AH25-AR25</f>
        <v>1805.9</v>
      </c>
      <c r="AL25" s="154" t="n">
        <f aca="false">IF(L25&lt;0,L25*-1,0)</f>
        <v>53.0894630703301</v>
      </c>
      <c r="AM25" s="164" t="n">
        <f aca="false">AK25+AL25</f>
        <v>1858.98946307033</v>
      </c>
      <c r="AN25" s="514"/>
      <c r="AO25" s="406"/>
      <c r="AP25" s="406" t="n">
        <f aca="false">IF((AB24/$D$2)+Y25-AJ25+(795-X25)&gt;(72000/$D$2),(795-X25)-((AB24/$D$2)+Y25-AJ25+(795-X25)-(72000/$D$2)),(795-X25))</f>
        <v>396.623597778801</v>
      </c>
      <c r="AQ25" s="186" t="n">
        <f aca="false">33.629*(12972*1.9835+AC25*1.9835)/E25</f>
        <v>4.21525648720577</v>
      </c>
      <c r="AR25" s="156"/>
      <c r="AS25" s="112"/>
      <c r="AT25" s="200" t="n">
        <v>11.7</v>
      </c>
      <c r="AV25" s="117" t="n">
        <v>0.12</v>
      </c>
      <c r="AW25" s="118" t="n">
        <v>83</v>
      </c>
      <c r="AX25" s="118" t="n">
        <v>54</v>
      </c>
      <c r="AY25" s="161"/>
      <c r="AZ25" s="282" t="n">
        <f aca="false">SUM(N25,P25:U25)</f>
        <v>10.2735977788008</v>
      </c>
      <c r="BA25" s="108" t="n">
        <v>76.6</v>
      </c>
      <c r="BB25" s="407" t="n">
        <v>25549</v>
      </c>
    </row>
    <row r="26" customFormat="false" ht="12.95" hidden="false" customHeight="true" outlineLevel="0" collapsed="false">
      <c r="A26" s="10" t="n">
        <f aca="false">A25+1</f>
        <v>12</v>
      </c>
      <c r="B26" s="395" t="n">
        <v>6923.92</v>
      </c>
      <c r="C26" s="109" t="n">
        <v>380804</v>
      </c>
      <c r="D26" s="118" t="n">
        <f aca="false">C26-C25</f>
        <v>-133</v>
      </c>
      <c r="E26" s="109" t="n">
        <f aca="false">C26-152000</f>
        <v>228804</v>
      </c>
      <c r="F26" s="164" t="n">
        <f aca="false">D26/$D$2</f>
        <v>-67.0531888076632</v>
      </c>
      <c r="G26" s="154" t="n">
        <v>1790</v>
      </c>
      <c r="H26" s="112" t="n">
        <v>3.36</v>
      </c>
      <c r="I26" s="154" t="n">
        <f aca="false">G26+H26</f>
        <v>1793.36</v>
      </c>
      <c r="J26" s="403" t="n">
        <f aca="false">IF(L26&gt;0,L26,0)</f>
        <v>23.6868111923368</v>
      </c>
      <c r="K26" s="154" t="n">
        <f aca="false">I26+J26</f>
        <v>1817.04681119234</v>
      </c>
      <c r="L26" s="154" t="n">
        <f aca="false">F26-(I26-AK26)</f>
        <v>23.6868111923368</v>
      </c>
      <c r="M26" s="157" t="n">
        <v>316</v>
      </c>
      <c r="N26" s="186" t="n">
        <v>0</v>
      </c>
      <c r="O26" s="178" t="n">
        <f aca="false">114*1.05</f>
        <v>119.7</v>
      </c>
      <c r="P26" s="186" t="n">
        <v>0</v>
      </c>
      <c r="Q26" s="373" t="n">
        <f aca="false">2148700/325851/1.9835*1.02</f>
        <v>3.39097581748747</v>
      </c>
      <c r="R26" s="512" t="n">
        <f aca="false">IF(((6.8*1.04)-T26)&gt;=4.2,4.2,(6.8*1.04)-T26)</f>
        <v>4.2</v>
      </c>
      <c r="S26" s="512" t="n">
        <f aca="false">IF(((6.8*1.04)-T26)&gt;=4.2,((6.8*1.04)-T26)-4.2,0)</f>
        <v>1.3374592</v>
      </c>
      <c r="T26" s="512" t="n">
        <f aca="false">(1.392*1.06)*1.04</f>
        <v>1.5345408</v>
      </c>
      <c r="U26" s="393" t="n">
        <v>0</v>
      </c>
      <c r="V26" s="154" t="n">
        <v>146</v>
      </c>
      <c r="W26" s="154" t="n">
        <v>64.6</v>
      </c>
      <c r="X26" s="280" t="n">
        <f aca="false">M26-N26-O26-P26-Q26-R26-S26-T26-U26+V26+W26-AT26+AR26</f>
        <v>384.937024182513</v>
      </c>
      <c r="Y26" s="280" t="n">
        <f aca="false">X26-AO26</f>
        <v>384.937024182513</v>
      </c>
      <c r="Z26" s="244" t="n">
        <f aca="false">Z25-AA26+AP26</f>
        <v>20728.1771963058</v>
      </c>
      <c r="AA26" s="280" t="n">
        <f aca="false">AJ26</f>
        <v>1240</v>
      </c>
      <c r="AB26" s="244" t="n">
        <f aca="false">AB25+(Y26-AJ26+AP26)*$D$2</f>
        <v>69879.6385</v>
      </c>
      <c r="AC26" s="123" t="n">
        <f aca="false">AC25-(AQ25/1.9835)</f>
        <v>1493.38629456822</v>
      </c>
      <c r="AD26" s="390"/>
      <c r="AE26" s="154" t="n">
        <v>129</v>
      </c>
      <c r="AF26" s="157" t="n">
        <v>1.7</v>
      </c>
      <c r="AG26" s="158" t="n">
        <v>1.3</v>
      </c>
      <c r="AH26" s="154" t="n">
        <v>1240</v>
      </c>
      <c r="AI26" s="93" t="n">
        <f aca="false">AI25</f>
        <v>12779.1578774893</v>
      </c>
      <c r="AJ26" s="163" t="n">
        <f aca="false">AH26</f>
        <v>1240</v>
      </c>
      <c r="AK26" s="154" t="n">
        <f aca="false">N27+O26+P26+Q26+R26+S26+T26+U26+X26+AE26+AH26-AR26</f>
        <v>1884.1</v>
      </c>
      <c r="AL26" s="154" t="n">
        <f aca="false">IF(L26&lt;0,L26*-1,0)</f>
        <v>0</v>
      </c>
      <c r="AM26" s="164" t="n">
        <f aca="false">AK26+AL26</f>
        <v>1884.1</v>
      </c>
      <c r="AN26" s="514"/>
      <c r="AO26" s="406"/>
      <c r="AP26" s="406" t="n">
        <f aca="false">IF((AB25/$D$2)+Y26-AJ26+(795-X26)&gt;(72000/$D$2),(795-X26)-((AB25/$D$2)+Y26-AJ26+(795-X26)-(72000/$D$2)),(795-X26))</f>
        <v>410.062975817487</v>
      </c>
      <c r="AQ26" s="186" t="n">
        <f aca="false">47.707*(12972*1.9835+AC26*1.9835)/E26</f>
        <v>5.9824728364656</v>
      </c>
      <c r="AR26" s="156"/>
      <c r="AS26" s="112"/>
      <c r="AT26" s="200" t="n">
        <v>11.5</v>
      </c>
      <c r="AV26" s="117" t="n">
        <v>0.08</v>
      </c>
      <c r="AW26" s="118" t="n">
        <v>86</v>
      </c>
      <c r="AX26" s="118" t="n">
        <v>52</v>
      </c>
      <c r="AY26" s="161"/>
      <c r="AZ26" s="282" t="n">
        <f aca="false">SUM(N26,P26:U26)</f>
        <v>10.4629758174875</v>
      </c>
      <c r="BA26" s="108" t="n">
        <v>55.5</v>
      </c>
      <c r="BB26" s="407" t="n">
        <v>25473</v>
      </c>
    </row>
    <row r="27" customFormat="false" ht="12.95" hidden="false" customHeight="true" outlineLevel="0" collapsed="false">
      <c r="A27" s="10" t="n">
        <f aca="false">A26+1</f>
        <v>13</v>
      </c>
      <c r="B27" s="395" t="n">
        <v>6923.8</v>
      </c>
      <c r="C27" s="109" t="n">
        <v>380270</v>
      </c>
      <c r="D27" s="118" t="n">
        <f aca="false">C27-C26</f>
        <v>-534</v>
      </c>
      <c r="E27" s="109" t="n">
        <f aca="false">C27-152000</f>
        <v>228270</v>
      </c>
      <c r="F27" s="164" t="n">
        <f aca="false">D27/$D$2</f>
        <v>-269.221073859339</v>
      </c>
      <c r="G27" s="154" t="n">
        <v>1570</v>
      </c>
      <c r="H27" s="112" t="n">
        <v>3.64</v>
      </c>
      <c r="I27" s="154" t="n">
        <f aca="false">G27+H27</f>
        <v>1573.64</v>
      </c>
      <c r="J27" s="403" t="n">
        <f aca="false">IF(L27&gt;0,L27,0)</f>
        <v>0</v>
      </c>
      <c r="K27" s="154" t="n">
        <f aca="false">I27+J27</f>
        <v>1573.64</v>
      </c>
      <c r="L27" s="154" t="n">
        <f aca="false">F27-(I27-AK27)</f>
        <v>-164.66107385934</v>
      </c>
      <c r="M27" s="157" t="n">
        <v>313</v>
      </c>
      <c r="N27" s="186" t="n">
        <v>0</v>
      </c>
      <c r="O27" s="178" t="n">
        <f aca="false">101*1.05</f>
        <v>106.05</v>
      </c>
      <c r="P27" s="186" t="n">
        <v>0</v>
      </c>
      <c r="Q27" s="373" t="n">
        <f aca="false">1821400/325851/1.9835*1.02</f>
        <v>2.87444657419448</v>
      </c>
      <c r="R27" s="512" t="n">
        <f aca="false">IF(((6.7*1.04)-T27)&gt;=4.2,4.2,(6.7*1.04)-T27)</f>
        <v>4.2</v>
      </c>
      <c r="S27" s="512" t="n">
        <f aca="false">IF(((6.7*1.04)-T27)&gt;=4.2,((6.7*1.04)-T27)-4.2,0)</f>
        <v>1.2334592</v>
      </c>
      <c r="T27" s="512" t="n">
        <f aca="false">(1.392*1.06)*1.04</f>
        <v>1.5345408</v>
      </c>
      <c r="U27" s="393" t="n">
        <v>0</v>
      </c>
      <c r="V27" s="154" t="n">
        <v>139</v>
      </c>
      <c r="W27" s="154" t="n">
        <v>65.1</v>
      </c>
      <c r="X27" s="280" t="n">
        <f aca="false">M27-N27-O27-P27-Q27-R27-S27-T27-U27+V27+W27-AT27+AR27</f>
        <v>389.307553425805</v>
      </c>
      <c r="Y27" s="280" t="n">
        <f aca="false">X27-AO27</f>
        <v>389.307553425805</v>
      </c>
      <c r="Z27" s="244" t="n">
        <f aca="false">Z26-AA27+AP27</f>
        <v>20103.86964288</v>
      </c>
      <c r="AA27" s="280" t="n">
        <f aca="false">AJ27</f>
        <v>1030</v>
      </c>
      <c r="AB27" s="244" t="n">
        <f aca="false">AB26+(Y27-AJ27+AP27)*$D$2</f>
        <v>69413.516</v>
      </c>
      <c r="AC27" s="123" t="n">
        <f aca="false">AC26-(AQ26/1.9835)</f>
        <v>1490.37017516491</v>
      </c>
      <c r="AD27" s="390"/>
      <c r="AE27" s="154" t="n">
        <v>143</v>
      </c>
      <c r="AF27" s="157" t="n">
        <v>1.7</v>
      </c>
      <c r="AG27" s="158" t="n">
        <v>1.3</v>
      </c>
      <c r="AH27" s="154" t="n">
        <v>1030</v>
      </c>
      <c r="AI27" s="93" t="n">
        <f aca="false">AI26</f>
        <v>12779.1578774893</v>
      </c>
      <c r="AJ27" s="163" t="n">
        <f aca="false">AH27</f>
        <v>1030</v>
      </c>
      <c r="AK27" s="154" t="n">
        <f aca="false">N28+O27+P27+Q27+R27+S27+T27+U27+X27+AE27+AH27-AR27</f>
        <v>1678.2</v>
      </c>
      <c r="AL27" s="154" t="n">
        <f aca="false">IF(L27&lt;0,L27*-1,0)</f>
        <v>164.66107385934</v>
      </c>
      <c r="AM27" s="164" t="n">
        <f aca="false">AK27+AL27</f>
        <v>1842.86107385934</v>
      </c>
      <c r="AN27" s="514"/>
      <c r="AO27" s="406"/>
      <c r="AP27" s="406" t="n">
        <f aca="false">IF((AB26/$D$2)+Y27-AJ27+(795-X27)&gt;(72000/$D$2),(795-X27)-((AB26/$D$2)+Y27-AJ27+(795-X27)-(72000/$D$2)),(795-X27))</f>
        <v>405.692446574195</v>
      </c>
      <c r="AQ27" s="186" t="n">
        <f aca="false">67.258*(12972*1.9835+AC27*1.9835)/E27</f>
        <v>8.45214206835766</v>
      </c>
      <c r="AR27" s="156"/>
      <c r="AS27" s="112"/>
      <c r="AT27" s="200" t="n">
        <v>11.9</v>
      </c>
      <c r="AV27" s="117" t="n">
        <v>0.04</v>
      </c>
      <c r="AW27" s="118" t="n">
        <v>75</v>
      </c>
      <c r="AX27" s="118" t="n">
        <v>52</v>
      </c>
      <c r="AY27" s="161"/>
      <c r="AZ27" s="282" t="n">
        <f aca="false">SUM(N27,P27:U27)</f>
        <v>9.84244657419448</v>
      </c>
      <c r="BA27" s="108" t="n">
        <v>34.7</v>
      </c>
      <c r="BB27" s="407" t="n">
        <v>25441</v>
      </c>
    </row>
    <row r="28" customFormat="false" ht="12.95" hidden="false" customHeight="true" outlineLevel="0" collapsed="false">
      <c r="A28" s="10" t="n">
        <f aca="false">A27+1</f>
        <v>14</v>
      </c>
      <c r="B28" s="395" t="n">
        <v>6923.78</v>
      </c>
      <c r="C28" s="109" t="n">
        <v>380181</v>
      </c>
      <c r="D28" s="118" t="n">
        <f aca="false">C28-C27</f>
        <v>-89</v>
      </c>
      <c r="E28" s="109" t="n">
        <f aca="false">C28-152000</f>
        <v>228181</v>
      </c>
      <c r="F28" s="164" t="n">
        <f aca="false">D28/$D$2</f>
        <v>-44.8701789765566</v>
      </c>
      <c r="G28" s="154" t="n">
        <v>1300</v>
      </c>
      <c r="H28" s="112" t="n">
        <v>3.55</v>
      </c>
      <c r="I28" s="154" t="n">
        <f aca="false">G28+H28</f>
        <v>1303.55</v>
      </c>
      <c r="J28" s="403" t="n">
        <f aca="false">IF(L28&gt;0,L28,0)</f>
        <v>2.47982102344355</v>
      </c>
      <c r="K28" s="154" t="n">
        <f aca="false">I28+J28</f>
        <v>1306.02982102344</v>
      </c>
      <c r="L28" s="154" t="n">
        <f aca="false">F28-(I28-AK28)</f>
        <v>2.47982102344355</v>
      </c>
      <c r="M28" s="157" t="n">
        <v>293</v>
      </c>
      <c r="N28" s="186" t="n">
        <v>0</v>
      </c>
      <c r="O28" s="178" t="n">
        <f aca="false">104*1.05</f>
        <v>109.2</v>
      </c>
      <c r="P28" s="186" t="n">
        <v>0</v>
      </c>
      <c r="Q28" s="373" t="n">
        <f aca="false">2099300/325851/1.9835*1.02</f>
        <v>3.31301509454621</v>
      </c>
      <c r="R28" s="512" t="n">
        <f aca="false">IF(((6.7*1.04)-T28)&gt;=4.2,4.2,(6.7*1.04)-T28)</f>
        <v>4.2</v>
      </c>
      <c r="S28" s="512" t="n">
        <f aca="false">IF(((6.7*1.04)-T28)&gt;=4.2,((6.7*1.04)-T28)-4.2,0)</f>
        <v>1.2334592</v>
      </c>
      <c r="T28" s="512" t="n">
        <f aca="false">(1.392*1.06)*1.04</f>
        <v>1.5345408</v>
      </c>
      <c r="U28" s="393" t="n">
        <v>0</v>
      </c>
      <c r="V28" s="154" t="n">
        <v>133</v>
      </c>
      <c r="W28" s="154" t="n">
        <v>67.7</v>
      </c>
      <c r="X28" s="280" t="n">
        <f aca="false">M28-N28-O28-P28-Q28-R28-S28-T28-U28+V28+W28-AT28+AR28</f>
        <v>361.418984905454</v>
      </c>
      <c r="Y28" s="280" t="n">
        <f aca="false">X28-AO28</f>
        <v>361.418984905454</v>
      </c>
      <c r="Z28" s="244" t="n">
        <f aca="false">Z27-AA28+AP28</f>
        <v>19786.4506579745</v>
      </c>
      <c r="AA28" s="280" t="n">
        <f aca="false">AJ28</f>
        <v>751</v>
      </c>
      <c r="AB28" s="244" t="n">
        <f aca="false">AB27+(Y28-AJ28+AP28)*$D$2</f>
        <v>69500.79</v>
      </c>
      <c r="AC28" s="123" t="n">
        <f aca="false">AC27-(AQ27/1.9835)</f>
        <v>1486.10894901499</v>
      </c>
      <c r="AD28" s="390"/>
      <c r="AE28" s="154" t="n">
        <v>119</v>
      </c>
      <c r="AF28" s="157" t="n">
        <v>1.7</v>
      </c>
      <c r="AG28" s="158" t="n">
        <v>1.3</v>
      </c>
      <c r="AH28" s="154" t="n">
        <v>751</v>
      </c>
      <c r="AI28" s="93" t="n">
        <f aca="false">AI27</f>
        <v>12779.1578774893</v>
      </c>
      <c r="AJ28" s="163" t="n">
        <f aca="false">AH28</f>
        <v>751</v>
      </c>
      <c r="AK28" s="154" t="n">
        <f aca="false">N29+O28+P28+Q28+R28+S28+T28+U28+X28+AE28+AH28-AR28</f>
        <v>1350.9</v>
      </c>
      <c r="AL28" s="154" t="n">
        <f aca="false">IF(L28&lt;0,L28*-1,0)</f>
        <v>0</v>
      </c>
      <c r="AM28" s="164" t="n">
        <f aca="false">AK28+AL28</f>
        <v>1350.9</v>
      </c>
      <c r="AN28" s="514"/>
      <c r="AO28" s="406"/>
      <c r="AP28" s="406" t="n">
        <f aca="false">IF((AB27/$D$2)+Y28-AJ28+(795-X28)&gt;(72000/$D$2),(795-X28)-((AB27/$D$2)+Y28-AJ28+(795-X28)-(72000/$D$2)),(795-X28))</f>
        <v>433.581015094546</v>
      </c>
      <c r="AQ28" s="186" t="n">
        <f aca="false">62.045*(12972*1.9835+AC28*1.9835)/E28</f>
        <v>7.79778052897714</v>
      </c>
      <c r="AR28" s="156"/>
      <c r="AS28" s="112"/>
      <c r="AT28" s="200" t="n">
        <v>12.8</v>
      </c>
      <c r="AV28" s="117" t="n">
        <v>0</v>
      </c>
      <c r="AW28" s="118" t="n">
        <v>81</v>
      </c>
      <c r="AX28" s="118" t="n">
        <v>44</v>
      </c>
      <c r="AY28" s="161"/>
      <c r="AZ28" s="282" t="n">
        <f aca="false">SUM(N28,P28:U28)</f>
        <v>10.2810150945462</v>
      </c>
      <c r="BA28" s="108" t="n">
        <v>34.7</v>
      </c>
      <c r="BB28" s="407" t="n">
        <v>25501</v>
      </c>
    </row>
    <row r="29" customFormat="false" ht="12.95" hidden="false" customHeight="true" outlineLevel="0" collapsed="false">
      <c r="A29" s="10" t="n">
        <f aca="false">A28+1</f>
        <v>15</v>
      </c>
      <c r="B29" s="395" t="n">
        <v>6923.76</v>
      </c>
      <c r="C29" s="109" t="n">
        <v>380092</v>
      </c>
      <c r="D29" s="118" t="n">
        <f aca="false">C29-C28</f>
        <v>-89</v>
      </c>
      <c r="E29" s="109" t="n">
        <f aca="false">C29-152000</f>
        <v>228092</v>
      </c>
      <c r="F29" s="164" t="n">
        <f aca="false">D29/$D$2</f>
        <v>-44.8701789765566</v>
      </c>
      <c r="G29" s="154" t="n">
        <v>1160</v>
      </c>
      <c r="H29" s="112" t="n">
        <v>3.25</v>
      </c>
      <c r="I29" s="154" t="n">
        <f aca="false">G29+H29</f>
        <v>1163.25</v>
      </c>
      <c r="J29" s="403" t="n">
        <f aca="false">IF(L29&gt;0,L29,0)</f>
        <v>6.47982102344332</v>
      </c>
      <c r="K29" s="154" t="n">
        <f aca="false">I29+J29</f>
        <v>1169.72982102344</v>
      </c>
      <c r="L29" s="154" t="n">
        <f aca="false">F29-(I29-AK29)</f>
        <v>6.47982102344332</v>
      </c>
      <c r="M29" s="157" t="n">
        <v>270</v>
      </c>
      <c r="N29" s="186" t="n">
        <v>0</v>
      </c>
      <c r="O29" s="178" t="n">
        <f aca="false">60.6*1.05</f>
        <v>63.63</v>
      </c>
      <c r="P29" s="186" t="n">
        <v>0</v>
      </c>
      <c r="Q29" s="373" t="n">
        <f aca="false">1902200/325851/1.9835*1.02</f>
        <v>3.00196127892431</v>
      </c>
      <c r="R29" s="512" t="n">
        <f aca="false">IF(((6.8*1.04)-T29)&gt;=4.2,4.2,(6.8*1.04)-T29)</f>
        <v>4.2</v>
      </c>
      <c r="S29" s="512" t="n">
        <f aca="false">IF(((6.8*1.04)-T29)&gt;=4.2,((6.8*1.04)-T29)-4.2,0)</f>
        <v>1.3374592</v>
      </c>
      <c r="T29" s="512" t="n">
        <f aca="false">(1.392*1.06)*1.04</f>
        <v>1.5345408</v>
      </c>
      <c r="U29" s="393" t="n">
        <v>0</v>
      </c>
      <c r="V29" s="154" t="n">
        <v>133</v>
      </c>
      <c r="W29" s="154" t="n">
        <v>67.7</v>
      </c>
      <c r="X29" s="280" t="n">
        <f aca="false">M29-N29-O29-P29-Q29-R29-S29-T29-U29+V29+W29-AT29+AR29</f>
        <v>383.896038721076</v>
      </c>
      <c r="Y29" s="280" t="n">
        <f aca="false">X29-AO29</f>
        <v>383.896038721076</v>
      </c>
      <c r="Z29" s="244" t="n">
        <f aca="false">Z28-AA29+AP29</f>
        <v>19593.5546192534</v>
      </c>
      <c r="AA29" s="280" t="n">
        <f aca="false">AJ29</f>
        <v>604</v>
      </c>
      <c r="AB29" s="244" t="n">
        <f aca="false">AB28+(Y29-AJ29+AP29)*$D$2</f>
        <v>69879.6385</v>
      </c>
      <c r="AC29" s="123" t="n">
        <f aca="false">AC28-(AQ28/1.9835)</f>
        <v>1482.1776253301</v>
      </c>
      <c r="AD29" s="390"/>
      <c r="AE29" s="154" t="n">
        <v>153</v>
      </c>
      <c r="AF29" s="157" t="n">
        <v>1.7</v>
      </c>
      <c r="AG29" s="158" t="n">
        <v>1.3</v>
      </c>
      <c r="AH29" s="154" t="n">
        <v>604</v>
      </c>
      <c r="AI29" s="93" t="n">
        <f aca="false">AI28</f>
        <v>12779.1578774893</v>
      </c>
      <c r="AJ29" s="163" t="n">
        <f aca="false">AH29</f>
        <v>604</v>
      </c>
      <c r="AK29" s="154" t="n">
        <f aca="false">N30+O29+P29+Q29+R29+S29+T29+U29+X29+AE29+AH29-AR29</f>
        <v>1214.6</v>
      </c>
      <c r="AL29" s="154" t="n">
        <f aca="false">IF(L29&lt;0,L29*-1,0)</f>
        <v>0</v>
      </c>
      <c r="AM29" s="164" t="n">
        <f aca="false">AK29+AL29</f>
        <v>1214.6</v>
      </c>
      <c r="AN29" s="514"/>
      <c r="AO29" s="406"/>
      <c r="AP29" s="406" t="n">
        <f aca="false">IF((AB28/$D$2)+Y29-AJ29+(795-X29)&gt;(72000/$D$2),(795-X29)-((AB28/$D$2)+Y29-AJ29+(795-X29)-(72000/$D$2)),(795-X29))</f>
        <v>411.103961278924</v>
      </c>
      <c r="AQ29" s="186" t="n">
        <f aca="false">80.293*(12972*1.9835+AC29*1.9835)/E29</f>
        <v>10.0923713894135</v>
      </c>
      <c r="AR29" s="156"/>
      <c r="AS29" s="112"/>
      <c r="AT29" s="200" t="n">
        <v>13.1</v>
      </c>
      <c r="AV29" s="117" t="n">
        <v>0</v>
      </c>
      <c r="AW29" s="118" t="n">
        <v>87</v>
      </c>
      <c r="AX29" s="118" t="n">
        <v>52</v>
      </c>
      <c r="AY29" s="161"/>
      <c r="AZ29" s="282" t="n">
        <f aca="false">SUM(N29,P29:U29)</f>
        <v>10.0739612789243</v>
      </c>
      <c r="BA29" s="108" t="n">
        <v>34.6</v>
      </c>
      <c r="BB29" s="407" t="n">
        <v>25513</v>
      </c>
    </row>
    <row r="30" customFormat="false" ht="12.95" hidden="false" customHeight="true" outlineLevel="0" collapsed="false">
      <c r="A30" s="10" t="n">
        <f aca="false">A29+1</f>
        <v>16</v>
      </c>
      <c r="B30" s="395" t="n">
        <v>6923.71</v>
      </c>
      <c r="C30" s="109" t="n">
        <v>379869</v>
      </c>
      <c r="D30" s="118" t="n">
        <f aca="false">C30-C29</f>
        <v>-223</v>
      </c>
      <c r="E30" s="109" t="n">
        <f aca="false">C30-152000</f>
        <v>227869</v>
      </c>
      <c r="F30" s="164" t="n">
        <f aca="false">D30/$D$2</f>
        <v>-112.427527098563</v>
      </c>
      <c r="G30" s="154" t="n">
        <v>1080</v>
      </c>
      <c r="H30" s="112" t="n">
        <v>3.33</v>
      </c>
      <c r="I30" s="154" t="n">
        <f aca="false">G30+H30</f>
        <v>1083.33</v>
      </c>
      <c r="J30" s="403" t="n">
        <f aca="false">IF(L30&gt;0,L30,0)</f>
        <v>0</v>
      </c>
      <c r="K30" s="154" t="n">
        <f aca="false">I30+J30</f>
        <v>1083.33</v>
      </c>
      <c r="L30" s="154" t="n">
        <f aca="false">F30-(I30-AK30)</f>
        <v>-7.81752709856302</v>
      </c>
      <c r="M30" s="157" t="n">
        <v>282</v>
      </c>
      <c r="N30" s="186" t="n">
        <v>0</v>
      </c>
      <c r="O30" s="178" t="n">
        <f aca="false">66.6*1.05</f>
        <v>69.93</v>
      </c>
      <c r="P30" s="186" t="n">
        <v>0</v>
      </c>
      <c r="Q30" s="373" t="n">
        <f aca="false">2111600/325851/1.9835*1.02</f>
        <v>3.33242636766721</v>
      </c>
      <c r="R30" s="512" t="n">
        <f aca="false">IF(((6.7*1.04)-T30)&gt;=4.2,4.2,(6.7*1.04)-T30)</f>
        <v>4.2</v>
      </c>
      <c r="S30" s="151" t="n">
        <f aca="false">IF(((6.7*1.04)-T30)&gt;=4.2,((6.7*1.04)-T30)-4.2,0)</f>
        <v>1.2334592</v>
      </c>
      <c r="T30" s="512" t="n">
        <f aca="false">(1.392*1.06)*1.04</f>
        <v>1.5345408</v>
      </c>
      <c r="U30" s="393" t="n">
        <v>0</v>
      </c>
      <c r="V30" s="154" t="n">
        <v>132</v>
      </c>
      <c r="W30" s="154" t="n">
        <v>67.6</v>
      </c>
      <c r="X30" s="280" t="n">
        <f aca="false">M30-N30-O30-P30-Q30-R30-S30-T30-U30+V30+W30-AT30+AR30</f>
        <v>391.709573632333</v>
      </c>
      <c r="Y30" s="280" t="n">
        <f aca="false">X30-AO30</f>
        <v>391.709573632333</v>
      </c>
      <c r="Z30" s="244" t="n">
        <f aca="false">Z29-AA30+AP30</f>
        <v>19444.8450456211</v>
      </c>
      <c r="AA30" s="280" t="n">
        <f aca="false">AJ30</f>
        <v>552</v>
      </c>
      <c r="AB30" s="244" t="n">
        <f aca="false">AB29+(Y30-AJ30+AP30)*$D$2</f>
        <v>70361.629</v>
      </c>
      <c r="AC30" s="123" t="n">
        <f aca="false">AC29-(AQ29/1.9835)</f>
        <v>1477.08946229032</v>
      </c>
      <c r="AD30" s="390"/>
      <c r="AE30" s="154" t="n">
        <v>164</v>
      </c>
      <c r="AF30" s="157" t="n">
        <v>1.7</v>
      </c>
      <c r="AG30" s="158" t="n">
        <v>1.3</v>
      </c>
      <c r="AH30" s="154" t="n">
        <v>552</v>
      </c>
      <c r="AI30" s="93" t="n">
        <f aca="false">AI29</f>
        <v>12779.1578774893</v>
      </c>
      <c r="AJ30" s="163" t="n">
        <f aca="false">AH30</f>
        <v>552</v>
      </c>
      <c r="AK30" s="154" t="n">
        <f aca="false">N31+O30+P30+Q30+R30+S30+T30+U30+X30+AE30+AH30-AR30</f>
        <v>1187.94</v>
      </c>
      <c r="AL30" s="154" t="n">
        <f aca="false">IF(L30&lt;0,L30*-1,0)</f>
        <v>7.81752709856302</v>
      </c>
      <c r="AM30" s="164" t="n">
        <f aca="false">AK30+AL30</f>
        <v>1195.75752709856</v>
      </c>
      <c r="AN30" s="514"/>
      <c r="AO30" s="406"/>
      <c r="AP30" s="406" t="n">
        <f aca="false">IF((AB29/$D$2)+Y30-AJ30+(795-X30)&gt;(72000/$D$2),(795-X30)-((AB29/$D$2)+Y30-AJ30+(795-X30)-(72000/$D$2)),(795-X30))</f>
        <v>403.290426367667</v>
      </c>
      <c r="AQ30" s="186" t="n">
        <f aca="false">80.814*(12972*1.9835+AC30*1.9835)/E30</f>
        <v>10.1642196516431</v>
      </c>
      <c r="AR30" s="156"/>
      <c r="AS30" s="112"/>
      <c r="AT30" s="200" t="n">
        <v>9.66</v>
      </c>
      <c r="AV30" s="117" t="n">
        <v>0</v>
      </c>
      <c r="AW30" s="118" t="n">
        <v>85</v>
      </c>
      <c r="AX30" s="118" t="n">
        <v>47</v>
      </c>
      <c r="AY30" s="161"/>
      <c r="AZ30" s="282" t="n">
        <f aca="false">SUM(N30,P30:U30)</f>
        <v>10.3004263676672</v>
      </c>
      <c r="BA30" s="108" t="n">
        <v>34.7</v>
      </c>
      <c r="BB30" s="407" t="n">
        <v>25398</v>
      </c>
    </row>
    <row r="31" customFormat="false" ht="12.95" hidden="false" customHeight="true" outlineLevel="0" collapsed="false">
      <c r="A31" s="10" t="n">
        <f aca="false">A30+1</f>
        <v>17</v>
      </c>
      <c r="B31" s="395" t="n">
        <v>6923.67</v>
      </c>
      <c r="C31" s="109" t="n">
        <v>379691</v>
      </c>
      <c r="D31" s="118" t="n">
        <f aca="false">C31-C30</f>
        <v>-178</v>
      </c>
      <c r="E31" s="109" t="n">
        <f aca="false">C31-152000</f>
        <v>227691</v>
      </c>
      <c r="F31" s="164" t="n">
        <f aca="false">D31/$D$2</f>
        <v>-89.7403579531132</v>
      </c>
      <c r="G31" s="154" t="n">
        <v>982</v>
      </c>
      <c r="H31" s="112" t="n">
        <v>0.618</v>
      </c>
      <c r="I31" s="154" t="n">
        <f aca="false">G31+H31</f>
        <v>982.618</v>
      </c>
      <c r="J31" s="403" t="n">
        <f aca="false">IF(L31&gt;0,L31,0)</f>
        <v>0</v>
      </c>
      <c r="K31" s="154" t="n">
        <f aca="false">I31+J31</f>
        <v>982.618</v>
      </c>
      <c r="L31" s="154" t="n">
        <f aca="false">F31-(I31-AK31)</f>
        <v>-13.2503579531133</v>
      </c>
      <c r="M31" s="157" t="n">
        <v>293</v>
      </c>
      <c r="N31" s="186" t="n">
        <v>0</v>
      </c>
      <c r="O31" s="178" t="n">
        <f aca="false">86*1.05</f>
        <v>90.3</v>
      </c>
      <c r="P31" s="186" t="n">
        <v>0</v>
      </c>
      <c r="Q31" s="373" t="n">
        <f aca="false">2244200/325851/1.9835*1.02</f>
        <v>3.54168936082532</v>
      </c>
      <c r="R31" s="512" t="n">
        <f aca="false">IF(((6.7*1.04)-T31)&gt;=4.2,4.2,(6.7*1.04)-T31)</f>
        <v>4.2</v>
      </c>
      <c r="S31" s="151" t="n">
        <f aca="false">IF(((6.7*1.04)-T31)&gt;=4.2,((6.7*1.04)-T31)-4.2,0)</f>
        <v>0.953229120000001</v>
      </c>
      <c r="T31" s="151" t="n">
        <f aca="false">(1.6462*1.06)*1.04</f>
        <v>1.81477088</v>
      </c>
      <c r="U31" s="393" t="n">
        <v>0</v>
      </c>
      <c r="V31" s="154" t="n">
        <v>132</v>
      </c>
      <c r="W31" s="154" t="n">
        <v>67.6</v>
      </c>
      <c r="X31" s="280" t="n">
        <f aca="false">M31-N31-O31-P31-Q31-R31-S31-T31-U31+V31+W31-AT31+AR31</f>
        <v>391.298310639175</v>
      </c>
      <c r="Y31" s="280" t="n">
        <f aca="false">X31-AO31</f>
        <v>391.298310639175</v>
      </c>
      <c r="Z31" s="244" t="n">
        <f aca="false">Z30-AA31+AP31</f>
        <v>19428.5467349819</v>
      </c>
      <c r="AA31" s="280" t="n">
        <f aca="false">AJ31</f>
        <v>420</v>
      </c>
      <c r="AB31" s="244" t="n">
        <f aca="false">AB30+(Y31-AJ31+AP31)*$D$2</f>
        <v>71105.4415</v>
      </c>
      <c r="AC31" s="123" t="n">
        <f aca="false">AC30-(AQ30/1.9835)</f>
        <v>1471.96507627991</v>
      </c>
      <c r="AD31" s="390"/>
      <c r="AE31" s="154" t="n">
        <v>147</v>
      </c>
      <c r="AF31" s="157" t="n">
        <v>1.7</v>
      </c>
      <c r="AG31" s="158" t="n">
        <v>1.3</v>
      </c>
      <c r="AH31" s="154" t="n">
        <v>420</v>
      </c>
      <c r="AI31" s="93" t="n">
        <f aca="false">AI30</f>
        <v>12779.1578774893</v>
      </c>
      <c r="AJ31" s="163" t="n">
        <f aca="false">AH31</f>
        <v>420</v>
      </c>
      <c r="AK31" s="154" t="n">
        <f aca="false">N32+O31+P31+Q31+R31+S31+T31+U31+X31+AE31+AH31-AR31</f>
        <v>1059.108</v>
      </c>
      <c r="AL31" s="154" t="n">
        <f aca="false">IF(L31&lt;0,L31*-1,0)</f>
        <v>13.2503579531133</v>
      </c>
      <c r="AM31" s="164" t="n">
        <f aca="false">AK31+AL31</f>
        <v>1072.35835795311</v>
      </c>
      <c r="AN31" s="514"/>
      <c r="AO31" s="406"/>
      <c r="AP31" s="406" t="n">
        <f aca="false">IF((AB30/$D$2)+Y31-AJ31+(795-X31)&gt;(72000/$D$2),(795-X31)-((AB30/$D$2)+Y31-AJ31+(795-X31)-(72000/$D$2)),(795-X31))</f>
        <v>403.701689360825</v>
      </c>
      <c r="AQ31" s="186" t="n">
        <f aca="false">83.682*(12972*1.9835+AC31*1.9835)/E31</f>
        <v>10.5294290196606</v>
      </c>
      <c r="AR31" s="156"/>
      <c r="AS31" s="112"/>
      <c r="AT31" s="200" t="n">
        <v>0.492</v>
      </c>
      <c r="AV31" s="117" t="n">
        <v>0</v>
      </c>
      <c r="AW31" s="118" t="n">
        <v>88</v>
      </c>
      <c r="AX31" s="118" t="n">
        <v>48</v>
      </c>
      <c r="AY31" s="161"/>
      <c r="AZ31" s="282" t="n">
        <f aca="false">SUM(N31,P31:U31)</f>
        <v>10.5096893608253</v>
      </c>
      <c r="BA31" s="108" t="n">
        <v>29.1</v>
      </c>
      <c r="BB31" s="407" t="n">
        <v>25398</v>
      </c>
    </row>
    <row r="32" customFormat="false" ht="12.95" hidden="false" customHeight="true" outlineLevel="0" collapsed="false">
      <c r="A32" s="10" t="n">
        <f aca="false">A31+1</f>
        <v>18</v>
      </c>
      <c r="B32" s="395" t="n">
        <v>6923.62</v>
      </c>
      <c r="C32" s="109" t="n">
        <v>379468</v>
      </c>
      <c r="D32" s="118" t="n">
        <f aca="false">C32-C31</f>
        <v>-223</v>
      </c>
      <c r="E32" s="109" t="n">
        <f aca="false">C32-152000</f>
        <v>227468</v>
      </c>
      <c r="F32" s="164" t="n">
        <f aca="false">D32/$D$2</f>
        <v>-112.427527098563</v>
      </c>
      <c r="G32" s="154" t="n">
        <v>904</v>
      </c>
      <c r="H32" s="112" t="n">
        <v>0.074</v>
      </c>
      <c r="I32" s="154" t="n">
        <f aca="false">G32+H32</f>
        <v>904.074</v>
      </c>
      <c r="J32" s="403" t="n">
        <f aca="false">IF(L32&gt;0,L32,0)</f>
        <v>0</v>
      </c>
      <c r="K32" s="154" t="n">
        <f aca="false">I32+J32</f>
        <v>904.074</v>
      </c>
      <c r="L32" s="154" t="n">
        <f aca="false">F32-(I32-AK32)</f>
        <v>-8.47552709856303</v>
      </c>
      <c r="M32" s="157" t="n">
        <v>295</v>
      </c>
      <c r="N32" s="186" t="n">
        <v>0</v>
      </c>
      <c r="O32" s="178" t="n">
        <f aca="false">83.3*1.05</f>
        <v>87.465</v>
      </c>
      <c r="P32" s="186" t="n">
        <v>0</v>
      </c>
      <c r="Q32" s="373" t="n">
        <f aca="false">2099100/325851/1.9835*1.02</f>
        <v>3.31269946408896</v>
      </c>
      <c r="R32" s="512" t="n">
        <f aca="false">IF(((7.4*1.04)-T32)&gt;=4.2,4.2,(7.4*1.04)-T32)</f>
        <v>4.2</v>
      </c>
      <c r="S32" s="151" t="n">
        <f aca="false">IF(((7.4*1.04)-T32)&gt;=4.2,((7.4*1.04)-T32)-4.2,0)</f>
        <v>1.68122912</v>
      </c>
      <c r="T32" s="151" t="n">
        <f aca="false">(1.6462*1.06)*1.04</f>
        <v>1.81477088</v>
      </c>
      <c r="U32" s="393" t="n">
        <v>0</v>
      </c>
      <c r="V32" s="154" t="n">
        <v>133</v>
      </c>
      <c r="W32" s="154" t="n">
        <v>67.8</v>
      </c>
      <c r="X32" s="280" t="n">
        <f aca="false">M32-N32-O32-P32-Q32-R32-S32-T32-U32+V32+W32-AT32+AR32</f>
        <v>396.552300535911</v>
      </c>
      <c r="Y32" s="280" t="n">
        <f aca="false">X32-AO32</f>
        <v>396.552300535911</v>
      </c>
      <c r="Z32" s="244" t="n">
        <f aca="false">Z31-AA32+AP32</f>
        <v>19459.994434446</v>
      </c>
      <c r="AA32" s="280" t="n">
        <f aca="false">AJ32</f>
        <v>367</v>
      </c>
      <c r="AB32" s="244" t="n">
        <f aca="false">AB31+(Y32-AJ32+AP32)*$D$2</f>
        <v>71954.3795</v>
      </c>
      <c r="AC32" s="123" t="n">
        <f aca="false">AC31-(AQ31/1.9835)</f>
        <v>1466.65656656493</v>
      </c>
      <c r="AD32" s="390"/>
      <c r="AE32" s="154" t="n">
        <v>146</v>
      </c>
      <c r="AF32" s="157" t="n">
        <v>1.7</v>
      </c>
      <c r="AG32" s="158" t="n">
        <v>1.3</v>
      </c>
      <c r="AH32" s="154" t="n">
        <v>367</v>
      </c>
      <c r="AI32" s="93" t="n">
        <f aca="false">AI31</f>
        <v>12779.1578774893</v>
      </c>
      <c r="AJ32" s="163" t="n">
        <f aca="false">AH32</f>
        <v>367</v>
      </c>
      <c r="AK32" s="154" t="n">
        <f aca="false">N33+O32+P32+Q32+R32+S32+T32+U32+X32+AE32+AH32-AR32</f>
        <v>1008.026</v>
      </c>
      <c r="AL32" s="154" t="n">
        <f aca="false">IF(L32&lt;0,L32*-1,0)</f>
        <v>8.47552709856303</v>
      </c>
      <c r="AM32" s="164" t="n">
        <f aca="false">AK32+AL32</f>
        <v>1016.50152709856</v>
      </c>
      <c r="AN32" s="514"/>
      <c r="AO32" s="406"/>
      <c r="AP32" s="406" t="n">
        <f aca="false">IF((AB31/$D$2)+Y32-AJ32+(795-X32)&gt;(72000/$D$2),(795-X32)-((AB31/$D$2)+Y32-AJ32+(795-X32)-(72000/$D$2)),(795-X32))</f>
        <v>398.447699464089</v>
      </c>
      <c r="AQ32" s="186" t="n">
        <f aca="false">100.106*(12972*1.9835+AC32*1.9835)/E32</f>
        <v>12.6037212793005</v>
      </c>
      <c r="AR32" s="156"/>
      <c r="AS32" s="112"/>
      <c r="AT32" s="200" t="n">
        <v>0.774</v>
      </c>
      <c r="AV32" s="117" t="n">
        <v>0</v>
      </c>
      <c r="AW32" s="118" t="n">
        <v>93</v>
      </c>
      <c r="AX32" s="118" t="n">
        <v>51</v>
      </c>
      <c r="AY32" s="161"/>
      <c r="AZ32" s="282" t="n">
        <f aca="false">SUM(N32,P32:U32)</f>
        <v>11.008699464089</v>
      </c>
      <c r="BA32" s="108" t="n">
        <v>16.5</v>
      </c>
      <c r="BB32" s="407" t="n">
        <v>25345</v>
      </c>
    </row>
    <row r="33" customFormat="false" ht="12.95" hidden="false" customHeight="true" outlineLevel="0" collapsed="false">
      <c r="A33" s="10" t="n">
        <f aca="false">A32+1</f>
        <v>19</v>
      </c>
      <c r="B33" s="395" t="n">
        <v>6923.57</v>
      </c>
      <c r="C33" s="109" t="n">
        <v>379246</v>
      </c>
      <c r="D33" s="118" t="n">
        <f aca="false">C33-C32</f>
        <v>-222</v>
      </c>
      <c r="E33" s="109" t="n">
        <f aca="false">C33-152000</f>
        <v>227246</v>
      </c>
      <c r="F33" s="164" t="n">
        <f aca="false">D33/$D$2</f>
        <v>-111.92336778422</v>
      </c>
      <c r="G33" s="154" t="n">
        <v>836</v>
      </c>
      <c r="H33" s="112" t="n">
        <v>0.058</v>
      </c>
      <c r="I33" s="154" t="n">
        <f aca="false">G33+H33</f>
        <v>836.058</v>
      </c>
      <c r="J33" s="403" t="n">
        <f aca="false">IF(L33&gt;0,L33,0)</f>
        <v>0</v>
      </c>
      <c r="K33" s="154" t="n">
        <f aca="false">I33+J33</f>
        <v>836.058</v>
      </c>
      <c r="L33" s="154" t="n">
        <f aca="false">F33-(I33-AK33)</f>
        <v>-0.861367784219681</v>
      </c>
      <c r="M33" s="157" t="n">
        <v>294</v>
      </c>
      <c r="N33" s="186" t="n">
        <v>0</v>
      </c>
      <c r="O33" s="178" t="n">
        <f aca="false">87.6*1.05</f>
        <v>91.98</v>
      </c>
      <c r="P33" s="186" t="n">
        <v>0</v>
      </c>
      <c r="Q33" s="373" t="n">
        <f aca="false">2716100/325851/1.9835*1.02</f>
        <v>4.28641942471155</v>
      </c>
      <c r="R33" s="512" t="n">
        <f aca="false">IF(((7.7*1.04)-T33)&gt;=4.2,4.2,(7.7*1.04)-T33)</f>
        <v>4.2</v>
      </c>
      <c r="S33" s="151" t="n">
        <f aca="false">IF(((7.7*1.04)-T33)&gt;=4.2,((7.7*1.04)-T33)-4.2,0)</f>
        <v>1.99322912</v>
      </c>
      <c r="T33" s="151" t="n">
        <f aca="false">(1.6462*1.06)*1.04</f>
        <v>1.81477088</v>
      </c>
      <c r="U33" s="393" t="n">
        <v>0</v>
      </c>
      <c r="V33" s="154" t="n">
        <v>133</v>
      </c>
      <c r="W33" s="154" t="n">
        <v>67.9</v>
      </c>
      <c r="X33" s="280" t="n">
        <f aca="false">M33-N33-O33-P33-Q33-R33-S33-T33-U33+V33+W33-AT33+AR33</f>
        <v>389.845580575289</v>
      </c>
      <c r="Y33" s="280" t="n">
        <f aca="false">X33-AO33</f>
        <v>389.845580575289</v>
      </c>
      <c r="Z33" s="244" t="n">
        <f aca="false">Z32-AA33+AP33</f>
        <v>19093.1488538707</v>
      </c>
      <c r="AA33" s="280" t="n">
        <f aca="false">AJ33</f>
        <v>307</v>
      </c>
      <c r="AB33" s="244" t="n">
        <f aca="false">AB32+(Y33-AJ33+AP33)*$D$2</f>
        <v>72000</v>
      </c>
      <c r="AC33" s="123" t="n">
        <f aca="false">AC32-(AQ32/1.9835)</f>
        <v>1460.30228308659</v>
      </c>
      <c r="AD33" s="390"/>
      <c r="AE33" s="154" t="n">
        <v>146</v>
      </c>
      <c r="AF33" s="157" t="n">
        <v>1.7</v>
      </c>
      <c r="AG33" s="158" t="n">
        <v>1.3</v>
      </c>
      <c r="AH33" s="154" t="n">
        <v>307</v>
      </c>
      <c r="AI33" s="93" t="n">
        <f aca="false">AI32</f>
        <v>12779.1578774893</v>
      </c>
      <c r="AJ33" s="163" t="n">
        <f aca="false">AH33</f>
        <v>307</v>
      </c>
      <c r="AK33" s="154" t="n">
        <f aca="false">N34+O33+P33+Q33+R33+S33+T33+U33+X33+AE33+AH33-AR33</f>
        <v>947.12</v>
      </c>
      <c r="AL33" s="154" t="n">
        <f aca="false">IF(L33&lt;0,L33*-1,0)</f>
        <v>0.861367784219681</v>
      </c>
      <c r="AM33" s="164" t="n">
        <f aca="false">AK33+AL33</f>
        <v>947.98136778422</v>
      </c>
      <c r="AN33" s="514"/>
      <c r="AO33" s="172"/>
      <c r="AP33" s="406" t="n">
        <f aca="false">IF((AB32/$D$2)+Y33-AJ33+(795-X33)&gt;(72000/$D$2),(795-X33)-((AB32/$D$2)+Y33-AJ33+(795-X33)-(72000/$D$2)),(795-X33))</f>
        <v>-59.8455805752885</v>
      </c>
      <c r="AQ33" s="186" t="n">
        <f aca="false">88.114*(12972*1.9835+AC33*1.9835)/E33</f>
        <v>11.0998341738387</v>
      </c>
      <c r="AR33" s="156"/>
      <c r="AS33" s="112"/>
      <c r="AT33" s="200" t="n">
        <v>0.78</v>
      </c>
      <c r="AV33" s="117" t="n">
        <v>0</v>
      </c>
      <c r="AW33" s="118" t="n">
        <v>95</v>
      </c>
      <c r="AX33" s="118" t="n">
        <v>53</v>
      </c>
      <c r="AY33" s="161"/>
      <c r="AZ33" s="282" t="n">
        <f aca="false">SUM(N33,P33:U33)</f>
        <v>12.2944194247116</v>
      </c>
      <c r="BA33" s="108" t="n">
        <v>14.3</v>
      </c>
      <c r="BB33" s="407" t="n">
        <v>25376</v>
      </c>
    </row>
    <row r="34" customFormat="false" ht="12.95" hidden="false" customHeight="true" outlineLevel="0" collapsed="false">
      <c r="A34" s="10" t="n">
        <f aca="false">A33+1</f>
        <v>20</v>
      </c>
      <c r="B34" s="395" t="n">
        <v>6923.52</v>
      </c>
      <c r="C34" s="109" t="n">
        <v>379023</v>
      </c>
      <c r="D34" s="118" t="n">
        <f aca="false">C34-C33</f>
        <v>-223</v>
      </c>
      <c r="E34" s="109" t="n">
        <f aca="false">C34-152000</f>
        <v>227023</v>
      </c>
      <c r="F34" s="164" t="n">
        <f aca="false">D34/$D$2</f>
        <v>-112.427527098563</v>
      </c>
      <c r="G34" s="154" t="n">
        <v>810</v>
      </c>
      <c r="H34" s="112" t="n">
        <v>0.068</v>
      </c>
      <c r="I34" s="154" t="n">
        <f aca="false">G34+H34</f>
        <v>810.068</v>
      </c>
      <c r="J34" s="403" t="n">
        <f aca="false">IF(L34&gt;0,L34,0)</f>
        <v>0</v>
      </c>
      <c r="K34" s="154" t="n">
        <f aca="false">I34+J34</f>
        <v>810.068</v>
      </c>
      <c r="L34" s="154" t="n">
        <f aca="false">F34-(I34-AK34)</f>
        <v>-0.585527098563162</v>
      </c>
      <c r="M34" s="157" t="n">
        <v>316</v>
      </c>
      <c r="N34" s="186" t="n">
        <v>0</v>
      </c>
      <c r="O34" s="112" t="n">
        <f aca="false">89.7*1.05</f>
        <v>94.185</v>
      </c>
      <c r="P34" s="186" t="n">
        <v>0</v>
      </c>
      <c r="Q34" s="373" t="n">
        <f aca="false">1907300/325851/1.9835*1.02</f>
        <v>3.01000985558424</v>
      </c>
      <c r="R34" s="512" t="n">
        <f aca="false">IF(((6.7*1.04)-T34)&gt;=4.2,4.2,(6.7*1.04)-T34)</f>
        <v>4.2</v>
      </c>
      <c r="S34" s="151" t="n">
        <f aca="false">IF(((6.7*1.04)-T34)&gt;=4.2,((6.7*1.04)-T34)-4.2,0)</f>
        <v>0.953229120000001</v>
      </c>
      <c r="T34" s="151" t="n">
        <f aca="false">(1.6462*1.06)*1.04</f>
        <v>1.81477088</v>
      </c>
      <c r="U34" s="393" t="n">
        <v>0</v>
      </c>
      <c r="V34" s="154" t="n">
        <v>133</v>
      </c>
      <c r="W34" s="154" t="n">
        <v>68.6</v>
      </c>
      <c r="X34" s="280" t="n">
        <f aca="false">M34-N34-O34-P34-Q34-R34-S34-T34-U34+V34+W34-AT34+AR34</f>
        <v>412.746990144416</v>
      </c>
      <c r="Y34" s="280" t="n">
        <f aca="false">X34-AO34</f>
        <v>412.746990144416</v>
      </c>
      <c r="Z34" s="244" t="n">
        <f aca="false">Z33-AA34+AP34</f>
        <v>18680.4018637263</v>
      </c>
      <c r="AA34" s="280" t="n">
        <f aca="false">AJ34</f>
        <v>213</v>
      </c>
      <c r="AB34" s="244" t="n">
        <f aca="false">AB33+(Y34-AJ34+AP34)*$D$2</f>
        <v>72000</v>
      </c>
      <c r="AC34" s="123" t="n">
        <f aca="false">AC33-(AQ33/1.9835)</f>
        <v>1454.70619830018</v>
      </c>
      <c r="AD34" s="390"/>
      <c r="AE34" s="154" t="n">
        <v>192</v>
      </c>
      <c r="AF34" s="157" t="n">
        <v>1.7</v>
      </c>
      <c r="AG34" s="158" t="n">
        <v>1.3</v>
      </c>
      <c r="AH34" s="154" t="n">
        <v>213</v>
      </c>
      <c r="AI34" s="93" t="n">
        <f aca="false">AI33</f>
        <v>12779.1578774893</v>
      </c>
      <c r="AJ34" s="163" t="n">
        <f aca="false">AH34</f>
        <v>213</v>
      </c>
      <c r="AK34" s="154" t="n">
        <f aca="false">N35+O34+P34+Q34+R34+S34+T34+U34+X34+AE34+AH34-AR34</f>
        <v>921.91</v>
      </c>
      <c r="AL34" s="154" t="n">
        <f aca="false">IF(L34&lt;0,L34*-1,0)</f>
        <v>0.585527098563162</v>
      </c>
      <c r="AM34" s="164" t="n">
        <f aca="false">AK34+AL34</f>
        <v>922.495527098563</v>
      </c>
      <c r="AN34" s="514"/>
      <c r="AO34" s="172"/>
      <c r="AP34" s="406" t="n">
        <f aca="false">IF((AB33/$D$2)+Y34-AJ34+(795-X34)&gt;(72000/$D$2),(795-X34)-((AB33/$D$2)+Y34-AJ34+(795-X34)-(72000/$D$2)),(795-X34))</f>
        <v>-199.746990144416</v>
      </c>
      <c r="AQ34" s="186" t="n">
        <f aca="false">80.032*(12972*1.9835+AC34*1.9835)/E34</f>
        <v>10.0877242897948</v>
      </c>
      <c r="AR34" s="156"/>
      <c r="AS34" s="112"/>
      <c r="AT34" s="200" t="n">
        <v>0.69</v>
      </c>
      <c r="AV34" s="117" t="n">
        <v>0</v>
      </c>
      <c r="AW34" s="118" t="n">
        <v>99</v>
      </c>
      <c r="AX34" s="118" t="n">
        <v>60</v>
      </c>
      <c r="AY34" s="161"/>
      <c r="AZ34" s="282" t="n">
        <f aca="false">SUM(N34,P34:U34)</f>
        <v>9.97800985558424</v>
      </c>
      <c r="BA34" s="108" t="n">
        <v>9.18</v>
      </c>
      <c r="BB34" s="407" t="n">
        <v>25410</v>
      </c>
    </row>
    <row r="35" customFormat="false" ht="12.95" hidden="false" customHeight="true" outlineLevel="0" collapsed="false">
      <c r="A35" s="10" t="n">
        <f aca="false">A34+1</f>
        <v>21</v>
      </c>
      <c r="B35" s="395" t="n">
        <v>6923.48</v>
      </c>
      <c r="C35" s="109" t="n">
        <v>378845</v>
      </c>
      <c r="D35" s="118" t="n">
        <f aca="false">C35-C34</f>
        <v>-178</v>
      </c>
      <c r="E35" s="109" t="n">
        <f aca="false">C35-152000</f>
        <v>226845</v>
      </c>
      <c r="F35" s="164" t="n">
        <f aca="false">D35/$D$2</f>
        <v>-89.7403579531132</v>
      </c>
      <c r="G35" s="154" t="n">
        <v>778</v>
      </c>
      <c r="H35" s="112" t="n">
        <v>0.092</v>
      </c>
      <c r="I35" s="154" t="n">
        <f aca="false">G35+H35</f>
        <v>778.092</v>
      </c>
      <c r="J35" s="403" t="n">
        <f aca="false">IF(L35&gt;0,L35,0)</f>
        <v>0</v>
      </c>
      <c r="K35" s="154" t="n">
        <f aca="false">I35+J35</f>
        <v>778.092</v>
      </c>
      <c r="L35" s="154" t="n">
        <f aca="false">F35-(I35-AK35)</f>
        <v>-104.332357953113</v>
      </c>
      <c r="M35" s="157" t="n">
        <v>311</v>
      </c>
      <c r="N35" s="186" t="n">
        <v>0</v>
      </c>
      <c r="O35" s="178" t="n">
        <f aca="false">87.9*1.05</f>
        <v>92.295</v>
      </c>
      <c r="P35" s="186" t="n">
        <v>0</v>
      </c>
      <c r="Q35" s="373" t="n">
        <f aca="false">2246400/325851/1.9835*1.02</f>
        <v>3.5451612958551</v>
      </c>
      <c r="R35" s="512" t="n">
        <f aca="false">IF(((6.7*1.04)-T35)&gt;=4.2,4.2,(6.7*1.04)-T35)</f>
        <v>4.2</v>
      </c>
      <c r="S35" s="151" t="n">
        <f aca="false">IF(((6.7*1.04)-T35)&gt;=4.2,((6.7*1.04)-T35)-4.2,0)</f>
        <v>0.953229120000001</v>
      </c>
      <c r="T35" s="151" t="n">
        <f aca="false">(1.6462*1.06)*1.04</f>
        <v>1.81477088</v>
      </c>
      <c r="U35" s="393" t="n">
        <v>0</v>
      </c>
      <c r="V35" s="154" t="n">
        <v>134</v>
      </c>
      <c r="W35" s="154" t="n">
        <v>70.7</v>
      </c>
      <c r="X35" s="280" t="n">
        <f aca="false">M35-N35-O35-P35-Q35-R35-S35-T35-U35+V35+W35-AT35+AR35</f>
        <v>412.891838704145</v>
      </c>
      <c r="Y35" s="280" t="n">
        <f aca="false">X35-AO35</f>
        <v>412.891838704145</v>
      </c>
      <c r="Z35" s="244" t="n">
        <f aca="false">Z34+AP35</f>
        <v>18267.5100250222</v>
      </c>
      <c r="AA35" s="280" t="n">
        <f aca="false">Y35</f>
        <v>412.891838704145</v>
      </c>
      <c r="AB35" s="244" t="n">
        <f aca="false">AB34+(Y35-AJ35+AP35)*$D$2</f>
        <v>72000</v>
      </c>
      <c r="AC35" s="123" t="n">
        <f aca="false">AC34-(AQ34/1.9835)</f>
        <v>1449.62037813895</v>
      </c>
      <c r="AD35" s="390"/>
      <c r="AE35" s="154" t="n">
        <v>179</v>
      </c>
      <c r="AF35" s="157" t="n">
        <v>1.7</v>
      </c>
      <c r="AG35" s="158" t="n">
        <v>1.3</v>
      </c>
      <c r="AH35" s="154" t="n">
        <v>68.8</v>
      </c>
      <c r="AI35" s="93" t="n">
        <f aca="false">AI34-AH35</f>
        <v>12710.3578774893</v>
      </c>
      <c r="AJ35" s="390"/>
      <c r="AK35" s="154" t="n">
        <f aca="false">N36+O35+P35+Q35+R35+S35+T35+U35+X35+AE35+AH35-AR35</f>
        <v>763.5</v>
      </c>
      <c r="AL35" s="154" t="n">
        <f aca="false">IF(L35&lt;0,L35*-1,0)</f>
        <v>104.332357953113</v>
      </c>
      <c r="AM35" s="164" t="n">
        <f aca="false">AK35+AL35</f>
        <v>867.832357953113</v>
      </c>
      <c r="AN35" s="514"/>
      <c r="AO35" s="172"/>
      <c r="AP35" s="406" t="n">
        <f aca="false">IF((AB34/$D$2)+Y35-AJ35+(795-X35)&gt;(72000/$D$2),(795-X35)-((AB34/$D$2)+Y35-AJ35+(795-X35)-(72000/$D$2)),(795-X35))</f>
        <v>-412.891838704145</v>
      </c>
      <c r="AQ35" s="186" t="n">
        <f aca="false">99.299*(12972*1.9835+AC35*1.9835)/E35</f>
        <v>12.5216605960273</v>
      </c>
      <c r="AR35" s="156"/>
      <c r="AS35" s="112"/>
      <c r="AT35" s="200"/>
      <c r="AV35" s="117" t="n">
        <v>0</v>
      </c>
      <c r="AW35" s="118" t="n">
        <v>98</v>
      </c>
      <c r="AX35" s="118" t="n">
        <v>65</v>
      </c>
      <c r="AY35" s="161"/>
      <c r="AZ35" s="282" t="n">
        <f aca="false">SUM(N35,P35:U35)</f>
        <v>10.5131612958551</v>
      </c>
      <c r="BA35" s="108" t="n">
        <v>9.18</v>
      </c>
      <c r="BB35" s="407" t="n">
        <v>25432</v>
      </c>
    </row>
    <row r="36" customFormat="false" ht="12.95" hidden="false" customHeight="true" outlineLevel="0" collapsed="false">
      <c r="A36" s="10" t="n">
        <f aca="false">A35+1</f>
        <v>22</v>
      </c>
      <c r="B36" s="395" t="n">
        <v>6923.37</v>
      </c>
      <c r="C36" s="109" t="n">
        <v>378356</v>
      </c>
      <c r="D36" s="118" t="n">
        <f aca="false">C36-C35</f>
        <v>-489</v>
      </c>
      <c r="E36" s="109" t="n">
        <f aca="false">C36-152000</f>
        <v>226356</v>
      </c>
      <c r="F36" s="164" t="n">
        <f aca="false">D36/$D$2</f>
        <v>-246.53390471389</v>
      </c>
      <c r="G36" s="154" t="n">
        <v>650</v>
      </c>
      <c r="H36" s="112" t="n">
        <v>0.084</v>
      </c>
      <c r="I36" s="154" t="n">
        <f aca="false">G36+H36</f>
        <v>650.084</v>
      </c>
      <c r="J36" s="403" t="n">
        <f aca="false">IF(L36&gt;0,L36,0)</f>
        <v>0</v>
      </c>
      <c r="K36" s="154" t="n">
        <f aca="false">I36+J36</f>
        <v>650.084</v>
      </c>
      <c r="L36" s="154" t="n">
        <f aca="false">F36-(I36-AK36)</f>
        <v>-122.91790471389</v>
      </c>
      <c r="M36" s="157" t="n">
        <v>301</v>
      </c>
      <c r="N36" s="186" t="n">
        <v>0</v>
      </c>
      <c r="O36" s="178" t="n">
        <f aca="false">70.6*1.05</f>
        <v>74.13</v>
      </c>
      <c r="P36" s="186" t="n">
        <v>0</v>
      </c>
      <c r="Q36" s="373" t="n">
        <f aca="false">2317400/325851/1.9835*1.02</f>
        <v>3.65721010817958</v>
      </c>
      <c r="R36" s="512" t="n">
        <f aca="false">IF(((7.8*1.04)-T36)&gt;=4.2,4.2,(7.8*1.04)-T36)</f>
        <v>4.2</v>
      </c>
      <c r="S36" s="151" t="n">
        <f aca="false">IF(((7.8*1.04)-T36)&gt;=4.2,((7.8*1.04)-T36)-4.2,0)</f>
        <v>2.09722912</v>
      </c>
      <c r="T36" s="151" t="n">
        <f aca="false">(1.6462*1.06)*1.04</f>
        <v>1.81477088</v>
      </c>
      <c r="U36" s="393" t="n">
        <v>0</v>
      </c>
      <c r="V36" s="154" t="n">
        <v>134</v>
      </c>
      <c r="W36" s="154" t="n">
        <v>70.5</v>
      </c>
      <c r="X36" s="280" t="n">
        <f aca="false">M36-N36-O36-P36-Q36-R36-S36-T36-U36+V36+W36-AT36+AR36</f>
        <v>419.60078989182</v>
      </c>
      <c r="Y36" s="280" t="n">
        <f aca="false">X36-AO36</f>
        <v>419.60078989182</v>
      </c>
      <c r="Z36" s="244" t="n">
        <f aca="false">Z35+AP36</f>
        <v>17847.9092351304</v>
      </c>
      <c r="AA36" s="280" t="n">
        <f aca="false">Y36</f>
        <v>419.60078989182</v>
      </c>
      <c r="AB36" s="244" t="n">
        <f aca="false">AB35+(Y36-AJ36+AP36)*$D$2</f>
        <v>72000</v>
      </c>
      <c r="AC36" s="123" t="n">
        <f aca="false">AC35-(AQ35/1.9835)</f>
        <v>1443.30746631842</v>
      </c>
      <c r="AD36" s="390"/>
      <c r="AE36" s="154" t="n">
        <v>197</v>
      </c>
      <c r="AF36" s="157" t="n">
        <v>1.7</v>
      </c>
      <c r="AG36" s="158" t="n">
        <v>1.3</v>
      </c>
      <c r="AH36" s="154" t="n">
        <v>71.2</v>
      </c>
      <c r="AI36" s="93" t="n">
        <f aca="false">AI35-AH36</f>
        <v>12639.1578774893</v>
      </c>
      <c r="AJ36" s="390"/>
      <c r="AK36" s="154" t="n">
        <f aca="false">N37+O36+P36+Q36+R36+S36+T36+U36+X36+AE36+AH36-AR36</f>
        <v>773.7</v>
      </c>
      <c r="AL36" s="154" t="n">
        <f aca="false">IF(L36&lt;0,L36*-1,0)</f>
        <v>122.91790471389</v>
      </c>
      <c r="AM36" s="164" t="n">
        <f aca="false">AK36+AL36</f>
        <v>896.61790471389</v>
      </c>
      <c r="AN36" s="514"/>
      <c r="AO36" s="172"/>
      <c r="AP36" s="406" t="n">
        <f aca="false">IF((AB35/$D$2)+Y36-AJ36+(795-X36)&gt;(72000/$D$2),(795-X36)-((AB35/$D$2)+Y36-AJ36+(795-X36)-(72000/$D$2)),(795-X36))</f>
        <v>-419.60078989182</v>
      </c>
      <c r="AQ36" s="186" t="n">
        <f aca="false">96.455*(12972*1.9835+AC36*1.9835)/E36</f>
        <v>12.1839707954728</v>
      </c>
      <c r="AR36" s="156"/>
      <c r="AS36" s="112"/>
      <c r="AT36" s="200"/>
      <c r="AV36" s="117" t="n">
        <v>0</v>
      </c>
      <c r="AW36" s="118" t="n">
        <v>96</v>
      </c>
      <c r="AX36" s="118" t="n">
        <v>62</v>
      </c>
      <c r="AY36" s="161"/>
      <c r="AZ36" s="282" t="n">
        <f aca="false">SUM(N36,P36:U36)</f>
        <v>11.7692101081796</v>
      </c>
      <c r="BA36" s="108" t="n">
        <v>9.29</v>
      </c>
      <c r="BB36" s="407" t="n">
        <v>25453</v>
      </c>
    </row>
    <row r="37" customFormat="false" ht="12.95" hidden="false" customHeight="true" outlineLevel="0" collapsed="false">
      <c r="A37" s="10" t="n">
        <f aca="false">A36+1</f>
        <v>23</v>
      </c>
      <c r="B37" s="395" t="n">
        <v>6923.31</v>
      </c>
      <c r="C37" s="109" t="n">
        <v>378089</v>
      </c>
      <c r="D37" s="118" t="n">
        <f aca="false">C37-C36</f>
        <v>-267</v>
      </c>
      <c r="E37" s="109" t="n">
        <f aca="false">C37-152000</f>
        <v>226089</v>
      </c>
      <c r="F37" s="164" t="n">
        <f aca="false">D37/$D$2</f>
        <v>-134.61053692967</v>
      </c>
      <c r="G37" s="154" t="n">
        <v>597</v>
      </c>
      <c r="H37" s="112" t="n">
        <v>0.079</v>
      </c>
      <c r="I37" s="154" t="n">
        <f aca="false">G37+H37</f>
        <v>597.079</v>
      </c>
      <c r="J37" s="403" t="n">
        <f aca="false">IF(L37&gt;0,L37,0)</f>
        <v>81.2104630703304</v>
      </c>
      <c r="K37" s="154" t="n">
        <f aca="false">I37+J37</f>
        <v>678.28946307033</v>
      </c>
      <c r="L37" s="154" t="n">
        <f aca="false">F37-(I37-AK37)</f>
        <v>81.2104630703304</v>
      </c>
      <c r="M37" s="157" t="n">
        <v>308</v>
      </c>
      <c r="N37" s="186" t="n">
        <v>0</v>
      </c>
      <c r="O37" s="178" t="n">
        <f aca="false">77.7*1.05</f>
        <v>81.585</v>
      </c>
      <c r="P37" s="186" t="n">
        <v>0</v>
      </c>
      <c r="Q37" s="373" t="n">
        <f aca="false">2072400/325851/1.9835*1.02</f>
        <v>3.27056279804581</v>
      </c>
      <c r="R37" s="512" t="n">
        <f aca="false">IF(((7.6*1.04)-T37)&gt;=4.2,4.2,(7.6*1.04)-T37)</f>
        <v>4.2</v>
      </c>
      <c r="S37" s="151" t="n">
        <f aca="false">IF(((7.6*1.04)-T37)&gt;=4.2,((7.6*1.04)-T37)-4.2,0)</f>
        <v>1.88922912</v>
      </c>
      <c r="T37" s="151" t="n">
        <f aca="false">(1.6462*1.06)*1.04</f>
        <v>1.81477088</v>
      </c>
      <c r="U37" s="393" t="n">
        <v>0</v>
      </c>
      <c r="V37" s="154" t="n">
        <v>140</v>
      </c>
      <c r="W37" s="154" t="n">
        <v>68.4</v>
      </c>
      <c r="X37" s="280" t="n">
        <f aca="false">M37-N37-O37-P37-Q37-R37-S37-T37-U37+V37+W37-AT37+AR37</f>
        <v>423.640437201954</v>
      </c>
      <c r="Y37" s="280" t="n">
        <f aca="false">X37-AO37</f>
        <v>423.640437201954</v>
      </c>
      <c r="Z37" s="244" t="n">
        <f aca="false">Z36+AP37</f>
        <v>17424.2687979284</v>
      </c>
      <c r="AA37" s="280" t="n">
        <f aca="false">Y37</f>
        <v>423.640437201954</v>
      </c>
      <c r="AB37" s="244" t="n">
        <f aca="false">AB36+(Y37-AJ37+AP37)*$D$2</f>
        <v>72000</v>
      </c>
      <c r="AC37" s="123" t="n">
        <f aca="false">AC36-(AQ36/1.9835)</f>
        <v>1437.16480395619</v>
      </c>
      <c r="AD37" s="390"/>
      <c r="AE37" s="154" t="n">
        <v>221</v>
      </c>
      <c r="AF37" s="157" t="n">
        <v>1.7</v>
      </c>
      <c r="AG37" s="158" t="n">
        <v>1.3</v>
      </c>
      <c r="AH37" s="154" t="n">
        <v>75.5</v>
      </c>
      <c r="AI37" s="93" t="n">
        <f aca="false">AI36-AH37</f>
        <v>12563.6578774893</v>
      </c>
      <c r="AJ37" s="390"/>
      <c r="AK37" s="154" t="n">
        <f aca="false">N38+O37+P37+Q37+R37+S37+T37+U37+X37+AE37+AH37-AR37</f>
        <v>812.9</v>
      </c>
      <c r="AL37" s="154" t="n">
        <f aca="false">IF(L37&lt;0,L37*-1,0)</f>
        <v>0</v>
      </c>
      <c r="AM37" s="164" t="n">
        <f aca="false">AK37+AL37</f>
        <v>812.9</v>
      </c>
      <c r="AN37" s="514"/>
      <c r="AO37" s="172"/>
      <c r="AP37" s="406" t="n">
        <f aca="false">IF((AB36/$D$2)+Y37-AJ37+(795-X37)&gt;(72000/$D$2),(795-X37)-((AB36/$D$2)+Y37-AJ37+(795-X37)-(72000/$D$2)),(795-X37))</f>
        <v>-423.640437201954</v>
      </c>
      <c r="AQ37" s="186" t="n">
        <f aca="false">69.303*(12972*1.9835+AC37*1.9835)/E37</f>
        <v>8.76079696079159</v>
      </c>
      <c r="AR37" s="156"/>
      <c r="AS37" s="112"/>
      <c r="AT37" s="200"/>
      <c r="AV37" s="117" t="n">
        <v>0.04</v>
      </c>
      <c r="AW37" s="118" t="n">
        <v>94</v>
      </c>
      <c r="AX37" s="118" t="n">
        <v>60</v>
      </c>
      <c r="AY37" s="161"/>
      <c r="AZ37" s="282" t="n">
        <f aca="false">SUM(N37,P37:U37)</f>
        <v>11.1745627980458</v>
      </c>
      <c r="BA37" s="108" t="n">
        <v>9.58</v>
      </c>
      <c r="BB37" s="407" t="n">
        <v>25441</v>
      </c>
    </row>
    <row r="38" customFormat="false" ht="12.95" hidden="false" customHeight="true" outlineLevel="0" collapsed="false">
      <c r="A38" s="10" t="n">
        <f aca="false">A37+1</f>
        <v>24</v>
      </c>
      <c r="B38" s="395" t="n">
        <v>6923.18</v>
      </c>
      <c r="C38" s="109" t="n">
        <v>377510</v>
      </c>
      <c r="D38" s="118" t="n">
        <f aca="false">C38-C37</f>
        <v>-579</v>
      </c>
      <c r="E38" s="109" t="n">
        <f aca="false">C38-152000</f>
        <v>225510</v>
      </c>
      <c r="F38" s="164" t="n">
        <f aca="false">D38/$D$2</f>
        <v>-291.908243004789</v>
      </c>
      <c r="G38" s="154" t="n">
        <v>550</v>
      </c>
      <c r="H38" s="112" t="n">
        <v>0.077</v>
      </c>
      <c r="I38" s="154" t="n">
        <f aca="false">G38+H38</f>
        <v>550.077</v>
      </c>
      <c r="J38" s="403" t="n">
        <f aca="false">IF(L38&gt;0,L38,0)</f>
        <v>0</v>
      </c>
      <c r="K38" s="154" t="n">
        <f aca="false">I38+J38</f>
        <v>550.077</v>
      </c>
      <c r="L38" s="154" t="n">
        <f aca="false">F38-(I38-AK38)</f>
        <v>-37.8852430047895</v>
      </c>
      <c r="M38" s="157" t="n">
        <v>302</v>
      </c>
      <c r="N38" s="186" t="n">
        <v>0</v>
      </c>
      <c r="O38" s="178" t="n">
        <f aca="false">71.9*1.05</f>
        <v>75.495</v>
      </c>
      <c r="P38" s="186" t="n">
        <v>0</v>
      </c>
      <c r="Q38" s="373" t="n">
        <f aca="false">2337900/325851/1.9835*1.02</f>
        <v>3.68956223004791</v>
      </c>
      <c r="R38" s="512" t="n">
        <f aca="false">IF(((7.8*1.04)-T38)&gt;=4.2,4.2,(7.8*1.04)-T38)</f>
        <v>4.2</v>
      </c>
      <c r="S38" s="151" t="n">
        <f aca="false">IF(((7.8*1.04)-T38)&gt;=4.2,((7.8*1.04)-T38)-4.2,0)</f>
        <v>2.49089616</v>
      </c>
      <c r="T38" s="151" t="n">
        <f aca="false">(1.2891*1.06)*1.04</f>
        <v>1.42110384</v>
      </c>
      <c r="U38" s="393" t="n">
        <v>0</v>
      </c>
      <c r="V38" s="154" t="n">
        <v>139</v>
      </c>
      <c r="W38" s="154" t="n">
        <v>68.6</v>
      </c>
      <c r="X38" s="280" t="n">
        <f aca="false">M38-N38-O38-P38-Q38-R38-S38-T38-U38+V38+W38-AT38+AR38</f>
        <v>422.303437769952</v>
      </c>
      <c r="Y38" s="280" t="n">
        <f aca="false">X38-AO38</f>
        <v>422.303437769952</v>
      </c>
      <c r="Z38" s="244" t="n">
        <f aca="false">Z37+AP38</f>
        <v>17001.9653601584</v>
      </c>
      <c r="AA38" s="280" t="n">
        <f aca="false">Y38</f>
        <v>422.303437769952</v>
      </c>
      <c r="AB38" s="244" t="n">
        <f aca="false">AB37+(Y38-AJ38+AP38)*$D$2</f>
        <v>72000</v>
      </c>
      <c r="AC38" s="123" t="n">
        <f aca="false">AC37-(AQ37/1.9835)</f>
        <v>1432.74796656734</v>
      </c>
      <c r="AD38" s="390"/>
      <c r="AE38" s="154" t="n">
        <v>219</v>
      </c>
      <c r="AF38" s="157" t="n">
        <v>1.7</v>
      </c>
      <c r="AG38" s="158" t="n">
        <v>1.3</v>
      </c>
      <c r="AH38" s="154" t="n">
        <v>75.5</v>
      </c>
      <c r="AI38" s="93" t="n">
        <f aca="false">AI37-AH38</f>
        <v>12488.1578774893</v>
      </c>
      <c r="AJ38" s="390"/>
      <c r="AK38" s="154" t="n">
        <f aca="false">N39+O38+P38+Q38+R38+S38+T38+U38+X38+AE38+AH38-AR38</f>
        <v>804.1</v>
      </c>
      <c r="AL38" s="154" t="n">
        <f aca="false">IF(L38&lt;0,L38*-1,0)</f>
        <v>37.8852430047895</v>
      </c>
      <c r="AM38" s="164" t="n">
        <f aca="false">AK38+AL38</f>
        <v>841.98524300479</v>
      </c>
      <c r="AN38" s="514"/>
      <c r="AO38" s="172"/>
      <c r="AP38" s="406" t="n">
        <f aca="false">IF((AB37/$D$2)+Y38-AJ38+(795-X38)&gt;(72000/$D$2),(795-X38)-((AB37/$D$2)+Y38-AJ38+(795-X38)-(72000/$D$2)),(795-X38))</f>
        <v>-422.303437769952</v>
      </c>
      <c r="AQ38" s="186" t="n">
        <f aca="false">72.406*(12972*1.9835+AC38*1.9835)/E38</f>
        <v>9.17374406697548</v>
      </c>
      <c r="AR38" s="156"/>
      <c r="AS38" s="112"/>
      <c r="AT38" s="200"/>
      <c r="AV38" s="117" t="n">
        <v>0</v>
      </c>
      <c r="AW38" s="118" t="n">
        <v>87</v>
      </c>
      <c r="AX38" s="118" t="n">
        <v>59</v>
      </c>
      <c r="AY38" s="161"/>
      <c r="AZ38" s="282" t="n">
        <f aca="false">SUM(N38,P38:U38)</f>
        <v>11.8015622300479</v>
      </c>
      <c r="BA38" s="108" t="n">
        <v>9.64</v>
      </c>
      <c r="BB38" s="407" t="n">
        <v>25408</v>
      </c>
    </row>
    <row r="39" customFormat="false" ht="12.95" hidden="false" customHeight="true" outlineLevel="0" collapsed="false">
      <c r="A39" s="10" t="n">
        <f aca="false">A38+1</f>
        <v>25</v>
      </c>
      <c r="B39" s="395" t="n">
        <v>6923.04</v>
      </c>
      <c r="C39" s="109" t="n">
        <v>376887</v>
      </c>
      <c r="D39" s="118" t="n">
        <f aca="false">C39-C38</f>
        <v>-623</v>
      </c>
      <c r="E39" s="109" t="n">
        <f aca="false">C39-152000</f>
        <v>224887</v>
      </c>
      <c r="F39" s="164" t="n">
        <f aca="false">D39/$D$2</f>
        <v>-314.091252835896</v>
      </c>
      <c r="G39" s="154" t="n">
        <v>462</v>
      </c>
      <c r="H39" s="112" t="n">
        <v>0.073</v>
      </c>
      <c r="I39" s="154" t="n">
        <f aca="false">G39+H39</f>
        <v>462.073</v>
      </c>
      <c r="J39" s="403" t="n">
        <f aca="false">IF(L39&gt;0,L39,0)</f>
        <v>33.9357471641039</v>
      </c>
      <c r="K39" s="154" t="n">
        <f aca="false">I39+J39</f>
        <v>496.008747164104</v>
      </c>
      <c r="L39" s="154" t="n">
        <f aca="false">F39-(I39-AK39)</f>
        <v>33.9357471641039</v>
      </c>
      <c r="M39" s="157" t="n">
        <v>298</v>
      </c>
      <c r="N39" s="186" t="n">
        <v>0</v>
      </c>
      <c r="O39" s="178" t="n">
        <f aca="false">68.8*1.05</f>
        <v>72.24</v>
      </c>
      <c r="P39" s="186" t="n">
        <v>0</v>
      </c>
      <c r="Q39" s="373" t="n">
        <f aca="false">2196300/325851/1.9835*1.02</f>
        <v>3.46609586631346</v>
      </c>
      <c r="R39" s="512" t="n">
        <f aca="false">IF(((7.8*1.04)-T39)&gt;=4.2,4.2,(7.8*1.04)-T39)</f>
        <v>4.2</v>
      </c>
      <c r="S39" s="151" t="n">
        <f aca="false">IF(((7.8*1.04)-T39)&gt;=4.2,((7.8*1.04)-T39)-4.2,0)</f>
        <v>2.49089616</v>
      </c>
      <c r="T39" s="151" t="n">
        <f aca="false">(1.2891*1.06)*1.04</f>
        <v>1.42110384</v>
      </c>
      <c r="U39" s="393" t="n">
        <v>0</v>
      </c>
      <c r="V39" s="154" t="n">
        <v>139</v>
      </c>
      <c r="W39" s="154" t="n">
        <v>68.6</v>
      </c>
      <c r="X39" s="280" t="n">
        <f aca="false">M39-N39-O39-P39-Q39-R39-S39-T39-U39+V39+W39-AT39+AR39</f>
        <v>421.781904133687</v>
      </c>
      <c r="Y39" s="280" t="n">
        <f aca="false">X39-AO39</f>
        <v>421.781904133687</v>
      </c>
      <c r="Z39" s="244" t="n">
        <f aca="false">Z38+AP39</f>
        <v>16580.1834560248</v>
      </c>
      <c r="AA39" s="280" t="n">
        <f aca="false">Y39</f>
        <v>421.781904133687</v>
      </c>
      <c r="AB39" s="244" t="n">
        <f aca="false">AB38+(Y39-AJ39+AP39)*$D$2</f>
        <v>72000</v>
      </c>
      <c r="AC39" s="123" t="n">
        <f aca="false">AC38-(AQ38/1.9835)</f>
        <v>1428.12293804857</v>
      </c>
      <c r="AD39" s="390"/>
      <c r="AE39" s="154" t="n">
        <v>229</v>
      </c>
      <c r="AF39" s="157" t="n">
        <v>1.7</v>
      </c>
      <c r="AG39" s="158" t="n">
        <v>1.3</v>
      </c>
      <c r="AH39" s="154" t="n">
        <v>75.5</v>
      </c>
      <c r="AI39" s="93" t="n">
        <f aca="false">AI38-AH39</f>
        <v>12412.6578774893</v>
      </c>
      <c r="AJ39" s="390"/>
      <c r="AK39" s="154" t="n">
        <f aca="false">N40+O39+P39+Q39+R39+S39+T39+U39+X39+AE39+AH39-AR39</f>
        <v>810.1</v>
      </c>
      <c r="AL39" s="154" t="n">
        <f aca="false">IF(L39&lt;0,L39*-1,0)</f>
        <v>0</v>
      </c>
      <c r="AM39" s="164" t="n">
        <f aca="false">AK39+AL39</f>
        <v>810.1</v>
      </c>
      <c r="AN39" s="514"/>
      <c r="AO39" s="172"/>
      <c r="AP39" s="406" t="n">
        <f aca="false">IF((AB38/$D$2)+Y39-AJ39+(795-X39)&gt;(72000/$D$2),(795-X39)-((AB38/$D$2)+Y39-AJ39+(795-X39)-(72000/$D$2)),(795-X39))</f>
        <v>-421.781904133687</v>
      </c>
      <c r="AQ39" s="186" t="n">
        <f aca="false">68.785*(12972*1.9835+AC39*1.9835)/E39</f>
        <v>8.73630515351486</v>
      </c>
      <c r="AR39" s="156"/>
      <c r="AS39" s="112"/>
      <c r="AT39" s="200"/>
      <c r="AV39" s="117" t="n">
        <v>0</v>
      </c>
      <c r="AW39" s="118" t="n">
        <v>94</v>
      </c>
      <c r="AX39" s="118" t="n">
        <v>57</v>
      </c>
      <c r="AY39" s="161"/>
      <c r="AZ39" s="282" t="n">
        <f aca="false">SUM(N39,P39:U39)</f>
        <v>11.5780958663135</v>
      </c>
      <c r="BA39" s="108" t="n">
        <v>9.64</v>
      </c>
      <c r="BB39" s="407" t="n">
        <v>25417</v>
      </c>
    </row>
    <row r="40" customFormat="false" ht="12.95" hidden="false" customHeight="true" outlineLevel="0" collapsed="false">
      <c r="A40" s="10" t="n">
        <f aca="false">A39+1</f>
        <v>26</v>
      </c>
      <c r="B40" s="395" t="n">
        <v>6922.88</v>
      </c>
      <c r="C40" s="109" t="n">
        <v>376179</v>
      </c>
      <c r="D40" s="118" t="n">
        <f aca="false">C40-C39</f>
        <v>-708</v>
      </c>
      <c r="E40" s="109" t="n">
        <f aca="false">C40-152000</f>
        <v>224179</v>
      </c>
      <c r="F40" s="164" t="n">
        <f aca="false">D40/$D$2</f>
        <v>-356.944794555079</v>
      </c>
      <c r="G40" s="154" t="n">
        <v>403</v>
      </c>
      <c r="H40" s="112" t="n">
        <v>0.067</v>
      </c>
      <c r="I40" s="154" t="n">
        <f aca="false">G40+H40</f>
        <v>403.067</v>
      </c>
      <c r="J40" s="403" t="n">
        <f aca="false">IF(L40&gt;0,L40,0)</f>
        <v>50.0882054449205</v>
      </c>
      <c r="K40" s="154" t="n">
        <f aca="false">I40+J40</f>
        <v>453.155205444921</v>
      </c>
      <c r="L40" s="154" t="n">
        <f aca="false">F40-(I40-AK40)</f>
        <v>50.0882054449205</v>
      </c>
      <c r="M40" s="157" t="n">
        <v>310</v>
      </c>
      <c r="N40" s="186" t="n">
        <v>0</v>
      </c>
      <c r="O40" s="4" t="n">
        <f aca="false">78.2*1.05</f>
        <v>82.11</v>
      </c>
      <c r="P40" s="186" t="n">
        <v>0</v>
      </c>
      <c r="Q40" s="373" t="n">
        <f aca="false">2349900/325851/1.9835*1.02</f>
        <v>3.70850005748304</v>
      </c>
      <c r="R40" s="512" t="n">
        <f aca="false">IF(((7.6*1.04)-T40)&gt;=4.2,4.2,(7.6*1.04)-T40)</f>
        <v>4.2</v>
      </c>
      <c r="S40" s="151" t="n">
        <f aca="false">IF(((7.6*1.04)-T40)&gt;=4.2,((7.6*1.04)-T40)-4.2,0)</f>
        <v>2.28289616</v>
      </c>
      <c r="T40" s="151" t="n">
        <f aca="false">(1.2891*1.06)*1.04</f>
        <v>1.42110384</v>
      </c>
      <c r="U40" s="393" t="n">
        <v>0</v>
      </c>
      <c r="V40" s="154" t="n">
        <v>139</v>
      </c>
      <c r="W40" s="154" t="n">
        <v>68.6</v>
      </c>
      <c r="X40" s="280" t="n">
        <f aca="false">M40-N40-O40-P40-Q40-R40-S40-T40-U40+V40+W40-AT40+AR40</f>
        <v>423.877499942517</v>
      </c>
      <c r="Y40" s="280" t="n">
        <f aca="false">X40-AO40</f>
        <v>423.877499942517</v>
      </c>
      <c r="Z40" s="244" t="n">
        <f aca="false">Z39+AP40</f>
        <v>16156.3059560822</v>
      </c>
      <c r="AA40" s="280" t="n">
        <f aca="false">Y40</f>
        <v>423.877499942517</v>
      </c>
      <c r="AB40" s="244" t="n">
        <f aca="false">AB39+(Y40-AJ40+AP40)*$D$2</f>
        <v>72000</v>
      </c>
      <c r="AC40" s="123" t="n">
        <f aca="false">AC39-(AQ39/1.9835)</f>
        <v>1423.71844843248</v>
      </c>
      <c r="AD40" s="390"/>
      <c r="AE40" s="163" t="n">
        <v>217</v>
      </c>
      <c r="AF40" s="157" t="n">
        <v>1.7</v>
      </c>
      <c r="AG40" s="158" t="n">
        <v>1.3</v>
      </c>
      <c r="AH40" s="154" t="n">
        <v>75.5</v>
      </c>
      <c r="AI40" s="93" t="n">
        <f aca="false">AI39-AH40</f>
        <v>12337.1578774893</v>
      </c>
      <c r="AJ40" s="390"/>
      <c r="AK40" s="154" t="n">
        <f aca="false">N41+O40+P40+Q40+R40+S40+T40+U40+X40+AE40+AH40-AR40</f>
        <v>810.1</v>
      </c>
      <c r="AL40" s="154" t="n">
        <f aca="false">IF(L40&lt;0,L40*-1,0)</f>
        <v>0</v>
      </c>
      <c r="AM40" s="164" t="n">
        <f aca="false">AK40+AL40</f>
        <v>810.1</v>
      </c>
      <c r="AN40" s="514"/>
      <c r="AO40" s="172"/>
      <c r="AP40" s="406" t="n">
        <f aca="false">IF((AB39/$D$2)+Y40-AJ40+(795-X40)&gt;(72000/$D$2),(795-X40)-((AB39/$D$2)+Y40-AJ40+(795-X40)-(72000/$D$2)),(795-X40))</f>
        <v>-423.877499942517</v>
      </c>
      <c r="AQ40" s="186" t="n">
        <f aca="false">69.303*(12972*1.9835+AC40*1.9835)/E40</f>
        <v>8.82719369082523</v>
      </c>
      <c r="AR40" s="156"/>
      <c r="AS40" s="112"/>
      <c r="AT40" s="200"/>
      <c r="AV40" s="117" t="n">
        <v>0</v>
      </c>
      <c r="AW40" s="118" t="n">
        <v>94</v>
      </c>
      <c r="AX40" s="118" t="n">
        <v>57</v>
      </c>
      <c r="AY40" s="161"/>
      <c r="AZ40" s="282" t="n">
        <f aca="false">SUM(N40,P40:U40)</f>
        <v>11.612500057483</v>
      </c>
      <c r="BA40" s="108" t="n">
        <v>7.67</v>
      </c>
      <c r="BB40" s="407" t="n">
        <v>25591</v>
      </c>
    </row>
    <row r="41" customFormat="false" ht="12.95" hidden="false" customHeight="true" outlineLevel="0" collapsed="false">
      <c r="A41" s="10" t="n">
        <f aca="false">A40+1</f>
        <v>27</v>
      </c>
      <c r="B41" s="395" t="n">
        <v>6922.67</v>
      </c>
      <c r="C41" s="109" t="n">
        <v>375252</v>
      </c>
      <c r="D41" s="118" t="n">
        <f aca="false">C41-C40</f>
        <v>-927</v>
      </c>
      <c r="E41" s="109" t="n">
        <f aca="false">C41-152000</f>
        <v>223252</v>
      </c>
      <c r="F41" s="164" t="n">
        <f aca="false">D41/$D$2</f>
        <v>-467.355684396269</v>
      </c>
      <c r="G41" s="154" t="n">
        <v>365</v>
      </c>
      <c r="H41" s="112" t="n">
        <v>0.063</v>
      </c>
      <c r="I41" s="154" t="n">
        <f aca="false">G41+H41</f>
        <v>365.063</v>
      </c>
      <c r="J41" s="403" t="n">
        <f aca="false">IF(L41&gt;0,L41,0)</f>
        <v>2.68131560373092</v>
      </c>
      <c r="K41" s="154" t="n">
        <f aca="false">I41+J41</f>
        <v>367.744315603731</v>
      </c>
      <c r="L41" s="154" t="n">
        <f aca="false">F41-(I41-AK41)</f>
        <v>2.68131560373092</v>
      </c>
      <c r="M41" s="157" t="n">
        <v>294</v>
      </c>
      <c r="N41" s="186" t="n">
        <v>0</v>
      </c>
      <c r="O41" s="178" t="n">
        <f aca="false">69.9*1.05</f>
        <v>73.395</v>
      </c>
      <c r="P41" s="186" t="n">
        <v>0</v>
      </c>
      <c r="Q41" s="373" t="n">
        <f aca="false">2397200/325851/1.9835*1.02</f>
        <v>3.78314666062315</v>
      </c>
      <c r="R41" s="512" t="n">
        <f aca="false">IF(((7.8*1.04)-T41)&gt;=4.2,4.2,(7.8*1.04)-T41)</f>
        <v>4.2</v>
      </c>
      <c r="S41" s="151" t="n">
        <f aca="false">IF(((7.8*1.04)-T41)&gt;=4.2,((7.8*1.04)-T41)-4.2,0)</f>
        <v>2.49089616</v>
      </c>
      <c r="T41" s="151" t="n">
        <f aca="false">(1.2891*1.06)*1.04</f>
        <v>1.42110384</v>
      </c>
      <c r="U41" s="393" t="n">
        <v>0</v>
      </c>
      <c r="V41" s="154" t="n">
        <v>141</v>
      </c>
      <c r="W41" s="154" t="n">
        <v>68.6</v>
      </c>
      <c r="X41" s="280" t="n">
        <f aca="false">M41-N41-O41-P41-Q41-R41-S41-T41-U41+V41+W41-AT41+AR41</f>
        <v>418.309853339377</v>
      </c>
      <c r="Y41" s="280" t="n">
        <f aca="false">X41-AO41</f>
        <v>418.309853339377</v>
      </c>
      <c r="Z41" s="244" t="n">
        <f aca="false">Z40+AP41</f>
        <v>15737.9961027429</v>
      </c>
      <c r="AA41" s="280" t="n">
        <f aca="false">Y41</f>
        <v>418.309853339377</v>
      </c>
      <c r="AB41" s="244" t="n">
        <f aca="false">AB40+(Y41-AJ41+AP41)*$D$2</f>
        <v>72000</v>
      </c>
      <c r="AC41" s="123" t="n">
        <f aca="false">AC40-(AQ40/1.9835)</f>
        <v>1419.26813651374</v>
      </c>
      <c r="AD41" s="390"/>
      <c r="AE41" s="154" t="n">
        <v>256</v>
      </c>
      <c r="AF41" s="157" t="n">
        <v>1.7</v>
      </c>
      <c r="AG41" s="158" t="n">
        <v>1.3</v>
      </c>
      <c r="AH41" s="154" t="n">
        <v>75.5</v>
      </c>
      <c r="AI41" s="93" t="n">
        <f aca="false">AI40-AH41</f>
        <v>12261.6578774893</v>
      </c>
      <c r="AJ41" s="390"/>
      <c r="AK41" s="154" t="n">
        <f aca="false">N42+O41+P41+Q41+R41+S41+T41+U41+X41+AE41+AH41-AR41</f>
        <v>835.1</v>
      </c>
      <c r="AL41" s="154" t="n">
        <f aca="false">IF(L41&lt;0,L41*-1,0)</f>
        <v>0</v>
      </c>
      <c r="AM41" s="164" t="n">
        <f aca="false">AK41+AL41</f>
        <v>835.1</v>
      </c>
      <c r="AN41" s="514"/>
      <c r="AO41" s="172"/>
      <c r="AP41" s="406" t="n">
        <f aca="false">IF((AB40/$D$2)+Y41-AJ41+(795-X41)&gt;(72000/$D$2),(795-X41)-((AB40/$D$2)+Y41-AJ41+(795-X41)-(72000/$D$2)),(795-X41))</f>
        <v>-418.309853339377</v>
      </c>
      <c r="AQ41" s="186" t="n">
        <f aca="false">80.422*(12972*1.9835+AC41*1.9835)/E41</f>
        <v>10.2827856046494</v>
      </c>
      <c r="AR41" s="156"/>
      <c r="AS41" s="112"/>
      <c r="AT41" s="200"/>
      <c r="AV41" s="117" t="n">
        <v>0</v>
      </c>
      <c r="AW41" s="118" t="n">
        <v>95</v>
      </c>
      <c r="AX41" s="118" t="n">
        <v>56</v>
      </c>
      <c r="AY41" s="161"/>
      <c r="AZ41" s="282" t="n">
        <f aca="false">SUM(N41,P41:U41)</f>
        <v>11.8951466606231</v>
      </c>
      <c r="BA41" s="108" t="n">
        <v>1.22</v>
      </c>
      <c r="BB41" s="515" t="n">
        <v>25655</v>
      </c>
    </row>
    <row r="42" customFormat="false" ht="12.95" hidden="false" customHeight="true" outlineLevel="0" collapsed="false">
      <c r="A42" s="10" t="n">
        <f aca="false">A41+1</f>
        <v>28</v>
      </c>
      <c r="B42" s="395" t="n">
        <v>6922.4</v>
      </c>
      <c r="C42" s="109" t="n">
        <v>374060</v>
      </c>
      <c r="D42" s="118" t="n">
        <f aca="false">C42-C41</f>
        <v>-1192</v>
      </c>
      <c r="E42" s="109" t="n">
        <f aca="false">C42-152000</f>
        <v>222060</v>
      </c>
      <c r="F42" s="164" t="n">
        <f aca="false">D42/$D$2</f>
        <v>-600.957902697252</v>
      </c>
      <c r="G42" s="154" t="n">
        <v>329</v>
      </c>
      <c r="H42" s="112" t="n">
        <v>0.055</v>
      </c>
      <c r="I42" s="154" t="n">
        <f aca="false">G42+H42</f>
        <v>329.055</v>
      </c>
      <c r="J42" s="403" t="n">
        <f aca="false">IF(L42&gt;0,L42,0)</f>
        <v>0</v>
      </c>
      <c r="K42" s="154" t="n">
        <f aca="false">I42+J42</f>
        <v>329.055</v>
      </c>
      <c r="L42" s="154" t="n">
        <f aca="false">F42-(I42-AK42)</f>
        <v>-57.8129026972523</v>
      </c>
      <c r="M42" s="157" t="n">
        <v>309</v>
      </c>
      <c r="N42" s="186" t="n">
        <v>0</v>
      </c>
      <c r="O42" s="178" t="n">
        <f aca="false">74.2*1.05</f>
        <v>77.91</v>
      </c>
      <c r="P42" s="186" t="n">
        <v>0</v>
      </c>
      <c r="Q42" s="373" t="n">
        <f aca="false">2040000/325851/1.9835*1.02</f>
        <v>3.21943066397097</v>
      </c>
      <c r="R42" s="512" t="n">
        <f aca="false">IF(((7.8*1.04)-T42)&gt;=4.2,4.2,(7.8*1.04)-T42)</f>
        <v>4.2</v>
      </c>
      <c r="S42" s="151" t="n">
        <f aca="false">IF(((7.8*1.04)-T42)&gt;=4.2,((7.8*1.04)-T42)-4.2,0)</f>
        <v>2.49089616</v>
      </c>
      <c r="T42" s="151" t="n">
        <f aca="false">(1.2891*1.06)*1.04</f>
        <v>1.42110384</v>
      </c>
      <c r="U42" s="393" t="n">
        <v>0</v>
      </c>
      <c r="V42" s="154" t="n">
        <v>142</v>
      </c>
      <c r="W42" s="154" t="n">
        <v>68.6</v>
      </c>
      <c r="X42" s="280" t="n">
        <f aca="false">M42-N42-O42-P42-Q42-R42-S42-T42-U42+V42+W42-AT42+AR42</f>
        <v>430.358569336029</v>
      </c>
      <c r="Y42" s="280" t="n">
        <f aca="false">X42-AO42</f>
        <v>430.358569336029</v>
      </c>
      <c r="Z42" s="244" t="n">
        <f aca="false">Z41+AP42</f>
        <v>15307.6375334068</v>
      </c>
      <c r="AA42" s="280" t="n">
        <f aca="false">Y42</f>
        <v>430.358569336029</v>
      </c>
      <c r="AB42" s="244" t="n">
        <f aca="false">AB41+(Y42-AJ42+AP42)*$D$2</f>
        <v>72000</v>
      </c>
      <c r="AC42" s="123" t="n">
        <f aca="false">AC41-(AQ41/1.9835)</f>
        <v>1414.08397437376</v>
      </c>
      <c r="AD42" s="390"/>
      <c r="AE42" s="154" t="n">
        <v>277</v>
      </c>
      <c r="AF42" s="157" t="n">
        <v>1.7</v>
      </c>
      <c r="AG42" s="158" t="n">
        <v>1.3</v>
      </c>
      <c r="AH42" s="154" t="n">
        <v>75.6</v>
      </c>
      <c r="AI42" s="93" t="n">
        <f aca="false">AI41-AH42</f>
        <v>12186.0578774893</v>
      </c>
      <c r="AJ42" s="390"/>
      <c r="AK42" s="154" t="n">
        <f aca="false">N43+O42+P42+Q42+R42+S42+T42+U42+X42+AE42+AH42-AR42</f>
        <v>872.2</v>
      </c>
      <c r="AL42" s="154" t="n">
        <f aca="false">IF(L42&lt;0,L42*-1,0)</f>
        <v>57.8129026972523</v>
      </c>
      <c r="AM42" s="164" t="n">
        <f aca="false">AK42+AL42</f>
        <v>930.012902697252</v>
      </c>
      <c r="AN42" s="514"/>
      <c r="AO42" s="172"/>
      <c r="AP42" s="406" t="n">
        <f aca="false">IF((AB41/$D$2)+Y42-AJ42+(795-X42)&gt;(72000/$D$2),(795-X42)-((AB41/$D$2)+Y42-AJ42+(795-X42)-(72000/$D$2)),(795-X42))</f>
        <v>-430.358569336029</v>
      </c>
      <c r="AQ42" s="186" t="n">
        <f aca="false">69.766*(12972*1.9835+AC42*1.9835)/E42</f>
        <v>8.96495851027715</v>
      </c>
      <c r="AR42" s="156"/>
      <c r="AS42" s="112"/>
      <c r="AT42" s="200"/>
      <c r="AV42" s="117" t="n">
        <v>0.02</v>
      </c>
      <c r="AW42" s="118" t="n">
        <v>90</v>
      </c>
      <c r="AX42" s="118" t="n">
        <v>64</v>
      </c>
      <c r="AY42" s="161"/>
      <c r="AZ42" s="282" t="n">
        <f aca="false">SUM(N42,P42:U42)</f>
        <v>11.331430663971</v>
      </c>
      <c r="BA42" s="108" t="n">
        <v>1.14</v>
      </c>
      <c r="BB42" s="515" t="n">
        <v>25443</v>
      </c>
    </row>
    <row r="43" customFormat="false" ht="12.95" hidden="false" customHeight="true" outlineLevel="0" collapsed="false">
      <c r="A43" s="10" t="n">
        <f aca="false">A42+1</f>
        <v>29</v>
      </c>
      <c r="B43" s="395" t="n">
        <v>6922.14</v>
      </c>
      <c r="C43" s="109" t="n">
        <v>372912</v>
      </c>
      <c r="D43" s="118" t="n">
        <f aca="false">C43-C42</f>
        <v>-1148</v>
      </c>
      <c r="E43" s="109" t="n">
        <f aca="false">C43-152000</f>
        <v>220912</v>
      </c>
      <c r="F43" s="164" t="n">
        <f aca="false">D43/$D$2</f>
        <v>-578.774892866146</v>
      </c>
      <c r="G43" s="154" t="n">
        <v>315</v>
      </c>
      <c r="H43" s="112" t="n">
        <v>0.043</v>
      </c>
      <c r="I43" s="154" t="n">
        <f aca="false">G43+H43</f>
        <v>315.043</v>
      </c>
      <c r="J43" s="403" t="n">
        <f aca="false">IF(L43&gt;0,L43,0)</f>
        <v>0</v>
      </c>
      <c r="K43" s="154" t="n">
        <f aca="false">I43+J43</f>
        <v>315.043</v>
      </c>
      <c r="L43" s="154" t="n">
        <f aca="false">F43-(I43-AK43)</f>
        <v>-22.7178928661457</v>
      </c>
      <c r="M43" s="157" t="n">
        <v>319</v>
      </c>
      <c r="N43" s="186" t="n">
        <v>0</v>
      </c>
      <c r="O43" s="178" t="n">
        <f aca="false">85.3*1.05</f>
        <v>89.565</v>
      </c>
      <c r="P43" s="186" t="n">
        <v>0</v>
      </c>
      <c r="Q43" s="373" t="n">
        <f aca="false">1816100/325851/1.9835*1.02</f>
        <v>2.8660823670773</v>
      </c>
      <c r="R43" s="512" t="n">
        <f aca="false">IF(((6.3*1.04)-T43)&gt;=4.2,4.2,(6.3*1.04)-T43)</f>
        <v>4.2</v>
      </c>
      <c r="S43" s="151" t="n">
        <f aca="false">IF(((6.3*1.04)-T43)&gt;=4.2,((6.3*1.04)-T43)-4.2,0)</f>
        <v>0.93089616</v>
      </c>
      <c r="T43" s="151" t="n">
        <f aca="false">(1.2891*1.06)*1.04</f>
        <v>1.42110384</v>
      </c>
      <c r="U43" s="393" t="n">
        <v>0</v>
      </c>
      <c r="V43" s="154" t="n">
        <v>142</v>
      </c>
      <c r="W43" s="154" t="n">
        <v>68.5</v>
      </c>
      <c r="X43" s="280" t="n">
        <f aca="false">M43-N43-O43-P43-Q43-R43-S43-T43-U43+V43+W43-AT43+AR43</f>
        <v>430.516917632923</v>
      </c>
      <c r="Y43" s="280" t="n">
        <f aca="false">X43-AO43</f>
        <v>430.516917632923</v>
      </c>
      <c r="Z43" s="244" t="n">
        <f aca="false">Z42+AP43</f>
        <v>14877.1206157739</v>
      </c>
      <c r="AA43" s="280" t="n">
        <f aca="false">Y43</f>
        <v>430.516917632923</v>
      </c>
      <c r="AB43" s="244" t="n">
        <f aca="false">AB42+(Y43-AJ43+AP43)*$D$2</f>
        <v>72000</v>
      </c>
      <c r="AC43" s="123" t="n">
        <f aca="false">AC42-(AQ42/1.9835)</f>
        <v>1409.5642070381</v>
      </c>
      <c r="AD43" s="390"/>
      <c r="AE43" s="154" t="n">
        <v>266</v>
      </c>
      <c r="AF43" s="157" t="n">
        <v>1.7</v>
      </c>
      <c r="AG43" s="158" t="n">
        <v>1.3</v>
      </c>
      <c r="AH43" s="154" t="n">
        <v>75.6</v>
      </c>
      <c r="AI43" s="93" t="n">
        <f aca="false">AI42-AH43</f>
        <v>12110.4578774893</v>
      </c>
      <c r="AJ43" s="390"/>
      <c r="AK43" s="154" t="n">
        <f aca="false">N44+O43+P43+Q43+R43+S43+T43+U43+X43+AE43+AH43-AR43</f>
        <v>871.1</v>
      </c>
      <c r="AL43" s="154" t="n">
        <f aca="false">IF(L43&lt;0,L43*-1,0)</f>
        <v>22.7178928661457</v>
      </c>
      <c r="AM43" s="164" t="n">
        <f aca="false">AK43+AL43</f>
        <v>893.817892866146</v>
      </c>
      <c r="AN43" s="514"/>
      <c r="AO43" s="172"/>
      <c r="AP43" s="406" t="n">
        <f aca="false">IF((AB42/$D$2)+Y43-AJ43+(795-X43)&gt;(72000/$D$2),(795-X43)-((AB42/$D$2)+Y43-AJ43+(795-X43)-(72000/$D$2)),(795-X43))</f>
        <v>-430.516917632923</v>
      </c>
      <c r="AQ43" s="186" t="n">
        <f aca="false">63.866*(12972*1.9835+AC43*1.9835)/E43</f>
        <v>8.2468622126875</v>
      </c>
      <c r="AR43" s="156"/>
      <c r="AS43" s="112"/>
      <c r="AT43" s="200"/>
      <c r="AV43" s="117" t="n">
        <v>0.07</v>
      </c>
      <c r="AW43" s="118" t="n">
        <v>91</v>
      </c>
      <c r="AX43" s="118" t="n">
        <v>57</v>
      </c>
      <c r="AY43" s="161"/>
      <c r="AZ43" s="282" t="n">
        <f aca="false">SUM(N43,P43:U43)</f>
        <v>9.4180823670773</v>
      </c>
      <c r="BA43" s="108" t="n">
        <v>1.05</v>
      </c>
      <c r="BB43" s="407" t="n">
        <v>25448</v>
      </c>
    </row>
    <row r="44" customFormat="false" ht="12.95" hidden="false" customHeight="true" outlineLevel="0" collapsed="false">
      <c r="A44" s="10" t="n">
        <v>30</v>
      </c>
      <c r="B44" s="395" t="n">
        <v>6921.94</v>
      </c>
      <c r="C44" s="109" t="n">
        <v>372031</v>
      </c>
      <c r="D44" s="118" t="n">
        <f aca="false">C44-C43</f>
        <v>-881</v>
      </c>
      <c r="E44" s="109" t="n">
        <f aca="false">C44-152000</f>
        <v>220031</v>
      </c>
      <c r="F44" s="164" t="n">
        <f aca="false">D44/$D$2</f>
        <v>-444.164355936476</v>
      </c>
      <c r="G44" s="154" t="n">
        <v>323</v>
      </c>
      <c r="H44" s="112" t="n">
        <v>0.009</v>
      </c>
      <c r="I44" s="154" t="n">
        <f aca="false">G44+H44</f>
        <v>323.009</v>
      </c>
      <c r="J44" s="403" t="n">
        <f aca="false">IF(L44&gt;0,L44,0)</f>
        <v>87.8266440635242</v>
      </c>
      <c r="K44" s="154" t="n">
        <f aca="false">I44+J44</f>
        <v>410.835644063524</v>
      </c>
      <c r="L44" s="154" t="n">
        <f aca="false">F44-(I44-AK44)</f>
        <v>87.8266440635242</v>
      </c>
      <c r="M44" s="157" t="n">
        <v>306</v>
      </c>
      <c r="N44" s="186" t="n">
        <v>0</v>
      </c>
      <c r="O44" s="178" t="n">
        <f aca="false">86.8*1.05</f>
        <v>91.14</v>
      </c>
      <c r="P44" s="186" t="n">
        <v>0</v>
      </c>
      <c r="Q44" s="373" t="n">
        <f aca="false">1722700/325851/1.9835*1.02</f>
        <v>2.71868294354059</v>
      </c>
      <c r="R44" s="512" t="n">
        <f aca="false">IF(((6.2*1.04)-T44)&gt;=4.2,4.2,(6.2*1.04)-T44)</f>
        <v>4.2</v>
      </c>
      <c r="S44" s="151" t="n">
        <f aca="false">IF(((6.2*1.04)-T44)&gt;=4.2,((6.2*1.04)-T44)-4.2,0)</f>
        <v>0.82689616</v>
      </c>
      <c r="T44" s="151" t="n">
        <f aca="false">(1.2891*1.06)*1.04</f>
        <v>1.42110384</v>
      </c>
      <c r="U44" s="393" t="n">
        <v>0</v>
      </c>
      <c r="V44" s="154" t="n">
        <v>142</v>
      </c>
      <c r="W44" s="154" t="n">
        <v>68.4</v>
      </c>
      <c r="X44" s="280" t="n">
        <f aca="false">M44-N44-O44-P44-Q44-R44-S44-T44-U44+V44+W44-AT44+AR44</f>
        <v>416.093317056459</v>
      </c>
      <c r="Y44" s="280" t="n">
        <f aca="false">X44-AO44</f>
        <v>416.093317056459</v>
      </c>
      <c r="Z44" s="244" t="n">
        <f aca="false">Z43+AP44</f>
        <v>14461.0272987175</v>
      </c>
      <c r="AA44" s="280" t="n">
        <f aca="false">Y44</f>
        <v>416.093317056459</v>
      </c>
      <c r="AB44" s="244" t="n">
        <f aca="false">AB43+(Y44-AJ44+AP44)*$D$2</f>
        <v>72000</v>
      </c>
      <c r="AC44" s="123" t="n">
        <f aca="false">AC43-(AQ43/1.9835)</f>
        <v>1405.40647463947</v>
      </c>
      <c r="AD44" s="390"/>
      <c r="AE44" s="154" t="n">
        <v>263</v>
      </c>
      <c r="AF44" s="157" t="n">
        <v>1.7</v>
      </c>
      <c r="AG44" s="158" t="n">
        <v>1.3</v>
      </c>
      <c r="AH44" s="154" t="n">
        <v>75.6</v>
      </c>
      <c r="AI44" s="93" t="n">
        <f aca="false">AI43-AH44</f>
        <v>12034.8578774893</v>
      </c>
      <c r="AJ44" s="390"/>
      <c r="AK44" s="154" t="n">
        <f aca="false">N45+O44+P44+Q44+R44+S44+T44+U44+X44+AE44+AH44-AR44</f>
        <v>855</v>
      </c>
      <c r="AL44" s="154" t="n">
        <f aca="false">IF(L44&lt;0,L44*-1,0)</f>
        <v>0</v>
      </c>
      <c r="AM44" s="164" t="n">
        <f aca="false">AK44+AL44</f>
        <v>855</v>
      </c>
      <c r="AN44" s="514"/>
      <c r="AO44" s="172"/>
      <c r="AP44" s="406" t="n">
        <f aca="false">IF((AB43/$D$2)+Y44-AJ44+(795-X44)&gt;(72000/$D$2),(795-X44)-((AB43/$D$2)+Y44-AJ44+(795-X44)-(72000/$D$2)),(795-X44))</f>
        <v>-416.093317056459</v>
      </c>
      <c r="AQ44" s="186" t="n">
        <f aca="false">48.733*(12972*1.9835+AC44*1.9835)/E44</f>
        <v>6.31614411599588</v>
      </c>
      <c r="AR44" s="156"/>
      <c r="AS44" s="112"/>
      <c r="AT44" s="200"/>
      <c r="AV44" s="117" t="n">
        <v>0.01</v>
      </c>
      <c r="AW44" s="118" t="n">
        <v>86</v>
      </c>
      <c r="AX44" s="118" t="n">
        <v>59</v>
      </c>
      <c r="AY44" s="161"/>
      <c r="AZ44" s="282" t="n">
        <f aca="false">SUM(N44,P44:U44)</f>
        <v>9.16668294354059</v>
      </c>
      <c r="BA44" s="108" t="n">
        <v>0.975</v>
      </c>
      <c r="BB44" s="407" t="n">
        <v>25438</v>
      </c>
    </row>
    <row r="45" customFormat="false" ht="3" hidden="false" customHeight="true" outlineLevel="0" collapsed="false">
      <c r="A45" s="126"/>
      <c r="B45" s="411"/>
      <c r="C45" s="137" t="s">
        <v>139</v>
      </c>
      <c r="D45" s="134"/>
      <c r="E45" s="137"/>
      <c r="F45" s="167"/>
      <c r="G45" s="134"/>
      <c r="H45" s="136"/>
      <c r="I45" s="134"/>
      <c r="J45" s="134"/>
      <c r="K45" s="134"/>
      <c r="L45" s="134"/>
      <c r="M45" s="138"/>
      <c r="N45" s="134"/>
      <c r="O45" s="134"/>
      <c r="P45" s="134"/>
      <c r="Q45" s="134"/>
      <c r="R45" s="134"/>
      <c r="S45" s="134"/>
      <c r="T45" s="134"/>
      <c r="U45" s="401"/>
      <c r="V45" s="134"/>
      <c r="W45" s="134"/>
      <c r="X45" s="134"/>
      <c r="Y45" s="134"/>
      <c r="Z45" s="137"/>
      <c r="AA45" s="134"/>
      <c r="AB45" s="263"/>
      <c r="AC45" s="137"/>
      <c r="AD45" s="137"/>
      <c r="AE45" s="134"/>
      <c r="AF45" s="138"/>
      <c r="AG45" s="139"/>
      <c r="AH45" s="134"/>
      <c r="AI45" s="134"/>
      <c r="AJ45" s="134"/>
      <c r="AK45" s="134"/>
      <c r="AL45" s="134"/>
      <c r="AM45" s="167"/>
      <c r="AN45" s="141"/>
      <c r="AO45" s="141"/>
      <c r="AP45" s="141"/>
      <c r="AQ45" s="268"/>
      <c r="AR45" s="271"/>
      <c r="AS45" s="271"/>
      <c r="AT45" s="274"/>
      <c r="AU45" s="271"/>
      <c r="AV45" s="143"/>
      <c r="AW45" s="141"/>
      <c r="AX45" s="141"/>
      <c r="AY45" s="184"/>
      <c r="AZ45" s="510"/>
      <c r="BA45" s="400"/>
      <c r="BB45" s="510"/>
    </row>
    <row r="46" customFormat="false" ht="12.95" hidden="false" customHeight="true" outlineLevel="0" collapsed="false">
      <c r="A46" s="11" t="s">
        <v>104</v>
      </c>
      <c r="B46" s="392"/>
      <c r="C46" s="109"/>
      <c r="D46" s="109"/>
      <c r="E46" s="109"/>
      <c r="F46" s="171" t="n">
        <f aca="false">SUM(F15:F44)</f>
        <v>2306.0247038064</v>
      </c>
      <c r="G46" s="93" t="n">
        <f aca="false">SUM(G15:G44)</f>
        <v>38444</v>
      </c>
      <c r="H46" s="172" t="n">
        <f aca="false">SUM(H15:H44)</f>
        <v>66.42</v>
      </c>
      <c r="I46" s="93" t="n">
        <f aca="false">SUM(I15:I44)</f>
        <v>38510.42</v>
      </c>
      <c r="J46" s="93" t="n">
        <f aca="false">SUM(J15:J44)</f>
        <v>649.518803377868</v>
      </c>
      <c r="K46" s="93" t="n">
        <f aca="false">SUM(K15:K44)</f>
        <v>39159.9388033779</v>
      </c>
      <c r="L46" s="93" t="n">
        <f aca="false">SUM(L15:L44)</f>
        <v>-198.561296193597</v>
      </c>
      <c r="M46" s="113" t="n">
        <f aca="false">SUM(M15:M44)</f>
        <v>9104</v>
      </c>
      <c r="N46" s="109" t="n">
        <f aca="false">SUM(N15:N44)</f>
        <v>0</v>
      </c>
      <c r="O46" s="118" t="n">
        <f aca="false">SUM(O15:O44)</f>
        <v>2624.365</v>
      </c>
      <c r="P46" s="96" t="n">
        <f aca="false">SUM(P15:P44)</f>
        <v>0</v>
      </c>
      <c r="Q46" s="118" t="n">
        <f aca="false">SUM(Q15:Q44)</f>
        <v>99.4671510374986</v>
      </c>
      <c r="R46" s="118" t="n">
        <f aca="false">SUM(R15:R44)</f>
        <v>126</v>
      </c>
      <c r="S46" s="118" t="n">
        <f aca="false">SUM(S15:S44)</f>
        <v>44.94133056</v>
      </c>
      <c r="T46" s="118" t="n">
        <f aca="false">SUM(T15:T44)</f>
        <v>46.62666944</v>
      </c>
      <c r="U46" s="396" t="n">
        <f aca="false">SUM(U15:U44)</f>
        <v>0</v>
      </c>
      <c r="V46" s="93" t="n">
        <f aca="false">SUM(V15:V44)</f>
        <v>4248</v>
      </c>
      <c r="W46" s="93" t="n">
        <f aca="false">SUM(W15:W44)</f>
        <v>2070.4</v>
      </c>
      <c r="X46" s="93" t="n">
        <f aca="false">SUM(X15:X44)</f>
        <v>12373.1338489625</v>
      </c>
      <c r="Y46" s="93" t="n">
        <f aca="false">SUM(Y15:Y44)</f>
        <v>12373.1338489625</v>
      </c>
      <c r="Z46" s="93"/>
      <c r="AA46" s="93" t="n">
        <f aca="false">SUM(AA15:AA44)</f>
        <v>18341.3745650089</v>
      </c>
      <c r="AB46" s="123"/>
      <c r="AC46" s="93"/>
      <c r="AD46" s="93"/>
      <c r="AE46" s="93" t="n">
        <f aca="false">SUM(AE15:AE44)</f>
        <v>5825</v>
      </c>
      <c r="AF46" s="113" t="n">
        <f aca="false">SUM(AF15:AF44)</f>
        <v>51</v>
      </c>
      <c r="AG46" s="114" t="n">
        <f aca="false">SUM(AG15:AG44)</f>
        <v>39</v>
      </c>
      <c r="AH46" s="93" t="n">
        <f aca="false">SUM(AH15:AH44)</f>
        <v>14866.3</v>
      </c>
      <c r="AI46" s="93"/>
      <c r="AJ46" s="93" t="n">
        <f aca="false">SUM(AJ15:AJ44)</f>
        <v>14122</v>
      </c>
      <c r="AK46" s="93" t="n">
        <f aca="false">SUM(AK15:AK44)</f>
        <v>36005.834</v>
      </c>
      <c r="AL46" s="93" t="n">
        <f aca="false">SUM(AL15:AL44)</f>
        <v>848.080099571464</v>
      </c>
      <c r="AM46" s="171" t="n">
        <f aca="false">SUM(AM15:AM44)</f>
        <v>36853.9140995715</v>
      </c>
      <c r="AN46" s="93" t="n">
        <f aca="false">SUM(AN15:AN44)</f>
        <v>0</v>
      </c>
      <c r="AO46" s="93" t="n">
        <f aca="false">SUM(AO15:AO44)</f>
        <v>0</v>
      </c>
      <c r="AP46" s="154" t="n">
        <f aca="false">SUM(AP15:AP44)</f>
        <v>1748.8661510375</v>
      </c>
      <c r="AQ46" s="186"/>
      <c r="AR46" s="93" t="n">
        <f aca="false">SUM(AR15:AR44)</f>
        <v>0</v>
      </c>
      <c r="AS46" s="112" t="n">
        <f aca="false">SUM(AS15:AS44)</f>
        <v>0</v>
      </c>
      <c r="AT46" s="172" t="n">
        <f aca="false">SUM(AT15:AT44)</f>
        <v>107.866</v>
      </c>
      <c r="AU46" s="112" t="n">
        <f aca="false">SUM(AU15:AU44)</f>
        <v>0</v>
      </c>
      <c r="AV46" s="117" t="n">
        <f aca="false">SUM(AV15:AV44)</f>
        <v>0.38</v>
      </c>
      <c r="AW46" s="118" t="n">
        <f aca="false">AVERAGE(AW15:AW44)</f>
        <v>89.3666666666667</v>
      </c>
      <c r="AX46" s="118" t="n">
        <f aca="false">AVERAGE(AX15:AX44)</f>
        <v>54.5</v>
      </c>
      <c r="AY46" s="516" t="s">
        <v>130</v>
      </c>
      <c r="AZ46" s="508" t="n">
        <f aca="false">SUM(AZ15:AZ44)</f>
        <v>317.035151037499</v>
      </c>
      <c r="BA46" s="156" t="n">
        <f aca="false">SUM(BA15:BA44)</f>
        <v>973.265</v>
      </c>
      <c r="BB46" s="407"/>
    </row>
    <row r="47" customFormat="false" ht="12.95" hidden="false" customHeight="true" outlineLevel="0" collapsed="false">
      <c r="A47" s="11" t="s">
        <v>106</v>
      </c>
      <c r="B47" s="392"/>
      <c r="C47" s="109"/>
      <c r="D47" s="109" t="n">
        <f aca="false">SUM(D15:D44)</f>
        <v>4574</v>
      </c>
      <c r="E47" s="109"/>
      <c r="F47" s="171" t="n">
        <f aca="false">F46*$D$2</f>
        <v>4574</v>
      </c>
      <c r="G47" s="93" t="n">
        <f aca="false">G46*$D$2</f>
        <v>76253.674</v>
      </c>
      <c r="H47" s="172" t="n">
        <f aca="false">H46*$D$2</f>
        <v>131.74407</v>
      </c>
      <c r="I47" s="93" t="n">
        <f aca="false">I46*$D$2</f>
        <v>76385.41807</v>
      </c>
      <c r="J47" s="93" t="n">
        <f aca="false">J46*$D$2</f>
        <v>1288.3205465</v>
      </c>
      <c r="K47" s="93" t="n">
        <f aca="false">K46*$D$2</f>
        <v>77673.7386165</v>
      </c>
      <c r="L47" s="93" t="n">
        <f aca="false">L46*$D$2</f>
        <v>-393.846330999999</v>
      </c>
      <c r="M47" s="113" t="n">
        <f aca="false">M46*$D$2</f>
        <v>18057.784</v>
      </c>
      <c r="N47" s="109" t="n">
        <f aca="false">N46*$D$2</f>
        <v>0</v>
      </c>
      <c r="O47" s="118" t="n">
        <f aca="false">O46*$D$2</f>
        <v>5205.4279775</v>
      </c>
      <c r="P47" s="96" t="n">
        <f aca="false">P46*$D$2</f>
        <v>0</v>
      </c>
      <c r="Q47" s="118" t="n">
        <f aca="false">Q46*$D$2</f>
        <v>197.293094082878</v>
      </c>
      <c r="R47" s="118" t="n">
        <f aca="false">R46*$D$2</f>
        <v>249.921</v>
      </c>
      <c r="S47" s="118" t="n">
        <f aca="false">S46*$D$2</f>
        <v>89.14112916576</v>
      </c>
      <c r="T47" s="118" t="n">
        <f aca="false">T46*$D$2</f>
        <v>92.48399883424</v>
      </c>
      <c r="U47" s="396" t="n">
        <f aca="false">U46*$D$2</f>
        <v>0</v>
      </c>
      <c r="V47" s="93" t="n">
        <f aca="false">V46*$D$2</f>
        <v>8425.908</v>
      </c>
      <c r="W47" s="93" t="n">
        <f aca="false">W46*$D$2</f>
        <v>4106.6384</v>
      </c>
      <c r="X47" s="93" t="n">
        <f aca="false">X46*$D$2</f>
        <v>24542.1109894171</v>
      </c>
      <c r="Y47" s="93" t="n">
        <f aca="false">Y46*$D$2</f>
        <v>24542.1109894171</v>
      </c>
      <c r="Z47" s="93"/>
      <c r="AA47" s="93" t="n">
        <f aca="false">AA46*$D$2</f>
        <v>36380.1164496951</v>
      </c>
      <c r="AB47" s="123"/>
      <c r="AC47" s="93"/>
      <c r="AD47" s="93"/>
      <c r="AE47" s="93" t="n">
        <f aca="false">AE46*$D$2</f>
        <v>11553.8875</v>
      </c>
      <c r="AF47" s="113" t="n">
        <f aca="false">AF46*$D$2</f>
        <v>101.1585</v>
      </c>
      <c r="AG47" s="114" t="n">
        <f aca="false">AG46*$D$2</f>
        <v>77.3565</v>
      </c>
      <c r="AH47" s="93" t="n">
        <f aca="false">AH46*$D$2</f>
        <v>29487.30605</v>
      </c>
      <c r="AI47" s="93"/>
      <c r="AJ47" s="93" t="n">
        <f aca="false">AJ46*$D$2</f>
        <v>28010.987</v>
      </c>
      <c r="AK47" s="93" t="n">
        <f aca="false">AK46*$D$2</f>
        <v>71417.571739</v>
      </c>
      <c r="AL47" s="93" t="n">
        <f aca="false">AL46*$D$2</f>
        <v>1682.1668775</v>
      </c>
      <c r="AM47" s="171" t="n">
        <f aca="false">AM46*$D$2</f>
        <v>73099.7386165</v>
      </c>
      <c r="AN47" s="93" t="n">
        <f aca="false">AN46*$D$2</f>
        <v>0</v>
      </c>
      <c r="AO47" s="93" t="n">
        <f aca="false">AO46*$D$2</f>
        <v>0</v>
      </c>
      <c r="AP47" s="154"/>
      <c r="AQ47" s="186" t="n">
        <f aca="false">SUM(AQ15:AQ44)</f>
        <v>290.681533509226</v>
      </c>
      <c r="AR47" s="93" t="n">
        <f aca="false">AR46*$D$2</f>
        <v>0</v>
      </c>
      <c r="AS47" s="156" t="n">
        <f aca="false">AS46*$D$2</f>
        <v>0</v>
      </c>
      <c r="AT47" s="241" t="n">
        <f aca="false">AT46*$D$2</f>
        <v>213.952211</v>
      </c>
      <c r="AU47" s="156" t="n">
        <f aca="false">AU46*$D$2</f>
        <v>0</v>
      </c>
      <c r="AV47" s="117"/>
      <c r="AW47" s="118" t="n">
        <f aca="false">MAX(AW15:AW44)</f>
        <v>99</v>
      </c>
      <c r="AX47" s="118" t="n">
        <f aca="false">MAX(AX15:AX44)</f>
        <v>65</v>
      </c>
      <c r="AY47" s="516" t="s">
        <v>107</v>
      </c>
      <c r="AZ47" s="508" t="n">
        <f aca="false">AZ46*$D$2</f>
        <v>628.839222082878</v>
      </c>
      <c r="BA47" s="156" t="n">
        <f aca="false">BA46*$D$2</f>
        <v>1930.4711275</v>
      </c>
      <c r="BB47" s="407"/>
      <c r="BD47" s="517"/>
    </row>
    <row r="48" customFormat="false" ht="3" hidden="false" customHeight="true" outlineLevel="0" collapsed="false">
      <c r="A48" s="126"/>
      <c r="B48" s="411"/>
      <c r="C48" s="137"/>
      <c r="D48" s="137"/>
      <c r="E48" s="137"/>
      <c r="F48" s="184"/>
      <c r="G48" s="137"/>
      <c r="H48" s="141"/>
      <c r="I48" s="137"/>
      <c r="J48" s="137"/>
      <c r="K48" s="137"/>
      <c r="L48" s="137"/>
      <c r="M48" s="182"/>
      <c r="N48" s="137"/>
      <c r="O48" s="141"/>
      <c r="P48" s="400"/>
      <c r="Q48" s="136"/>
      <c r="R48" s="136"/>
      <c r="S48" s="137"/>
      <c r="T48" s="137"/>
      <c r="U48" s="183"/>
      <c r="V48" s="137"/>
      <c r="W48" s="137"/>
      <c r="X48" s="137"/>
      <c r="Y48" s="137"/>
      <c r="Z48" s="137"/>
      <c r="AA48" s="137"/>
      <c r="AB48" s="263"/>
      <c r="AC48" s="137"/>
      <c r="AD48" s="137"/>
      <c r="AE48" s="137"/>
      <c r="AF48" s="182"/>
      <c r="AG48" s="183"/>
      <c r="AH48" s="137"/>
      <c r="AI48" s="134"/>
      <c r="AJ48" s="137"/>
      <c r="AK48" s="137"/>
      <c r="AL48" s="137"/>
      <c r="AM48" s="184"/>
      <c r="AN48" s="137"/>
      <c r="AO48" s="137"/>
      <c r="AP48" s="137"/>
      <c r="AQ48" s="268"/>
      <c r="AR48" s="137"/>
      <c r="AS48" s="271"/>
      <c r="AT48" s="274"/>
      <c r="AU48" s="271"/>
      <c r="AV48" s="185"/>
      <c r="AW48" s="137"/>
      <c r="AX48" s="137"/>
      <c r="AY48" s="184"/>
      <c r="AZ48" s="510"/>
      <c r="BA48" s="263"/>
      <c r="BB48" s="510"/>
    </row>
    <row r="49" customFormat="false" ht="12.95" hidden="false" customHeight="true" outlineLevel="0" collapsed="false">
      <c r="A49" s="11" t="s">
        <v>108</v>
      </c>
      <c r="B49" s="392"/>
      <c r="C49" s="109"/>
      <c r="D49" s="109"/>
      <c r="E49" s="109"/>
      <c r="F49" s="171" t="n">
        <f aca="false">F12+F46</f>
        <v>54635.7448953869</v>
      </c>
      <c r="G49" s="93" t="n">
        <f aca="false">G12+G46</f>
        <v>104792</v>
      </c>
      <c r="H49" s="172" t="n">
        <f aca="false">H12+H46</f>
        <v>4369.24</v>
      </c>
      <c r="I49" s="93" t="n">
        <f aca="false">I12+I46</f>
        <v>109161.24</v>
      </c>
      <c r="J49" s="93" t="n">
        <f aca="false">J12+J46</f>
        <v>4589.49814066045</v>
      </c>
      <c r="K49" s="93" t="n">
        <f aca="false">K12+K46</f>
        <v>113750.72814066</v>
      </c>
      <c r="L49" s="93" t="n">
        <f aca="false">L12+L46</f>
        <v>2455.00189538694</v>
      </c>
      <c r="M49" s="113" t="n">
        <f aca="false">M12+M46</f>
        <v>18568.98</v>
      </c>
      <c r="N49" s="109" t="n">
        <f aca="false">N12+N46</f>
        <v>0</v>
      </c>
      <c r="O49" s="118" t="n">
        <f aca="false">O12+O46</f>
        <v>6516.9565</v>
      </c>
      <c r="P49" s="96" t="n">
        <f aca="false">P12+P46</f>
        <v>0</v>
      </c>
      <c r="Q49" s="178"/>
      <c r="R49" s="178"/>
      <c r="S49" s="109"/>
      <c r="T49" s="109"/>
      <c r="U49" s="114"/>
      <c r="V49" s="93" t="n">
        <f aca="false">V12+V46</f>
        <v>6889.3</v>
      </c>
      <c r="W49" s="93" t="n">
        <f aca="false">W12+W46</f>
        <v>3732.9</v>
      </c>
      <c r="X49" s="93" t="n">
        <f aca="false">X12+X46</f>
        <v>21871.2136894348</v>
      </c>
      <c r="Y49" s="93" t="n">
        <f aca="false">Y12+Y46</f>
        <v>21838.4433340025</v>
      </c>
      <c r="Z49" s="93"/>
      <c r="AA49" s="93" t="n">
        <f aca="false">AA12+AA46</f>
        <v>21501.1149616765</v>
      </c>
      <c r="AB49" s="123"/>
      <c r="AC49" s="390"/>
      <c r="AD49" s="390"/>
      <c r="AE49" s="93" t="n">
        <f aca="false">AE12+AE46</f>
        <v>9778.773</v>
      </c>
      <c r="AF49" s="113" t="n">
        <f aca="false">AF12+AF46</f>
        <v>154.7</v>
      </c>
      <c r="AG49" s="114" t="n">
        <f aca="false">AG12+AG46</f>
        <v>118.3</v>
      </c>
      <c r="AH49" s="93"/>
      <c r="AI49" s="390"/>
      <c r="AJ49" s="93" t="n">
        <f aca="false">AJ12+AJ46</f>
        <v>14122</v>
      </c>
      <c r="AK49" s="93" t="n">
        <f aca="false">AK12+AK46</f>
        <v>56980.487</v>
      </c>
      <c r="AL49" s="93" t="n">
        <f aca="false">AL12+AL46</f>
        <v>2134.49624527351</v>
      </c>
      <c r="AM49" s="171" t="n">
        <f aca="false">AM12+AM46</f>
        <v>59114.9832452735</v>
      </c>
      <c r="AN49" s="93"/>
      <c r="AO49" s="93"/>
      <c r="AP49" s="154"/>
      <c r="AQ49" s="186"/>
      <c r="AR49" s="93" t="n">
        <f aca="false">AR12+AR46</f>
        <v>0</v>
      </c>
      <c r="AS49" s="156" t="n">
        <f aca="false">AS12+AS46</f>
        <v>0</v>
      </c>
      <c r="AT49" s="186" t="n">
        <f aca="false">AT12+AT46</f>
        <v>172.906</v>
      </c>
      <c r="AU49" s="156" t="n">
        <f aca="false">AU12+AU46</f>
        <v>0</v>
      </c>
      <c r="AV49" s="117" t="s">
        <v>136</v>
      </c>
      <c r="AW49" s="118" t="n">
        <f aca="false">MIN(AW15:AW44)</f>
        <v>75</v>
      </c>
      <c r="AX49" s="118" t="n">
        <f aca="false">MIN(AX15:AX44)</f>
        <v>44</v>
      </c>
      <c r="AY49" s="516" t="s">
        <v>109</v>
      </c>
      <c r="AZ49" s="508" t="n">
        <f aca="false">AZ12+AZ46</f>
        <v>646.809310565204</v>
      </c>
      <c r="BA49" s="156" t="n">
        <f aca="false">BA12+BA46</f>
        <v>2653.399</v>
      </c>
      <c r="BB49" s="407"/>
    </row>
    <row r="50" customFormat="false" ht="12.95" hidden="false" customHeight="true" outlineLevel="0" collapsed="false">
      <c r="A50" s="11" t="s">
        <v>110</v>
      </c>
      <c r="B50" s="392"/>
      <c r="C50" s="109"/>
      <c r="D50" s="109"/>
      <c r="E50" s="109"/>
      <c r="F50" s="171" t="n">
        <f aca="false">F49*$D$2</f>
        <v>108370</v>
      </c>
      <c r="G50" s="93" t="n">
        <f aca="false">G49*$D$2</f>
        <v>207854.932</v>
      </c>
      <c r="H50" s="172" t="n">
        <f aca="false">H49*$D$2</f>
        <v>8666.38754</v>
      </c>
      <c r="I50" s="93" t="n">
        <f aca="false">I49*$D$2</f>
        <v>216521.31954</v>
      </c>
      <c r="J50" s="93" t="n">
        <f aca="false">J49*$D$2</f>
        <v>9103.269562</v>
      </c>
      <c r="K50" s="93" t="n">
        <f aca="false">K49*$D$2</f>
        <v>225624.569267</v>
      </c>
      <c r="L50" s="93" t="n">
        <f aca="false">L49*$D$2</f>
        <v>4869.4962595</v>
      </c>
      <c r="M50" s="113" t="n">
        <f aca="false">M49*$D$2</f>
        <v>36831.57183</v>
      </c>
      <c r="N50" s="109" t="n">
        <f aca="false">N49*$D$2</f>
        <v>0</v>
      </c>
      <c r="O50" s="118" t="n">
        <f aca="false">O49*$D$2</f>
        <v>12926.38321775</v>
      </c>
      <c r="P50" s="96" t="n">
        <f aca="false">P49*$D$2</f>
        <v>0</v>
      </c>
      <c r="Q50" s="178"/>
      <c r="R50" s="178"/>
      <c r="S50" s="109"/>
      <c r="T50" s="109"/>
      <c r="U50" s="114"/>
      <c r="V50" s="93" t="n">
        <f aca="false">V49*$D$2</f>
        <v>13664.92655</v>
      </c>
      <c r="W50" s="93" t="n">
        <f aca="false">W49*$D$2</f>
        <v>7404.20715</v>
      </c>
      <c r="X50" s="93" t="n">
        <f aca="false">X49*$D$2</f>
        <v>43381.5523529939</v>
      </c>
      <c r="Y50" s="93" t="n">
        <f aca="false">Y49*$D$2</f>
        <v>43316.5523529939</v>
      </c>
      <c r="Z50" s="93"/>
      <c r="AA50" s="93" t="n">
        <f aca="false">AA49*$D$2</f>
        <v>42647.4615264854</v>
      </c>
      <c r="AB50" s="123"/>
      <c r="AC50" s="93"/>
      <c r="AD50" s="93"/>
      <c r="AE50" s="93" t="n">
        <f aca="false">AE49*$D$2</f>
        <v>19396.1962455</v>
      </c>
      <c r="AF50" s="113" t="n">
        <f aca="false">AF49*$D$2</f>
        <v>306.84745</v>
      </c>
      <c r="AG50" s="114" t="n">
        <f aca="false">AG49*$D$2</f>
        <v>234.64805</v>
      </c>
      <c r="AH50" s="93"/>
      <c r="AI50" s="93"/>
      <c r="AJ50" s="93" t="n">
        <f aca="false">AJ49*$D$2</f>
        <v>28010.987</v>
      </c>
      <c r="AK50" s="93" t="n">
        <f aca="false">AK49*$D$2</f>
        <v>113020.7959645</v>
      </c>
      <c r="AL50" s="93" t="n">
        <f aca="false">AL49*$D$2</f>
        <v>4233.7733025</v>
      </c>
      <c r="AM50" s="171" t="n">
        <f aca="false">AM49*$D$2</f>
        <v>117254.569267</v>
      </c>
      <c r="AN50" s="93"/>
      <c r="AO50" s="93"/>
      <c r="AP50" s="154"/>
      <c r="AQ50" s="186" t="n">
        <f aca="false">AQ12+AQ47</f>
        <v>618.563261448798</v>
      </c>
      <c r="AR50" s="93" t="n">
        <f aca="false">AR49*$D$2</f>
        <v>0</v>
      </c>
      <c r="AS50" s="112" t="n">
        <f aca="false">AS49*$D$2</f>
        <v>0</v>
      </c>
      <c r="AT50" s="172" t="n">
        <f aca="false">AT49*$D$2</f>
        <v>342.959051</v>
      </c>
      <c r="AU50" s="112" t="n">
        <f aca="false">AU49*$D$2</f>
        <v>0</v>
      </c>
      <c r="AV50" s="117" t="n">
        <f aca="false">MAY!AV51+AV46</f>
        <v>1.89845679012346</v>
      </c>
      <c r="AW50" s="118"/>
      <c r="AX50" s="118"/>
      <c r="AY50" s="161"/>
      <c r="AZ50" s="508" t="n">
        <f aca="false">AZ49*$D$2</f>
        <v>1282.94626750608</v>
      </c>
      <c r="BA50" s="518" t="n">
        <f aca="false">BA49*$D$2</f>
        <v>5263.0169165</v>
      </c>
      <c r="BB50" s="407"/>
    </row>
    <row r="51" customFormat="false" ht="3" hidden="false" customHeight="true" outlineLevel="0" collapsed="false">
      <c r="A51" s="126"/>
      <c r="B51" s="411"/>
      <c r="C51" s="137"/>
      <c r="D51" s="137"/>
      <c r="E51" s="137"/>
      <c r="F51" s="184"/>
      <c r="G51" s="137"/>
      <c r="H51" s="141"/>
      <c r="I51" s="137"/>
      <c r="J51" s="137"/>
      <c r="K51" s="137"/>
      <c r="L51" s="137"/>
      <c r="M51" s="182"/>
      <c r="N51" s="137"/>
      <c r="O51" s="141"/>
      <c r="P51" s="400"/>
      <c r="Q51" s="136"/>
      <c r="R51" s="136"/>
      <c r="S51" s="137"/>
      <c r="T51" s="137"/>
      <c r="U51" s="183"/>
      <c r="V51" s="137"/>
      <c r="W51" s="137"/>
      <c r="X51" s="137"/>
      <c r="Y51" s="137"/>
      <c r="Z51" s="137"/>
      <c r="AA51" s="137"/>
      <c r="AB51" s="263"/>
      <c r="AC51" s="137"/>
      <c r="AD51" s="137"/>
      <c r="AE51" s="137"/>
      <c r="AF51" s="182"/>
      <c r="AG51" s="183"/>
      <c r="AH51" s="137"/>
      <c r="AI51" s="137"/>
      <c r="AJ51" s="137"/>
      <c r="AK51" s="137"/>
      <c r="AL51" s="137"/>
      <c r="AM51" s="184"/>
      <c r="AN51" s="137"/>
      <c r="AO51" s="413"/>
      <c r="AP51" s="413"/>
      <c r="AQ51" s="268"/>
      <c r="AR51" s="137"/>
      <c r="AS51" s="271"/>
      <c r="AT51" s="274"/>
      <c r="AU51" s="271"/>
      <c r="AV51" s="143"/>
      <c r="AW51" s="413"/>
      <c r="AX51" s="413"/>
      <c r="AY51" s="184"/>
      <c r="AZ51" s="510"/>
      <c r="BA51" s="263"/>
      <c r="BB51" s="510"/>
    </row>
    <row r="52" customFormat="false" ht="12.95" hidden="false" customHeight="true" outlineLevel="0" collapsed="false">
      <c r="A52" s="11" t="s">
        <v>111</v>
      </c>
      <c r="B52" s="392"/>
      <c r="C52" s="109"/>
      <c r="D52" s="109"/>
      <c r="E52" s="109"/>
      <c r="F52" s="171" t="n">
        <f aca="false">F13+F46</f>
        <v>65036.0473909756</v>
      </c>
      <c r="G52" s="93" t="n">
        <f aca="false">G13+G46</f>
        <v>121051.879899924</v>
      </c>
      <c r="H52" s="172" t="n">
        <f aca="false">H13+H46</f>
        <v>4657.939</v>
      </c>
      <c r="I52" s="93" t="n">
        <f aca="false">I13+I46</f>
        <v>125709.818899924</v>
      </c>
      <c r="J52" s="93" t="n">
        <f aca="false">J13+J46</f>
        <v>7970.71737181749</v>
      </c>
      <c r="K52" s="93" t="n">
        <f aca="false">K13+K46</f>
        <v>133680.526271742</v>
      </c>
      <c r="L52" s="93" t="n">
        <f aca="false">L13+L46</f>
        <v>5518.22049105117</v>
      </c>
      <c r="M52" s="113" t="n">
        <f aca="false">M13+M46</f>
        <v>19323.98</v>
      </c>
      <c r="N52" s="109" t="n">
        <f aca="false">N13+N46</f>
        <v>0</v>
      </c>
      <c r="O52" s="118" t="n">
        <f aca="false">O13+O46</f>
        <v>6518.69005</v>
      </c>
      <c r="P52" s="96"/>
      <c r="Q52" s="118" t="n">
        <f aca="false">Q13+Q46</f>
        <v>457.792940242041</v>
      </c>
      <c r="R52" s="118" t="n">
        <f aca="false">R13+R46</f>
        <v>537.81382144</v>
      </c>
      <c r="S52" s="118" t="n">
        <f aca="false">S13+S46</f>
        <v>48.9087368</v>
      </c>
      <c r="T52" s="118" t="n">
        <f aca="false">T13+T46</f>
        <v>176.63744176</v>
      </c>
      <c r="U52" s="396" t="n">
        <f aca="false">U13+U46</f>
        <v>-15.4916088537026</v>
      </c>
      <c r="V52" s="93" t="n">
        <f aca="false">V13+V46</f>
        <v>10104.11</v>
      </c>
      <c r="W52" s="93" t="n">
        <f aca="false">W13+W46</f>
        <v>3762.985</v>
      </c>
      <c r="X52" s="93" t="n">
        <f aca="false">X13+X46</f>
        <v>25270.0435186117</v>
      </c>
      <c r="Y52" s="93" t="n">
        <f aca="false">Y13+Y46</f>
        <v>24987.1331631793</v>
      </c>
      <c r="Z52" s="93"/>
      <c r="AA52" s="93"/>
      <c r="AB52" s="123"/>
      <c r="AC52" s="93"/>
      <c r="AD52" s="93"/>
      <c r="AE52" s="93"/>
      <c r="AF52" s="113" t="n">
        <f aca="false">AF13+AF46</f>
        <v>154.7</v>
      </c>
      <c r="AG52" s="114" t="n">
        <f aca="false">AG13+AG46</f>
        <v>118.3</v>
      </c>
      <c r="AH52" s="93" t="n">
        <f aca="false">AH13+AH46</f>
        <v>23330</v>
      </c>
      <c r="AI52" s="93" t="n">
        <f aca="false">AI44</f>
        <v>12034.8578774893</v>
      </c>
      <c r="AJ52" s="93" t="n">
        <f aca="false">AJ13+AJ46</f>
        <v>14122</v>
      </c>
      <c r="AK52" s="93" t="n">
        <f aca="false">AK13+AK46</f>
        <v>66191.982</v>
      </c>
      <c r="AL52" s="93" t="n">
        <f aca="false">AL13+AL46</f>
        <v>2452.49688076632</v>
      </c>
      <c r="AM52" s="171" t="n">
        <f aca="false">AM13+AM46</f>
        <v>68644.4788807663</v>
      </c>
      <c r="AN52" s="93" t="n">
        <f aca="false">AN13+AN46</f>
        <v>3115.79</v>
      </c>
      <c r="AO52" s="93" t="n">
        <f aca="false">AO13+AO46</f>
        <v>282.910355432317</v>
      </c>
      <c r="AP52" s="154"/>
      <c r="AQ52" s="186"/>
      <c r="AR52" s="93" t="n">
        <f aca="false">AR13+AR46</f>
        <v>0</v>
      </c>
      <c r="AS52" s="112" t="n">
        <f aca="false">AS13+AS46</f>
        <v>0</v>
      </c>
      <c r="AT52" s="172"/>
      <c r="AV52" s="117" t="n">
        <f aca="false">AV13+AV46</f>
        <v>10.034885361552</v>
      </c>
      <c r="AW52" s="118"/>
      <c r="AX52" s="118"/>
      <c r="AY52" s="161"/>
      <c r="AZ52" s="508" t="n">
        <f aca="false">AZ13+AZ46</f>
        <v>1201.76133138834</v>
      </c>
      <c r="BA52" s="155" t="n">
        <f aca="false">BA13+BA46</f>
        <v>2737.857</v>
      </c>
      <c r="BB52" s="407"/>
    </row>
    <row r="53" customFormat="false" ht="12.95" hidden="false" customHeight="true" outlineLevel="0" collapsed="false">
      <c r="A53" s="11" t="s">
        <v>112</v>
      </c>
      <c r="B53" s="392"/>
      <c r="C53" s="109"/>
      <c r="D53" s="109" t="n">
        <f aca="false">D13+D47</f>
        <v>128863</v>
      </c>
      <c r="E53" s="109" t="n">
        <f aca="false">E44</f>
        <v>220031</v>
      </c>
      <c r="F53" s="171" t="n">
        <f aca="false">F52*$D$2</f>
        <v>128999</v>
      </c>
      <c r="G53" s="93" t="n">
        <f aca="false">G52*$D$2</f>
        <v>240106.4037815</v>
      </c>
      <c r="H53" s="172" t="n">
        <f aca="false">H52*$D$2</f>
        <v>9239.0220065</v>
      </c>
      <c r="I53" s="93" t="n">
        <f aca="false">I52*$D$2</f>
        <v>249345.425788</v>
      </c>
      <c r="J53" s="93" t="n">
        <f aca="false">J52*$D$2</f>
        <v>15809.917907</v>
      </c>
      <c r="K53" s="93" t="n">
        <f aca="false">K52*$D$2</f>
        <v>265155.32386</v>
      </c>
      <c r="L53" s="93" t="n">
        <f aca="false">L52*$D$2</f>
        <v>10945.390344</v>
      </c>
      <c r="M53" s="113" t="n">
        <f aca="false">M52*$D$2</f>
        <v>38329.11433</v>
      </c>
      <c r="N53" s="109" t="n">
        <f aca="false">N52*$D$2</f>
        <v>0</v>
      </c>
      <c r="O53" s="118" t="n">
        <f aca="false">O52*$D$2</f>
        <v>12929.821714175</v>
      </c>
      <c r="P53" s="96"/>
      <c r="Q53" s="118" t="n">
        <f aca="false">Q52*$D$2</f>
        <v>908.032296970088</v>
      </c>
      <c r="R53" s="118" t="n">
        <f aca="false">R52*$D$2</f>
        <v>1066.75371482624</v>
      </c>
      <c r="S53" s="118" t="n">
        <f aca="false">S52*$D$2</f>
        <v>97.0104794428</v>
      </c>
      <c r="T53" s="118" t="n">
        <f aca="false">T52*$D$2</f>
        <v>350.36036573096</v>
      </c>
      <c r="U53" s="396" t="n">
        <f aca="false">U52*$D$2</f>
        <v>-30.7276061613192</v>
      </c>
      <c r="V53" s="93" t="n">
        <f aca="false">V52*$D$2</f>
        <v>20041.502185</v>
      </c>
      <c r="W53" s="93" t="n">
        <f aca="false">W52*$D$2</f>
        <v>7463.8807475</v>
      </c>
      <c r="X53" s="93" t="n">
        <f aca="false">X52*$D$2</f>
        <v>50123.1313191662</v>
      </c>
      <c r="Y53" s="93" t="n">
        <f aca="false">Y52*$D$2</f>
        <v>49561.9786291662</v>
      </c>
      <c r="Z53" s="93"/>
      <c r="AA53" s="93"/>
      <c r="AB53" s="123"/>
      <c r="AC53" s="93"/>
      <c r="AD53" s="93"/>
      <c r="AE53" s="93"/>
      <c r="AF53" s="397" t="n">
        <f aca="false">AF52*$D$2</f>
        <v>306.84745</v>
      </c>
      <c r="AG53" s="177" t="n">
        <f aca="false">AG52*$D$2</f>
        <v>234.64805</v>
      </c>
      <c r="AH53" s="93" t="n">
        <f aca="false">AH52*$D$2</f>
        <v>46275.055</v>
      </c>
      <c r="AI53" s="93" t="n">
        <f aca="false">AI52*$D$2</f>
        <v>23871.1406</v>
      </c>
      <c r="AJ53" s="93" t="n">
        <f aca="false">AJ52*$D$2</f>
        <v>28010.987</v>
      </c>
      <c r="AK53" s="93" t="n">
        <f aca="false">AK52*$D$2</f>
        <v>131291.796297</v>
      </c>
      <c r="AL53" s="93" t="n">
        <f aca="false">AL52*$D$2</f>
        <v>4864.527563</v>
      </c>
      <c r="AM53" s="189" t="n">
        <f aca="false">AM52*$D$2</f>
        <v>136156.32386</v>
      </c>
      <c r="AN53" s="93" t="n">
        <f aca="false">AN52*$D$2</f>
        <v>6180.169465</v>
      </c>
      <c r="AO53" s="93" t="n">
        <f aca="false">AO52*$D$2</f>
        <v>561.15269</v>
      </c>
      <c r="AP53" s="154"/>
      <c r="AQ53" s="186" t="n">
        <f aca="false">AQ13+AQ47</f>
        <v>618.563261448798</v>
      </c>
      <c r="AR53" s="93" t="n">
        <f aca="false">AR52*$D$2</f>
        <v>0</v>
      </c>
      <c r="AS53" s="112" t="n">
        <f aca="false">AS52*$D$2</f>
        <v>0</v>
      </c>
      <c r="AT53" s="172"/>
      <c r="AV53" s="117"/>
      <c r="AW53" s="118"/>
      <c r="AX53" s="118"/>
      <c r="AY53" s="161"/>
      <c r="AZ53" s="519" t="n">
        <f aca="false">AZ52*$D$2</f>
        <v>2383.69360080877</v>
      </c>
      <c r="BA53" s="520" t="n">
        <f aca="false">BA52*$D$2</f>
        <v>5430.5393595</v>
      </c>
      <c r="BB53" s="407"/>
    </row>
    <row r="54" customFormat="false" ht="3" hidden="false" customHeight="true" outlineLevel="0" collapsed="false">
      <c r="A54" s="126"/>
      <c r="B54" s="411"/>
      <c r="C54" s="137"/>
      <c r="D54" s="134"/>
      <c r="E54" s="137"/>
      <c r="F54" s="167"/>
      <c r="G54" s="134"/>
      <c r="H54" s="136"/>
      <c r="I54" s="134"/>
      <c r="J54" s="134"/>
      <c r="K54" s="521"/>
      <c r="L54" s="134"/>
      <c r="M54" s="138"/>
      <c r="N54" s="134"/>
      <c r="O54" s="136"/>
      <c r="P54" s="400"/>
      <c r="Q54" s="136"/>
      <c r="R54" s="136"/>
      <c r="S54" s="134"/>
      <c r="T54" s="134"/>
      <c r="U54" s="401"/>
      <c r="V54" s="134"/>
      <c r="W54" s="134"/>
      <c r="X54" s="134"/>
      <c r="Y54" s="134"/>
      <c r="Z54" s="137"/>
      <c r="AA54" s="134"/>
      <c r="AB54" s="263"/>
      <c r="AC54" s="137"/>
      <c r="AD54" s="137"/>
      <c r="AE54" s="134"/>
      <c r="AF54" s="132"/>
      <c r="AG54" s="193"/>
      <c r="AH54" s="134"/>
      <c r="AI54" s="137"/>
      <c r="AJ54" s="522"/>
      <c r="AK54" s="134"/>
      <c r="AL54" s="134"/>
      <c r="AM54" s="134"/>
      <c r="AN54" s="411"/>
      <c r="AO54" s="134"/>
      <c r="AP54" s="134"/>
      <c r="AQ54" s="268"/>
      <c r="AR54" s="271"/>
      <c r="AS54" s="271"/>
      <c r="AT54" s="268"/>
      <c r="AU54" s="271"/>
      <c r="AV54" s="411"/>
      <c r="AW54" s="134"/>
      <c r="AX54" s="134"/>
      <c r="AY54" s="134"/>
      <c r="AZ54" s="134"/>
      <c r="BA54" s="134"/>
      <c r="BB54" s="134"/>
    </row>
    <row r="55" customFormat="false" ht="14.1" hidden="false" customHeight="true" outlineLevel="0" collapsed="false">
      <c r="A55" s="197"/>
      <c r="B55" s="200"/>
      <c r="D55" s="11"/>
      <c r="E55" s="105"/>
      <c r="I55" s="11"/>
      <c r="J55" s="11"/>
      <c r="K55" s="523"/>
      <c r="L55" s="176"/>
      <c r="M55" s="11"/>
      <c r="N55" s="11"/>
      <c r="Q55" s="524"/>
      <c r="S55" s="11"/>
      <c r="T55" s="11"/>
      <c r="V55" s="11"/>
      <c r="W55" s="11"/>
      <c r="X55" s="11"/>
      <c r="Y55" s="11"/>
      <c r="AA55" s="11"/>
      <c r="AB55" s="176"/>
      <c r="AE55" s="11"/>
      <c r="AF55" s="11"/>
      <c r="AG55" s="11"/>
      <c r="AH55" s="11"/>
      <c r="AI55" s="105"/>
      <c r="AJ55" s="525"/>
      <c r="AK55" s="11"/>
      <c r="AL55" s="11"/>
      <c r="AM55" s="11"/>
      <c r="AN55" s="10"/>
      <c r="AO55" s="10"/>
      <c r="AP55" s="14"/>
      <c r="AQ55" s="80"/>
      <c r="AR55" s="447"/>
      <c r="AX55" s="9"/>
      <c r="BA55" s="5"/>
      <c r="BB55" s="1"/>
    </row>
    <row r="56" customFormat="false" ht="11.1" hidden="false" customHeight="true" outlineLevel="0" collapsed="false">
      <c r="A56" s="11"/>
      <c r="B56" s="200"/>
      <c r="E56" s="423"/>
      <c r="F56" s="212"/>
      <c r="I56" s="12"/>
      <c r="J56" s="11"/>
      <c r="K56" s="201"/>
      <c r="L56" s="120"/>
      <c r="M56" s="11"/>
      <c r="N56" s="11"/>
      <c r="S56" s="150"/>
      <c r="T56" s="150"/>
      <c r="U56" s="108"/>
      <c r="V56" s="27"/>
      <c r="W56" s="150"/>
      <c r="X56" s="526"/>
      <c r="Y56" s="168" t="s">
        <v>140</v>
      </c>
      <c r="Z56" s="176" t="n">
        <f aca="false">Z44*D2</f>
        <v>28683.4476470061</v>
      </c>
      <c r="AA56" s="526"/>
      <c r="AB56" s="176"/>
      <c r="AC56" s="176"/>
      <c r="AD56" s="176"/>
      <c r="AE56" s="27"/>
      <c r="AF56" s="27"/>
      <c r="AG56" s="27"/>
      <c r="AH56" s="11"/>
      <c r="AI56" s="2"/>
      <c r="AJ56" s="121"/>
      <c r="AK56" s="11"/>
      <c r="AL56" s="11"/>
      <c r="AM56" s="11"/>
      <c r="AN56" s="10"/>
      <c r="AO56" s="10"/>
      <c r="AP56" s="14"/>
      <c r="AX56" s="9"/>
    </row>
    <row r="57" customFormat="false" ht="11.1" hidden="false" customHeight="true" outlineLevel="0" collapsed="false">
      <c r="B57" s="176"/>
      <c r="C57" s="176"/>
      <c r="D57" s="58"/>
      <c r="E57" s="423"/>
      <c r="F57" s="254"/>
      <c r="K57" s="424"/>
      <c r="L57" s="484"/>
      <c r="M57" s="527"/>
      <c r="N57" s="527"/>
      <c r="O57" s="528"/>
      <c r="P57" s="529"/>
      <c r="Q57" s="528"/>
      <c r="R57" s="528"/>
      <c r="S57" s="27"/>
      <c r="T57" s="27"/>
      <c r="U57" s="108"/>
      <c r="V57" s="27"/>
      <c r="W57" s="150"/>
      <c r="X57" s="103"/>
      <c r="Z57" s="176"/>
      <c r="AA57" s="103"/>
      <c r="AC57" s="176"/>
      <c r="AD57" s="176"/>
      <c r="AE57" s="176"/>
      <c r="AF57" s="176"/>
      <c r="AG57" s="176"/>
      <c r="AI57" s="27"/>
      <c r="AJ57" s="530"/>
      <c r="AN57" s="100"/>
      <c r="AO57" s="100"/>
      <c r="AP57" s="100"/>
    </row>
    <row r="58" customFormat="false" ht="11.1" hidden="false" customHeight="true" outlineLevel="0" collapsed="false">
      <c r="B58" s="58"/>
      <c r="C58" s="176"/>
      <c r="D58" s="176"/>
      <c r="E58" s="423"/>
      <c r="H58" s="120"/>
      <c r="K58" s="424"/>
      <c r="L58" s="120"/>
      <c r="O58" s="120"/>
      <c r="P58" s="8"/>
      <c r="Q58" s="120"/>
      <c r="R58" s="120"/>
      <c r="S58" s="27"/>
      <c r="T58" s="27"/>
      <c r="U58" s="108"/>
      <c r="V58" s="27"/>
      <c r="W58" s="27"/>
      <c r="X58" s="103"/>
      <c r="Y58" s="109" t="s">
        <v>141</v>
      </c>
      <c r="Z58" s="206" t="n">
        <f aca="false">Y50+Z56</f>
        <v>72000</v>
      </c>
      <c r="AA58" s="103"/>
      <c r="AB58" s="176" t="n">
        <f aca="false">Z58-AN50</f>
        <v>72000</v>
      </c>
      <c r="AC58" s="176" t="s">
        <v>142</v>
      </c>
      <c r="AD58" s="176"/>
      <c r="AE58" s="176"/>
      <c r="AF58" s="176"/>
      <c r="AG58" s="176"/>
      <c r="AI58" s="27"/>
      <c r="AJ58" s="254"/>
      <c r="AN58" s="100"/>
      <c r="AO58" s="100"/>
      <c r="AP58" s="100"/>
    </row>
    <row r="59" customFormat="false" ht="11.1" hidden="false" customHeight="true" outlineLevel="0" collapsed="false">
      <c r="B59" s="8"/>
      <c r="C59" s="176"/>
      <c r="D59" s="176"/>
      <c r="E59" s="423"/>
      <c r="F59" s="425"/>
      <c r="G59" s="58"/>
      <c r="K59" s="201"/>
      <c r="Z59" s="2"/>
      <c r="AC59" s="2"/>
      <c r="AD59" s="2"/>
      <c r="AN59" s="100"/>
      <c r="AO59" s="100"/>
      <c r="AP59" s="100"/>
    </row>
    <row r="60" customFormat="false" ht="11.1" hidden="false" customHeight="true" outlineLevel="0" collapsed="false">
      <c r="Z60" s="2"/>
    </row>
    <row r="61" customFormat="false" ht="11.1" hidden="false" customHeight="true" outlineLevel="0" collapsed="false">
      <c r="B61" s="198"/>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99"/>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12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58" width="4.32"/>
    <col collapsed="false" customWidth="true" hidden="false" outlineLevel="0" max="21" min="21" style="8" width="5.16"/>
    <col collapsed="false" customWidth="true" hidden="false" outlineLevel="0" max="23" min="22" style="58" width="5.49"/>
    <col collapsed="false" customWidth="true" hidden="false" outlineLevel="0" max="25" min="24" style="176" width="6.32"/>
    <col collapsed="false" customWidth="true" hidden="false" outlineLevel="0" max="26" min="26" style="58" width="5.49"/>
    <col collapsed="false" customWidth="true" hidden="false" outlineLevel="0" max="27" min="27" style="176" width="6.32"/>
    <col collapsed="false" customWidth="true" hidden="false" outlineLevel="0" max="28" min="28" style="58" width="5.49"/>
    <col collapsed="false" customWidth="true" hidden="false" outlineLevel="0" max="29" min="29" style="58" width="5.82"/>
    <col collapsed="false" customWidth="true" hidden="false" outlineLevel="0" max="30" min="30" style="206" width="5.49"/>
    <col collapsed="false" customWidth="true" hidden="false" outlineLevel="0" max="33" min="31" style="58" width="5.49"/>
    <col collapsed="false" customWidth="true" hidden="false" outlineLevel="0" max="34" min="34" style="176" width="5.8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1" min="40" style="58" width="5.49"/>
    <col collapsed="false" customWidth="true" hidden="false" outlineLevel="0" max="42" min="42" style="120" width="6.32"/>
    <col collapsed="false" customWidth="true" hidden="false" outlineLevel="0" max="43" min="43" style="323" width="6.32"/>
    <col collapsed="false" customWidth="true" hidden="false" outlineLevel="0" max="44" min="44" style="323" width="5.49"/>
    <col collapsed="false" customWidth="true" hidden="false" outlineLevel="0" max="45" min="45" style="323" width="5.99"/>
    <col collapsed="false" customWidth="true" hidden="false" outlineLevel="0" max="46" min="46" style="425" width="5.82"/>
    <col collapsed="false" customWidth="true" hidden="false" outlineLevel="0" max="47" min="47" style="120" width="4.99"/>
    <col collapsed="false" customWidth="true" hidden="false" outlineLevel="0" max="48" min="48" style="206" width="5.32"/>
    <col collapsed="false" customWidth="true" hidden="false" outlineLevel="0" max="49" min="49" style="206" width="3.82"/>
    <col collapsed="false" customWidth="true" hidden="false" outlineLevel="0" max="50" min="50" style="207" width="3.82"/>
    <col collapsed="false" customWidth="true" hidden="false" outlineLevel="0" max="51" min="51" style="208" width="3.82"/>
    <col collapsed="false" customWidth="true" hidden="false" outlineLevel="0" max="52" min="52" style="208" width="5.49"/>
    <col collapsed="false" customWidth="false" hidden="false" outlineLevel="0" max="54" min="53" style="58" width="9.32"/>
    <col collapsed="false" customWidth="false" hidden="false" outlineLevel="0" max="257" min="55" style="208" width="9.32"/>
  </cols>
  <sheetData>
    <row r="1" customFormat="false" ht="14.1" hidden="false" customHeight="true" outlineLevel="0" collapsed="false">
      <c r="A1" s="11"/>
      <c r="B1" s="11"/>
      <c r="C1" s="2"/>
      <c r="D1" s="11"/>
      <c r="E1" s="2"/>
      <c r="F1" s="11"/>
      <c r="G1" s="11"/>
      <c r="H1" s="4"/>
      <c r="I1" s="11"/>
      <c r="J1" s="11"/>
      <c r="K1" s="13" t="s">
        <v>0</v>
      </c>
      <c r="L1" s="11"/>
      <c r="M1" s="11"/>
      <c r="N1" s="11"/>
      <c r="O1" s="11"/>
      <c r="P1" s="5"/>
      <c r="Q1" s="11"/>
      <c r="R1" s="11"/>
      <c r="S1" s="11"/>
      <c r="T1" s="11"/>
      <c r="U1" s="5"/>
      <c r="V1" s="11"/>
      <c r="W1" s="11"/>
      <c r="X1" s="2"/>
      <c r="Y1" s="2"/>
      <c r="Z1" s="11"/>
      <c r="AA1" s="2"/>
      <c r="AB1" s="11"/>
      <c r="AC1" s="11"/>
      <c r="AD1" s="9"/>
      <c r="AE1" s="11"/>
      <c r="AF1" s="11"/>
      <c r="AG1" s="11"/>
      <c r="AH1" s="2"/>
      <c r="AI1" s="11"/>
      <c r="AJ1" s="14"/>
      <c r="AK1" s="11"/>
      <c r="AL1" s="11"/>
      <c r="AM1" s="5"/>
      <c r="AN1" s="14"/>
      <c r="AO1" s="14"/>
      <c r="AP1" s="381"/>
      <c r="AS1" s="6"/>
      <c r="AT1" s="101"/>
      <c r="AU1" s="4"/>
      <c r="AV1" s="3"/>
      <c r="AW1" s="9"/>
      <c r="AX1" s="10"/>
      <c r="AY1" s="0"/>
      <c r="AZ1" s="0"/>
      <c r="BA1" s="1"/>
      <c r="BB1" s="1"/>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4" t="s">
        <v>1</v>
      </c>
      <c r="B2" s="11"/>
      <c r="C2" s="2"/>
      <c r="D2" s="15" t="n">
        <v>1.9835</v>
      </c>
      <c r="E2" s="2"/>
      <c r="F2" s="11"/>
      <c r="G2" s="200"/>
      <c r="H2" s="4"/>
      <c r="I2" s="11"/>
      <c r="J2" s="11"/>
      <c r="K2" s="491" t="s">
        <v>143</v>
      </c>
      <c r="L2" s="491"/>
      <c r="M2" s="491"/>
      <c r="N2" s="491"/>
      <c r="O2" s="491"/>
      <c r="P2" s="491"/>
      <c r="Q2" s="491"/>
      <c r="R2" s="491"/>
      <c r="S2" s="491"/>
      <c r="T2" s="491"/>
      <c r="U2" s="6"/>
      <c r="V2" s="384"/>
      <c r="W2" s="384"/>
      <c r="X2" s="385"/>
      <c r="Y2" s="385"/>
      <c r="Z2" s="384"/>
      <c r="AA2" s="385"/>
      <c r="AB2" s="384"/>
      <c r="AC2" s="384"/>
      <c r="AD2" s="10"/>
      <c r="AE2" s="384"/>
      <c r="AF2" s="384"/>
      <c r="AG2" s="384"/>
      <c r="AH2" s="385"/>
      <c r="AI2" s="11"/>
      <c r="AJ2" s="14"/>
      <c r="AK2" s="11"/>
      <c r="AL2" s="11"/>
      <c r="AM2" s="5"/>
      <c r="AN2" s="14"/>
      <c r="AO2" s="14"/>
      <c r="AP2" s="381"/>
      <c r="AS2" s="6"/>
      <c r="AT2" s="101"/>
      <c r="AU2" s="4"/>
      <c r="AV2" s="3"/>
      <c r="AW2" s="9"/>
      <c r="AX2" s="10"/>
      <c r="AY2" s="0"/>
      <c r="AZ2" s="0"/>
      <c r="BA2" s="1"/>
      <c r="BB2" s="1"/>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3.5" hidden="false" customHeight="true" outlineLevel="0" collapsed="false">
      <c r="A3" s="17"/>
      <c r="B3" s="17"/>
      <c r="C3" s="18"/>
      <c r="D3" s="19"/>
      <c r="E3" s="18"/>
      <c r="F3" s="17"/>
      <c r="G3" s="17"/>
      <c r="H3" s="23"/>
      <c r="I3" s="17"/>
      <c r="J3" s="17"/>
      <c r="K3" s="17"/>
      <c r="L3" s="17"/>
      <c r="M3" s="17"/>
      <c r="N3" s="17"/>
      <c r="O3" s="17"/>
      <c r="P3" s="21"/>
      <c r="Q3" s="17"/>
      <c r="R3" s="17"/>
      <c r="S3" s="17"/>
      <c r="T3" s="17"/>
      <c r="U3" s="21"/>
      <c r="V3" s="17"/>
      <c r="W3" s="17"/>
      <c r="X3" s="18"/>
      <c r="Y3" s="18"/>
      <c r="Z3" s="17"/>
      <c r="AA3" s="18"/>
      <c r="AB3" s="17"/>
      <c r="AC3" s="17"/>
      <c r="AD3" s="29"/>
      <c r="AE3" s="17"/>
      <c r="AF3" s="17"/>
      <c r="AG3" s="17"/>
      <c r="AH3" s="18"/>
      <c r="AI3" s="17"/>
      <c r="AJ3" s="387"/>
      <c r="AK3" s="17"/>
      <c r="AL3" s="17"/>
      <c r="AM3" s="21"/>
      <c r="AN3" s="387"/>
      <c r="AO3" s="387"/>
      <c r="AP3" s="386"/>
      <c r="AS3" s="6"/>
      <c r="AT3" s="101"/>
      <c r="AU3" s="4"/>
      <c r="AV3" s="28"/>
      <c r="AW3" s="29"/>
      <c r="AX3" s="30"/>
      <c r="AY3" s="0"/>
      <c r="AZ3" s="0"/>
      <c r="BA3" s="24"/>
      <c r="BB3" s="1"/>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1"/>
      <c r="B4" s="531"/>
      <c r="C4" s="532"/>
      <c r="D4" s="532" t="s">
        <v>3</v>
      </c>
      <c r="E4" s="532"/>
      <c r="F4" s="533"/>
      <c r="H4" s="534"/>
      <c r="I4" s="534" t="s">
        <v>144</v>
      </c>
      <c r="J4" s="534"/>
      <c r="K4" s="534"/>
      <c r="L4" s="535"/>
      <c r="N4" s="534"/>
      <c r="O4" s="534"/>
      <c r="P4" s="534"/>
      <c r="Q4" s="534"/>
      <c r="R4" s="534"/>
      <c r="S4" s="534"/>
      <c r="T4" s="534"/>
      <c r="U4" s="534"/>
      <c r="V4" s="534"/>
      <c r="W4" s="534"/>
      <c r="X4" s="534"/>
      <c r="Y4" s="534"/>
      <c r="Z4" s="534"/>
      <c r="AA4" s="534" t="s">
        <v>5</v>
      </c>
      <c r="AB4" s="534"/>
      <c r="AC4" s="534"/>
      <c r="AD4" s="534"/>
      <c r="AE4" s="534"/>
      <c r="AF4" s="534"/>
      <c r="AG4" s="534"/>
      <c r="AH4" s="534"/>
      <c r="AI4" s="534"/>
      <c r="AJ4" s="534"/>
      <c r="AK4" s="534"/>
      <c r="AL4" s="534"/>
      <c r="AM4" s="536"/>
      <c r="AN4" s="537"/>
      <c r="AO4" s="538"/>
      <c r="AP4" s="538"/>
      <c r="AQ4" s="538" t="s">
        <v>6</v>
      </c>
      <c r="AR4" s="538"/>
      <c r="AS4" s="538"/>
      <c r="AT4" s="538"/>
      <c r="AU4" s="539"/>
      <c r="AV4" s="540"/>
      <c r="AW4" s="541" t="s">
        <v>7</v>
      </c>
      <c r="AX4" s="541"/>
      <c r="AY4" s="542"/>
      <c r="AZ4" s="364"/>
      <c r="BA4" s="495"/>
      <c r="BB4" s="496"/>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97" t="s">
        <v>18</v>
      </c>
      <c r="N5" s="497"/>
      <c r="O5" s="497"/>
      <c r="P5" s="497"/>
      <c r="Q5" s="497"/>
      <c r="R5" s="497"/>
      <c r="S5" s="497"/>
      <c r="T5" s="497"/>
      <c r="U5" s="497"/>
      <c r="V5" s="359" t="s">
        <v>19</v>
      </c>
      <c r="W5" s="359" t="s">
        <v>20</v>
      </c>
      <c r="X5" s="60" t="s">
        <v>17</v>
      </c>
      <c r="Y5" s="60" t="s">
        <v>17</v>
      </c>
      <c r="Z5" s="68" t="s">
        <v>21</v>
      </c>
      <c r="AA5" s="60" t="s">
        <v>21</v>
      </c>
      <c r="AB5" s="67" t="s">
        <v>21</v>
      </c>
      <c r="AC5" s="446" t="s">
        <v>22</v>
      </c>
      <c r="AD5" s="451" t="s">
        <v>21</v>
      </c>
      <c r="AE5" s="359" t="s">
        <v>23</v>
      </c>
      <c r="AF5" s="449" t="s">
        <v>145</v>
      </c>
      <c r="AG5" s="450"/>
      <c r="AH5" s="451" t="s">
        <v>25</v>
      </c>
      <c r="AI5" s="446" t="s">
        <v>133</v>
      </c>
      <c r="AJ5" s="446" t="s">
        <v>27</v>
      </c>
      <c r="AK5" s="359" t="s">
        <v>15</v>
      </c>
      <c r="AL5" s="359" t="s">
        <v>16</v>
      </c>
      <c r="AM5" s="359" t="s">
        <v>17</v>
      </c>
      <c r="AN5" s="498" t="s">
        <v>28</v>
      </c>
      <c r="AO5" s="67" t="s">
        <v>21</v>
      </c>
      <c r="AP5" s="74" t="s">
        <v>29</v>
      </c>
      <c r="AQ5" s="74" t="s">
        <v>29</v>
      </c>
      <c r="AR5" s="69" t="s">
        <v>30</v>
      </c>
      <c r="AS5" s="543" t="s">
        <v>31</v>
      </c>
      <c r="AT5" s="544" t="s">
        <v>32</v>
      </c>
      <c r="AU5" s="76" t="s">
        <v>33</v>
      </c>
      <c r="AV5" s="452" t="s">
        <v>34</v>
      </c>
      <c r="AW5" s="451" t="s">
        <v>35</v>
      </c>
      <c r="AX5" s="451" t="s">
        <v>36</v>
      </c>
      <c r="AY5" s="283"/>
      <c r="AZ5" s="328" t="s">
        <v>17</v>
      </c>
      <c r="BA5" s="456" t="s">
        <v>37</v>
      </c>
      <c r="BB5" s="81" t="s">
        <v>37</v>
      </c>
    </row>
    <row r="6" customFormat="false" ht="12.95" hidden="false" customHeight="true" outlineLevel="0" collapsed="false">
      <c r="A6" s="454" t="s">
        <v>146</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456" t="s">
        <v>135</v>
      </c>
      <c r="Q6" s="63" t="s">
        <v>51</v>
      </c>
      <c r="R6" s="63" t="s">
        <v>52</v>
      </c>
      <c r="S6" s="63"/>
      <c r="T6" s="63" t="s">
        <v>49</v>
      </c>
      <c r="U6" s="457" t="s">
        <v>53</v>
      </c>
      <c r="V6" s="359" t="s">
        <v>54</v>
      </c>
      <c r="W6" s="359" t="s">
        <v>55</v>
      </c>
      <c r="X6" s="60" t="s">
        <v>21</v>
      </c>
      <c r="Y6" s="60" t="s">
        <v>21</v>
      </c>
      <c r="Z6" s="67" t="s">
        <v>56</v>
      </c>
      <c r="AA6" s="60" t="s">
        <v>56</v>
      </c>
      <c r="AB6" s="67" t="s">
        <v>57</v>
      </c>
      <c r="AC6" s="446" t="s">
        <v>58</v>
      </c>
      <c r="AD6" s="451" t="s">
        <v>59</v>
      </c>
      <c r="AE6" s="359" t="s">
        <v>60</v>
      </c>
      <c r="AF6" s="83" t="s">
        <v>61</v>
      </c>
      <c r="AG6" s="87" t="s">
        <v>62</v>
      </c>
      <c r="AH6" s="451" t="s">
        <v>63</v>
      </c>
      <c r="AI6" s="446" t="s">
        <v>64</v>
      </c>
      <c r="AJ6" s="446"/>
      <c r="AK6" s="359" t="s">
        <v>65</v>
      </c>
      <c r="AL6" s="359" t="s">
        <v>65</v>
      </c>
      <c r="AM6" s="359" t="s">
        <v>65</v>
      </c>
      <c r="AN6" s="500" t="s">
        <v>66</v>
      </c>
      <c r="AO6" s="67" t="s">
        <v>67</v>
      </c>
      <c r="AP6" s="74" t="s">
        <v>68</v>
      </c>
      <c r="AQ6" s="74" t="s">
        <v>68</v>
      </c>
      <c r="AR6" s="69" t="s">
        <v>69</v>
      </c>
      <c r="AS6" s="75" t="s">
        <v>70</v>
      </c>
      <c r="AT6" s="544" t="s">
        <v>71</v>
      </c>
      <c r="AU6" s="76" t="s">
        <v>72</v>
      </c>
      <c r="AV6" s="458"/>
      <c r="AW6" s="451" t="s">
        <v>73</v>
      </c>
      <c r="AX6" s="451" t="s">
        <v>73</v>
      </c>
      <c r="AY6" s="283"/>
      <c r="AZ6" s="328" t="s">
        <v>74</v>
      </c>
      <c r="BA6" s="80" t="s">
        <v>75</v>
      </c>
      <c r="BB6" s="81" t="s">
        <v>76</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E7" s="359"/>
      <c r="AF7" s="545" t="n">
        <v>1.7</v>
      </c>
      <c r="AG7" s="546" t="n">
        <v>1.3</v>
      </c>
      <c r="AH7" s="451"/>
      <c r="AI7" s="446"/>
      <c r="AJ7" s="446"/>
      <c r="AK7" s="359"/>
      <c r="AL7" s="359"/>
      <c r="AM7" s="359"/>
      <c r="AN7" s="500"/>
      <c r="AO7" s="67" t="s">
        <v>42</v>
      </c>
      <c r="AP7" s="74" t="s">
        <v>86</v>
      </c>
      <c r="AQ7" s="74" t="s">
        <v>87</v>
      </c>
      <c r="AR7" s="69" t="s">
        <v>88</v>
      </c>
      <c r="AS7" s="75" t="s">
        <v>89</v>
      </c>
      <c r="AT7" s="544" t="s">
        <v>90</v>
      </c>
      <c r="AU7" s="76" t="s">
        <v>81</v>
      </c>
      <c r="AV7" s="458"/>
      <c r="AW7" s="451"/>
      <c r="AX7" s="451"/>
      <c r="AY7" s="283"/>
      <c r="AZ7" s="328" t="s">
        <v>91</v>
      </c>
      <c r="BA7" s="8"/>
      <c r="BB7" s="91"/>
    </row>
    <row r="8" customFormat="false" ht="12.95" hidden="false" customHeight="true" outlineLevel="0" collapsed="false">
      <c r="A8" s="359"/>
      <c r="B8" s="445"/>
      <c r="C8" s="446"/>
      <c r="D8" s="359"/>
      <c r="E8" s="446"/>
      <c r="F8" s="359"/>
      <c r="G8" s="445"/>
      <c r="H8" s="447"/>
      <c r="I8" s="359"/>
      <c r="J8" s="359"/>
      <c r="K8" s="359"/>
      <c r="L8" s="359"/>
      <c r="M8" s="455"/>
      <c r="N8" s="63"/>
      <c r="O8" s="547" t="n">
        <v>26517</v>
      </c>
      <c r="P8" s="80"/>
      <c r="Q8" s="63" t="s">
        <v>62</v>
      </c>
      <c r="R8" s="63" t="s">
        <v>62</v>
      </c>
      <c r="S8" s="63"/>
      <c r="T8" s="63"/>
      <c r="U8" s="457"/>
      <c r="V8" s="359"/>
      <c r="W8" s="359"/>
      <c r="X8" s="72" t="s">
        <v>92</v>
      </c>
      <c r="Y8" s="62" t="s">
        <v>81</v>
      </c>
      <c r="Z8" s="67"/>
      <c r="AA8" s="62" t="s">
        <v>93</v>
      </c>
      <c r="AB8" s="67" t="s">
        <v>94</v>
      </c>
      <c r="AC8" s="446"/>
      <c r="AD8" s="548" t="n">
        <v>2967</v>
      </c>
      <c r="AE8" s="359"/>
      <c r="AF8" s="460"/>
      <c r="AG8" s="461"/>
      <c r="AH8" s="451"/>
      <c r="AI8" s="446" t="n">
        <v>31798</v>
      </c>
      <c r="AJ8" s="446"/>
      <c r="AK8" s="359"/>
      <c r="AL8" s="359"/>
      <c r="AM8" s="359"/>
      <c r="AN8" s="500"/>
      <c r="AO8" s="67"/>
      <c r="AP8" s="74"/>
      <c r="AQ8" s="74"/>
      <c r="AR8" s="69"/>
      <c r="AS8" s="462" t="n">
        <v>1524.4</v>
      </c>
      <c r="AT8" s="549" t="n">
        <v>400</v>
      </c>
      <c r="AU8" s="76"/>
      <c r="AV8" s="458"/>
      <c r="AW8" s="451"/>
      <c r="AX8" s="451"/>
      <c r="AY8" s="283"/>
      <c r="AZ8" s="328"/>
      <c r="BA8" s="8"/>
      <c r="BB8" s="91"/>
    </row>
    <row r="9" customFormat="false" ht="12.95" hidden="false" customHeight="true" outlineLevel="0" collapsed="false">
      <c r="A9" s="359"/>
      <c r="B9" s="445"/>
      <c r="C9" s="446"/>
      <c r="D9" s="359"/>
      <c r="E9" s="446"/>
      <c r="F9" s="359"/>
      <c r="G9" s="445"/>
      <c r="H9" s="447"/>
      <c r="I9" s="359"/>
      <c r="J9" s="359"/>
      <c r="K9" s="359"/>
      <c r="L9" s="359"/>
      <c r="M9" s="455"/>
      <c r="N9" s="80"/>
      <c r="O9" s="359"/>
      <c r="P9" s="80"/>
      <c r="Q9" s="63"/>
      <c r="R9" s="92" t="n">
        <v>4.2</v>
      </c>
      <c r="S9" s="63"/>
      <c r="T9" s="63"/>
      <c r="U9" s="457"/>
      <c r="V9" s="359"/>
      <c r="W9" s="359"/>
      <c r="X9" s="72"/>
      <c r="Y9" s="62" t="s">
        <v>92</v>
      </c>
      <c r="Z9" s="67"/>
      <c r="AA9" s="62" t="s">
        <v>92</v>
      </c>
      <c r="AB9" s="67" t="s">
        <v>95</v>
      </c>
      <c r="AC9" s="446"/>
      <c r="AD9" s="451"/>
      <c r="AE9" s="359"/>
      <c r="AF9" s="460"/>
      <c r="AG9" s="461"/>
      <c r="AH9" s="451"/>
      <c r="AI9" s="446"/>
      <c r="AJ9" s="446"/>
      <c r="AK9" s="359"/>
      <c r="AL9" s="359"/>
      <c r="AM9" s="359"/>
      <c r="AN9" s="500"/>
      <c r="AO9" s="67"/>
      <c r="AP9" s="74"/>
      <c r="AQ9" s="74"/>
      <c r="AR9" s="69"/>
      <c r="AS9" s="75"/>
      <c r="AT9" s="549" t="n">
        <f aca="false">AT8/D2</f>
        <v>201.663725737333</v>
      </c>
      <c r="AU9" s="76"/>
      <c r="AV9" s="458"/>
      <c r="AW9" s="451"/>
      <c r="AX9" s="451"/>
      <c r="AY9" s="283"/>
      <c r="AZ9" s="328"/>
      <c r="BA9" s="8"/>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51"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69" t="s">
        <v>42</v>
      </c>
      <c r="AS10" s="67" t="s">
        <v>42</v>
      </c>
      <c r="AT10" s="67" t="s">
        <v>42</v>
      </c>
      <c r="AU10" s="67" t="s">
        <v>42</v>
      </c>
      <c r="AV10" s="458"/>
      <c r="AW10" s="451"/>
      <c r="AX10" s="451"/>
      <c r="AY10" s="283"/>
      <c r="AZ10" s="328" t="s">
        <v>100</v>
      </c>
      <c r="BA10" s="80" t="s">
        <v>42</v>
      </c>
      <c r="BB10" s="81" t="s">
        <v>98</v>
      </c>
      <c r="BD10" s="550"/>
    </row>
    <row r="11" customFormat="false" ht="12.95" hidden="false" customHeight="true" outlineLevel="0" collapsed="false">
      <c r="A11" s="501"/>
      <c r="B11" s="359"/>
      <c r="C11" s="446"/>
      <c r="D11" s="359"/>
      <c r="E11" s="446"/>
      <c r="F11" s="501"/>
      <c r="G11" s="359"/>
      <c r="H11" s="447"/>
      <c r="I11" s="359"/>
      <c r="J11" s="359"/>
      <c r="K11" s="359"/>
      <c r="L11" s="459"/>
      <c r="M11" s="359"/>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241"/>
      <c r="AE11" s="359"/>
      <c r="AF11" s="460"/>
      <c r="AG11" s="461"/>
      <c r="AH11" s="451"/>
      <c r="AI11" s="446"/>
      <c r="AJ11" s="446"/>
      <c r="AK11" s="359"/>
      <c r="AL11" s="359"/>
      <c r="AM11" s="359"/>
      <c r="AN11" s="500"/>
      <c r="AO11" s="67"/>
      <c r="AP11" s="74"/>
      <c r="AQ11" s="74"/>
      <c r="AR11" s="69"/>
      <c r="AS11" s="100"/>
      <c r="AT11" s="361"/>
      <c r="AU11" s="551"/>
      <c r="AV11" s="552"/>
      <c r="AW11" s="451"/>
      <c r="AX11" s="451"/>
      <c r="AY11" s="283"/>
      <c r="AZ11" s="328" t="s">
        <v>42</v>
      </c>
      <c r="BA11" s="8"/>
      <c r="BB11" s="91"/>
    </row>
    <row r="12" s="260" customFormat="true" ht="12.95" hidden="false" customHeight="true" outlineLevel="0" collapsed="false">
      <c r="A12" s="553" t="s">
        <v>102</v>
      </c>
      <c r="B12" s="155"/>
      <c r="C12" s="123"/>
      <c r="D12" s="123"/>
      <c r="E12" s="123"/>
      <c r="F12" s="240" t="n">
        <f aca="false">JUN!F49</f>
        <v>54635.7448953869</v>
      </c>
      <c r="G12" s="123" t="n">
        <f aca="false">JUN!G49</f>
        <v>104792</v>
      </c>
      <c r="H12" s="123" t="n">
        <f aca="false">JUN!H49</f>
        <v>4369.24</v>
      </c>
      <c r="I12" s="123" t="n">
        <f aca="false">JUN!I49</f>
        <v>109161.24</v>
      </c>
      <c r="J12" s="123" t="n">
        <f aca="false">JUN!J49</f>
        <v>4589.49814066045</v>
      </c>
      <c r="K12" s="123" t="n">
        <f aca="false">JUN!K49</f>
        <v>113750.72814066</v>
      </c>
      <c r="L12" s="245" t="n">
        <f aca="false">JUN!L49</f>
        <v>2455.00189538694</v>
      </c>
      <c r="M12" s="123" t="n">
        <f aca="false">JUN!M49</f>
        <v>18568.98</v>
      </c>
      <c r="N12" s="123" t="n">
        <f aca="false">JUN!N49</f>
        <v>0</v>
      </c>
      <c r="O12" s="123" t="n">
        <f aca="false">JUN!O49</f>
        <v>6516.9565</v>
      </c>
      <c r="P12" s="373" t="n">
        <f aca="false">JUN!P49</f>
        <v>0</v>
      </c>
      <c r="Q12" s="123"/>
      <c r="R12" s="123"/>
      <c r="S12" s="123"/>
      <c r="T12" s="123"/>
      <c r="U12" s="243"/>
      <c r="V12" s="123" t="n">
        <f aca="false">JUN!V49</f>
        <v>6889.3</v>
      </c>
      <c r="W12" s="123" t="n">
        <f aca="false">JUN!W49</f>
        <v>3732.9</v>
      </c>
      <c r="X12" s="123" t="n">
        <f aca="false">JUN!X49</f>
        <v>21871.2136894348</v>
      </c>
      <c r="Y12" s="123" t="n">
        <f aca="false">JUN!Y49</f>
        <v>21838.4433340025</v>
      </c>
      <c r="Z12" s="123" t="n">
        <f aca="false">JUN!Z44</f>
        <v>14461.0272987175</v>
      </c>
      <c r="AA12" s="123" t="n">
        <v>375.594650529493</v>
      </c>
      <c r="AB12" s="123" t="n">
        <f aca="false">JUN!AB44</f>
        <v>72000</v>
      </c>
      <c r="AC12" s="123" t="n">
        <f aca="false">JUN!AC44</f>
        <v>1405.40647463947</v>
      </c>
      <c r="AD12" s="241" t="n">
        <f aca="false">AD8/D2</f>
        <v>1495.84068565667</v>
      </c>
      <c r="AE12" s="123" t="n">
        <f aca="false">JUN!AE49</f>
        <v>9778.773</v>
      </c>
      <c r="AF12" s="242" t="n">
        <f aca="false">JUN!AF49</f>
        <v>154.7</v>
      </c>
      <c r="AG12" s="245" t="n">
        <f aca="false">JUN!AG49</f>
        <v>118.3</v>
      </c>
      <c r="AH12" s="123"/>
      <c r="AI12" s="123"/>
      <c r="AJ12" s="123" t="n">
        <f aca="false">JUN!AJ49</f>
        <v>14122</v>
      </c>
      <c r="AK12" s="123" t="n">
        <f aca="false">JUN!AK49</f>
        <v>56980.487</v>
      </c>
      <c r="AL12" s="123" t="n">
        <f aca="false">JUN!AL49</f>
        <v>2134.49624527351</v>
      </c>
      <c r="AM12" s="240" t="n">
        <f aca="false">JUN!AM49</f>
        <v>59114.9832452735</v>
      </c>
      <c r="AN12" s="241"/>
      <c r="AO12" s="241"/>
      <c r="AP12" s="156"/>
      <c r="AQ12" s="123" t="n">
        <f aca="false">JUN!AQ50</f>
        <v>618.563261448798</v>
      </c>
      <c r="AR12" s="123" t="n">
        <f aca="false">JUN!AR49</f>
        <v>0</v>
      </c>
      <c r="AS12" s="123" t="n">
        <f aca="false">JUN!AS49</f>
        <v>0</v>
      </c>
      <c r="AT12" s="123" t="n">
        <f aca="false">JUN!AT49</f>
        <v>172.906</v>
      </c>
      <c r="AU12" s="240"/>
      <c r="AV12" s="186"/>
      <c r="AW12" s="241"/>
      <c r="AX12" s="241"/>
      <c r="AY12" s="283"/>
      <c r="AZ12" s="468" t="n">
        <f aca="false">JUN!AZ49</f>
        <v>646.809310565204</v>
      </c>
      <c r="BA12" s="527" t="n">
        <f aca="false">JUN!BA49</f>
        <v>2653.399</v>
      </c>
      <c r="BB12" s="407"/>
    </row>
    <row r="13" customFormat="false" ht="12.95" hidden="false" customHeight="true" outlineLevel="0" collapsed="false">
      <c r="A13" s="554" t="s">
        <v>103</v>
      </c>
      <c r="B13" s="373" t="n">
        <f aca="false">JUN!B44</f>
        <v>6921.94</v>
      </c>
      <c r="C13" s="123" t="n">
        <f aca="false">JUN!C44</f>
        <v>372031</v>
      </c>
      <c r="D13" s="123" t="n">
        <f aca="false">JUN!D53</f>
        <v>128863</v>
      </c>
      <c r="E13" s="123" t="n">
        <f aca="false">JUN!E53</f>
        <v>220031</v>
      </c>
      <c r="F13" s="240" t="n">
        <f aca="false">JUN!F52</f>
        <v>65036.0473909756</v>
      </c>
      <c r="G13" s="123" t="n">
        <f aca="false">JUN!G52</f>
        <v>121051.879899924</v>
      </c>
      <c r="H13" s="123" t="n">
        <f aca="false">JUN!H52</f>
        <v>4657.939</v>
      </c>
      <c r="I13" s="123" t="n">
        <f aca="false">JUN!I52</f>
        <v>125709.818899924</v>
      </c>
      <c r="J13" s="123" t="n">
        <f aca="false">JUN!J52</f>
        <v>7970.71737181749</v>
      </c>
      <c r="K13" s="123" t="n">
        <f aca="false">JUN!K52</f>
        <v>133680.526271742</v>
      </c>
      <c r="L13" s="245" t="n">
        <f aca="false">JUN!L52</f>
        <v>5518.22049105117</v>
      </c>
      <c r="M13" s="123" t="n">
        <f aca="false">JUN!M52</f>
        <v>19323.98</v>
      </c>
      <c r="N13" s="123" t="n">
        <f aca="false">JUN!N52</f>
        <v>0</v>
      </c>
      <c r="O13" s="123" t="n">
        <f aca="false">JUN!O52</f>
        <v>6518.69005</v>
      </c>
      <c r="P13" s="123" t="n">
        <f aca="false">JUN!P52</f>
        <v>0</v>
      </c>
      <c r="Q13" s="123" t="n">
        <f aca="false">JUN!Q52</f>
        <v>457.792940242041</v>
      </c>
      <c r="R13" s="123" t="n">
        <f aca="false">JUN!R52</f>
        <v>537.81382144</v>
      </c>
      <c r="S13" s="123" t="n">
        <f aca="false">JUN!S52</f>
        <v>48.9087368</v>
      </c>
      <c r="T13" s="123" t="n">
        <f aca="false">JUN!T52</f>
        <v>176.63744176</v>
      </c>
      <c r="U13" s="352" t="n">
        <f aca="false">JUN!U52</f>
        <v>-15.4916088537026</v>
      </c>
      <c r="V13" s="123" t="n">
        <f aca="false">JUN!V52</f>
        <v>10104.11</v>
      </c>
      <c r="W13" s="123" t="n">
        <f aca="false">JUN!W52</f>
        <v>3762.985</v>
      </c>
      <c r="X13" s="123" t="n">
        <f aca="false">JUN!X52</f>
        <v>25270.0435186117</v>
      </c>
      <c r="Y13" s="123" t="n">
        <f aca="false">JUN!Y52</f>
        <v>24987.1331631793</v>
      </c>
      <c r="Z13" s="123"/>
      <c r="AA13" s="123"/>
      <c r="AB13" s="123"/>
      <c r="AC13" s="123"/>
      <c r="AD13" s="241"/>
      <c r="AE13" s="123" t="n">
        <f aca="false">JUN!AE50</f>
        <v>19396.1962455</v>
      </c>
      <c r="AF13" s="296" t="n">
        <f aca="false">AF12</f>
        <v>154.7</v>
      </c>
      <c r="AG13" s="297" t="n">
        <f aca="false">AG12</f>
        <v>118.3</v>
      </c>
      <c r="AH13" s="123" t="n">
        <f aca="false">JUN!AH52</f>
        <v>23330</v>
      </c>
      <c r="AI13" s="123" t="n">
        <f aca="false">JUN!AI52</f>
        <v>12034.8578774893</v>
      </c>
      <c r="AJ13" s="123" t="n">
        <f aca="false">JUN!AJ52</f>
        <v>14122</v>
      </c>
      <c r="AK13" s="123" t="n">
        <f aca="false">JUN!AK52</f>
        <v>66191.982</v>
      </c>
      <c r="AL13" s="123" t="n">
        <f aca="false">JUN!AL52</f>
        <v>2452.49688076632</v>
      </c>
      <c r="AM13" s="240" t="n">
        <f aca="false">JUN!AM52</f>
        <v>68644.4788807663</v>
      </c>
      <c r="AN13" s="123" t="n">
        <f aca="false">JUN!AN52</f>
        <v>3115.79</v>
      </c>
      <c r="AO13" s="123" t="n">
        <f aca="false">JUN!AO52</f>
        <v>282.910355432317</v>
      </c>
      <c r="AP13" s="156"/>
      <c r="AQ13" s="123" t="n">
        <f aca="false">JUN!AQ53</f>
        <v>618.563261448798</v>
      </c>
      <c r="AR13" s="123" t="n">
        <f aca="false">JUN!AR52</f>
        <v>0</v>
      </c>
      <c r="AS13" s="123" t="n">
        <f aca="false">JUN!AS52</f>
        <v>0</v>
      </c>
      <c r="AT13" s="186" t="n">
        <v>0</v>
      </c>
      <c r="AU13" s="555"/>
      <c r="AV13" s="373" t="n">
        <f aca="false">JUN!AV52</f>
        <v>10.034885361552</v>
      </c>
      <c r="AW13" s="241"/>
      <c r="AX13" s="241"/>
      <c r="AY13" s="336"/>
      <c r="AZ13" s="375" t="n">
        <f aca="false">JUN!AZ52</f>
        <v>1201.76133138834</v>
      </c>
      <c r="BA13" s="527" t="n">
        <f aca="false">JUN!BA52</f>
        <v>2737.857</v>
      </c>
      <c r="BB13" s="104"/>
    </row>
    <row r="14" customFormat="false" ht="3" hidden="false" customHeight="true" outlineLevel="0" collapsed="false">
      <c r="A14" s="261"/>
      <c r="B14" s="262"/>
      <c r="C14" s="263"/>
      <c r="D14" s="264"/>
      <c r="E14" s="263"/>
      <c r="F14" s="265"/>
      <c r="G14" s="264"/>
      <c r="H14" s="271"/>
      <c r="I14" s="264"/>
      <c r="J14" s="264"/>
      <c r="K14" s="264"/>
      <c r="L14" s="272"/>
      <c r="M14" s="264"/>
      <c r="N14" s="264"/>
      <c r="O14" s="264"/>
      <c r="P14" s="268"/>
      <c r="Q14" s="264"/>
      <c r="R14" s="264"/>
      <c r="S14" s="264"/>
      <c r="T14" s="264"/>
      <c r="U14" s="269"/>
      <c r="V14" s="264"/>
      <c r="W14" s="264"/>
      <c r="X14" s="264"/>
      <c r="Y14" s="264"/>
      <c r="Z14" s="263"/>
      <c r="AA14" s="264"/>
      <c r="AB14" s="263"/>
      <c r="AC14" s="263"/>
      <c r="AD14" s="274"/>
      <c r="AE14" s="264"/>
      <c r="AF14" s="267"/>
      <c r="AG14" s="272"/>
      <c r="AH14" s="264"/>
      <c r="AI14" s="263"/>
      <c r="AJ14" s="263"/>
      <c r="AK14" s="264"/>
      <c r="AL14" s="264"/>
      <c r="AM14" s="265"/>
      <c r="AN14" s="274"/>
      <c r="AO14" s="274"/>
      <c r="AP14" s="271"/>
      <c r="AQ14" s="268"/>
      <c r="AR14" s="268"/>
      <c r="AS14" s="268"/>
      <c r="AT14" s="268"/>
      <c r="AU14" s="271"/>
      <c r="AV14" s="556"/>
      <c r="AW14" s="274"/>
      <c r="AX14" s="274"/>
      <c r="AY14" s="274"/>
      <c r="AZ14" s="274"/>
      <c r="BA14" s="274"/>
      <c r="BB14" s="274"/>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207" t="n">
        <v>1</v>
      </c>
      <c r="B15" s="122" t="n">
        <v>6921.81</v>
      </c>
      <c r="C15" s="123" t="n">
        <v>371462</v>
      </c>
      <c r="D15" s="118" t="n">
        <f aca="false">C15-C13</f>
        <v>-569</v>
      </c>
      <c r="E15" s="123" t="n">
        <f aca="false">C15-152000</f>
        <v>219462</v>
      </c>
      <c r="F15" s="277" t="n">
        <f aca="false">D15/$D$2</f>
        <v>-286.866649861356</v>
      </c>
      <c r="G15" s="155" t="n">
        <v>503</v>
      </c>
      <c r="H15" s="156" t="n">
        <v>0.031</v>
      </c>
      <c r="I15" s="155" t="n">
        <f aca="false">G15+H15</f>
        <v>503.031</v>
      </c>
      <c r="J15" s="156" t="n">
        <f aca="false">IF(L15&gt;0,L15,0)</f>
        <v>19.4023501386439</v>
      </c>
      <c r="K15" s="155" t="n">
        <f aca="false">I15+J15</f>
        <v>522.433350138644</v>
      </c>
      <c r="L15" s="281" t="n">
        <f aca="false">F15-(I15-AK15)</f>
        <v>19.4023501386439</v>
      </c>
      <c r="M15" s="155" t="n">
        <v>294</v>
      </c>
      <c r="N15" s="186" t="n">
        <v>0</v>
      </c>
      <c r="O15" s="155" t="n">
        <f aca="false">82.7*1.05</f>
        <v>86.835</v>
      </c>
      <c r="P15" s="186" t="n">
        <v>0</v>
      </c>
      <c r="Q15" s="557" t="n">
        <f aca="false">1332200/325851/1.9835*1.02</f>
        <v>2.10241447575595</v>
      </c>
      <c r="R15" s="151" t="n">
        <f aca="false">IF(((5.8*1.04)-T15)&gt;=4.2,4.2,(5.8*1.04)-T15)</f>
        <v>4.2</v>
      </c>
      <c r="S15" s="151" t="n">
        <f aca="false">IF(((5.8*1.04)-T15)&gt;=4.2,((5.8*1.04)-T15)-4.2,0)</f>
        <v>0.674700479999999</v>
      </c>
      <c r="T15" s="151" t="n">
        <f aca="false">(1.0498*1.06)*1.04</f>
        <v>1.15729952</v>
      </c>
      <c r="U15" s="393" t="n">
        <v>0</v>
      </c>
      <c r="V15" s="155" t="n">
        <v>142</v>
      </c>
      <c r="W15" s="155" t="n">
        <v>68.7</v>
      </c>
      <c r="X15" s="155" t="n">
        <f aca="false">M15-N15-O15-P15-Q15-R15-S15-T15-U15+V15+W15-AT15+AR15</f>
        <v>409.730585524244</v>
      </c>
      <c r="Y15" s="155" t="n">
        <f aca="false">X15-AO15</f>
        <v>409.730585524244</v>
      </c>
      <c r="Z15" s="244" t="n">
        <f aca="false">Z12</f>
        <v>14461.0272987175</v>
      </c>
      <c r="AA15" s="155" t="n">
        <f aca="false">(-AP15)</f>
        <v>-85.2980000000001</v>
      </c>
      <c r="AB15" s="123"/>
      <c r="AC15" s="123" t="n">
        <f aca="false">AC12-(JUN!AQ44/1.9835)+AS15</f>
        <v>1402.22213175266</v>
      </c>
      <c r="AD15" s="241" t="n">
        <f aca="false">AD12</f>
        <v>1495.84068565667</v>
      </c>
      <c r="AE15" s="155" t="n">
        <v>229</v>
      </c>
      <c r="AF15" s="279" t="n">
        <v>1.7</v>
      </c>
      <c r="AG15" s="281" t="n">
        <v>1.3</v>
      </c>
      <c r="AH15" s="155" t="n">
        <v>75.6</v>
      </c>
      <c r="AI15" s="123" t="n">
        <f aca="false">AI13-AH15</f>
        <v>11959.2578774893</v>
      </c>
      <c r="AJ15" s="123"/>
      <c r="AK15" s="154" t="n">
        <f aca="false">N15+O15+P15+Q15+R15+S15+T15+U15+X15+AE15+AH15-AR15</f>
        <v>809.3</v>
      </c>
      <c r="AL15" s="155" t="n">
        <f aca="false">IF(L15&lt;0,L15*-1,0)</f>
        <v>0</v>
      </c>
      <c r="AM15" s="277" t="n">
        <f aca="false">AK15+AL15</f>
        <v>809.3</v>
      </c>
      <c r="AN15" s="514"/>
      <c r="AO15" s="241"/>
      <c r="AP15" s="172" t="n">
        <f aca="false">I15-Q15-R15-X15-AF15</f>
        <v>85.2980000000001</v>
      </c>
      <c r="AQ15" s="186" t="n">
        <f aca="false">0*(Z15*1.9835+AC15*1.9835)/E15</f>
        <v>0</v>
      </c>
      <c r="AR15" s="156"/>
      <c r="AS15" s="173"/>
      <c r="AT15" s="5"/>
      <c r="AU15" s="4"/>
      <c r="AV15" s="355" t="n">
        <v>0.22</v>
      </c>
      <c r="AW15" s="514" t="n">
        <v>70</v>
      </c>
      <c r="AX15" s="514" t="n">
        <v>57</v>
      </c>
      <c r="AY15" s="161"/>
      <c r="AZ15" s="282" t="n">
        <f aca="false">SUM(N15,P15:U15)</f>
        <v>8.13441447575595</v>
      </c>
      <c r="BA15" s="1" t="n">
        <v>1.02</v>
      </c>
      <c r="BB15" s="407" t="n">
        <v>25475</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207" t="n">
        <f aca="false">A15+1</f>
        <v>2</v>
      </c>
      <c r="B16" s="122" t="n">
        <v>6921.85</v>
      </c>
      <c r="C16" s="123" t="n">
        <v>371637</v>
      </c>
      <c r="D16" s="241" t="n">
        <f aca="false">C16-C15</f>
        <v>175</v>
      </c>
      <c r="E16" s="123" t="n">
        <f aca="false">C16-152000</f>
        <v>219637</v>
      </c>
      <c r="F16" s="277" t="n">
        <f aca="false">D16/$D$2</f>
        <v>88.2278800100832</v>
      </c>
      <c r="G16" s="155" t="n">
        <v>589</v>
      </c>
      <c r="H16" s="156" t="n">
        <v>0.081</v>
      </c>
      <c r="I16" s="155" t="n">
        <f aca="false">G16+H16</f>
        <v>589.081</v>
      </c>
      <c r="J16" s="156" t="n">
        <f aca="false">IF(L16&gt;0,L16,0)</f>
        <v>227.346880010083</v>
      </c>
      <c r="K16" s="155" t="n">
        <f aca="false">I16+J16</f>
        <v>816.427880010083</v>
      </c>
      <c r="L16" s="155" t="n">
        <f aca="false">F16-(I16-AK16)</f>
        <v>227.346880010083</v>
      </c>
      <c r="M16" s="279" t="n">
        <v>234</v>
      </c>
      <c r="N16" s="186" t="n">
        <v>0</v>
      </c>
      <c r="O16" s="155" t="n">
        <f aca="false">71.3*1.05</f>
        <v>74.865</v>
      </c>
      <c r="P16" s="186" t="n">
        <v>0</v>
      </c>
      <c r="Q16" s="557" t="n">
        <f aca="false">1202700/325851/1.9835*1.02</f>
        <v>1.89804375468524</v>
      </c>
      <c r="R16" s="151" t="n">
        <f aca="false">IF(((4.6*1.04)-T16)&gt;=4.2,4.2,(4.6*1.04)-T16)</f>
        <v>3.62670048</v>
      </c>
      <c r="S16" s="151" t="n">
        <f aca="false">IF(((4.6*1.04)-T16)&gt;=4.2,((4.6*1.04)-T16)-4.2,0)</f>
        <v>0</v>
      </c>
      <c r="T16" s="151" t="n">
        <f aca="false">(1.0498*1.06)*1.04</f>
        <v>1.15729952</v>
      </c>
      <c r="U16" s="393" t="n">
        <v>0</v>
      </c>
      <c r="V16" s="155" t="n">
        <v>143</v>
      </c>
      <c r="W16" s="155" t="n">
        <v>69</v>
      </c>
      <c r="X16" s="155" t="n">
        <f aca="false">M16-N16-O16-P16-Q16-R16-S16-T16-U16+V16+W16-AT16+AR16</f>
        <v>364.452956245315</v>
      </c>
      <c r="Y16" s="155" t="n">
        <f aca="false">X16-AO16</f>
        <v>364.452956245315</v>
      </c>
      <c r="Z16" s="123" t="n">
        <f aca="false">Z15</f>
        <v>14461.0272987175</v>
      </c>
      <c r="AA16" s="155" t="n">
        <f aca="false">(-AP16)</f>
        <v>-217.40329952</v>
      </c>
      <c r="AB16" s="123"/>
      <c r="AC16" s="123" t="n">
        <f aca="false">AC15-(AQ15/1.9835)+AS16</f>
        <v>1402.22213175266</v>
      </c>
      <c r="AD16" s="241" t="n">
        <f aca="false">AD15</f>
        <v>1495.84068565667</v>
      </c>
      <c r="AE16" s="155" t="n">
        <v>206</v>
      </c>
      <c r="AF16" s="279" t="n">
        <v>1.7</v>
      </c>
      <c r="AG16" s="281" t="n">
        <v>1.3</v>
      </c>
      <c r="AH16" s="155" t="n">
        <v>76.2</v>
      </c>
      <c r="AI16" s="123" t="n">
        <f aca="false">AI15-AH16</f>
        <v>11883.0578774893</v>
      </c>
      <c r="AJ16" s="123"/>
      <c r="AK16" s="154" t="n">
        <f aca="false">N16+O16+P16+Q16+R16+S16+T16+U16+X16+AE16+AH16-AR16</f>
        <v>728.2</v>
      </c>
      <c r="AL16" s="155" t="n">
        <f aca="false">IF(L16&lt;0,L16*-1,0)</f>
        <v>0</v>
      </c>
      <c r="AM16" s="155" t="n">
        <f aca="false">AK16+AL16</f>
        <v>728.2</v>
      </c>
      <c r="AN16" s="303"/>
      <c r="AO16" s="241"/>
      <c r="AP16" s="172" t="n">
        <f aca="false">I16-Q16-R16-X16-AF16</f>
        <v>217.40329952</v>
      </c>
      <c r="AQ16" s="186" t="n">
        <f aca="false">0*(Z16*1.9835+AC16*1.9835)/E16</f>
        <v>0</v>
      </c>
      <c r="AR16" s="156"/>
      <c r="AS16" s="173"/>
      <c r="AT16" s="5"/>
      <c r="AU16" s="4"/>
      <c r="AV16" s="355" t="n">
        <v>0.52</v>
      </c>
      <c r="AW16" s="241" t="n">
        <v>73</v>
      </c>
      <c r="AX16" s="241" t="n">
        <v>53</v>
      </c>
      <c r="AY16" s="161"/>
      <c r="AZ16" s="282" t="n">
        <f aca="false">SUM(N16,P16:U16)</f>
        <v>6.68204375468524</v>
      </c>
      <c r="BA16" s="1" t="n">
        <v>0.975</v>
      </c>
      <c r="BB16" s="407" t="n">
        <v>25539</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207" t="n">
        <f aca="false">A16+1</f>
        <v>3</v>
      </c>
      <c r="B17" s="122" t="n">
        <v>6921.79</v>
      </c>
      <c r="C17" s="123" t="n">
        <v>371374</v>
      </c>
      <c r="D17" s="241" t="n">
        <f aca="false">C17-C16</f>
        <v>-263</v>
      </c>
      <c r="E17" s="123" t="n">
        <f aca="false">C17-152000</f>
        <v>219374</v>
      </c>
      <c r="F17" s="277" t="n">
        <f aca="false">D17/$D$2</f>
        <v>-132.593899672296</v>
      </c>
      <c r="G17" s="155" t="n">
        <v>471</v>
      </c>
      <c r="H17" s="156" t="n">
        <v>0.083</v>
      </c>
      <c r="I17" s="155" t="n">
        <f aca="false">G17+H17</f>
        <v>471.083</v>
      </c>
      <c r="J17" s="156" t="n">
        <f aca="false">IF(L17&gt;0,L17,0)</f>
        <v>26.8231003277035</v>
      </c>
      <c r="K17" s="155" t="n">
        <f aca="false">I17+J17</f>
        <v>497.906100327704</v>
      </c>
      <c r="L17" s="155" t="n">
        <f aca="false">F17-(I17-AK17)</f>
        <v>26.8231003277035</v>
      </c>
      <c r="M17" s="279" t="n">
        <v>178</v>
      </c>
      <c r="N17" s="186" t="n">
        <v>0</v>
      </c>
      <c r="O17" s="155" t="n">
        <f aca="false">19.4*1.05</f>
        <v>20.37</v>
      </c>
      <c r="P17" s="186" t="n">
        <v>0</v>
      </c>
      <c r="Q17" s="557" t="n">
        <f aca="false">1447900/325851/1.9835*1.02</f>
        <v>2.28500669527626</v>
      </c>
      <c r="R17" s="151" t="n">
        <f aca="false">IF(((3.5*1.04)-T17)&gt;=4.2,4.2,(3.5*1.04)-T17)</f>
        <v>2.48270048</v>
      </c>
      <c r="S17" s="151" t="n">
        <f aca="false">IF(((3.5*1.04)-T17)&gt;=4.2,((3.5*1.04)-T17)-4.2,0)</f>
        <v>0</v>
      </c>
      <c r="T17" s="151" t="n">
        <f aca="false">(1.0498*1.06)*1.04</f>
        <v>1.15729952</v>
      </c>
      <c r="U17" s="393" t="n">
        <v>0</v>
      </c>
      <c r="V17" s="155" t="n">
        <v>143</v>
      </c>
      <c r="W17" s="155" t="n">
        <v>69.2</v>
      </c>
      <c r="X17" s="155" t="n">
        <f aca="false">M17-N17-O17-P17-Q17-R17-S17-T17-U17+V17+W17-AT17+AR17</f>
        <v>363.904993304724</v>
      </c>
      <c r="Y17" s="155" t="n">
        <f aca="false">X17-AO17</f>
        <v>363.904993304724</v>
      </c>
      <c r="Z17" s="123" t="n">
        <f aca="false">Z16</f>
        <v>14461.0272987175</v>
      </c>
      <c r="AA17" s="155" t="n">
        <f aca="false">(-AP17)</f>
        <v>-100.71029952</v>
      </c>
      <c r="AB17" s="123"/>
      <c r="AC17" s="123" t="n">
        <f aca="false">AC16-(AQ16/1.9835)+AS17</f>
        <v>1402.22213175266</v>
      </c>
      <c r="AD17" s="241" t="n">
        <f aca="false">AD16</f>
        <v>1495.84068565667</v>
      </c>
      <c r="AE17" s="155" t="n">
        <v>164</v>
      </c>
      <c r="AF17" s="279" t="n">
        <v>1.7</v>
      </c>
      <c r="AG17" s="281" t="n">
        <v>1.3</v>
      </c>
      <c r="AH17" s="155" t="n">
        <v>76.3</v>
      </c>
      <c r="AI17" s="123" t="n">
        <f aca="false">AI16-AH17</f>
        <v>11806.7578774893</v>
      </c>
      <c r="AJ17" s="123"/>
      <c r="AK17" s="154" t="n">
        <f aca="false">N17+O17+P17+Q17+R17+S17+T17+U17+X17+AE17+AH17-AR17</f>
        <v>630.5</v>
      </c>
      <c r="AL17" s="155" t="n">
        <f aca="false">IF(L17&lt;0,L17*-1,0)</f>
        <v>0</v>
      </c>
      <c r="AM17" s="155" t="n">
        <f aca="false">AK17+AL17</f>
        <v>630.5</v>
      </c>
      <c r="AN17" s="303"/>
      <c r="AO17" s="241"/>
      <c r="AP17" s="172" t="n">
        <f aca="false">I17-Q17-R17-X17-AF17</f>
        <v>100.71029952</v>
      </c>
      <c r="AQ17" s="186" t="n">
        <f aca="false">59.506*(Z17*1.9835+AC17*1.9835)/E17</f>
        <v>8.53492996266217</v>
      </c>
      <c r="AR17" s="156"/>
      <c r="AS17" s="173"/>
      <c r="AT17" s="5"/>
      <c r="AU17" s="4"/>
      <c r="AV17" s="355" t="n">
        <v>0.02</v>
      </c>
      <c r="AW17" s="241" t="n">
        <v>82</v>
      </c>
      <c r="AX17" s="241" t="n">
        <v>54</v>
      </c>
      <c r="AY17" s="161"/>
      <c r="AZ17" s="282" t="n">
        <f aca="false">SUM(N17,P17:U17)</f>
        <v>5.92500669527626</v>
      </c>
      <c r="BA17" s="1" t="n">
        <v>0.975</v>
      </c>
      <c r="BB17" s="407" t="n">
        <v>25593</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207" t="n">
        <f aca="false">A17+1</f>
        <v>4</v>
      </c>
      <c r="B18" s="122" t="n">
        <v>6921.67</v>
      </c>
      <c r="C18" s="123" t="n">
        <v>370849</v>
      </c>
      <c r="D18" s="241" t="n">
        <f aca="false">C18-C17</f>
        <v>-525</v>
      </c>
      <c r="E18" s="123" t="n">
        <f aca="false">C18-152000</f>
        <v>218849</v>
      </c>
      <c r="F18" s="277" t="n">
        <f aca="false">D18/$D$2</f>
        <v>-264.68364003025</v>
      </c>
      <c r="G18" s="155" t="n">
        <v>373</v>
      </c>
      <c r="H18" s="156" t="n">
        <v>0.074</v>
      </c>
      <c r="I18" s="155" t="n">
        <f aca="false">G18+H18</f>
        <v>373.074</v>
      </c>
      <c r="J18" s="156" t="n">
        <f aca="false">IF(L18&gt;0,L18,0)</f>
        <v>19.3423599697504</v>
      </c>
      <c r="K18" s="155" t="n">
        <f aca="false">I18+J18</f>
        <v>392.41635996975</v>
      </c>
      <c r="L18" s="155" t="n">
        <f aca="false">F18-(I18-AK18)</f>
        <v>19.3423599697504</v>
      </c>
      <c r="M18" s="279" t="n">
        <v>170</v>
      </c>
      <c r="N18" s="186" t="n">
        <v>0</v>
      </c>
      <c r="O18" s="155" t="n">
        <f aca="false">9.6*1.05</f>
        <v>10.08</v>
      </c>
      <c r="P18" s="186" t="n">
        <v>0</v>
      </c>
      <c r="Q18" s="557" t="n">
        <f aca="false">1675500/325851/1.9835*1.02</f>
        <v>2.6441941556291</v>
      </c>
      <c r="R18" s="151" t="n">
        <f aca="false">IF(((4.7*1.04)-T18)&gt;=4.2,4.2,(4.7*1.04)-T18)</f>
        <v>3.73070048</v>
      </c>
      <c r="S18" s="151" t="n">
        <f aca="false">IF(((4.7*1.04)-T18)&gt;=4.2,((4.7*1.04)-T18)-4.2,0)</f>
        <v>0</v>
      </c>
      <c r="T18" s="151" t="n">
        <f aca="false">(1.0498*1.06)*1.04</f>
        <v>1.15729952</v>
      </c>
      <c r="U18" s="393" t="n">
        <v>0</v>
      </c>
      <c r="V18" s="155" t="n">
        <v>143</v>
      </c>
      <c r="W18" s="155" t="n">
        <v>68.7</v>
      </c>
      <c r="X18" s="155" t="n">
        <f aca="false">M18-N18-O18-P18-Q18-R18-S18-T18-U18+V18+W18-AT18+AR18</f>
        <v>364.087805844371</v>
      </c>
      <c r="Y18" s="155" t="n">
        <f aca="false">X18-AO18</f>
        <v>364.087805844371</v>
      </c>
      <c r="Z18" s="244" t="n">
        <f aca="false">Z17+AP18</f>
        <v>14461.9385982375</v>
      </c>
      <c r="AA18" s="155" t="n">
        <f aca="false">(-AP18)</f>
        <v>-0.911299520000046</v>
      </c>
      <c r="AB18" s="123"/>
      <c r="AC18" s="123" t="n">
        <f aca="false">AC17-(AQ17/1.9835)+AS18</f>
        <v>1397.91916731471</v>
      </c>
      <c r="AD18" s="241" t="n">
        <f aca="false">AD17</f>
        <v>1495.84068565667</v>
      </c>
      <c r="AE18" s="155" t="n">
        <v>199</v>
      </c>
      <c r="AF18" s="279" t="n">
        <v>1.7</v>
      </c>
      <c r="AG18" s="281" t="n">
        <v>1.3</v>
      </c>
      <c r="AH18" s="155" t="n">
        <v>76.4</v>
      </c>
      <c r="AI18" s="123" t="n">
        <f aca="false">AI17-AH18</f>
        <v>11730.3578774893</v>
      </c>
      <c r="AJ18" s="123"/>
      <c r="AK18" s="154" t="n">
        <f aca="false">N18+O18+P18+Q18+R18+S18+T18+U18+X18+AE18+AH18-AR18</f>
        <v>657.1</v>
      </c>
      <c r="AL18" s="155" t="n">
        <f aca="false">IF(L18&lt;0,L18*-1,0)</f>
        <v>0</v>
      </c>
      <c r="AM18" s="155" t="n">
        <f aca="false">AK18+AL18</f>
        <v>657.1</v>
      </c>
      <c r="AN18" s="303"/>
      <c r="AO18" s="241"/>
      <c r="AP18" s="172" t="n">
        <f aca="false">I18-Q18-R18-X18-AF18</f>
        <v>0.911299520000046</v>
      </c>
      <c r="AQ18" s="186" t="n">
        <f aca="false">52.068*(Z18*1.9835+AC18*1.9835)/E18</f>
        <v>7.48441434756514</v>
      </c>
      <c r="AR18" s="156"/>
      <c r="AS18" s="173"/>
      <c r="AT18" s="5"/>
      <c r="AU18" s="4"/>
      <c r="AV18" s="355" t="n">
        <v>0</v>
      </c>
      <c r="AW18" s="241" t="n">
        <v>87</v>
      </c>
      <c r="AX18" s="241" t="n">
        <v>52</v>
      </c>
      <c r="AY18" s="161"/>
      <c r="AZ18" s="282" t="n">
        <f aca="false">SUM(N18,P18:U18)</f>
        <v>7.5321941556291</v>
      </c>
      <c r="BA18" s="1" t="n">
        <v>0.975</v>
      </c>
      <c r="BB18" s="407" t="n">
        <v>25551</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207" t="n">
        <f aca="false">A18+1</f>
        <v>5</v>
      </c>
      <c r="B19" s="122" t="n">
        <v>6921.47</v>
      </c>
      <c r="C19" s="123" t="n">
        <v>369973</v>
      </c>
      <c r="D19" s="241" t="n">
        <f aca="false">C19-C18</f>
        <v>-876</v>
      </c>
      <c r="E19" s="123" t="n">
        <f aca="false">C19-152000</f>
        <v>217973</v>
      </c>
      <c r="F19" s="277" t="n">
        <f aca="false">D19/$D$2</f>
        <v>-441.643559364759</v>
      </c>
      <c r="G19" s="155" t="n">
        <v>322</v>
      </c>
      <c r="H19" s="156" t="n">
        <v>0.064</v>
      </c>
      <c r="I19" s="155" t="n">
        <f aca="false">G19+H19</f>
        <v>322.064</v>
      </c>
      <c r="J19" s="156" t="n">
        <f aca="false">IF(L19&gt;0,L19,0)</f>
        <v>0</v>
      </c>
      <c r="K19" s="155" t="n">
        <f aca="false">I19+J19</f>
        <v>322.064</v>
      </c>
      <c r="L19" s="155" t="n">
        <f aca="false">F19-(I19-AK19)</f>
        <v>-19.0075593647593</v>
      </c>
      <c r="M19" s="279" t="n">
        <v>232</v>
      </c>
      <c r="N19" s="186" t="n">
        <v>0</v>
      </c>
      <c r="O19" s="155" t="n">
        <f aca="false">35.4*1.05</f>
        <v>37.17</v>
      </c>
      <c r="P19" s="186" t="n">
        <v>0</v>
      </c>
      <c r="Q19" s="557" t="n">
        <f aca="false">1800600/325851/1.9835*1.02</f>
        <v>2.84162100664026</v>
      </c>
      <c r="R19" s="151" t="n">
        <f aca="false">IF(((5.6*1.04)-T19)&gt;=4.2,4.2,(5.6*1.04)-T19)</f>
        <v>4.2</v>
      </c>
      <c r="S19" s="151" t="n">
        <f aca="false">IF(((5.6*1.04)-T19)&gt;=4.2,((5.6*1.04)-T19)-4.2,0)</f>
        <v>0.466700479999999</v>
      </c>
      <c r="T19" s="151" t="n">
        <f aca="false">(1.0498*1.06)*1.04</f>
        <v>1.15729952</v>
      </c>
      <c r="U19" s="393" t="n">
        <v>0</v>
      </c>
      <c r="V19" s="155" t="n">
        <v>144</v>
      </c>
      <c r="W19" s="155" t="n">
        <v>68.3</v>
      </c>
      <c r="X19" s="155" t="n">
        <f aca="false">M19-N19-O19-P19-Q19-R19-S19-T19-U19+V19+W19-AT19+AR19</f>
        <v>398.46437899336</v>
      </c>
      <c r="Y19" s="155" t="n">
        <f aca="false">X19-AO19</f>
        <v>398.46437899336</v>
      </c>
      <c r="Z19" s="244" t="n">
        <f aca="false">Z18+AP19</f>
        <v>14376.7965982375</v>
      </c>
      <c r="AA19" s="155" t="n">
        <f aca="false">(-AP19)</f>
        <v>85.142</v>
      </c>
      <c r="AB19" s="123"/>
      <c r="AC19" s="123" t="n">
        <f aca="false">AC18-(AQ18/1.9835)+AS19</f>
        <v>1398.87583010898</v>
      </c>
      <c r="AD19" s="241" t="n">
        <f aca="false">AD18</f>
        <v>1495.84068565667</v>
      </c>
      <c r="AE19" s="155" t="n">
        <v>224</v>
      </c>
      <c r="AF19" s="279" t="n">
        <v>1.7</v>
      </c>
      <c r="AG19" s="281" t="n">
        <v>1.3</v>
      </c>
      <c r="AH19" s="155" t="n">
        <v>76.4</v>
      </c>
      <c r="AI19" s="123" t="n">
        <f aca="false">AI18-AH19</f>
        <v>11653.9578774893</v>
      </c>
      <c r="AJ19" s="123"/>
      <c r="AK19" s="154" t="n">
        <f aca="false">N19+O19+P19+Q19+R19+S19+T19+U19+X19+AE19+AH19-AR19</f>
        <v>744.7</v>
      </c>
      <c r="AL19" s="155" t="n">
        <f aca="false">IF(L19&lt;0,L19*-1,0)</f>
        <v>19.0075593647593</v>
      </c>
      <c r="AM19" s="155" t="n">
        <f aca="false">AK19+AL19</f>
        <v>763.707559364759</v>
      </c>
      <c r="AN19" s="303"/>
      <c r="AO19" s="241"/>
      <c r="AP19" s="172" t="n">
        <f aca="false">I19-Q19-R19-X19-AF19</f>
        <v>-85.142</v>
      </c>
      <c r="AQ19" s="186" t="n">
        <f aca="false">87.999*(Z19*1.9835+AC19*1.9835)/E19</f>
        <v>12.6326690919369</v>
      </c>
      <c r="AR19" s="156"/>
      <c r="AS19" s="173" t="n">
        <f aca="false">BA19</f>
        <v>4.73</v>
      </c>
      <c r="AT19" s="5"/>
      <c r="AU19" s="4"/>
      <c r="AV19" s="355" t="n">
        <v>0</v>
      </c>
      <c r="AW19" s="241" t="n">
        <v>89</v>
      </c>
      <c r="AX19" s="241" t="n">
        <v>56</v>
      </c>
      <c r="AY19" s="161"/>
      <c r="AZ19" s="282" t="n">
        <f aca="false">SUM(N19,P19:U19)</f>
        <v>8.66562100664026</v>
      </c>
      <c r="BA19" s="1" t="n">
        <v>4.73</v>
      </c>
      <c r="BB19" s="407" t="n">
        <v>25550</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207" t="n">
        <f aca="false">A19+1</f>
        <v>6</v>
      </c>
      <c r="B20" s="122" t="n">
        <v>6921.24</v>
      </c>
      <c r="C20" s="123" t="n">
        <v>368966</v>
      </c>
      <c r="D20" s="241" t="n">
        <f aca="false">C20-C19</f>
        <v>-1007</v>
      </c>
      <c r="E20" s="123" t="n">
        <f aca="false">C20-152000</f>
        <v>216966</v>
      </c>
      <c r="F20" s="277" t="n">
        <f aca="false">D20/$D$2</f>
        <v>-507.688429543736</v>
      </c>
      <c r="G20" s="155" t="n">
        <v>291</v>
      </c>
      <c r="H20" s="156" t="n">
        <v>0.025</v>
      </c>
      <c r="I20" s="155" t="n">
        <f aca="false">G20+H20</f>
        <v>291.025</v>
      </c>
      <c r="J20" s="156" t="n">
        <f aca="false">IF(L20&gt;0,L20,0)</f>
        <v>37.6865704562642</v>
      </c>
      <c r="K20" s="155" t="n">
        <f aca="false">I20+J20</f>
        <v>328.711570456264</v>
      </c>
      <c r="L20" s="155" t="n">
        <f aca="false">F20-(I20-AK20)</f>
        <v>37.6865704562642</v>
      </c>
      <c r="M20" s="279" t="n">
        <v>297</v>
      </c>
      <c r="N20" s="186" t="n">
        <v>0</v>
      </c>
      <c r="O20" s="155" t="n">
        <f aca="false">83.3*1.05</f>
        <v>87.465</v>
      </c>
      <c r="P20" s="186" t="n">
        <v>0</v>
      </c>
      <c r="Q20" s="557" t="n">
        <f aca="false">2006300/325851/1.9835*1.02</f>
        <v>3.166246931924</v>
      </c>
      <c r="R20" s="151" t="n">
        <f aca="false">IF(((6.1*1.04)-T20)&gt;=4.2,4.2,(6.1*1.04)-T20)</f>
        <v>4.2</v>
      </c>
      <c r="S20" s="151" t="n">
        <f aca="false">IF(((6.1*1.04)-T20)&gt;=4.2,((6.1*1.04)-T20)-4.2,0)</f>
        <v>0.986700479999999</v>
      </c>
      <c r="T20" s="151" t="n">
        <f aca="false">(1.0498*1.06)*1.04</f>
        <v>1.15729952</v>
      </c>
      <c r="U20" s="393" t="n">
        <v>0</v>
      </c>
      <c r="V20" s="155" t="n">
        <v>149</v>
      </c>
      <c r="W20" s="155" t="n">
        <v>66</v>
      </c>
      <c r="X20" s="155" t="n">
        <f aca="false">M20-N20-O20-P20-Q20-R20-S20-T20-U20+V20+W20-AT20+AR20</f>
        <v>415.024753068076</v>
      </c>
      <c r="Y20" s="155" t="n">
        <f aca="false">X20-AO20</f>
        <v>415.024753068076</v>
      </c>
      <c r="Z20" s="244" t="n">
        <f aca="false">Z19+AP20</f>
        <v>14243.7305982375</v>
      </c>
      <c r="AA20" s="155" t="n">
        <f aca="false">(-AP20)</f>
        <v>133.066</v>
      </c>
      <c r="AB20" s="123"/>
      <c r="AC20" s="123" t="n">
        <f aca="false">AC19-(AQ19/1.9835)+AS20</f>
        <v>1402.09695232127</v>
      </c>
      <c r="AD20" s="241" t="n">
        <f aca="false">AD19</f>
        <v>1495.84068565667</v>
      </c>
      <c r="AE20" s="155" t="n">
        <v>248</v>
      </c>
      <c r="AF20" s="279" t="n">
        <v>1.7</v>
      </c>
      <c r="AG20" s="281" t="n">
        <v>1.3</v>
      </c>
      <c r="AH20" s="155" t="n">
        <v>76.4</v>
      </c>
      <c r="AI20" s="123" t="n">
        <f aca="false">AI19-AH20</f>
        <v>11577.5578774893</v>
      </c>
      <c r="AJ20" s="123"/>
      <c r="AK20" s="154" t="n">
        <f aca="false">N20+O20+P20+Q20+R20+S20+T20+U20+X20+AE20+AH20-AR20</f>
        <v>836.4</v>
      </c>
      <c r="AL20" s="155" t="n">
        <f aca="false">IF(L20&lt;0,L20*-1,0)</f>
        <v>0</v>
      </c>
      <c r="AM20" s="155" t="n">
        <f aca="false">AK20+AL20</f>
        <v>836.4</v>
      </c>
      <c r="AN20" s="303"/>
      <c r="AO20" s="241"/>
      <c r="AP20" s="172" t="n">
        <f aca="false">I20-Q20-R20-X20-AF20</f>
        <v>-133.066</v>
      </c>
      <c r="AQ20" s="186" t="n">
        <f aca="false">88.254*(Z20*1.9835+AC20*1.9835)/E20</f>
        <v>12.6233161694797</v>
      </c>
      <c r="AR20" s="156"/>
      <c r="AS20" s="173" t="n">
        <f aca="false">BA20</f>
        <v>9.59</v>
      </c>
      <c r="AT20" s="5"/>
      <c r="AU20" s="4"/>
      <c r="AV20" s="355" t="n">
        <v>0</v>
      </c>
      <c r="AW20" s="241" t="n">
        <v>90</v>
      </c>
      <c r="AX20" s="241" t="n">
        <v>55</v>
      </c>
      <c r="AY20" s="161"/>
      <c r="AZ20" s="282" t="n">
        <f aca="false">SUM(N20,P20:U20)</f>
        <v>9.510246931924</v>
      </c>
      <c r="BA20" s="1" t="n">
        <v>9.59</v>
      </c>
      <c r="BB20" s="407" t="n">
        <v>25565</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207" t="n">
        <f aca="false">A20+1</f>
        <v>7</v>
      </c>
      <c r="B21" s="122" t="n">
        <v>6920.97</v>
      </c>
      <c r="C21" s="123" t="n">
        <v>367785</v>
      </c>
      <c r="D21" s="241" t="n">
        <f aca="false">C21-C20</f>
        <v>-1181</v>
      </c>
      <c r="E21" s="123" t="n">
        <f aca="false">C21-152000</f>
        <v>215785</v>
      </c>
      <c r="F21" s="277" t="n">
        <f aca="false">D21/$D$2</f>
        <v>-595.412150239476</v>
      </c>
      <c r="G21" s="155" t="n">
        <v>265</v>
      </c>
      <c r="H21" s="156" t="n">
        <v>0</v>
      </c>
      <c r="I21" s="155" t="n">
        <f aca="false">G21+H21</f>
        <v>265</v>
      </c>
      <c r="J21" s="156" t="n">
        <f aca="false">IF(L21&gt;0,L21,0)</f>
        <v>0</v>
      </c>
      <c r="K21" s="155" t="n">
        <f aca="false">I21+J21</f>
        <v>265</v>
      </c>
      <c r="L21" s="155" t="n">
        <f aca="false">F21-(I21-AK21)</f>
        <v>-4.11215023947568</v>
      </c>
      <c r="M21" s="279" t="n">
        <v>299</v>
      </c>
      <c r="N21" s="186" t="n">
        <v>0</v>
      </c>
      <c r="O21" s="155" t="n">
        <f aca="false">87.8*1.05</f>
        <v>92.19</v>
      </c>
      <c r="P21" s="186" t="n">
        <v>0</v>
      </c>
      <c r="Q21" s="557" t="n">
        <f aca="false">2044100/325851/1.9835*1.02</f>
        <v>3.22590108834464</v>
      </c>
      <c r="R21" s="151" t="n">
        <f aca="false">IF(((7*1.04)-T21)&gt;=4.2,4.2,(7*1.04)-T21)</f>
        <v>4.2</v>
      </c>
      <c r="S21" s="151" t="n">
        <f aca="false">IF(((7*1.04)-T21)&gt;=4.2,((7*1.04)-T21)-4.2,0)</f>
        <v>1.92270048</v>
      </c>
      <c r="T21" s="151" t="n">
        <f aca="false">(1.0498*1.06)*1.04</f>
        <v>1.15729952</v>
      </c>
      <c r="U21" s="393" t="n">
        <v>0</v>
      </c>
      <c r="V21" s="155" t="n">
        <v>152</v>
      </c>
      <c r="W21" s="155" t="n">
        <v>65.9</v>
      </c>
      <c r="X21" s="155" t="n">
        <f aca="false">M21-N21-O21-P21-Q21-R21-S21-T21-U21+V21+W21-AT21+AR21</f>
        <v>414.204098911655</v>
      </c>
      <c r="Y21" s="155" t="n">
        <f aca="false">X21-AO21</f>
        <v>414.204098911655</v>
      </c>
      <c r="Z21" s="244" t="n">
        <f aca="false">Z20+AP21</f>
        <v>14085.4005982375</v>
      </c>
      <c r="AA21" s="155" t="n">
        <f aca="false">(-AP21)</f>
        <v>158.33</v>
      </c>
      <c r="AB21" s="123"/>
      <c r="AC21" s="123" t="n">
        <f aca="false">AC20-(AQ20/1.9835)+AS21</f>
        <v>1404.95278989652</v>
      </c>
      <c r="AD21" s="241" t="n">
        <f aca="false">AD20</f>
        <v>1495.84068565667</v>
      </c>
      <c r="AE21" s="155" t="n">
        <v>263</v>
      </c>
      <c r="AF21" s="279" t="n">
        <v>1.7</v>
      </c>
      <c r="AG21" s="281" t="n">
        <v>1.3</v>
      </c>
      <c r="AH21" s="155" t="n">
        <v>76.4</v>
      </c>
      <c r="AI21" s="123" t="n">
        <f aca="false">AI20-AH21</f>
        <v>11501.1578774893</v>
      </c>
      <c r="AJ21" s="123"/>
      <c r="AK21" s="154" t="n">
        <f aca="false">N21+O21+P21+Q21+R21+S21+T21+U21+X21+AE21+AH21-AR21</f>
        <v>856.3</v>
      </c>
      <c r="AL21" s="155" t="n">
        <f aca="false">IF(L21&lt;0,L21*-1,0)</f>
        <v>4.11215023947568</v>
      </c>
      <c r="AM21" s="155" t="n">
        <f aca="false">AK21+AL21</f>
        <v>860.412150239476</v>
      </c>
      <c r="AN21" s="303"/>
      <c r="AO21" s="241"/>
      <c r="AP21" s="172" t="n">
        <f aca="false">I21-Q21-R21-X21-AF21</f>
        <v>-158.33</v>
      </c>
      <c r="AQ21" s="186" t="n">
        <f aca="false">74.52*(Z21*1.9835+AC21*1.9835)/E21</f>
        <v>10.6107266040202</v>
      </c>
      <c r="AR21" s="156"/>
      <c r="AS21" s="173" t="n">
        <f aca="false">BA21</f>
        <v>9.22</v>
      </c>
      <c r="AT21" s="5"/>
      <c r="AU21" s="4"/>
      <c r="AV21" s="355" t="n">
        <v>0</v>
      </c>
      <c r="AW21" s="514" t="n">
        <v>88</v>
      </c>
      <c r="AX21" s="514" t="n">
        <v>56</v>
      </c>
      <c r="AY21" s="161"/>
      <c r="AZ21" s="282" t="n">
        <f aca="false">SUM(N21,P21:U21)</f>
        <v>10.5059010883446</v>
      </c>
      <c r="BA21" s="1" t="n">
        <v>9.22</v>
      </c>
      <c r="BB21" s="407" t="n">
        <v>25535</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207" t="n">
        <f aca="false">A21+1</f>
        <v>8</v>
      </c>
      <c r="B22" s="122" t="n">
        <v>6920.69</v>
      </c>
      <c r="C22" s="123" t="n">
        <v>366569</v>
      </c>
      <c r="D22" s="241" t="n">
        <f aca="false">C22-C21</f>
        <v>-1216</v>
      </c>
      <c r="E22" s="123" t="n">
        <f aca="false">C22-152000</f>
        <v>214569</v>
      </c>
      <c r="F22" s="277" t="n">
        <f aca="false">D22/$D$2</f>
        <v>-613.057726241492</v>
      </c>
      <c r="G22" s="155" t="n">
        <v>239</v>
      </c>
      <c r="H22" s="156" t="n">
        <v>0</v>
      </c>
      <c r="I22" s="155" t="n">
        <f aca="false">G22+H22</f>
        <v>239</v>
      </c>
      <c r="J22" s="156" t="n">
        <f aca="false">IF(L22&gt;0,L22,0)</f>
        <v>11.0422737585077</v>
      </c>
      <c r="K22" s="155" t="n">
        <f aca="false">I22+J22</f>
        <v>250.042273758508</v>
      </c>
      <c r="L22" s="155" t="n">
        <f aca="false">F22-(I22-AK22)</f>
        <v>11.0422737585077</v>
      </c>
      <c r="M22" s="279" t="n">
        <v>321</v>
      </c>
      <c r="N22" s="186" t="n">
        <v>0</v>
      </c>
      <c r="O22" s="155" t="n">
        <f aca="false">95.8*1.05</f>
        <v>100.59</v>
      </c>
      <c r="P22" s="186" t="n">
        <v>0</v>
      </c>
      <c r="Q22" s="557" t="n">
        <f aca="false">2166400/325851/1.9835*1.02</f>
        <v>3.41890911295427</v>
      </c>
      <c r="R22" s="151" t="n">
        <f aca="false">IF(((7.3*1.04)-T22)&gt;=4.2,4.2,(7.3*1.04)-T22)</f>
        <v>4.2</v>
      </c>
      <c r="S22" s="151" t="n">
        <f aca="false">IF(((7.3*1.04)-T22)&gt;=4.2,((7.3*1.04)-T22)-4.2,0)</f>
        <v>2.07782896</v>
      </c>
      <c r="T22" s="151" t="n">
        <f aca="false">(1.1921*1.06)*1.04</f>
        <v>1.31417104</v>
      </c>
      <c r="U22" s="393" t="n">
        <v>0</v>
      </c>
      <c r="V22" s="155" t="n">
        <v>125</v>
      </c>
      <c r="W22" s="155" t="n">
        <v>65.7</v>
      </c>
      <c r="X22" s="155" t="n">
        <f aca="false">M22-N22-O22-P22-Q22-R22-S22-T22-U22+V22+W22-AT22+AR22</f>
        <v>400.099090887046</v>
      </c>
      <c r="Y22" s="155" t="n">
        <f aca="false">X22-AO22</f>
        <v>400.099090887046</v>
      </c>
      <c r="Z22" s="244" t="n">
        <f aca="false">Z21+AP22</f>
        <v>13914.9825982375</v>
      </c>
      <c r="AA22" s="155" t="n">
        <f aca="false">(-AP22)</f>
        <v>170.418</v>
      </c>
      <c r="AB22" s="123"/>
      <c r="AC22" s="123" t="n">
        <f aca="false">AC21-(AQ21/1.9835)+AS22</f>
        <v>1407.05329324715</v>
      </c>
      <c r="AD22" s="241" t="n">
        <f aca="false">AD21</f>
        <v>1495.84068565667</v>
      </c>
      <c r="AE22" s="155" t="n">
        <v>275</v>
      </c>
      <c r="AF22" s="279" t="n">
        <v>1.7</v>
      </c>
      <c r="AG22" s="281" t="n">
        <v>1.3</v>
      </c>
      <c r="AH22" s="155" t="n">
        <v>76.4</v>
      </c>
      <c r="AI22" s="123" t="n">
        <f aca="false">AI21-AH22</f>
        <v>11424.7578774893</v>
      </c>
      <c r="AJ22" s="123"/>
      <c r="AK22" s="154" t="n">
        <f aca="false">N22+O22+P22+Q22+R22+S22+T22+U22+X22+AE22+AH22-AR22</f>
        <v>863.1</v>
      </c>
      <c r="AL22" s="155" t="n">
        <f aca="false">IF(L22&lt;0,L22*-1,0)</f>
        <v>0</v>
      </c>
      <c r="AM22" s="155" t="n">
        <f aca="false">AK22+AL22</f>
        <v>863.1</v>
      </c>
      <c r="AN22" s="303"/>
      <c r="AO22" s="241"/>
      <c r="AP22" s="172" t="n">
        <f aca="false">I22-Q22-R22-X22-AF22</f>
        <v>-170.418</v>
      </c>
      <c r="AQ22" s="186" t="n">
        <f aca="false">88.254*(Z22*1.9835+AC22*1.9835)/E22</f>
        <v>12.5001752367178</v>
      </c>
      <c r="AR22" s="156"/>
      <c r="AS22" s="173" t="n">
        <v>7.45</v>
      </c>
      <c r="AT22" s="5"/>
      <c r="AU22" s="4"/>
      <c r="AV22" s="355" t="n">
        <v>0</v>
      </c>
      <c r="AW22" s="241" t="n">
        <v>90</v>
      </c>
      <c r="AX22" s="241" t="n">
        <v>53</v>
      </c>
      <c r="AY22" s="161"/>
      <c r="AZ22" s="282" t="n">
        <f aca="false">SUM(N22,P22:U22)</f>
        <v>11.0109091129543</v>
      </c>
      <c r="BA22" s="1" t="n">
        <v>9.18</v>
      </c>
      <c r="BB22" s="407" t="n">
        <v>25517</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207" t="n">
        <f aca="false">A22+1</f>
        <v>9</v>
      </c>
      <c r="B23" s="122" t="n">
        <v>6920.41</v>
      </c>
      <c r="C23" s="123" t="n">
        <v>365353</v>
      </c>
      <c r="D23" s="241" t="n">
        <f aca="false">C23-C22</f>
        <v>-1216</v>
      </c>
      <c r="E23" s="123" t="n">
        <f aca="false">C23-152000</f>
        <v>213353</v>
      </c>
      <c r="F23" s="277" t="n">
        <f aca="false">D23/$D$2</f>
        <v>-613.057726241492</v>
      </c>
      <c r="G23" s="155" t="n">
        <v>218</v>
      </c>
      <c r="H23" s="156" t="n">
        <v>0</v>
      </c>
      <c r="I23" s="155" t="n">
        <f aca="false">G23+H23</f>
        <v>218</v>
      </c>
      <c r="J23" s="156" t="n">
        <f aca="false">IF(L23&gt;0,L23,0)</f>
        <v>16.2422737585076</v>
      </c>
      <c r="K23" s="155" t="n">
        <f aca="false">I23+J23</f>
        <v>234.242273758508</v>
      </c>
      <c r="L23" s="155" t="n">
        <f aca="false">F23-(I23-AK23)</f>
        <v>16.2422737585076</v>
      </c>
      <c r="M23" s="279" t="n">
        <v>336</v>
      </c>
      <c r="N23" s="186" t="n">
        <v>0</v>
      </c>
      <c r="O23" s="155" t="n">
        <f aca="false">102*1.05</f>
        <v>107.1</v>
      </c>
      <c r="P23" s="186" t="n">
        <v>0</v>
      </c>
      <c r="Q23" s="557" t="n">
        <f aca="false">2086500/325851/1.9835*1.02</f>
        <v>3.29281474528208</v>
      </c>
      <c r="R23" s="151" t="n">
        <f aca="false">IF(((7.1*1.04)-T23)&gt;=4.2,4.2,(7.1*1.04)-T23)</f>
        <v>4.2</v>
      </c>
      <c r="S23" s="151" t="n">
        <f aca="false">IF(((7.1*1.04)-T23)&gt;=4.2,((7.1*1.04)-T23)-4.2,0)</f>
        <v>1.86982896</v>
      </c>
      <c r="T23" s="151" t="n">
        <f aca="false">(1.1921*1.06)*1.04</f>
        <v>1.31417104</v>
      </c>
      <c r="U23" s="393" t="n">
        <v>0</v>
      </c>
      <c r="V23" s="155" t="n">
        <v>117</v>
      </c>
      <c r="W23" s="155" t="n">
        <v>65.9</v>
      </c>
      <c r="X23" s="155" t="n">
        <f aca="false">M23-N23-O23-P23-Q23-R23-S23-T23-U23+V23+W23-AT23+AR23</f>
        <v>401.123185254718</v>
      </c>
      <c r="Y23" s="155" t="n">
        <f aca="false">X23-AO23</f>
        <v>401.123185254718</v>
      </c>
      <c r="Z23" s="244" t="n">
        <f aca="false">Z22+AP23</f>
        <v>13722.6665982375</v>
      </c>
      <c r="AA23" s="155" t="n">
        <f aca="false">(-AP23)</f>
        <v>192.316</v>
      </c>
      <c r="AB23" s="123"/>
      <c r="AC23" s="123" t="n">
        <f aca="false">AC22-(AQ22/1.9835)+AS23</f>
        <v>1408.20121347064</v>
      </c>
      <c r="AD23" s="241" t="n">
        <f aca="false">AD22</f>
        <v>1495.84068565667</v>
      </c>
      <c r="AE23" s="155" t="n">
        <v>252</v>
      </c>
      <c r="AF23" s="279" t="n">
        <v>1.7</v>
      </c>
      <c r="AG23" s="281" t="n">
        <v>1.3</v>
      </c>
      <c r="AH23" s="155" t="n">
        <v>76.4</v>
      </c>
      <c r="AI23" s="123" t="n">
        <f aca="false">AI22-AH23</f>
        <v>11348.3578774893</v>
      </c>
      <c r="AJ23" s="123"/>
      <c r="AK23" s="154" t="n">
        <f aca="false">N23+O23+P23+Q23+R23+S23+T23+U23+X23+AE23+AH23-AR23</f>
        <v>847.3</v>
      </c>
      <c r="AL23" s="155" t="n">
        <f aca="false">IF(L23&lt;0,L23*-1,0)</f>
        <v>0</v>
      </c>
      <c r="AM23" s="155" t="n">
        <f aca="false">AK23+AL23</f>
        <v>847.3</v>
      </c>
      <c r="AN23" s="303"/>
      <c r="AO23" s="241"/>
      <c r="AP23" s="172" t="n">
        <f aca="false">I23-Q23-R23-X23-AF23</f>
        <v>-192.316</v>
      </c>
      <c r="AQ23" s="186" t="n">
        <f aca="false">84.479*(Z23*1.9835+AC23*1.9835)/E23</f>
        <v>11.8835460205847</v>
      </c>
      <c r="AR23" s="156"/>
      <c r="AS23" s="173" t="n">
        <f aca="false">AS22</f>
        <v>7.45</v>
      </c>
      <c r="AT23" s="5"/>
      <c r="AU23" s="4"/>
      <c r="AV23" s="355" t="n">
        <v>0</v>
      </c>
      <c r="AW23" s="248" t="n">
        <v>92</v>
      </c>
      <c r="AX23" s="241" t="n">
        <v>55</v>
      </c>
      <c r="AY23" s="161"/>
      <c r="AZ23" s="282" t="n">
        <f aca="false">SUM(N23,P23:U23)</f>
        <v>10.6768147452821</v>
      </c>
      <c r="BA23" s="1" t="n">
        <v>39.4</v>
      </c>
      <c r="BB23" s="407" t="n">
        <v>25471</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207" t="n">
        <f aca="false">A23+1</f>
        <v>10</v>
      </c>
      <c r="B24" s="122" t="n">
        <v>6920.14</v>
      </c>
      <c r="C24" s="123" t="n">
        <v>364181</v>
      </c>
      <c r="D24" s="241" t="n">
        <f aca="false">C24-C23</f>
        <v>-1172</v>
      </c>
      <c r="E24" s="123" t="n">
        <f aca="false">C24-152000</f>
        <v>212181</v>
      </c>
      <c r="F24" s="277" t="n">
        <f aca="false">D24/$D$2</f>
        <v>-590.874716410386</v>
      </c>
      <c r="G24" s="155" t="n">
        <v>234</v>
      </c>
      <c r="H24" s="156" t="n">
        <v>0</v>
      </c>
      <c r="I24" s="155" t="n">
        <f aca="false">G24+H24</f>
        <v>234</v>
      </c>
      <c r="J24" s="156" t="n">
        <f aca="false">IF(L24&gt;0,L24,0)</f>
        <v>6.42528358961431</v>
      </c>
      <c r="K24" s="155" t="n">
        <f aca="false">I24+J24</f>
        <v>240.425283589614</v>
      </c>
      <c r="L24" s="155" t="n">
        <f aca="false">F24-(I24-AK24)</f>
        <v>6.42528358961431</v>
      </c>
      <c r="M24" s="279" t="n">
        <v>340</v>
      </c>
      <c r="N24" s="186" t="n">
        <v>0</v>
      </c>
      <c r="O24" s="155" t="n">
        <f aca="false">96.7*1.05</f>
        <v>101.535</v>
      </c>
      <c r="P24" s="186" t="n">
        <v>0</v>
      </c>
      <c r="Q24" s="557" t="n">
        <f aca="false">2307800/325851/1.9835*1.02</f>
        <v>3.64205984623148</v>
      </c>
      <c r="R24" s="151" t="n">
        <f aca="false">IF(((7*1.04)-T24)&gt;=4.2,4.2,(7*1.04)-T24)</f>
        <v>4.2</v>
      </c>
      <c r="S24" s="151" t="n">
        <f aca="false">IF(((7*1.04)-T24)&gt;=4.2,((7*1.04)-T24)-4.2,0)</f>
        <v>1.76582896</v>
      </c>
      <c r="T24" s="151" t="n">
        <f aca="false">(1.1921*1.06)*1.04</f>
        <v>1.31417104</v>
      </c>
      <c r="U24" s="393" t="n">
        <v>0</v>
      </c>
      <c r="V24" s="155" t="n">
        <v>118</v>
      </c>
      <c r="W24" s="155" t="n">
        <v>65.9</v>
      </c>
      <c r="X24" s="155" t="n">
        <f aca="false">M24-N24-O24-P24-Q24-R24-S24-T24-U24+V24+W24-AT24+AR24</f>
        <v>411.442940153769</v>
      </c>
      <c r="Y24" s="155" t="n">
        <f aca="false">X24-AO24</f>
        <v>411.442940153769</v>
      </c>
      <c r="Z24" s="244" t="n">
        <f aca="false">Z23+AP24</f>
        <v>13535.6815982375</v>
      </c>
      <c r="AA24" s="155" t="n">
        <f aca="false">(-AP24)</f>
        <v>186.985</v>
      </c>
      <c r="AB24" s="123"/>
      <c r="AC24" s="123" t="n">
        <f aca="false">AC23-(AQ23/1.9835)+AS24</f>
        <v>1409.66001305693</v>
      </c>
      <c r="AD24" s="241" t="n">
        <f aca="false">AD23</f>
        <v>1495.84068565667</v>
      </c>
      <c r="AE24" s="155" t="n">
        <v>231</v>
      </c>
      <c r="AF24" s="279" t="n">
        <v>1.7</v>
      </c>
      <c r="AG24" s="281" t="n">
        <v>1.3</v>
      </c>
      <c r="AH24" s="155" t="n">
        <v>76.4</v>
      </c>
      <c r="AI24" s="123" t="n">
        <f aca="false">AI23-AH24</f>
        <v>11271.9578774893</v>
      </c>
      <c r="AJ24" s="123"/>
      <c r="AK24" s="154" t="n">
        <f aca="false">N24+O24+P24+Q24+R24+S24+T24+U24+X24+AE24+AH24-AR24</f>
        <v>831.3</v>
      </c>
      <c r="AL24" s="155" t="n">
        <f aca="false">IF(L24&lt;0,L24*-1,0)</f>
        <v>0</v>
      </c>
      <c r="AM24" s="155" t="n">
        <f aca="false">AK24+AL24</f>
        <v>831.3</v>
      </c>
      <c r="AN24" s="303"/>
      <c r="AO24" s="241"/>
      <c r="AP24" s="172" t="n">
        <f aca="false">I24-Q24-R24-X24-AF24</f>
        <v>-186.985</v>
      </c>
      <c r="AQ24" s="186" t="n">
        <f aca="false">107.679*(Z24*1.9835+AC24*1.9835)/E24</f>
        <v>15.043973956083</v>
      </c>
      <c r="AR24" s="156"/>
      <c r="AS24" s="173" t="n">
        <f aca="false">AS23</f>
        <v>7.45</v>
      </c>
      <c r="AT24" s="5"/>
      <c r="AU24" s="4"/>
      <c r="AV24" s="355" t="n">
        <v>0</v>
      </c>
      <c r="AW24" s="241" t="n">
        <v>91</v>
      </c>
      <c r="AX24" s="241" t="n">
        <v>58</v>
      </c>
      <c r="AY24" s="161"/>
      <c r="AZ24" s="282" t="n">
        <f aca="false">SUM(N24,P24:U24)</f>
        <v>10.9220598462315</v>
      </c>
      <c r="BA24" s="1" t="n">
        <v>59.1</v>
      </c>
      <c r="BB24" s="407" t="n">
        <v>25344</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207" t="n">
        <f aca="false">A24+1</f>
        <v>11</v>
      </c>
      <c r="B25" s="122" t="n">
        <v>6919.84</v>
      </c>
      <c r="C25" s="123" t="n">
        <v>362884</v>
      </c>
      <c r="D25" s="241" t="n">
        <f aca="false">C25-C24</f>
        <v>-1297</v>
      </c>
      <c r="E25" s="123" t="n">
        <f aca="false">C25-152000</f>
        <v>210884</v>
      </c>
      <c r="F25" s="277" t="n">
        <f aca="false">D25/$D$2</f>
        <v>-653.894630703302</v>
      </c>
      <c r="G25" s="155" t="n">
        <v>225</v>
      </c>
      <c r="H25" s="156" t="n">
        <v>0</v>
      </c>
      <c r="I25" s="155" t="n">
        <f aca="false">G25+H25</f>
        <v>225</v>
      </c>
      <c r="J25" s="156" t="n">
        <f aca="false">IF(L25&gt;0,L25,0)</f>
        <v>0</v>
      </c>
      <c r="K25" s="155" t="n">
        <f aca="false">I25+J25</f>
        <v>225</v>
      </c>
      <c r="L25" s="155" t="n">
        <f aca="false">F25-(I25-AK25)</f>
        <v>-12.8946307033023</v>
      </c>
      <c r="M25" s="279" t="n">
        <v>344</v>
      </c>
      <c r="N25" s="186" t="n">
        <v>0</v>
      </c>
      <c r="O25" s="155" t="n">
        <f aca="false">104*1.05</f>
        <v>109.2</v>
      </c>
      <c r="P25" s="186" t="n">
        <v>0</v>
      </c>
      <c r="Q25" s="557" t="n">
        <f aca="false">2272400/325851/1.9835*1.02</f>
        <v>3.58619325529786</v>
      </c>
      <c r="R25" s="151" t="n">
        <f aca="false">IF(((7.2*1.04)-T25)&gt;=4.2,4.2,(7.2*1.04)-T25)</f>
        <v>4.2</v>
      </c>
      <c r="S25" s="151" t="n">
        <f aca="false">IF(((7.2*1.04)-T25)&gt;=4.2,((7.2*1.04)-T25)-4.2,0)</f>
        <v>1.97382896</v>
      </c>
      <c r="T25" s="151" t="n">
        <f aca="false">(1.1921*1.06)*1.04</f>
        <v>1.31417104</v>
      </c>
      <c r="U25" s="393" t="n">
        <v>0</v>
      </c>
      <c r="V25" s="155" t="n">
        <v>118</v>
      </c>
      <c r="W25" s="155" t="n">
        <v>65.4</v>
      </c>
      <c r="X25" s="155" t="n">
        <f aca="false">M25-N25-O25-P25-Q25-R25-S25-T25-U25+V25+W25-AT25+AR25</f>
        <v>407.125806744702</v>
      </c>
      <c r="Y25" s="155" t="n">
        <f aca="false">X25-AO25</f>
        <v>407.125806744702</v>
      </c>
      <c r="Z25" s="244" t="n">
        <f aca="false">Z24+AP25</f>
        <v>13344.0695982375</v>
      </c>
      <c r="AA25" s="155" t="n">
        <f aca="false">(-AP25)</f>
        <v>191.612</v>
      </c>
      <c r="AB25" s="123"/>
      <c r="AC25" s="123" t="n">
        <f aca="false">AC24-(AQ24/1.9835)+AS25</f>
        <v>1409.52545346224</v>
      </c>
      <c r="AD25" s="241" t="n">
        <f aca="false">AD24</f>
        <v>1495.84068565667</v>
      </c>
      <c r="AE25" s="155" t="n">
        <v>262</v>
      </c>
      <c r="AF25" s="279" t="n">
        <v>1.7</v>
      </c>
      <c r="AG25" s="281" t="n">
        <v>1.3</v>
      </c>
      <c r="AH25" s="155" t="n">
        <v>76.6</v>
      </c>
      <c r="AI25" s="123" t="n">
        <f aca="false">AI24-AH25</f>
        <v>11195.3578774893</v>
      </c>
      <c r="AJ25" s="123"/>
      <c r="AK25" s="154" t="n">
        <f aca="false">N25+O25+P25+Q25+R25+S25+T25+U25+X25+AE25+AH25-AR25</f>
        <v>866</v>
      </c>
      <c r="AL25" s="155" t="n">
        <f aca="false">IF(L25&lt;0,L25*-1,0)</f>
        <v>12.8946307033023</v>
      </c>
      <c r="AM25" s="155" t="n">
        <f aca="false">AK25+AL25</f>
        <v>878.894630703302</v>
      </c>
      <c r="AN25" s="303"/>
      <c r="AO25" s="241"/>
      <c r="AP25" s="172" t="n">
        <f aca="false">I25-Q25-R25-X25-AF25</f>
        <v>-191.612</v>
      </c>
      <c r="AQ25" s="186" t="n">
        <f aca="false">63.548*(Z25*1.9835+AC25*1.9835)/E25</f>
        <v>8.81837006424444</v>
      </c>
      <c r="AR25" s="156"/>
      <c r="AS25" s="173" t="n">
        <f aca="false">AS24</f>
        <v>7.45</v>
      </c>
      <c r="AT25" s="5"/>
      <c r="AU25" s="4"/>
      <c r="AV25" s="355" t="n">
        <v>0</v>
      </c>
      <c r="AW25" s="241" t="n">
        <v>88</v>
      </c>
      <c r="AX25" s="241" t="n">
        <v>52</v>
      </c>
      <c r="AY25" s="161"/>
      <c r="AZ25" s="282" t="n">
        <f aca="false">SUM(N25,P25:U25)</f>
        <v>11.0741932552979</v>
      </c>
      <c r="BA25" s="1" t="n">
        <v>59.2</v>
      </c>
      <c r="BB25" s="407" t="n">
        <v>25205</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207" t="n">
        <f aca="false">A25+1</f>
        <v>12</v>
      </c>
      <c r="B26" s="122" t="n">
        <v>6919.57</v>
      </c>
      <c r="C26" s="123" t="n">
        <v>361721</v>
      </c>
      <c r="D26" s="241" t="n">
        <f aca="false">C26-C25</f>
        <v>-1163</v>
      </c>
      <c r="E26" s="123" t="n">
        <f aca="false">C26-152000</f>
        <v>209721</v>
      </c>
      <c r="F26" s="277" t="n">
        <f aca="false">D26/$D$2</f>
        <v>-586.337282581296</v>
      </c>
      <c r="G26" s="155" t="n">
        <v>209</v>
      </c>
      <c r="H26" s="156" t="n">
        <v>0</v>
      </c>
      <c r="I26" s="155" t="n">
        <f aca="false">G26+H26</f>
        <v>209</v>
      </c>
      <c r="J26" s="156" t="n">
        <f aca="false">IF(L26&gt;0,L26,0)</f>
        <v>15.9627174187044</v>
      </c>
      <c r="K26" s="155" t="n">
        <f aca="false">I26+J26</f>
        <v>224.962717418704</v>
      </c>
      <c r="L26" s="155" t="n">
        <f aca="false">F26-(I26-AK26)</f>
        <v>15.9627174187044</v>
      </c>
      <c r="M26" s="279" t="n">
        <v>301</v>
      </c>
      <c r="N26" s="186" t="n">
        <v>0</v>
      </c>
      <c r="O26" s="155" t="n">
        <f aca="false">84.3*1.05</f>
        <v>88.515</v>
      </c>
      <c r="P26" s="186" t="n">
        <v>0</v>
      </c>
      <c r="Q26" s="557" t="n">
        <f aca="false">2128500/325851/1.9835*1.02</f>
        <v>3.35909714130501</v>
      </c>
      <c r="R26" s="151" t="n">
        <f aca="false">IF(((6.7*1.04)-T26)&gt;=4.2,4.2,(6.7*1.04)-T26)</f>
        <v>4.2</v>
      </c>
      <c r="S26" s="151" t="n">
        <f aca="false">IF(((6.7*1.04)-T26)&gt;=4.2,((6.7*1.04)-T26)-4.2,0)</f>
        <v>1.45382896</v>
      </c>
      <c r="T26" s="151" t="n">
        <f aca="false">(1.1921*1.06)*1.04</f>
        <v>1.31417104</v>
      </c>
      <c r="U26" s="393" t="n">
        <v>0</v>
      </c>
      <c r="V26" s="155" t="n">
        <v>104</v>
      </c>
      <c r="W26" s="155" t="n">
        <v>65.2</v>
      </c>
      <c r="X26" s="155" t="n">
        <f aca="false">M26-N26-O26-P26-Q26-R26-S26-T26-U26+V26+W26-AT26+AR26</f>
        <v>371.357902858695</v>
      </c>
      <c r="Y26" s="155" t="n">
        <f aca="false">X26-AO26</f>
        <v>371.357902858695</v>
      </c>
      <c r="Z26" s="244" t="n">
        <f aca="false">Z25+AP26</f>
        <v>13172.4525982375</v>
      </c>
      <c r="AA26" s="155" t="n">
        <f aca="false">(-AP26)</f>
        <v>171.617</v>
      </c>
      <c r="AB26" s="123"/>
      <c r="AC26" s="123" t="n">
        <f aca="false">AC25-(AQ25/1.9835)+AS26</f>
        <v>1412.52959005702</v>
      </c>
      <c r="AD26" s="241" t="n">
        <f aca="false">AD25</f>
        <v>1495.84068565667</v>
      </c>
      <c r="AE26" s="155" t="n">
        <v>265</v>
      </c>
      <c r="AF26" s="279" t="n">
        <v>1.7</v>
      </c>
      <c r="AG26" s="281" t="n">
        <v>1.3</v>
      </c>
      <c r="AH26" s="155" t="n">
        <v>76.1</v>
      </c>
      <c r="AI26" s="123" t="n">
        <f aca="false">AI25-AH26</f>
        <v>11119.2578774893</v>
      </c>
      <c r="AJ26" s="123"/>
      <c r="AK26" s="154" t="n">
        <f aca="false">N26+O26+P26+Q26+R26+S26+T26+U26+X26+AE26+AH26-AR26</f>
        <v>811.3</v>
      </c>
      <c r="AL26" s="155" t="n">
        <f aca="false">IF(L26&lt;0,L26*-1,0)</f>
        <v>0</v>
      </c>
      <c r="AM26" s="155" t="n">
        <f aca="false">AK26+AL26</f>
        <v>811.3</v>
      </c>
      <c r="AN26" s="303"/>
      <c r="AO26" s="241"/>
      <c r="AP26" s="172" t="n">
        <f aca="false">I26-Q26-R26-X26-AF26</f>
        <v>-171.617</v>
      </c>
      <c r="AQ26" s="186" t="n">
        <f aca="false">81.957*(Z26*1.9835+AC26*1.9835)/E26</f>
        <v>11.3053038921052</v>
      </c>
      <c r="AR26" s="156"/>
      <c r="AS26" s="173" t="n">
        <f aca="false">AS25</f>
        <v>7.45</v>
      </c>
      <c r="AT26" s="5"/>
      <c r="AU26" s="4"/>
      <c r="AV26" s="355" t="n">
        <v>0</v>
      </c>
      <c r="AW26" s="241" t="n">
        <v>90</v>
      </c>
      <c r="AX26" s="241" t="n">
        <v>52</v>
      </c>
      <c r="AY26" s="161"/>
      <c r="AZ26" s="282" t="n">
        <f aca="false">SUM(N26,P26:U26)</f>
        <v>10.327097141305</v>
      </c>
      <c r="BA26" s="1" t="n">
        <v>59.1</v>
      </c>
      <c r="BB26" s="407" t="n">
        <v>25071</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207" t="n">
        <f aca="false">A26+1</f>
        <v>13</v>
      </c>
      <c r="B27" s="122" t="n">
        <v>6919.28</v>
      </c>
      <c r="C27" s="123" t="n">
        <v>360473</v>
      </c>
      <c r="D27" s="241" t="n">
        <f aca="false">C27-C26</f>
        <v>-1248</v>
      </c>
      <c r="E27" s="123" t="n">
        <f aca="false">C27-152000</f>
        <v>208473</v>
      </c>
      <c r="F27" s="277" t="n">
        <f aca="false">D27/$D$2</f>
        <v>-629.190824300479</v>
      </c>
      <c r="G27" s="155" t="n">
        <v>194</v>
      </c>
      <c r="H27" s="156" t="n">
        <v>0</v>
      </c>
      <c r="I27" s="155" t="n">
        <f aca="false">G27+H27</f>
        <v>194</v>
      </c>
      <c r="J27" s="156" t="n">
        <f aca="false">IF(L27&gt;0,L27,0)</f>
        <v>7.10917569952096</v>
      </c>
      <c r="K27" s="155" t="n">
        <f aca="false">I27+J27</f>
        <v>201.109175699521</v>
      </c>
      <c r="L27" s="155" t="n">
        <f aca="false">F27-(I27-AK27)</f>
        <v>7.10917569952096</v>
      </c>
      <c r="M27" s="279" t="n">
        <v>339</v>
      </c>
      <c r="N27" s="186" t="n">
        <v>0</v>
      </c>
      <c r="O27" s="155" t="n">
        <f aca="false">86.7*1.05</f>
        <v>91.035</v>
      </c>
      <c r="P27" s="186" t="n">
        <v>0</v>
      </c>
      <c r="Q27" s="557" t="n">
        <f aca="false">2100800/325851/1.9835*1.02</f>
        <v>3.3153823229756</v>
      </c>
      <c r="R27" s="151" t="n">
        <f aca="false">IF(((7.2*1.04)-T27)&gt;=4.2,4.2,(7.2*1.04)-T27)</f>
        <v>4.2</v>
      </c>
      <c r="S27" s="151" t="n">
        <f aca="false">IF(((7.2*1.04)-T27)&gt;=4.2,((7.2*1.04)-T27)-4.2,0)</f>
        <v>1.97382896</v>
      </c>
      <c r="T27" s="151" t="n">
        <f aca="false">(1.1921*1.06)*1.04</f>
        <v>1.31417104</v>
      </c>
      <c r="U27" s="393" t="n">
        <v>0</v>
      </c>
      <c r="V27" s="155" t="n">
        <v>74.9</v>
      </c>
      <c r="W27" s="155" t="n">
        <v>65.1</v>
      </c>
      <c r="X27" s="155" t="n">
        <f aca="false">M27-N27-O27-P27-Q27-R27-S27-T27-U27+V27+W27-AT27+AR27</f>
        <v>377.161617677024</v>
      </c>
      <c r="Y27" s="155" t="n">
        <f aca="false">X27-AO27</f>
        <v>377.161617677024</v>
      </c>
      <c r="Z27" s="244" t="n">
        <f aca="false">Z26+AP27</f>
        <v>12980.0755982375</v>
      </c>
      <c r="AA27" s="155" t="n">
        <f aca="false">(-AP27)</f>
        <v>192.377</v>
      </c>
      <c r="AB27" s="123"/>
      <c r="AC27" s="123" t="n">
        <f aca="false">AC26-(AQ26/1.9835)+AS27</f>
        <v>1414.27991579833</v>
      </c>
      <c r="AD27" s="241" t="n">
        <f aca="false">AD26</f>
        <v>1495.84068565667</v>
      </c>
      <c r="AE27" s="155" t="n">
        <v>274</v>
      </c>
      <c r="AF27" s="279" t="n">
        <v>1.7</v>
      </c>
      <c r="AG27" s="281" t="n">
        <v>1.3</v>
      </c>
      <c r="AH27" s="155" t="n">
        <v>77.3</v>
      </c>
      <c r="AI27" s="123" t="n">
        <f aca="false">AI26-AH27</f>
        <v>11041.9578774893</v>
      </c>
      <c r="AJ27" s="123"/>
      <c r="AK27" s="154" t="n">
        <f aca="false">N27+O27+P27+Q27+R27+S27+T27+U27+X27+AE27+AH27-AR27</f>
        <v>830.3</v>
      </c>
      <c r="AL27" s="155" t="n">
        <f aca="false">IF(L27&lt;0,L27*-1,0)</f>
        <v>0</v>
      </c>
      <c r="AM27" s="155" t="n">
        <f aca="false">AK27+AL27</f>
        <v>830.3</v>
      </c>
      <c r="AN27" s="303"/>
      <c r="AO27" s="241"/>
      <c r="AP27" s="172" t="n">
        <f aca="false">I27-Q27-R27-X27-AF27</f>
        <v>-192.377</v>
      </c>
      <c r="AQ27" s="186" t="n">
        <f aca="false">81.331*(Z27*1.9835+AC27*1.9835)/E27</f>
        <v>11.1386030119341</v>
      </c>
      <c r="AR27" s="156"/>
      <c r="AS27" s="173" t="n">
        <f aca="false">AS26</f>
        <v>7.45</v>
      </c>
      <c r="AT27" s="5"/>
      <c r="AU27" s="4"/>
      <c r="AV27" s="355" t="n">
        <v>0</v>
      </c>
      <c r="AW27" s="241" t="n">
        <v>91</v>
      </c>
      <c r="AX27" s="241" t="n">
        <v>52</v>
      </c>
      <c r="AY27" s="161"/>
      <c r="AZ27" s="282" t="n">
        <f aca="false">SUM(N27,P27:U27)</f>
        <v>10.8033823229756</v>
      </c>
      <c r="BA27" s="1" t="n">
        <v>59</v>
      </c>
      <c r="BB27" s="407" t="n">
        <v>24924</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207" t="n">
        <f aca="false">A27+1</f>
        <v>14</v>
      </c>
      <c r="B28" s="122" t="n">
        <v>6919.01</v>
      </c>
      <c r="C28" s="123" t="n">
        <v>359310</v>
      </c>
      <c r="D28" s="241" t="n">
        <f aca="false">C28-C27</f>
        <v>-1163</v>
      </c>
      <c r="E28" s="123" t="n">
        <f aca="false">C28-152000</f>
        <v>207310</v>
      </c>
      <c r="F28" s="277" t="n">
        <f aca="false">D28/$D$2</f>
        <v>-586.337282581296</v>
      </c>
      <c r="G28" s="155" t="n">
        <v>183</v>
      </c>
      <c r="H28" s="156" t="n">
        <v>0</v>
      </c>
      <c r="I28" s="155" t="n">
        <f aca="false">G28+H28</f>
        <v>183</v>
      </c>
      <c r="J28" s="156" t="n">
        <f aca="false">IF(L28&gt;0,L28,0)</f>
        <v>5.26271741870437</v>
      </c>
      <c r="K28" s="155" t="n">
        <f aca="false">I28+J28</f>
        <v>188.262717418704</v>
      </c>
      <c r="L28" s="155" t="n">
        <f aca="false">F28-(I28-AK28)</f>
        <v>5.26271741870437</v>
      </c>
      <c r="M28" s="279" t="n">
        <v>312</v>
      </c>
      <c r="N28" s="186" t="n">
        <v>0</v>
      </c>
      <c r="O28" s="155" t="n">
        <f aca="false">88.7*1.05</f>
        <v>93.135</v>
      </c>
      <c r="P28" s="186" t="n">
        <v>0</v>
      </c>
      <c r="Q28" s="557" t="n">
        <f aca="false">2117400/325851/1.9835*1.02</f>
        <v>3.34157965092752</v>
      </c>
      <c r="R28" s="151" t="n">
        <f aca="false">IF(((7.1*1.04)-T28)&gt;=4.2,4.2,(7.1*1.04)-T28)</f>
        <v>4.2</v>
      </c>
      <c r="S28" s="151" t="n">
        <f aca="false">IF(((7.1*1.04)-T28)&gt;=4.2,((7.1*1.04)-T28)-4.2,0)</f>
        <v>1.86982896</v>
      </c>
      <c r="T28" s="151" t="n">
        <f aca="false">(1.1921*1.06)*1.04</f>
        <v>1.31417104</v>
      </c>
      <c r="U28" s="393" t="n">
        <v>0</v>
      </c>
      <c r="V28" s="155" t="n">
        <v>69</v>
      </c>
      <c r="W28" s="155" t="n">
        <v>67.2</v>
      </c>
      <c r="X28" s="155" t="n">
        <f aca="false">M28-N28-O28-P28-Q28-R28-S28-T28-U28+V28+W28-AT28+AR28</f>
        <v>344.339420349072</v>
      </c>
      <c r="Y28" s="155" t="n">
        <f aca="false">X28-AO28</f>
        <v>344.339420349072</v>
      </c>
      <c r="Z28" s="244" t="n">
        <f aca="false">Z27+AP28</f>
        <v>12809.4945982375</v>
      </c>
      <c r="AA28" s="155" t="n">
        <f aca="false">(-AP28)</f>
        <v>170.581</v>
      </c>
      <c r="AB28" s="123"/>
      <c r="AC28" s="123" t="n">
        <f aca="false">AC27-(AQ27/1.9835)+AS28</f>
        <v>1416.11428534109</v>
      </c>
      <c r="AD28" s="241" t="n">
        <f aca="false">AD27</f>
        <v>1495.84068565667</v>
      </c>
      <c r="AE28" s="155" t="n">
        <v>250</v>
      </c>
      <c r="AF28" s="279" t="n">
        <v>1.7</v>
      </c>
      <c r="AG28" s="281" t="n">
        <v>1.3</v>
      </c>
      <c r="AH28" s="155" t="n">
        <v>76.4</v>
      </c>
      <c r="AI28" s="123" t="n">
        <f aca="false">AI27-AH28</f>
        <v>10965.5578774893</v>
      </c>
      <c r="AJ28" s="123"/>
      <c r="AK28" s="154" t="n">
        <f aca="false">N28+O28+P28+Q28+R28+S28+T28+U28+X28+AE28+AH28-AR28</f>
        <v>774.6</v>
      </c>
      <c r="AL28" s="155" t="n">
        <f aca="false">IF(L28&lt;0,L28*-1,0)</f>
        <v>0</v>
      </c>
      <c r="AM28" s="155" t="n">
        <f aca="false">AK28+AL28</f>
        <v>774.6</v>
      </c>
      <c r="AN28" s="303"/>
      <c r="AO28" s="241"/>
      <c r="AP28" s="172" t="n">
        <f aca="false">I28-Q28-R28-X28-AF28</f>
        <v>-170.581</v>
      </c>
      <c r="AQ28" s="186" t="n">
        <f aca="false">89.84*(Z28*1.9835+AC28*1.9835)/E28</f>
        <v>12.2279192061007</v>
      </c>
      <c r="AR28" s="156"/>
      <c r="AS28" s="173" t="n">
        <f aca="false">AS27</f>
        <v>7.45</v>
      </c>
      <c r="AT28" s="5"/>
      <c r="AU28" s="4"/>
      <c r="AV28" s="355" t="n">
        <v>0</v>
      </c>
      <c r="AW28" s="241" t="n">
        <v>92</v>
      </c>
      <c r="AX28" s="241" t="n">
        <v>57</v>
      </c>
      <c r="AY28" s="161"/>
      <c r="AZ28" s="282" t="n">
        <f aca="false">SUM(N28,P28:U28)</f>
        <v>10.7255796509275</v>
      </c>
      <c r="BA28" s="1" t="n">
        <v>58.9</v>
      </c>
      <c r="BB28" s="407" t="n">
        <v>24786</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207" t="n">
        <f aca="false">A28+1</f>
        <v>15</v>
      </c>
      <c r="B29" s="122" t="n">
        <v>6918.73</v>
      </c>
      <c r="C29" s="123" t="n">
        <v>358113</v>
      </c>
      <c r="D29" s="241" t="n">
        <f aca="false">C29-C28</f>
        <v>-1197</v>
      </c>
      <c r="E29" s="123" t="n">
        <f aca="false">C29-152000</f>
        <v>206113</v>
      </c>
      <c r="F29" s="277" t="n">
        <f aca="false">D29/$D$2</f>
        <v>-603.478699268969</v>
      </c>
      <c r="G29" s="155" t="n">
        <v>173</v>
      </c>
      <c r="H29" s="156" t="n">
        <v>0</v>
      </c>
      <c r="I29" s="155" t="n">
        <f aca="false">G29+H29</f>
        <v>173</v>
      </c>
      <c r="J29" s="156" t="n">
        <f aca="false">IF(L29&gt;0,L29,0)</f>
        <v>1.32130073103099</v>
      </c>
      <c r="K29" s="155" t="n">
        <f aca="false">I29+J29</f>
        <v>174.321300731031</v>
      </c>
      <c r="L29" s="155" t="n">
        <f aca="false">F29-(I29-AK29)</f>
        <v>1.32130073103099</v>
      </c>
      <c r="M29" s="279" t="n">
        <v>312</v>
      </c>
      <c r="N29" s="186" t="n">
        <v>0</v>
      </c>
      <c r="O29" s="155" t="n">
        <f aca="false">74.3*1.05</f>
        <v>78.015</v>
      </c>
      <c r="P29" s="186" t="n">
        <v>0</v>
      </c>
      <c r="Q29" s="557" t="n">
        <f aca="false">2212000/325851/1.9835*1.02</f>
        <v>3.49087285720774</v>
      </c>
      <c r="R29" s="151" t="n">
        <f aca="false">IF(((7.4*1.04)-T29)&gt;=4.2,4.2,(7.4*1.04)-T29)</f>
        <v>4.2</v>
      </c>
      <c r="S29" s="151" t="n">
        <f aca="false">IF(((7.4*1.04)-T29)&gt;=4.2,((7.4*1.04)-T29)-4.2,0)</f>
        <v>2.14269376</v>
      </c>
      <c r="T29" s="151" t="n">
        <f aca="false">(1.2276*1.06)*1.04</f>
        <v>1.35330624</v>
      </c>
      <c r="U29" s="393" t="n">
        <v>0</v>
      </c>
      <c r="V29" s="155" t="n">
        <v>69</v>
      </c>
      <c r="W29" s="155" t="n">
        <v>69.4</v>
      </c>
      <c r="X29" s="155" t="n">
        <f aca="false">M29-N29-O29-P29-Q29-R29-S29-T29-U29+V29+W29-AT29+AR29</f>
        <v>361.198127142792</v>
      </c>
      <c r="Y29" s="155" t="n">
        <f aca="false">X29-AO29</f>
        <v>361.198127142792</v>
      </c>
      <c r="Z29" s="244" t="n">
        <f aca="false">Z28+AP29</f>
        <v>12611.9055982375</v>
      </c>
      <c r="AA29" s="155" t="n">
        <f aca="false">(-AP29)</f>
        <v>197.589</v>
      </c>
      <c r="AB29" s="123"/>
      <c r="AC29" s="123" t="n">
        <f aca="false">AC28-(AQ28/1.9835)+AS29</f>
        <v>1417.3994659783</v>
      </c>
      <c r="AD29" s="241" t="n">
        <f aca="false">AD28</f>
        <v>1495.84068565667</v>
      </c>
      <c r="AE29" s="155" t="n">
        <v>253</v>
      </c>
      <c r="AF29" s="279" t="n">
        <v>1.7</v>
      </c>
      <c r="AG29" s="281" t="n">
        <v>1.3</v>
      </c>
      <c r="AH29" s="155" t="n">
        <v>74.4</v>
      </c>
      <c r="AI29" s="123" t="n">
        <f aca="false">AI28-AH29</f>
        <v>10891.1578774893</v>
      </c>
      <c r="AJ29" s="123"/>
      <c r="AK29" s="154" t="n">
        <f aca="false">N29+O29+P29+Q29+R29+S29+T29+U29+X29+AE29+AH29-AR29</f>
        <v>777.8</v>
      </c>
      <c r="AL29" s="155" t="n">
        <f aca="false">IF(L29&lt;0,L29*-1,0)</f>
        <v>0</v>
      </c>
      <c r="AM29" s="155" t="n">
        <f aca="false">AK29+AL29</f>
        <v>777.8</v>
      </c>
      <c r="AN29" s="303"/>
      <c r="AO29" s="241"/>
      <c r="AP29" s="172" t="n">
        <f aca="false">I29-Q29-R29-X29-AF29</f>
        <v>-197.589</v>
      </c>
      <c r="AQ29" s="186" t="n">
        <f aca="false">105.606*(Z29*1.9835+AC29*1.9835)/E29</f>
        <v>14.2577689479948</v>
      </c>
      <c r="AR29" s="156"/>
      <c r="AS29" s="173" t="n">
        <f aca="false">AS28</f>
        <v>7.45</v>
      </c>
      <c r="AT29" s="5"/>
      <c r="AU29" s="4"/>
      <c r="AV29" s="355" t="n">
        <v>0</v>
      </c>
      <c r="AW29" s="248" t="n">
        <v>94</v>
      </c>
      <c r="AX29" s="241" t="n">
        <v>58</v>
      </c>
      <c r="AY29" s="161"/>
      <c r="AZ29" s="282" t="n">
        <f aca="false">SUM(N29,P29:U29)</f>
        <v>11.1868728572077</v>
      </c>
      <c r="BA29" s="1" t="n">
        <v>58.8</v>
      </c>
      <c r="BB29" s="407" t="n">
        <v>24649</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75" hidden="false" customHeight="true" outlineLevel="0" collapsed="false">
      <c r="A30" s="207" t="n">
        <f aca="false">A29+1</f>
        <v>16</v>
      </c>
      <c r="B30" s="122" t="n">
        <v>6918.44</v>
      </c>
      <c r="C30" s="123" t="n">
        <v>356874</v>
      </c>
      <c r="D30" s="241" t="n">
        <f aca="false">C30-C29</f>
        <v>-1239</v>
      </c>
      <c r="E30" s="123" t="n">
        <f aca="false">C30-152000</f>
        <v>204874</v>
      </c>
      <c r="F30" s="277" t="n">
        <f aca="false">D30/$D$2</f>
        <v>-624.653390471389</v>
      </c>
      <c r="G30" s="155" t="n">
        <v>164</v>
      </c>
      <c r="H30" s="156" t="n">
        <v>0</v>
      </c>
      <c r="I30" s="155" t="n">
        <f aca="false">G30+H30</f>
        <v>164</v>
      </c>
      <c r="J30" s="156" t="n">
        <f aca="false">IF(L30&gt;0,L30,0)</f>
        <v>0</v>
      </c>
      <c r="K30" s="155" t="n">
        <f aca="false">I30+J30</f>
        <v>164</v>
      </c>
      <c r="L30" s="155" t="n">
        <f aca="false">F30-(I30-AK30)</f>
        <v>-40.453390471389</v>
      </c>
      <c r="M30" s="279" t="n">
        <v>304</v>
      </c>
      <c r="N30" s="186" t="n">
        <v>0</v>
      </c>
      <c r="O30" s="155" t="n">
        <f aca="false">79.4*1.05</f>
        <v>83.37</v>
      </c>
      <c r="P30" s="186" t="n">
        <v>0</v>
      </c>
      <c r="Q30" s="557" t="n">
        <f aca="false">2205100/325851/1.9835*1.02</f>
        <v>3.47998360643255</v>
      </c>
      <c r="R30" s="151" t="n">
        <f aca="false">IF(((7.1*1.04)-T30)&gt;=4.2,4.2,(7.1*1.04)-T30)</f>
        <v>4.2</v>
      </c>
      <c r="S30" s="151" t="n">
        <f aca="false">IF(((7.1*1.04)-T30)&gt;=4.2,((7.1*1.04)-T30)-4.2,0)</f>
        <v>1.83069376</v>
      </c>
      <c r="T30" s="151" t="n">
        <f aca="false">(1.2276*1.06)*1.04</f>
        <v>1.35330624</v>
      </c>
      <c r="U30" s="393" t="n">
        <v>0</v>
      </c>
      <c r="V30" s="155" t="n">
        <v>69.3</v>
      </c>
      <c r="W30" s="155" t="n">
        <v>69.6</v>
      </c>
      <c r="X30" s="155" t="n">
        <f aca="false">M30-N30-O30-P30-Q30-R30-S30-T30-U30+V30+W30-AT30+AR30</f>
        <v>348.666016393567</v>
      </c>
      <c r="Y30" s="155" t="n">
        <f aca="false">X30-AO30</f>
        <v>348.666016393567</v>
      </c>
      <c r="Z30" s="244" t="n">
        <f aca="false">Z29+AP30</f>
        <v>12417.8595982375</v>
      </c>
      <c r="AA30" s="155" t="n">
        <f aca="false">(-AP30)</f>
        <v>194.046</v>
      </c>
      <c r="AB30" s="123"/>
      <c r="AC30" s="123" t="n">
        <f aca="false">AC29-(AQ29/1.9835)+AS30</f>
        <v>1417.66127896141</v>
      </c>
      <c r="AD30" s="241" t="n">
        <f aca="false">AD29</f>
        <v>1495.84068565667</v>
      </c>
      <c r="AE30" s="155" t="n">
        <v>231</v>
      </c>
      <c r="AF30" s="279" t="n">
        <v>1.7</v>
      </c>
      <c r="AG30" s="281" t="n">
        <v>1.3</v>
      </c>
      <c r="AH30" s="155" t="n">
        <v>74.3</v>
      </c>
      <c r="AI30" s="123" t="n">
        <f aca="false">AI29-AH30</f>
        <v>10816.8578774893</v>
      </c>
      <c r="AJ30" s="123"/>
      <c r="AK30" s="154" t="n">
        <f aca="false">N30+O30+P30+Q30+R30+S30+T30+U30+X30+AE30+AH30-AR30</f>
        <v>748.2</v>
      </c>
      <c r="AL30" s="155" t="n">
        <f aca="false">IF(L30&lt;0,L30*-1,0)</f>
        <v>40.453390471389</v>
      </c>
      <c r="AM30" s="155" t="n">
        <f aca="false">AK30+AL30</f>
        <v>788.653390471389</v>
      </c>
      <c r="AN30" s="303"/>
      <c r="AO30" s="241"/>
      <c r="AP30" s="172" t="n">
        <f aca="false">I30-Q30-R30-X30-AF30</f>
        <v>-194.046</v>
      </c>
      <c r="AQ30" s="186" t="n">
        <f aca="false">92.129*(Z30*1.9835+AC30*1.9835)/E30</f>
        <v>12.3406270985734</v>
      </c>
      <c r="AR30" s="156"/>
      <c r="AS30" s="173" t="n">
        <f aca="false">AS29</f>
        <v>7.45</v>
      </c>
      <c r="AT30" s="5"/>
      <c r="AU30" s="4"/>
      <c r="AV30" s="355" t="n">
        <v>0</v>
      </c>
      <c r="AW30" s="248" t="n">
        <v>93</v>
      </c>
      <c r="AX30" s="241" t="n">
        <v>54</v>
      </c>
      <c r="AY30" s="161"/>
      <c r="AZ30" s="282" t="n">
        <f aca="false">SUM(N30,P30:U30)</f>
        <v>10.8639836064325</v>
      </c>
      <c r="BA30" s="1" t="n">
        <v>58.8</v>
      </c>
      <c r="BB30" s="407" t="n">
        <v>24581</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207" t="n">
        <f aca="false">A30+1</f>
        <v>17</v>
      </c>
      <c r="B31" s="122" t="n">
        <v>6918.17</v>
      </c>
      <c r="C31" s="123" t="n">
        <v>355720</v>
      </c>
      <c r="D31" s="241" t="n">
        <f aca="false">C31-C30</f>
        <v>-1154</v>
      </c>
      <c r="E31" s="123" t="n">
        <f aca="false">C31-152000</f>
        <v>203720</v>
      </c>
      <c r="F31" s="277" t="n">
        <f aca="false">D31/$D$2</f>
        <v>-581.799848752206</v>
      </c>
      <c r="G31" s="155" t="n">
        <v>158</v>
      </c>
      <c r="H31" s="156" t="n">
        <v>0</v>
      </c>
      <c r="I31" s="155" t="n">
        <f aca="false">G31+H31</f>
        <v>158</v>
      </c>
      <c r="J31" s="156" t="n">
        <f aca="false">IF(L31&gt;0,L31,0)</f>
        <v>0</v>
      </c>
      <c r="K31" s="155" t="n">
        <f aca="false">I31+J31</f>
        <v>158</v>
      </c>
      <c r="L31" s="155" t="n">
        <f aca="false">F31-(I31-AK31)</f>
        <v>-9.39984875220557</v>
      </c>
      <c r="M31" s="279" t="n">
        <v>307</v>
      </c>
      <c r="N31" s="186" t="n">
        <v>0</v>
      </c>
      <c r="O31" s="155" t="n">
        <f aca="false">72.7*1.05</f>
        <v>76.335</v>
      </c>
      <c r="P31" s="186" t="n">
        <v>0</v>
      </c>
      <c r="Q31" s="557" t="n">
        <f aca="false">2210600/325851/1.9835*1.02</f>
        <v>3.48866344400698</v>
      </c>
      <c r="R31" s="151" t="n">
        <f aca="false">IF(((7.4*1.04)-T31)&gt;=4.2,4.2,(7.4*1.04)-T31)</f>
        <v>4.2</v>
      </c>
      <c r="S31" s="151" t="n">
        <f aca="false">IF(((7.4*1.04)-T31)&gt;=4.2,((7.4*1.04)-T31)-4.2,0)</f>
        <v>2.14269376</v>
      </c>
      <c r="T31" s="151" t="n">
        <f aca="false">(1.2276*1.06)*1.04</f>
        <v>1.35330624</v>
      </c>
      <c r="U31" s="393" t="n">
        <v>0</v>
      </c>
      <c r="V31" s="155" t="n">
        <v>69.5</v>
      </c>
      <c r="W31" s="155" t="n">
        <v>69.7</v>
      </c>
      <c r="X31" s="155" t="n">
        <f aca="false">M31-N31-O31-P31-Q31-R31-S31-T31-U31+V31+W31-AT31+AR31</f>
        <v>358.680336555993</v>
      </c>
      <c r="Y31" s="155" t="n">
        <f aca="false">X31-AO31</f>
        <v>358.680336555993</v>
      </c>
      <c r="Z31" s="244" t="n">
        <f aca="false">Z30+AP31</f>
        <v>12207.7905982375</v>
      </c>
      <c r="AA31" s="155" t="n">
        <f aca="false">(-AP31)</f>
        <v>210.069</v>
      </c>
      <c r="AB31" s="123"/>
      <c r="AC31" s="123" t="n">
        <f aca="false">AC30-(AQ30/1.9835)+AS31</f>
        <v>1418.88963686483</v>
      </c>
      <c r="AD31" s="241" t="n">
        <f aca="false">AD30</f>
        <v>1495.84068565667</v>
      </c>
      <c r="AE31" s="155" t="n">
        <v>210</v>
      </c>
      <c r="AF31" s="279" t="n">
        <v>1.7</v>
      </c>
      <c r="AG31" s="281" t="n">
        <v>1.3</v>
      </c>
      <c r="AH31" s="155" t="n">
        <v>74.2</v>
      </c>
      <c r="AI31" s="123" t="n">
        <f aca="false">AI30-AH31</f>
        <v>10742.6578774893</v>
      </c>
      <c r="AJ31" s="123"/>
      <c r="AK31" s="154" t="n">
        <f aca="false">N31+O31+P31+Q31+R31+S31+T31+U31+X31+AE31+AH31-AR31</f>
        <v>730.4</v>
      </c>
      <c r="AL31" s="155" t="n">
        <f aca="false">IF(L31&lt;0,L31*-1,0)</f>
        <v>9.39984875220557</v>
      </c>
      <c r="AM31" s="155" t="n">
        <f aca="false">AK31+AL31</f>
        <v>739.799848752206</v>
      </c>
      <c r="AN31" s="303"/>
      <c r="AO31" s="241"/>
      <c r="AP31" s="172" t="n">
        <f aca="false">I31-Q31-R31-X31-AF31</f>
        <v>-210.069</v>
      </c>
      <c r="AQ31" s="186" t="n">
        <f aca="false">79.961*(Z31*1.9835+AC31*1.9835)/E31</f>
        <v>10.6088136040468</v>
      </c>
      <c r="AR31" s="156"/>
      <c r="AS31" s="173" t="n">
        <f aca="false">AS30</f>
        <v>7.45</v>
      </c>
      <c r="AT31" s="5"/>
      <c r="AU31" s="4"/>
      <c r="AV31" s="355" t="n">
        <v>0</v>
      </c>
      <c r="AW31" s="248" t="n">
        <v>92</v>
      </c>
      <c r="AX31" s="241" t="n">
        <v>56</v>
      </c>
      <c r="AY31" s="161"/>
      <c r="AZ31" s="282" t="n">
        <f aca="false">SUM(N31,P31:U31)</f>
        <v>11.184663444007</v>
      </c>
      <c r="BA31" s="1" t="n">
        <v>58.8</v>
      </c>
      <c r="BB31" s="407" t="n">
        <v>24522</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207" t="n">
        <f aca="false">A31+1</f>
        <v>18</v>
      </c>
      <c r="B32" s="122" t="n">
        <v>6917.92</v>
      </c>
      <c r="C32" s="123" t="n">
        <v>354655</v>
      </c>
      <c r="D32" s="241" t="n">
        <f aca="false">C32-C31</f>
        <v>-1065</v>
      </c>
      <c r="E32" s="123" t="n">
        <f aca="false">C32-152000</f>
        <v>202655</v>
      </c>
      <c r="F32" s="277" t="n">
        <f aca="false">D32/$D$2</f>
        <v>-536.929669775649</v>
      </c>
      <c r="G32" s="155" t="n">
        <v>154</v>
      </c>
      <c r="H32" s="156" t="n">
        <v>0</v>
      </c>
      <c r="I32" s="155" t="n">
        <f aca="false">G32+H32</f>
        <v>154</v>
      </c>
      <c r="J32" s="156" t="n">
        <f aca="false">IF(L32&gt;0,L32,0)</f>
        <v>32.7703302243509</v>
      </c>
      <c r="K32" s="155" t="n">
        <f aca="false">I32+J32</f>
        <v>186.770330224351</v>
      </c>
      <c r="L32" s="155" t="n">
        <f aca="false">F32-(I32-AK32)</f>
        <v>32.7703302243509</v>
      </c>
      <c r="M32" s="279" t="n">
        <v>286</v>
      </c>
      <c r="N32" s="186" t="n">
        <v>0</v>
      </c>
      <c r="O32" s="155" t="n">
        <f aca="false">58.1*1.05</f>
        <v>61.005</v>
      </c>
      <c r="P32" s="186" t="n">
        <v>0</v>
      </c>
      <c r="Q32" s="557" t="n">
        <f aca="false">2237100/325851/1.9835*1.02</f>
        <v>3.53048447959288</v>
      </c>
      <c r="R32" s="151" t="n">
        <f aca="false">IF(((7*1.04)-T32)&gt;=4.2,4.2,(7*1.04)-T32)</f>
        <v>4.2</v>
      </c>
      <c r="S32" s="151" t="n">
        <f aca="false">IF(((7*1.04)-T32)&gt;=4.2,((7*1.04)-T32)-4.2,0)</f>
        <v>1.72669376</v>
      </c>
      <c r="T32" s="151" t="n">
        <f aca="false">(1.2276*1.06)*1.04</f>
        <v>1.35330624</v>
      </c>
      <c r="U32" s="393" t="n">
        <v>0</v>
      </c>
      <c r="V32" s="155" t="n">
        <v>69.3</v>
      </c>
      <c r="W32" s="155" t="n">
        <v>72</v>
      </c>
      <c r="X32" s="155" t="n">
        <f aca="false">M32-N32-O32-P32-Q32-R32-S32-T32-U32+V32+W32-AT32+AR32</f>
        <v>355.484515520407</v>
      </c>
      <c r="Y32" s="155" t="n">
        <f aca="false">X32-AO32</f>
        <v>355.484515520407</v>
      </c>
      <c r="Z32" s="244" t="n">
        <f aca="false">Z31+AP32</f>
        <v>11996.8755982375</v>
      </c>
      <c r="AA32" s="155" t="n">
        <f aca="false">(-AP32)</f>
        <v>210.915</v>
      </c>
      <c r="AB32" s="123"/>
      <c r="AC32" s="123" t="n">
        <f aca="false">AC31-(AQ31/1.9835)+AS32</f>
        <v>1420.99110467222</v>
      </c>
      <c r="AD32" s="241" t="n">
        <f aca="false">AD31</f>
        <v>1495.84068565667</v>
      </c>
      <c r="AE32" s="155" t="n">
        <v>222</v>
      </c>
      <c r="AF32" s="279" t="n">
        <v>1.7</v>
      </c>
      <c r="AG32" s="281" t="n">
        <v>1.3</v>
      </c>
      <c r="AH32" s="155" t="n">
        <v>74.4</v>
      </c>
      <c r="AI32" s="123" t="n">
        <f aca="false">AI31-AH32</f>
        <v>10668.2578774893</v>
      </c>
      <c r="AJ32" s="123"/>
      <c r="AK32" s="154" t="n">
        <f aca="false">N32+O32+P32+Q32+R32+S32+T32+U32+X32+AE32+AH32-AR32</f>
        <v>723.7</v>
      </c>
      <c r="AL32" s="155" t="n">
        <f aca="false">IF(L32&lt;0,L32*-1,0)</f>
        <v>0</v>
      </c>
      <c r="AM32" s="155" t="n">
        <f aca="false">AK32+AL32</f>
        <v>723.7</v>
      </c>
      <c r="AN32" s="303"/>
      <c r="AO32" s="241"/>
      <c r="AP32" s="172" t="n">
        <f aca="false">I32-Q32-R32-X32-AF32</f>
        <v>-210.915</v>
      </c>
      <c r="AQ32" s="186" t="n">
        <f aca="false">91.632*(Z32*1.9835+AC32*1.9835)/E32</f>
        <v>12.0338756757723</v>
      </c>
      <c r="AR32" s="156"/>
      <c r="AS32" s="173" t="n">
        <f aca="false">AS31</f>
        <v>7.45</v>
      </c>
      <c r="AT32" s="5"/>
      <c r="AU32" s="4"/>
      <c r="AV32" s="355" t="n">
        <v>0.07</v>
      </c>
      <c r="AW32" s="248" t="n">
        <v>91</v>
      </c>
      <c r="AX32" s="241" t="n">
        <v>60</v>
      </c>
      <c r="AY32" s="161"/>
      <c r="AZ32" s="282" t="n">
        <f aca="false">SUM(N32,P32:U32)</f>
        <v>10.8104844795929</v>
      </c>
      <c r="BA32" s="1" t="n">
        <v>58.8</v>
      </c>
      <c r="BB32" s="407" t="n">
        <v>24432</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207" t="n">
        <f aca="false">A32+1</f>
        <v>19</v>
      </c>
      <c r="B33" s="122" t="n">
        <v>6917.65</v>
      </c>
      <c r="C33" s="123" t="n">
        <v>353510</v>
      </c>
      <c r="D33" s="241" t="n">
        <f aca="false">C33-C32</f>
        <v>-1145</v>
      </c>
      <c r="E33" s="123" t="n">
        <f aca="false">C33-152000</f>
        <v>201510</v>
      </c>
      <c r="F33" s="277" t="n">
        <f aca="false">D33/$D$2</f>
        <v>-577.262414923116</v>
      </c>
      <c r="G33" s="155" t="n">
        <v>176</v>
      </c>
      <c r="H33" s="156" t="n">
        <v>0</v>
      </c>
      <c r="I33" s="155" t="n">
        <f aca="false">G33+H33</f>
        <v>176</v>
      </c>
      <c r="J33" s="156" t="n">
        <f aca="false">IF(L33&gt;0,L33,0)</f>
        <v>0</v>
      </c>
      <c r="K33" s="155" t="n">
        <f aca="false">I33+J33</f>
        <v>176</v>
      </c>
      <c r="L33" s="155" t="n">
        <f aca="false">F33-(I33-AK33)</f>
        <v>-38.3624149231156</v>
      </c>
      <c r="M33" s="279" t="n">
        <v>306</v>
      </c>
      <c r="N33" s="186" t="n">
        <v>0</v>
      </c>
      <c r="O33" s="155" t="n">
        <v>72.7</v>
      </c>
      <c r="P33" s="186" t="n">
        <v>3</v>
      </c>
      <c r="Q33" s="557" t="n">
        <f aca="false">1727900/325851/1.9835*1.02</f>
        <v>2.72688933542914</v>
      </c>
      <c r="R33" s="151" t="n">
        <f aca="false">IF(((7.2*1.04)-T33)&gt;=4.2,4.2,(7.2*1.04)-T33)</f>
        <v>4.2</v>
      </c>
      <c r="S33" s="151" t="n">
        <f aca="false">IF(((7.2*1.04)-T33)&gt;=4.2,((7.2*1.04)-T33)-4.2,0)</f>
        <v>1.93469376</v>
      </c>
      <c r="T33" s="151" t="n">
        <f aca="false">(1.2276*1.06)*1.04</f>
        <v>1.35330624</v>
      </c>
      <c r="U33" s="393" t="n">
        <v>0</v>
      </c>
      <c r="V33" s="155" t="n">
        <v>69.9</v>
      </c>
      <c r="W33" s="155" t="n">
        <v>73.5</v>
      </c>
      <c r="X33" s="155" t="n">
        <f aca="false">M33-N33-O33-P33-Q33-R33-S33-T33-U33+V33+W33-AT33+AR33</f>
        <v>363.485110664571</v>
      </c>
      <c r="Y33" s="155" t="n">
        <f aca="false">X33-AO33</f>
        <v>363.485110664571</v>
      </c>
      <c r="Z33" s="244" t="n">
        <f aca="false">Z32+AP33</f>
        <v>11800.7635982375</v>
      </c>
      <c r="AA33" s="155" t="n">
        <f aca="false">(-AP33)</f>
        <v>196.112</v>
      </c>
      <c r="AB33" s="123"/>
      <c r="AC33" s="123" t="n">
        <f aca="false">AC32-(AQ32/1.9835)+AS33</f>
        <v>1422.37411416263</v>
      </c>
      <c r="AD33" s="241" t="n">
        <f aca="false">AD32</f>
        <v>1495.84068565667</v>
      </c>
      <c r="AE33" s="155" t="n">
        <v>191</v>
      </c>
      <c r="AF33" s="279" t="n">
        <v>1.7</v>
      </c>
      <c r="AG33" s="281" t="n">
        <v>1.3</v>
      </c>
      <c r="AH33" s="155" t="n">
        <v>74.5</v>
      </c>
      <c r="AI33" s="123" t="n">
        <f aca="false">AI32-AH33</f>
        <v>10593.7578774893</v>
      </c>
      <c r="AJ33" s="123"/>
      <c r="AK33" s="154" t="n">
        <f aca="false">N33+O33+P33+Q33+R33+S33+T33+U33+X33+AE33+AH33-AR33</f>
        <v>714.9</v>
      </c>
      <c r="AL33" s="155" t="n">
        <f aca="false">IF(L33&lt;0,L33*-1,0)</f>
        <v>38.3624149231156</v>
      </c>
      <c r="AM33" s="155" t="n">
        <f aca="false">AK33+AL33</f>
        <v>753.262414923116</v>
      </c>
      <c r="AN33" s="303"/>
      <c r="AO33" s="241"/>
      <c r="AP33" s="172" t="n">
        <f aca="false">I33-Q33-R33-X33-AF33</f>
        <v>-196.112</v>
      </c>
      <c r="AQ33" s="186" t="n">
        <f aca="false">66.799*(Z33*1.9835+AC33*1.9835)/E33</f>
        <v>8.69440934889778</v>
      </c>
      <c r="AR33" s="156"/>
      <c r="AS33" s="173" t="n">
        <f aca="false">AS32</f>
        <v>7.45</v>
      </c>
      <c r="AT33" s="5"/>
      <c r="AU33" s="4"/>
      <c r="AV33" s="355" t="n">
        <v>0.02</v>
      </c>
      <c r="AW33" s="248" t="n">
        <v>89</v>
      </c>
      <c r="AX33" s="241" t="n">
        <v>55</v>
      </c>
      <c r="AY33" s="161"/>
      <c r="AZ33" s="282" t="n">
        <f aca="false">SUM(N33,P33:U33)</f>
        <v>13.2148893354291</v>
      </c>
      <c r="BA33" s="1" t="n">
        <v>58.8</v>
      </c>
      <c r="BB33" s="407" t="n">
        <v>24411</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207" t="n">
        <f aca="false">A33+1</f>
        <v>20</v>
      </c>
      <c r="B34" s="122" t="n">
        <v>6917.51</v>
      </c>
      <c r="C34" s="123" t="n">
        <v>352916</v>
      </c>
      <c r="D34" s="241" t="n">
        <f aca="false">C34-C33</f>
        <v>-594</v>
      </c>
      <c r="E34" s="123" t="n">
        <f aca="false">C34-152000</f>
        <v>200916</v>
      </c>
      <c r="F34" s="277" t="n">
        <f aca="false">D34/$D$2</f>
        <v>-299.470632719939</v>
      </c>
      <c r="G34" s="155" t="n">
        <v>236</v>
      </c>
      <c r="H34" s="156" t="n">
        <v>0</v>
      </c>
      <c r="I34" s="155" t="n">
        <f aca="false">G34+H34</f>
        <v>236</v>
      </c>
      <c r="J34" s="156" t="n">
        <f aca="false">IF(L34&gt;0,L34,0)</f>
        <v>121.529367280061</v>
      </c>
      <c r="K34" s="155" t="n">
        <f aca="false">I34+J34</f>
        <v>357.529367280061</v>
      </c>
      <c r="L34" s="155" t="n">
        <f aca="false">F34-(I34-AK34)</f>
        <v>121.529367280061</v>
      </c>
      <c r="M34" s="279" t="n">
        <v>268</v>
      </c>
      <c r="N34" s="186" t="n">
        <v>0</v>
      </c>
      <c r="O34" s="155" t="n">
        <f aca="false">54.4*1.05</f>
        <v>57.12</v>
      </c>
      <c r="P34" s="186" t="n">
        <v>4.06</v>
      </c>
      <c r="Q34" s="557" t="n">
        <f aca="false">1676400/325851/1.9835*1.02</f>
        <v>2.64561449268674</v>
      </c>
      <c r="R34" s="151" t="n">
        <f aca="false">IF(((7.2*1.04)-T34)&gt;=4.2,4.2,(7.2*1.04)-T34)</f>
        <v>4.2</v>
      </c>
      <c r="S34" s="151" t="n">
        <f aca="false">IF(((7.2*1.04)-T34)&gt;=4.2,((7.2*1.04)-T34)-4.2,0)</f>
        <v>1.93469376</v>
      </c>
      <c r="T34" s="151" t="n">
        <f aca="false">(1.2276*1.06)*1.04</f>
        <v>1.35330624</v>
      </c>
      <c r="U34" s="393" t="n">
        <v>0</v>
      </c>
      <c r="V34" s="155" t="n">
        <v>68.6</v>
      </c>
      <c r="W34" s="155" t="n">
        <v>69.8</v>
      </c>
      <c r="X34" s="155" t="n">
        <f aca="false">M34-N34-O34-P34-Q34-R34-S34-T34-U34+V34+W34-AT34+AR34</f>
        <v>335.086385507313</v>
      </c>
      <c r="Y34" s="155" t="n">
        <f aca="false">X34-AO34</f>
        <v>335.086385507313</v>
      </c>
      <c r="Z34" s="244" t="n">
        <f aca="false">Z33+AP34</f>
        <v>11693.1315982375</v>
      </c>
      <c r="AA34" s="155" t="n">
        <f aca="false">(-AP34)</f>
        <v>107.632</v>
      </c>
      <c r="AB34" s="123"/>
      <c r="AC34" s="123" t="n">
        <f aca="false">AC33-(AQ33/1.9835)+AS34</f>
        <v>1425.44074670667</v>
      </c>
      <c r="AD34" s="241" t="n">
        <f aca="false">AD33</f>
        <v>1495.84068565667</v>
      </c>
      <c r="AE34" s="155" t="n">
        <v>176</v>
      </c>
      <c r="AF34" s="279" t="n">
        <v>1.7</v>
      </c>
      <c r="AG34" s="281" t="n">
        <v>1.3</v>
      </c>
      <c r="AH34" s="155" t="n">
        <v>74.6</v>
      </c>
      <c r="AI34" s="123" t="n">
        <f aca="false">AI33-AH34</f>
        <v>10519.1578774893</v>
      </c>
      <c r="AJ34" s="123"/>
      <c r="AK34" s="154" t="n">
        <f aca="false">N34+O34+P34+Q34+R34+S34+T34+U34+X34+AE34+AH34-AR34</f>
        <v>657</v>
      </c>
      <c r="AL34" s="155" t="n">
        <f aca="false">IF(L34&lt;0,L34*-1,0)</f>
        <v>0</v>
      </c>
      <c r="AM34" s="155" t="n">
        <f aca="false">AK34+AL34</f>
        <v>657</v>
      </c>
      <c r="AN34" s="303"/>
      <c r="AO34" s="241"/>
      <c r="AP34" s="172" t="n">
        <f aca="false">I34-Q34-R34-X34-AF34</f>
        <v>-107.632</v>
      </c>
      <c r="AQ34" s="186" t="n">
        <f aca="false">13.658*(Z34*1.9835+AC34*1.9835)/E34</f>
        <v>1.76885146064303</v>
      </c>
      <c r="AR34" s="156"/>
      <c r="AS34" s="173" t="n">
        <f aca="false">AS33</f>
        <v>7.45</v>
      </c>
      <c r="AT34" s="5"/>
      <c r="AU34" s="4"/>
      <c r="AV34" s="355" t="n">
        <v>0.36</v>
      </c>
      <c r="AW34" s="248" t="n">
        <v>89</v>
      </c>
      <c r="AX34" s="241" t="n">
        <v>59</v>
      </c>
      <c r="AY34" s="161"/>
      <c r="AZ34" s="282" t="n">
        <f aca="false">SUM(N34,P34:U34)</f>
        <v>14.1936144926867</v>
      </c>
      <c r="BA34" s="1" t="n">
        <v>58.7</v>
      </c>
      <c r="BB34" s="407" t="n">
        <v>24158</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207" t="n">
        <f aca="false">A34+1</f>
        <v>21</v>
      </c>
      <c r="B35" s="122" t="n">
        <v>6917.33</v>
      </c>
      <c r="C35" s="123" t="n">
        <v>352153</v>
      </c>
      <c r="D35" s="241" t="n">
        <f aca="false">C35-C34</f>
        <v>-763</v>
      </c>
      <c r="E35" s="123" t="n">
        <f aca="false">C35-152000</f>
        <v>200153</v>
      </c>
      <c r="F35" s="277" t="n">
        <f aca="false">D35/$D$2</f>
        <v>-384.673556843963</v>
      </c>
      <c r="G35" s="155" t="n">
        <v>243</v>
      </c>
      <c r="H35" s="156" t="n">
        <v>0</v>
      </c>
      <c r="I35" s="155" t="n">
        <f aca="false">G35+H35</f>
        <v>243</v>
      </c>
      <c r="J35" s="156" t="n">
        <f aca="false">IF(L35&gt;0,L35,0)</f>
        <v>30.0264431560374</v>
      </c>
      <c r="K35" s="155" t="n">
        <f aca="false">I35+J35</f>
        <v>273.026443156037</v>
      </c>
      <c r="L35" s="155" t="n">
        <f aca="false">F35-(I35-AK35)</f>
        <v>30.0264431560374</v>
      </c>
      <c r="M35" s="279" t="n">
        <v>267</v>
      </c>
      <c r="N35" s="186" t="n">
        <v>0</v>
      </c>
      <c r="O35" s="155" t="n">
        <f aca="false">66.2*1.05</f>
        <v>69.51</v>
      </c>
      <c r="P35" s="186" t="n">
        <v>0</v>
      </c>
      <c r="Q35" s="557" t="n">
        <f aca="false">1646700/325851/1.9835*1.02</f>
        <v>2.59874336978481</v>
      </c>
      <c r="R35" s="151" t="n">
        <f aca="false">IF(((5.8*1.04)-T35)&gt;=4.2,4.2,(5.8*1.04)-T35)</f>
        <v>4.2</v>
      </c>
      <c r="S35" s="151" t="n">
        <f aca="false">IF(((5.8*1.04)-T35)&gt;=4.2,((5.8*1.04)-T35)-4.2,0)</f>
        <v>0.47869376</v>
      </c>
      <c r="T35" s="151" t="n">
        <f aca="false">(1.2276*1.06)*1.04</f>
        <v>1.35330624</v>
      </c>
      <c r="U35" s="393" t="n">
        <v>0</v>
      </c>
      <c r="V35" s="155" t="n">
        <v>68.5</v>
      </c>
      <c r="W35" s="155" t="n">
        <v>69.6</v>
      </c>
      <c r="X35" s="155" t="n">
        <f aca="false">M35-N35-O35-P35-Q35-R35-S35-T35-U35+V35+W35-AT35+AR35</f>
        <v>326.959256630215</v>
      </c>
      <c r="Y35" s="155" t="n">
        <f aca="false">X35-AO35</f>
        <v>326.959256630215</v>
      </c>
      <c r="Z35" s="244" t="n">
        <f aca="false">Z34+AP35</f>
        <v>11600.6735982375</v>
      </c>
      <c r="AA35" s="155" t="n">
        <f aca="false">(-AP35)</f>
        <v>92.458</v>
      </c>
      <c r="AB35" s="123"/>
      <c r="AC35" s="123" t="n">
        <f aca="false">AC34-(AQ34/1.9835)+AS35</f>
        <v>1431.99896376709</v>
      </c>
      <c r="AD35" s="241" t="n">
        <f aca="false">AD34</f>
        <v>1495.84068565667</v>
      </c>
      <c r="AE35" s="155" t="n">
        <v>178</v>
      </c>
      <c r="AF35" s="279" t="n">
        <v>1.7</v>
      </c>
      <c r="AG35" s="281" t="n">
        <v>1.3</v>
      </c>
      <c r="AH35" s="155" t="n">
        <v>74.6</v>
      </c>
      <c r="AI35" s="123" t="n">
        <f aca="false">AI34-AH35</f>
        <v>10444.5578774893</v>
      </c>
      <c r="AJ35" s="123"/>
      <c r="AK35" s="154" t="n">
        <f aca="false">N35+O35+P35+Q35+R35+S35+T35+U35+X35+AE35+AH35-AR35</f>
        <v>657.7</v>
      </c>
      <c r="AL35" s="155" t="n">
        <f aca="false">IF(L35&lt;0,L35*-1,0)</f>
        <v>0</v>
      </c>
      <c r="AM35" s="155" t="n">
        <f aca="false">AK35+AL35</f>
        <v>657.7</v>
      </c>
      <c r="AN35" s="303"/>
      <c r="AO35" s="241"/>
      <c r="AP35" s="172" t="n">
        <f aca="false">I35-Q35-R35-X35-AF35</f>
        <v>-92.458</v>
      </c>
      <c r="AQ35" s="186" t="n">
        <f aca="false">26.858*(Z35*1.9835+AC35*1.9835)/E35</f>
        <v>3.46878397658829</v>
      </c>
      <c r="AR35" s="156"/>
      <c r="AS35" s="173" t="n">
        <f aca="false">AS34</f>
        <v>7.45</v>
      </c>
      <c r="AT35" s="5"/>
      <c r="AU35" s="4"/>
      <c r="AV35" s="355" t="n">
        <v>0.09</v>
      </c>
      <c r="AW35" s="241" t="n">
        <v>88</v>
      </c>
      <c r="AX35" s="241" t="n">
        <v>57</v>
      </c>
      <c r="AY35" s="161"/>
      <c r="AZ35" s="282" t="n">
        <f aca="false">SUM(N35,P35:U35)</f>
        <v>8.63074336978481</v>
      </c>
      <c r="BA35" s="1" t="n">
        <v>58.6</v>
      </c>
      <c r="BB35" s="407" t="n">
        <v>24040</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207" t="n">
        <f aca="false">A35+1</f>
        <v>22</v>
      </c>
      <c r="B36" s="122" t="n">
        <v>6917.13</v>
      </c>
      <c r="C36" s="123" t="n">
        <v>351305</v>
      </c>
      <c r="D36" s="241" t="n">
        <f aca="false">C36-C35</f>
        <v>-848</v>
      </c>
      <c r="E36" s="123" t="n">
        <f aca="false">C36-152000</f>
        <v>199305</v>
      </c>
      <c r="F36" s="277" t="n">
        <f aca="false">D36/$D$2</f>
        <v>-427.527098563146</v>
      </c>
      <c r="G36" s="155" t="n">
        <v>222</v>
      </c>
      <c r="H36" s="156" t="n">
        <v>0</v>
      </c>
      <c r="I36" s="155" t="n">
        <f aca="false">G36+H36</f>
        <v>222</v>
      </c>
      <c r="J36" s="156" t="n">
        <f aca="false">IF(L36&gt;0,L36,0)</f>
        <v>22.7729014368541</v>
      </c>
      <c r="K36" s="155" t="n">
        <f aca="false">I36+J36</f>
        <v>244.772901436854</v>
      </c>
      <c r="L36" s="155" t="n">
        <f aca="false">F36-(I36-AK36)</f>
        <v>22.7729014368541</v>
      </c>
      <c r="M36" s="279" t="n">
        <v>283</v>
      </c>
      <c r="N36" s="186" t="n">
        <v>0</v>
      </c>
      <c r="O36" s="155" t="n">
        <f aca="false">72.4*1.05</f>
        <v>76.02</v>
      </c>
      <c r="P36" s="186" t="n">
        <v>0</v>
      </c>
      <c r="Q36" s="557" t="n">
        <f aca="false">1678500/325851/1.9835*1.02</f>
        <v>2.64892861248788</v>
      </c>
      <c r="R36" s="151" t="n">
        <f aca="false">IF(((6.2*1.04)-T36)&gt;=4.2,4.2,(6.2*1.04)-T36)</f>
        <v>4.2</v>
      </c>
      <c r="S36" s="151" t="n">
        <f aca="false">IF(((6.2*1.04)-T36)&gt;=4.2,((6.2*1.04)-T36)-4.2,0)</f>
        <v>0.9427584</v>
      </c>
      <c r="T36" s="151" t="n">
        <f aca="false">(1.184*1.06)*1.04</f>
        <v>1.3052416</v>
      </c>
      <c r="U36" s="393" t="n">
        <v>0</v>
      </c>
      <c r="V36" s="155" t="n">
        <v>68.6</v>
      </c>
      <c r="W36" s="155" t="n">
        <v>68.1</v>
      </c>
      <c r="X36" s="155" t="n">
        <f aca="false">M36-N36-O36-P36-Q36-R36-S36-T36-U36+V36+W36-AT36+AR36</f>
        <v>334.583071387512</v>
      </c>
      <c r="Y36" s="155" t="n">
        <f aca="false">X36-AO36</f>
        <v>334.583071387512</v>
      </c>
      <c r="Z36" s="244" t="n">
        <f aca="false">Z35+AP36</f>
        <v>11479.5415982375</v>
      </c>
      <c r="AA36" s="155" t="n">
        <f aca="false">(-AP36)</f>
        <v>121.132</v>
      </c>
      <c r="AB36" s="123"/>
      <c r="AC36" s="123" t="n">
        <f aca="false">AC35-(AQ35/1.9835)+AS36</f>
        <v>1437.70014401585</v>
      </c>
      <c r="AD36" s="241" t="n">
        <f aca="false">AD35</f>
        <v>1495.84068565667</v>
      </c>
      <c r="AE36" s="155" t="n">
        <v>178</v>
      </c>
      <c r="AF36" s="279" t="n">
        <v>1.7</v>
      </c>
      <c r="AG36" s="281" t="n">
        <v>1.3</v>
      </c>
      <c r="AH36" s="155" t="n">
        <v>74.6</v>
      </c>
      <c r="AI36" s="123" t="n">
        <f aca="false">AI35-AH36</f>
        <v>10369.9578774893</v>
      </c>
      <c r="AJ36" s="123"/>
      <c r="AK36" s="154" t="n">
        <f aca="false">N36+O36+P36+Q36+R36+S36+T36+U36+X36+AE36+AH36-AR36</f>
        <v>672.3</v>
      </c>
      <c r="AL36" s="155" t="n">
        <f aca="false">IF(L36&lt;0,L36*-1,0)</f>
        <v>0</v>
      </c>
      <c r="AM36" s="155" t="n">
        <f aca="false">AK36+AL36</f>
        <v>672.3</v>
      </c>
      <c r="AN36" s="303"/>
      <c r="AO36" s="241"/>
      <c r="AP36" s="172" t="n">
        <f aca="false">I36-Q36-R36-X36-AF36</f>
        <v>-121.132</v>
      </c>
      <c r="AQ36" s="186" t="n">
        <f aca="false">76.384*(Z36*1.9835+AC36*1.9835)/E36</f>
        <v>9.81942812118155</v>
      </c>
      <c r="AR36" s="156"/>
      <c r="AS36" s="173" t="n">
        <f aca="false">AS35</f>
        <v>7.45</v>
      </c>
      <c r="AT36" s="5"/>
      <c r="AU36" s="4"/>
      <c r="AV36" s="355" t="n">
        <v>0</v>
      </c>
      <c r="AW36" s="241" t="n">
        <v>91</v>
      </c>
      <c r="AX36" s="241" t="n">
        <v>61</v>
      </c>
      <c r="AY36" s="161"/>
      <c r="AZ36" s="282" t="n">
        <f aca="false">SUM(N36,P36:U36)</f>
        <v>9.09692861248788</v>
      </c>
      <c r="BA36" s="1" t="n">
        <v>58.5</v>
      </c>
      <c r="BB36" s="407" t="n">
        <v>23904</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207" t="n">
        <f aca="false">A36+1</f>
        <v>23</v>
      </c>
      <c r="B37" s="122" t="n">
        <v>6916.95</v>
      </c>
      <c r="C37" s="123" t="n">
        <v>350543</v>
      </c>
      <c r="D37" s="241" t="n">
        <f aca="false">C37-C36</f>
        <v>-762</v>
      </c>
      <c r="E37" s="123" t="n">
        <f aca="false">C37-152000</f>
        <v>198543</v>
      </c>
      <c r="F37" s="277" t="n">
        <f aca="false">D37/$D$2</f>
        <v>-384.169397529619</v>
      </c>
      <c r="G37" s="155" t="n">
        <v>209</v>
      </c>
      <c r="H37" s="156" t="n">
        <v>0</v>
      </c>
      <c r="I37" s="155" t="n">
        <f aca="false">G37+H37</f>
        <v>209</v>
      </c>
      <c r="J37" s="156" t="n">
        <f aca="false">IF(L37&gt;0,L37,0)</f>
        <v>58.5306024703807</v>
      </c>
      <c r="K37" s="155" t="n">
        <f aca="false">I37+J37</f>
        <v>267.530602470381</v>
      </c>
      <c r="L37" s="155" t="n">
        <f aca="false">F37-(I37-AK37)</f>
        <v>58.5306024703807</v>
      </c>
      <c r="M37" s="279" t="n">
        <v>259</v>
      </c>
      <c r="N37" s="186" t="n">
        <v>0</v>
      </c>
      <c r="O37" s="155" t="n">
        <f aca="false">66.3*1.05</f>
        <v>69.615</v>
      </c>
      <c r="P37" s="186" t="n">
        <v>0</v>
      </c>
      <c r="Q37" s="557" t="n">
        <f aca="false">1843200/325851/1.9835*1.02</f>
        <v>2.90885029403495</v>
      </c>
      <c r="R37" s="151" t="n">
        <f aca="false">IF(((5.9*1.04)-T37)&gt;=4.2,4.2,(5.9*1.04)-T37)</f>
        <v>4.2</v>
      </c>
      <c r="S37" s="151" t="n">
        <f aca="false">IF(((5.9*1.04)-T37)&gt;=4.2,((5.9*1.04)-T37)-4.2,0)</f>
        <v>0.6307584</v>
      </c>
      <c r="T37" s="151" t="n">
        <f aca="false">(1.184*1.06)*1.04</f>
        <v>1.3052416</v>
      </c>
      <c r="U37" s="393" t="n">
        <v>0</v>
      </c>
      <c r="V37" s="155" t="n">
        <v>65.5</v>
      </c>
      <c r="W37" s="155" t="n">
        <v>67.6</v>
      </c>
      <c r="X37" s="155" t="n">
        <f aca="false">M37-N37-O37-P37-Q37-R37-S37-T37-U37+V37+W37-AT37+AR37</f>
        <v>313.440149705965</v>
      </c>
      <c r="Y37" s="155" t="n">
        <f aca="false">X37-AO37</f>
        <v>313.440149705965</v>
      </c>
      <c r="Z37" s="244" t="n">
        <f aca="false">Z36+AP37</f>
        <v>11366.2925982375</v>
      </c>
      <c r="AA37" s="155" t="n">
        <f aca="false">(-AP37)</f>
        <v>113.249</v>
      </c>
      <c r="AB37" s="123"/>
      <c r="AC37" s="123" t="n">
        <f aca="false">AC36-(AQ36/1.9835)+AS37</f>
        <v>1440.19958786703</v>
      </c>
      <c r="AD37" s="241" t="n">
        <f aca="false">AD36</f>
        <v>1495.84068565667</v>
      </c>
      <c r="AE37" s="155" t="n">
        <v>185</v>
      </c>
      <c r="AF37" s="279" t="n">
        <v>1.7</v>
      </c>
      <c r="AG37" s="281" t="n">
        <v>1.3</v>
      </c>
      <c r="AH37" s="155" t="n">
        <v>74.6</v>
      </c>
      <c r="AI37" s="123" t="n">
        <f aca="false">AI36-AH37</f>
        <v>10295.3578774893</v>
      </c>
      <c r="AJ37" s="123"/>
      <c r="AK37" s="154" t="n">
        <f aca="false">N37+O37+P37+Q37+R37+S37+T37+U37+X37+AE37+AH37-AR37</f>
        <v>651.7</v>
      </c>
      <c r="AL37" s="155" t="n">
        <f aca="false">IF(L37&lt;0,L37*-1,0)</f>
        <v>0</v>
      </c>
      <c r="AM37" s="155" t="n">
        <f aca="false">AK37+AL37</f>
        <v>651.7</v>
      </c>
      <c r="AN37" s="303"/>
      <c r="AO37" s="241"/>
      <c r="AP37" s="172" t="n">
        <f aca="false">I37-Q37-R37-X37-AF37</f>
        <v>-113.249</v>
      </c>
      <c r="AQ37" s="186" t="n">
        <f aca="false">73.92*(Z37*1.9835+AC37*1.9835)/E37</f>
        <v>9.45735675598807</v>
      </c>
      <c r="AR37" s="156"/>
      <c r="AS37" s="173" t="n">
        <f aca="false">AS36</f>
        <v>7.45</v>
      </c>
      <c r="AT37" s="5"/>
      <c r="AU37" s="4"/>
      <c r="AV37" s="355" t="n">
        <v>0</v>
      </c>
      <c r="AW37" s="241" t="n">
        <v>95</v>
      </c>
      <c r="AX37" s="248" t="n">
        <v>58</v>
      </c>
      <c r="AY37" s="161"/>
      <c r="AZ37" s="282" t="n">
        <f aca="false">SUM(N37,P37:U37)</f>
        <v>9.04485029403495</v>
      </c>
      <c r="BA37" s="1" t="n">
        <v>88.1</v>
      </c>
      <c r="BB37" s="407" t="n">
        <v>23759</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207" t="n">
        <f aca="false">A37+1</f>
        <v>24</v>
      </c>
      <c r="B38" s="122" t="n">
        <v>6916.79</v>
      </c>
      <c r="C38" s="123" t="n">
        <v>349870</v>
      </c>
      <c r="D38" s="241" t="n">
        <f aca="false">C38-C37</f>
        <v>-673</v>
      </c>
      <c r="E38" s="123" t="n">
        <f aca="false">C38-152000</f>
        <v>197870</v>
      </c>
      <c r="F38" s="277" t="n">
        <f aca="false">D38/$D$2</f>
        <v>-339.299218553063</v>
      </c>
      <c r="G38" s="155" t="n">
        <v>215</v>
      </c>
      <c r="H38" s="156" t="n">
        <v>0</v>
      </c>
      <c r="I38" s="155" t="n">
        <f aca="false">G38+H38</f>
        <v>215</v>
      </c>
      <c r="J38" s="156" t="n">
        <f aca="false">IF(L38&gt;0,L38,0)</f>
        <v>45.2007814469372</v>
      </c>
      <c r="K38" s="155" t="n">
        <f aca="false">I38+J38</f>
        <v>260.200781446937</v>
      </c>
      <c r="L38" s="155" t="n">
        <f aca="false">F38-(I38-AK38)</f>
        <v>45.2007814469372</v>
      </c>
      <c r="M38" s="279" t="n">
        <v>271</v>
      </c>
      <c r="N38" s="186" t="n">
        <v>0</v>
      </c>
      <c r="O38" s="155" t="n">
        <f aca="false">63.9*1.05</f>
        <v>67.095</v>
      </c>
      <c r="P38" s="186" t="n">
        <v>0</v>
      </c>
      <c r="Q38" s="557" t="n">
        <f aca="false">2106200/325851/1.9835*1.02</f>
        <v>3.32390434532141</v>
      </c>
      <c r="R38" s="151" t="n">
        <f aca="false">IF(((5.8*1.04)-T38)&gt;=4.2,4.2,(5.8*1.04)-T38)</f>
        <v>4.2</v>
      </c>
      <c r="S38" s="151" t="n">
        <f aca="false">IF(((5.8*1.04)-T38)&gt;=4.2,((5.8*1.04)-T38)-4.2,0)</f>
        <v>0.526758399999999</v>
      </c>
      <c r="T38" s="151" t="n">
        <f aca="false">(1.184*1.06)*1.04</f>
        <v>1.3052416</v>
      </c>
      <c r="U38" s="393" t="n">
        <v>0</v>
      </c>
      <c r="V38" s="155" t="n">
        <v>65.6</v>
      </c>
      <c r="W38" s="155" t="n">
        <v>68</v>
      </c>
      <c r="X38" s="155" t="n">
        <f aca="false">M38-N38-O38-P38-Q38-R38-S38-T38-U38+V38+W38-AT38+AR38</f>
        <v>328.149095654679</v>
      </c>
      <c r="Y38" s="155" t="n">
        <f aca="false">X38-AO38</f>
        <v>328.149095654679</v>
      </c>
      <c r="Z38" s="244" t="n">
        <f aca="false">Z37+AP38</f>
        <v>11243.9195982375</v>
      </c>
      <c r="AA38" s="155" t="n">
        <f aca="false">(-AP38)</f>
        <v>122.373</v>
      </c>
      <c r="AB38" s="123"/>
      <c r="AC38" s="123" t="n">
        <f aca="false">AC37-(AQ37/1.9835)+AS38</f>
        <v>1442.88157336943</v>
      </c>
      <c r="AD38" s="241" t="n">
        <f aca="false">AD37</f>
        <v>1495.84068565667</v>
      </c>
      <c r="AE38" s="155" t="n">
        <v>120</v>
      </c>
      <c r="AF38" s="279" t="n">
        <v>1.7</v>
      </c>
      <c r="AG38" s="281" t="n">
        <v>1.3</v>
      </c>
      <c r="AH38" s="155" t="n">
        <v>74.9</v>
      </c>
      <c r="AI38" s="123" t="n">
        <f aca="false">AI37-AH38</f>
        <v>10220.4578774893</v>
      </c>
      <c r="AJ38" s="123"/>
      <c r="AK38" s="154" t="n">
        <f aca="false">N38+O38+P38+Q38+R38+S38+T38+U38+X38+AE38+AH38-AR38</f>
        <v>599.5</v>
      </c>
      <c r="AL38" s="155" t="n">
        <f aca="false">IF(L38&lt;0,L38*-1,0)</f>
        <v>0</v>
      </c>
      <c r="AM38" s="155" t="n">
        <f aca="false">AK38+AL38</f>
        <v>599.5</v>
      </c>
      <c r="AN38" s="303"/>
      <c r="AO38" s="241"/>
      <c r="AP38" s="172" t="n">
        <f aca="false">I38-Q38-R38-X38-AF38</f>
        <v>-122.373</v>
      </c>
      <c r="AQ38" s="186" t="n">
        <f aca="false">94.864*(Z38*1.9835+AC38*1.9835)/E38</f>
        <v>12.0644024916964</v>
      </c>
      <c r="AR38" s="156"/>
      <c r="AS38" s="173" t="n">
        <f aca="false">AS37</f>
        <v>7.45</v>
      </c>
      <c r="AT38" s="5"/>
      <c r="AU38" s="4"/>
      <c r="AV38" s="355" t="n">
        <v>0</v>
      </c>
      <c r="AW38" s="241" t="n">
        <v>97</v>
      </c>
      <c r="AX38" s="248" t="n">
        <v>62</v>
      </c>
      <c r="AY38" s="161"/>
      <c r="AZ38" s="282" t="n">
        <f aca="false">SUM(N38,P38:U38)</f>
        <v>9.35590434532141</v>
      </c>
      <c r="BA38" s="1" t="n">
        <v>110</v>
      </c>
      <c r="BB38" s="407" t="n">
        <v>23564</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207" t="n">
        <f aca="false">A38+1</f>
        <v>25</v>
      </c>
      <c r="B39" s="122" t="n">
        <v>6916.57</v>
      </c>
      <c r="C39" s="123" t="n">
        <v>348945</v>
      </c>
      <c r="D39" s="241" t="n">
        <f aca="false">C39-C38</f>
        <v>-925</v>
      </c>
      <c r="E39" s="123" t="n">
        <f aca="false">C39-152000</f>
        <v>196945</v>
      </c>
      <c r="F39" s="277" t="n">
        <f aca="false">D39/$D$2</f>
        <v>-466.347365767583</v>
      </c>
      <c r="G39" s="155" t="n">
        <v>204</v>
      </c>
      <c r="H39" s="156" t="n">
        <v>0</v>
      </c>
      <c r="I39" s="155" t="n">
        <f aca="false">G39+H39</f>
        <v>204</v>
      </c>
      <c r="J39" s="156" t="n">
        <f aca="false">IF(L39&gt;0,L39,0)</f>
        <v>0</v>
      </c>
      <c r="K39" s="155" t="n">
        <f aca="false">I39+J39</f>
        <v>204</v>
      </c>
      <c r="L39" s="155" t="n">
        <f aca="false">F39-(I39-AK39)</f>
        <v>-6.84736576758257</v>
      </c>
      <c r="M39" s="279" t="n">
        <v>271</v>
      </c>
      <c r="N39" s="186" t="n">
        <v>0</v>
      </c>
      <c r="O39" s="155" t="n">
        <f aca="false">68.5*1.05</f>
        <v>71.925</v>
      </c>
      <c r="P39" s="186" t="n">
        <v>0</v>
      </c>
      <c r="Q39" s="557" t="n">
        <f aca="false">2067300/325851/1.9835*1.02</f>
        <v>3.26251422138588</v>
      </c>
      <c r="R39" s="151" t="n">
        <f aca="false">IF(((7.3*1.04)-T39)&gt;=4.2,4.2,(7.3*1.04)-T39)</f>
        <v>4.2</v>
      </c>
      <c r="S39" s="151" t="n">
        <f aca="false">IF(((7.3*1.04)-T39)&gt;=4.2,((7.3*1.04)-T39)-4.2,0)</f>
        <v>2.0867584</v>
      </c>
      <c r="T39" s="151" t="n">
        <f aca="false">(1.184*1.06)*1.04</f>
        <v>1.3052416</v>
      </c>
      <c r="U39" s="393" t="n">
        <v>0</v>
      </c>
      <c r="V39" s="155" t="n">
        <v>64.7</v>
      </c>
      <c r="W39" s="155" t="n">
        <v>67.3</v>
      </c>
      <c r="X39" s="155" t="n">
        <f aca="false">M39-N39-O39-P39-Q39-R39-S39-T39-U39+V39+W39-AT39+AR39</f>
        <v>320.220485778614</v>
      </c>
      <c r="Y39" s="155" t="n">
        <f aca="false">X39-AO39</f>
        <v>320.220485778614</v>
      </c>
      <c r="Z39" s="244" t="n">
        <f aca="false">Z38+AP39</f>
        <v>11118.5365982375</v>
      </c>
      <c r="AA39" s="155" t="n">
        <f aca="false">(-AP39)</f>
        <v>125.383</v>
      </c>
      <c r="AB39" s="123"/>
      <c r="AC39" s="123" t="n">
        <f aca="false">AC38-(AQ38/1.9835)+AS39</f>
        <v>1444.24919248126</v>
      </c>
      <c r="AD39" s="241" t="n">
        <f aca="false">AD38</f>
        <v>1495.84068565667</v>
      </c>
      <c r="AE39" s="155" t="n">
        <v>185</v>
      </c>
      <c r="AF39" s="279" t="n">
        <v>1.7</v>
      </c>
      <c r="AG39" s="281" t="n">
        <v>1.3</v>
      </c>
      <c r="AH39" s="155" t="n">
        <v>75.5</v>
      </c>
      <c r="AI39" s="123" t="n">
        <f aca="false">AI38-AH39</f>
        <v>10144.9578774893</v>
      </c>
      <c r="AJ39" s="123"/>
      <c r="AK39" s="154" t="n">
        <f aca="false">N39+O39+P39+Q39+R39+S39+T39+U39+X39+AE39+AH39-AR39</f>
        <v>663.5</v>
      </c>
      <c r="AL39" s="155" t="n">
        <f aca="false">IF(L39&lt;0,L39*-1,0)</f>
        <v>6.84736576758257</v>
      </c>
      <c r="AM39" s="155" t="n">
        <f aca="false">AK39+AL39</f>
        <v>670.347365767583</v>
      </c>
      <c r="AN39" s="303"/>
      <c r="AO39" s="241"/>
      <c r="AP39" s="172" t="n">
        <f aca="false">I39-Q39-R39-X39-AF39</f>
        <v>-125.383</v>
      </c>
      <c r="AQ39" s="186" t="n">
        <f aca="false">79.094*(Z39*1.9835+AC39*1.9835)/E39</f>
        <v>10.0072958567278</v>
      </c>
      <c r="AR39" s="156"/>
      <c r="AS39" s="173" t="n">
        <f aca="false">AS38</f>
        <v>7.45</v>
      </c>
      <c r="AT39" s="5"/>
      <c r="AU39" s="4"/>
      <c r="AV39" s="355" t="n">
        <v>0</v>
      </c>
      <c r="AW39" s="241" t="n">
        <v>93</v>
      </c>
      <c r="AX39" s="248" t="n">
        <v>62</v>
      </c>
      <c r="AY39" s="161"/>
      <c r="AZ39" s="282" t="n">
        <f aca="false">SUM(N39,P39:U39)</f>
        <v>10.8545142213859</v>
      </c>
      <c r="BA39" s="558" t="n">
        <v>110</v>
      </c>
      <c r="BB39" s="407" t="n">
        <v>23349</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207" t="n">
        <f aca="false">A39+1</f>
        <v>26</v>
      </c>
      <c r="B40" s="122" t="n">
        <v>6916.36</v>
      </c>
      <c r="C40" s="123" t="n">
        <v>348061</v>
      </c>
      <c r="D40" s="241" t="n">
        <f aca="false">C40-C39</f>
        <v>-884</v>
      </c>
      <c r="E40" s="123" t="n">
        <f aca="false">C40-152000</f>
        <v>196061</v>
      </c>
      <c r="F40" s="277" t="n">
        <f aca="false">D40/$D$2</f>
        <v>-445.676833879506</v>
      </c>
      <c r="G40" s="155" t="n">
        <v>195</v>
      </c>
      <c r="H40" s="156" t="n">
        <v>0</v>
      </c>
      <c r="I40" s="155" t="n">
        <f aca="false">G40+H40</f>
        <v>195</v>
      </c>
      <c r="J40" s="156" t="n">
        <f aca="false">IF(L40&gt;0,L40,0)</f>
        <v>2.12316612049415</v>
      </c>
      <c r="K40" s="155" t="n">
        <f aca="false">I40+J40</f>
        <v>197.123166120494</v>
      </c>
      <c r="L40" s="155" t="n">
        <f aca="false">F40-(I40-AK40)</f>
        <v>2.12316612049415</v>
      </c>
      <c r="M40" s="279" t="n">
        <v>275</v>
      </c>
      <c r="N40" s="186" t="n">
        <v>0</v>
      </c>
      <c r="O40" s="155" t="n">
        <f aca="false">68.8*1.05</f>
        <v>72.24</v>
      </c>
      <c r="P40" s="186" t="n">
        <v>0</v>
      </c>
      <c r="Q40" s="557" t="n">
        <f aca="false">1976100/325851/1.9835*1.02</f>
        <v>3.11858673287894</v>
      </c>
      <c r="R40" s="151" t="n">
        <f aca="false">IF(((7.6*1.04)-T40)&gt;=4.2,4.2,(7.6*1.04)-T40)</f>
        <v>4.2</v>
      </c>
      <c r="S40" s="151" t="n">
        <f aca="false">IF(((7.6*1.04)-T40)&gt;=4.2,((7.6*1.04)-T40)-4.2,0)</f>
        <v>2.3987584</v>
      </c>
      <c r="T40" s="151" t="n">
        <f aca="false">(1.184*1.06)*1.04</f>
        <v>1.3052416</v>
      </c>
      <c r="U40" s="393" t="n">
        <v>0</v>
      </c>
      <c r="V40" s="155" t="n">
        <v>64.9</v>
      </c>
      <c r="W40" s="155" t="n">
        <v>66.4</v>
      </c>
      <c r="X40" s="155" t="n">
        <f aca="false">M40-N40-O40-P40-Q40-R40-S40-T40-U40+V40+W40-AT40+AR40</f>
        <v>323.037413267121</v>
      </c>
      <c r="Y40" s="155" t="n">
        <f aca="false">X40-AO40</f>
        <v>323.037413267121</v>
      </c>
      <c r="Z40" s="244" t="n">
        <f aca="false">Z39+AP40</f>
        <v>10981.4805982375</v>
      </c>
      <c r="AA40" s="155" t="n">
        <f aca="false">(-AP40)</f>
        <v>137.056</v>
      </c>
      <c r="AB40" s="123"/>
      <c r="AC40" s="123" t="n">
        <f aca="false">AC39-(AQ39/1.9835)+AS40</f>
        <v>1446.6539210637</v>
      </c>
      <c r="AD40" s="241" t="n">
        <f aca="false">AD39</f>
        <v>1495.84068565667</v>
      </c>
      <c r="AE40" s="155" t="n">
        <v>161</v>
      </c>
      <c r="AF40" s="279" t="n">
        <v>1.7</v>
      </c>
      <c r="AG40" s="281" t="n">
        <v>1.3</v>
      </c>
      <c r="AH40" s="155" t="n">
        <v>75.5</v>
      </c>
      <c r="AI40" s="123" t="n">
        <f aca="false">AI39-AH40</f>
        <v>10069.4578774893</v>
      </c>
      <c r="AJ40" s="123"/>
      <c r="AK40" s="154" t="n">
        <f aca="false">N40+O40+P40+Q40+R40+S40+T40+U40+X40+AE40+AH40-AR40</f>
        <v>642.8</v>
      </c>
      <c r="AL40" s="155" t="n">
        <f aca="false">IF(L40&lt;0,L40*-1,0)</f>
        <v>0</v>
      </c>
      <c r="AM40" s="155" t="n">
        <f aca="false">AK40+AL40</f>
        <v>642.8</v>
      </c>
      <c r="AN40" s="303"/>
      <c r="AO40" s="241"/>
      <c r="AP40" s="172" t="n">
        <f aca="false">I40-Q40-R40-X40-AF40</f>
        <v>-137.056</v>
      </c>
      <c r="AQ40" s="186" t="n">
        <f aca="false">60.874*(Z40*1.9835+AC40*1.9835)/E40</f>
        <v>7.65382938041664</v>
      </c>
      <c r="AR40" s="156"/>
      <c r="AS40" s="173" t="n">
        <f aca="false">AS39</f>
        <v>7.45</v>
      </c>
      <c r="AT40" s="5"/>
      <c r="AU40" s="4"/>
      <c r="AV40" s="355" t="n">
        <v>0.02</v>
      </c>
      <c r="AW40" s="241" t="n">
        <v>91</v>
      </c>
      <c r="AX40" s="241" t="n">
        <v>61</v>
      </c>
      <c r="AY40" s="161"/>
      <c r="AZ40" s="282" t="n">
        <f aca="false">SUM(N40,P40:U40)</f>
        <v>11.0225867328789</v>
      </c>
      <c r="BA40" s="1" t="n">
        <v>109</v>
      </c>
      <c r="BB40" s="407" t="n">
        <v>23114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207" t="n">
        <f aca="false">A40+1</f>
        <v>27</v>
      </c>
      <c r="B41" s="122" t="n">
        <v>6916.12</v>
      </c>
      <c r="C41" s="123" t="n">
        <v>347051</v>
      </c>
      <c r="D41" s="241" t="n">
        <f aca="false">C41-C40</f>
        <v>-1010</v>
      </c>
      <c r="E41" s="123" t="n">
        <f aca="false">C41-152000</f>
        <v>195051</v>
      </c>
      <c r="F41" s="277" t="n">
        <f aca="false">D41/$D$2</f>
        <v>-509.200907486766</v>
      </c>
      <c r="G41" s="155" t="n">
        <v>181</v>
      </c>
      <c r="H41" s="156" t="n">
        <v>0</v>
      </c>
      <c r="I41" s="155" t="n">
        <f aca="false">G41+H41</f>
        <v>181</v>
      </c>
      <c r="J41" s="156" t="n">
        <f aca="false">IF(L41&gt;0,L41,0)</f>
        <v>19.6990925132343</v>
      </c>
      <c r="K41" s="155" t="n">
        <f aca="false">I41+J41</f>
        <v>200.699092513234</v>
      </c>
      <c r="L41" s="155" t="n">
        <f aca="false">F41-(I41-AK41)</f>
        <v>19.6990925132343</v>
      </c>
      <c r="M41" s="279" t="n">
        <v>318</v>
      </c>
      <c r="N41" s="186" t="n">
        <v>0</v>
      </c>
      <c r="O41" s="155" t="n">
        <f aca="false">92.7*1.05</f>
        <v>97.335</v>
      </c>
      <c r="P41" s="186" t="n">
        <v>0</v>
      </c>
      <c r="Q41" s="557" t="n">
        <f aca="false">1980500/325851/1.9835*1.02</f>
        <v>3.12553060293849</v>
      </c>
      <c r="R41" s="151" t="n">
        <f aca="false">IF(((6.3*1.04)-T41)&gt;=4.2,4.2,(6.3*1.04)-T41)</f>
        <v>4.2</v>
      </c>
      <c r="S41" s="151" t="n">
        <f aca="false">IF(((6.3*1.04)-T41)&gt;=4.2,((6.3*1.04)-T41)-4.2,0)</f>
        <v>1.0467584</v>
      </c>
      <c r="T41" s="151" t="n">
        <f aca="false">(1.184*1.06)*1.04</f>
        <v>1.3052416</v>
      </c>
      <c r="U41" s="393" t="n">
        <v>0</v>
      </c>
      <c r="V41" s="155" t="n">
        <v>64.6</v>
      </c>
      <c r="W41" s="155" t="n">
        <v>65.8</v>
      </c>
      <c r="X41" s="155" t="n">
        <f aca="false">M41-N41-O41-P41-Q41-R41-S41-T41-U41+V41+W41-AT41+AR41</f>
        <v>341.387469397062</v>
      </c>
      <c r="Y41" s="155" t="n">
        <f aca="false">X41-AO41</f>
        <v>341.387469397062</v>
      </c>
      <c r="Z41" s="244" t="n">
        <f aca="false">Z40+AP41</f>
        <v>10812.0675982375</v>
      </c>
      <c r="AA41" s="155" t="n">
        <f aca="false">(-AP41)</f>
        <v>169.413</v>
      </c>
      <c r="AB41" s="123"/>
      <c r="AC41" s="123" t="n">
        <f aca="false">AC40-(AQ40/1.9835)+AS41</f>
        <v>1450.24517169117</v>
      </c>
      <c r="AD41" s="241" t="n">
        <f aca="false">AD40</f>
        <v>1495.84068565667</v>
      </c>
      <c r="AE41" s="155" t="n">
        <v>186</v>
      </c>
      <c r="AF41" s="279" t="n">
        <v>1.7</v>
      </c>
      <c r="AG41" s="281" t="n">
        <v>1.3</v>
      </c>
      <c r="AH41" s="155" t="n">
        <v>75.5</v>
      </c>
      <c r="AI41" s="123" t="n">
        <f aca="false">AI40-AH41</f>
        <v>9993.95787748928</v>
      </c>
      <c r="AJ41" s="123"/>
      <c r="AK41" s="154" t="n">
        <f aca="false">N41+O41+P41+Q41+R41+S41+T41+U41+X41+AE41+AH41-AR41</f>
        <v>709.9</v>
      </c>
      <c r="AL41" s="155" t="n">
        <f aca="false">IF(L41&lt;0,L41*-1,0)</f>
        <v>0</v>
      </c>
      <c r="AM41" s="155" t="n">
        <f aca="false">AK41+AL41</f>
        <v>709.9</v>
      </c>
      <c r="AN41" s="303"/>
      <c r="AO41" s="241"/>
      <c r="AP41" s="172" t="n">
        <f aca="false">I41-Q41-R41-X41-AF41</f>
        <v>-169.413</v>
      </c>
      <c r="AQ41" s="186" t="n">
        <f aca="false">91.189*(Z41*1.9835+AC41*1.9835)/E41</f>
        <v>11.3710054073428</v>
      </c>
      <c r="AR41" s="156"/>
      <c r="AS41" s="173" t="n">
        <f aca="false">AS40</f>
        <v>7.45</v>
      </c>
      <c r="AT41" s="559"/>
      <c r="AU41" s="4"/>
      <c r="AV41" s="355" t="n">
        <v>0</v>
      </c>
      <c r="AW41" s="241" t="n">
        <v>96</v>
      </c>
      <c r="AX41" s="241" t="n">
        <v>57</v>
      </c>
      <c r="AY41" s="161"/>
      <c r="AZ41" s="282" t="n">
        <f aca="false">SUM(N41,P41:U41)</f>
        <v>9.67753060293849</v>
      </c>
      <c r="BA41" s="1" t="n">
        <v>109</v>
      </c>
      <c r="BB41" s="407" t="n">
        <v>22888</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75" hidden="false" customHeight="true" outlineLevel="0" collapsed="false">
      <c r="A42" s="207" t="n">
        <f aca="false">A41+1</f>
        <v>28</v>
      </c>
      <c r="B42" s="122" t="n">
        <v>6915.88</v>
      </c>
      <c r="C42" s="123" t="n">
        <v>346046</v>
      </c>
      <c r="D42" s="241" t="n">
        <f aca="false">C42-C41</f>
        <v>-1005</v>
      </c>
      <c r="E42" s="123" t="n">
        <f aca="false">C42-152000</f>
        <v>194046</v>
      </c>
      <c r="F42" s="277" t="n">
        <f aca="false">D42/$D$2</f>
        <v>-506.680110915049</v>
      </c>
      <c r="G42" s="155" t="n">
        <v>172</v>
      </c>
      <c r="H42" s="156" t="n">
        <v>0</v>
      </c>
      <c r="I42" s="155" t="n">
        <f aca="false">G42+H42</f>
        <v>172</v>
      </c>
      <c r="J42" s="156" t="n">
        <f aca="false">IF(L42&gt;0,L42,0)</f>
        <v>0</v>
      </c>
      <c r="K42" s="155" t="n">
        <f aca="false">I42+J42</f>
        <v>172</v>
      </c>
      <c r="L42" s="155" t="n">
        <f aca="false">F42-(I42-AK42)</f>
        <v>-8.18011091504906</v>
      </c>
      <c r="M42" s="279" t="n">
        <v>297</v>
      </c>
      <c r="N42" s="186" t="n">
        <v>0</v>
      </c>
      <c r="O42" s="155" t="n">
        <f aca="false">87.3*1.05</f>
        <v>91.665</v>
      </c>
      <c r="P42" s="186" t="n">
        <v>0</v>
      </c>
      <c r="Q42" s="557" t="n">
        <f aca="false">2090600/325851/1.9835*1.02</f>
        <v>3.29928516965575</v>
      </c>
      <c r="R42" s="151" t="n">
        <f aca="false">IF(((6.5*1.04)-T42)&gt;=4.2,4.2,(6.5*1.04)-T42)</f>
        <v>4.2</v>
      </c>
      <c r="S42" s="151" t="n">
        <f aca="false">IF(((6.5*1.04)-T42)&gt;=4.2,((6.5*1.04)-T42)-4.2,0)</f>
        <v>1.2547584</v>
      </c>
      <c r="T42" s="151" t="n">
        <f aca="false">(1.184*1.06)*1.04</f>
        <v>1.3052416</v>
      </c>
      <c r="U42" s="393" t="n">
        <v>0</v>
      </c>
      <c r="V42" s="155" t="n">
        <v>63.1</v>
      </c>
      <c r="W42" s="155" t="n">
        <v>65.9</v>
      </c>
      <c r="X42" s="155" t="n">
        <f aca="false">M42-N42-O42-P42-Q42-R42-S42-T42-U42+V42+W42-AT42+AR42</f>
        <v>324.275714830344</v>
      </c>
      <c r="Y42" s="155" t="n">
        <f aca="false">X42-AO42</f>
        <v>324.275714830344</v>
      </c>
      <c r="Z42" s="244" t="n">
        <f aca="false">Z41+AP42</f>
        <v>10650.5925982375</v>
      </c>
      <c r="AA42" s="155" t="n">
        <f aca="false">(-AP42)</f>
        <v>161.475</v>
      </c>
      <c r="AB42" s="123"/>
      <c r="AC42" s="123" t="n">
        <f aca="false">AC41-(AQ41/1.9835)+AS42</f>
        <v>1451.96237340161</v>
      </c>
      <c r="AD42" s="241" t="n">
        <f aca="false">AD41</f>
        <v>1495.84068565667</v>
      </c>
      <c r="AE42" s="155" t="n">
        <v>169</v>
      </c>
      <c r="AF42" s="279" t="n">
        <v>1.7</v>
      </c>
      <c r="AG42" s="281" t="n">
        <v>1.3</v>
      </c>
      <c r="AH42" s="155" t="n">
        <v>75.5</v>
      </c>
      <c r="AI42" s="123" t="n">
        <f aca="false">AI41-AH42</f>
        <v>9918.45787748928</v>
      </c>
      <c r="AJ42" s="123"/>
      <c r="AK42" s="154" t="n">
        <f aca="false">N42+O42+P42+Q42+R42+S42+T42+U42+X42+AE42+AH42-AR42</f>
        <v>670.5</v>
      </c>
      <c r="AL42" s="155" t="n">
        <f aca="false">IF(L42&lt;0,L42*-1,0)</f>
        <v>8.18011091504906</v>
      </c>
      <c r="AM42" s="155" t="n">
        <f aca="false">AK42+AL42</f>
        <v>678.680110915049</v>
      </c>
      <c r="AN42" s="303"/>
      <c r="AO42" s="241"/>
      <c r="AP42" s="172" t="n">
        <f aca="false">I42-Q42-R42-X42-AF42</f>
        <v>-161.475</v>
      </c>
      <c r="AQ42" s="186" t="n">
        <f aca="false">90.211*(Z42*1.9835+AC42*1.9835)/E42</f>
        <v>11.1599968250572</v>
      </c>
      <c r="AR42" s="156"/>
      <c r="AS42" s="173" t="n">
        <f aca="false">AS41</f>
        <v>7.45</v>
      </c>
      <c r="AT42" s="5"/>
      <c r="AU42" s="4"/>
      <c r="AV42" s="355" t="n">
        <v>0</v>
      </c>
      <c r="AW42" s="241" t="n">
        <v>98</v>
      </c>
      <c r="AX42" s="241" t="n">
        <v>61</v>
      </c>
      <c r="AY42" s="161"/>
      <c r="AZ42" s="282" t="n">
        <f aca="false">SUM(N42,P42:U42)</f>
        <v>10.0592851696557</v>
      </c>
      <c r="BA42" s="1" t="n">
        <v>109</v>
      </c>
      <c r="BB42" s="407" t="n">
        <v>22692</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207" t="n">
        <f aca="false">A42+1</f>
        <v>29</v>
      </c>
      <c r="B43" s="122" t="n">
        <v>6915.65</v>
      </c>
      <c r="C43" s="123" t="n">
        <v>345086</v>
      </c>
      <c r="D43" s="241" t="n">
        <f aca="false">C43-C42</f>
        <v>-960</v>
      </c>
      <c r="E43" s="123" t="n">
        <f aca="false">C43-152000</f>
        <v>193086</v>
      </c>
      <c r="F43" s="277" t="n">
        <f aca="false">D43/$D$2</f>
        <v>-483.992941769599</v>
      </c>
      <c r="G43" s="155" t="n">
        <v>167</v>
      </c>
      <c r="H43" s="156" t="n">
        <v>0</v>
      </c>
      <c r="I43" s="155" t="n">
        <f aca="false">G43+H43</f>
        <v>167</v>
      </c>
      <c r="J43" s="156" t="n">
        <f aca="false">IF(L43&gt;0,L43,0)</f>
        <v>30.9070582304009</v>
      </c>
      <c r="K43" s="155" t="n">
        <f aca="false">I43+J43</f>
        <v>197.907058230401</v>
      </c>
      <c r="L43" s="155" t="n">
        <f aca="false">F43-(I43-AK43)</f>
        <v>30.9070582304009</v>
      </c>
      <c r="M43" s="279" t="n">
        <v>292</v>
      </c>
      <c r="N43" s="186" t="n">
        <v>0</v>
      </c>
      <c r="O43" s="155" t="n">
        <f aca="false">82.4*1.05</f>
        <v>86.52</v>
      </c>
      <c r="P43" s="186" t="n">
        <v>0</v>
      </c>
      <c r="Q43" s="557" t="n">
        <f aca="false">2126900/325851/1.9835*1.02</f>
        <v>3.35657209764699</v>
      </c>
      <c r="R43" s="151" t="n">
        <f aca="false">IF(((7.2*1.04)-T43)&gt;=4.2,4.2,(7.2*1.04)-T43)</f>
        <v>4.2</v>
      </c>
      <c r="S43" s="151" t="n">
        <f aca="false">IF(((7.2*1.04)-T43)&gt;=4.2,((7.2*1.04)-T43)-4.2,0)</f>
        <v>1.64035296</v>
      </c>
      <c r="T43" s="151" t="n">
        <f aca="false">(1.4946*1.06)*1.04</f>
        <v>1.64764704</v>
      </c>
      <c r="U43" s="393" t="n">
        <v>0</v>
      </c>
      <c r="V43" s="155" t="n">
        <v>62.6</v>
      </c>
      <c r="W43" s="155" t="n">
        <v>66.8</v>
      </c>
      <c r="X43" s="155" t="n">
        <f aca="false">M43-N43-O43-P43-Q43-R43-S43-T43-U43+V43+W43-AT43+AR43</f>
        <v>324.035427902353</v>
      </c>
      <c r="Y43" s="155" t="n">
        <f aca="false">X43-AO43</f>
        <v>324.035427902353</v>
      </c>
      <c r="Z43" s="244" t="n">
        <f aca="false">Z42+AP43</f>
        <v>10484.3005982375</v>
      </c>
      <c r="AA43" s="155" t="n">
        <f aca="false">(-AP43)</f>
        <v>166.292</v>
      </c>
      <c r="AB43" s="123"/>
      <c r="AC43" s="123" t="n">
        <f aca="false">AC42-(AQ42/1.9835)+AS43</f>
        <v>1453.78595705421</v>
      </c>
      <c r="AD43" s="241" t="n">
        <f aca="false">AD42</f>
        <v>1495.84068565667</v>
      </c>
      <c r="AE43" s="155" t="n">
        <v>185</v>
      </c>
      <c r="AF43" s="279" t="n">
        <v>1.7</v>
      </c>
      <c r="AG43" s="281" t="n">
        <v>1.3</v>
      </c>
      <c r="AH43" s="155" t="n">
        <v>75.5</v>
      </c>
      <c r="AI43" s="123" t="n">
        <f aca="false">AI42-AH43</f>
        <v>9842.95787748928</v>
      </c>
      <c r="AJ43" s="123"/>
      <c r="AK43" s="154" t="n">
        <f aca="false">N43+O43+P43+Q43+R43+S43+T43+U43+X43+AE43+AH43-AR43</f>
        <v>681.9</v>
      </c>
      <c r="AL43" s="155" t="n">
        <f aca="false">IF(L43&lt;0,L43*-1,0)</f>
        <v>0</v>
      </c>
      <c r="AM43" s="155" t="n">
        <f aca="false">AK43+AL43</f>
        <v>681.9</v>
      </c>
      <c r="AN43" s="303"/>
      <c r="AO43" s="241"/>
      <c r="AP43" s="172" t="n">
        <f aca="false">I43-Q43-R43-X43-AF43</f>
        <v>-166.292</v>
      </c>
      <c r="AQ43" s="186" t="n">
        <f aca="false">90.7*(Z43*1.9835+AC43*1.9835)/E43</f>
        <v>11.1230382197341</v>
      </c>
      <c r="AR43" s="156"/>
      <c r="AS43" s="173" t="n">
        <f aca="false">AS42</f>
        <v>7.45</v>
      </c>
      <c r="AT43" s="5"/>
      <c r="AU43" s="4"/>
      <c r="AV43" s="355" t="n">
        <v>0</v>
      </c>
      <c r="AW43" s="248" t="n">
        <v>98</v>
      </c>
      <c r="AX43" s="241" t="n">
        <v>61</v>
      </c>
      <c r="AY43" s="161"/>
      <c r="AZ43" s="282" t="n">
        <f aca="false">SUM(N43,P43:U43)</f>
        <v>10.844572097647</v>
      </c>
      <c r="BA43" s="1" t="n">
        <v>118</v>
      </c>
      <c r="BB43" s="407" t="n">
        <v>22502</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207" t="n">
        <v>30</v>
      </c>
      <c r="B44" s="122" t="n">
        <v>6915.44</v>
      </c>
      <c r="C44" s="123" t="n">
        <v>344209</v>
      </c>
      <c r="D44" s="241" t="n">
        <f aca="false">C44-C43</f>
        <v>-877</v>
      </c>
      <c r="E44" s="123" t="n">
        <f aca="false">C44-152000</f>
        <v>192209</v>
      </c>
      <c r="F44" s="277" t="n">
        <f aca="false">D44/$D$2</f>
        <v>-442.147718679103</v>
      </c>
      <c r="G44" s="155" t="n">
        <v>189</v>
      </c>
      <c r="H44" s="156" t="n">
        <v>0</v>
      </c>
      <c r="I44" s="155" t="n">
        <f aca="false">G44+H44</f>
        <v>189</v>
      </c>
      <c r="J44" s="156" t="n">
        <f aca="false">IF(L44&gt;0,L44,0)</f>
        <v>38.3522813208974</v>
      </c>
      <c r="K44" s="155" t="n">
        <f aca="false">I44+J44</f>
        <v>227.352281320897</v>
      </c>
      <c r="L44" s="155" t="n">
        <f aca="false">F44-(I44-AK44)</f>
        <v>38.3522813208974</v>
      </c>
      <c r="M44" s="279" t="n">
        <v>290</v>
      </c>
      <c r="N44" s="186" t="n">
        <v>0</v>
      </c>
      <c r="O44" s="155" t="n">
        <f aca="false">78.6*1.05</f>
        <v>82.53</v>
      </c>
      <c r="P44" s="186" t="n">
        <v>0</v>
      </c>
      <c r="Q44" s="557" t="n">
        <f aca="false">2007700/325851/1.9835*1.02</f>
        <v>3.16845634512477</v>
      </c>
      <c r="R44" s="151" t="n">
        <f aca="false">IF(((5.4*1.04)-T44)&gt;=4.2,4.2,(5.4*1.04)-T44)</f>
        <v>3.96835296</v>
      </c>
      <c r="S44" s="151" t="n">
        <f aca="false">IF(((5.4*1.04)-T44)&gt;=4.2,((5.4*1.04)-T44)-4.2,0)</f>
        <v>0</v>
      </c>
      <c r="T44" s="151" t="n">
        <f aca="false">(1.4946*1.06)*1.04</f>
        <v>1.64764704</v>
      </c>
      <c r="U44" s="393" t="n">
        <v>0</v>
      </c>
      <c r="V44" s="155" t="n">
        <v>62.6</v>
      </c>
      <c r="W44" s="155" t="n">
        <v>68.4</v>
      </c>
      <c r="X44" s="155" t="n">
        <f aca="false">M44-N44-O44-P44-Q44-R44-S44-T44-U44+V44+W44-AT44+AR44</f>
        <v>329.685543654875</v>
      </c>
      <c r="Y44" s="155" t="n">
        <f aca="false">X44-AO44</f>
        <v>329.685543654875</v>
      </c>
      <c r="Z44" s="244" t="n">
        <f aca="false">Z43+AP44</f>
        <v>10334.7782452775</v>
      </c>
      <c r="AA44" s="155" t="n">
        <f aca="false">(-AP44)</f>
        <v>149.52235296</v>
      </c>
      <c r="AB44" s="123"/>
      <c r="AC44" s="123" t="n">
        <f aca="false">AC43-(AQ43/1.9835)+AS44</f>
        <v>1455.62817373194</v>
      </c>
      <c r="AD44" s="241" t="n">
        <f aca="false">AD43</f>
        <v>1495.84068565667</v>
      </c>
      <c r="AE44" s="155" t="n">
        <v>173</v>
      </c>
      <c r="AF44" s="279" t="n">
        <v>1.7</v>
      </c>
      <c r="AG44" s="281" t="n">
        <v>1.3</v>
      </c>
      <c r="AH44" s="155" t="n">
        <v>75.5</v>
      </c>
      <c r="AI44" s="123" t="n">
        <f aca="false">AI43-AH44</f>
        <v>9767.45787748928</v>
      </c>
      <c r="AJ44" s="123"/>
      <c r="AK44" s="154" t="n">
        <f aca="false">N44+O44+P44+Q44+R44+S44+T44+U44+X44+AE44+AH44-AR44</f>
        <v>669.5</v>
      </c>
      <c r="AL44" s="155" t="n">
        <f aca="false">IF(L44&lt;0,L44*-1,0)</f>
        <v>0</v>
      </c>
      <c r="AM44" s="155" t="n">
        <f aca="false">AK44+AL44</f>
        <v>669.5</v>
      </c>
      <c r="AN44" s="303"/>
      <c r="AO44" s="241"/>
      <c r="AP44" s="172" t="n">
        <f aca="false">I44-Q44-R44-X44-AF44</f>
        <v>-149.52235296</v>
      </c>
      <c r="AQ44" s="186" t="n">
        <f aca="false">74.463*(Z44*1.9835+AC44*1.9835)/E44</f>
        <v>9.05999150565241</v>
      </c>
      <c r="AR44" s="156"/>
      <c r="AS44" s="173" t="n">
        <f aca="false">AS43</f>
        <v>7.45</v>
      </c>
      <c r="AT44" s="5"/>
      <c r="AU44" s="4"/>
      <c r="AV44" s="355" t="n">
        <v>0</v>
      </c>
      <c r="AW44" s="248" t="n">
        <v>94</v>
      </c>
      <c r="AX44" s="241" t="n">
        <v>62</v>
      </c>
      <c r="AY44" s="161"/>
      <c r="AZ44" s="282" t="n">
        <f aca="false">SUM(N44,P44:U44)</f>
        <v>8.78445634512477</v>
      </c>
      <c r="BA44" s="1" t="n">
        <v>160</v>
      </c>
      <c r="BB44" s="407" t="n">
        <v>22305</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true" outlineLevel="0" collapsed="false">
      <c r="A45" s="207" t="n">
        <v>31</v>
      </c>
      <c r="B45" s="122" t="n">
        <v>6915.2</v>
      </c>
      <c r="C45" s="123" t="n">
        <v>343207</v>
      </c>
      <c r="D45" s="241" t="n">
        <f aca="false">C45-C44</f>
        <v>-1002</v>
      </c>
      <c r="E45" s="123" t="n">
        <f aca="false">C45-152000</f>
        <v>191207</v>
      </c>
      <c r="F45" s="277" t="n">
        <f aca="false">D45/$D$2</f>
        <v>-505.167632972019</v>
      </c>
      <c r="G45" s="155" t="n">
        <v>213</v>
      </c>
      <c r="H45" s="156" t="n">
        <v>0</v>
      </c>
      <c r="I45" s="155" t="n">
        <f aca="false">G45+H45</f>
        <v>213</v>
      </c>
      <c r="J45" s="156" t="n">
        <f aca="false">IF(L45&gt;0,L45,0)</f>
        <v>0</v>
      </c>
      <c r="K45" s="155" t="n">
        <f aca="false">I45+J45</f>
        <v>213</v>
      </c>
      <c r="L45" s="155" t="n">
        <f aca="false">F45-(I45-AK45)</f>
        <v>-33.8676329720192</v>
      </c>
      <c r="M45" s="279" t="n">
        <v>297</v>
      </c>
      <c r="N45" s="186" t="n">
        <v>0</v>
      </c>
      <c r="O45" s="155" t="n">
        <f aca="false">84.2*1.05</f>
        <v>88.41</v>
      </c>
      <c r="P45" s="186" t="n">
        <v>0</v>
      </c>
      <c r="Q45" s="557" t="n">
        <f aca="false">1893200/325851/1.9835*1.02</f>
        <v>2.98775790834797</v>
      </c>
      <c r="R45" s="151" t="n">
        <f aca="false">IF(((7.5*1.04)-T45)&gt;=4.2,4.2,(7.5*1.04)-T45)</f>
        <v>4.2</v>
      </c>
      <c r="S45" s="151" t="n">
        <f aca="false">IF(((7.5*1.04)-T45)&gt;=4.2,((7.5*1.04)-T45)-4.2,0)</f>
        <v>1.95235296</v>
      </c>
      <c r="T45" s="151" t="n">
        <f aca="false">(1.4946*1.06)*1.04</f>
        <v>1.64764704</v>
      </c>
      <c r="U45" s="393" t="n">
        <v>0</v>
      </c>
      <c r="V45" s="155" t="n">
        <v>62.6</v>
      </c>
      <c r="W45" s="155" t="n">
        <v>68.2</v>
      </c>
      <c r="X45" s="155" t="n">
        <f aca="false">M45-N45-O45-P45-Q45-R45-S45-T45-U45+V45+W45-AT45+AR45</f>
        <v>328.602242091652</v>
      </c>
      <c r="Y45" s="155" t="n">
        <f aca="false">X45-AO45</f>
        <v>328.602242091652</v>
      </c>
      <c r="Z45" s="244" t="n">
        <f aca="false">Z44+AP45</f>
        <v>10210.2882452775</v>
      </c>
      <c r="AA45" s="155" t="n">
        <f aca="false">(-AP45)</f>
        <v>124.49</v>
      </c>
      <c r="AB45" s="123"/>
      <c r="AC45" s="123" t="n">
        <f aca="false">AC44-(AQ44/1.9835)+AS45</f>
        <v>1458.51049462649</v>
      </c>
      <c r="AD45" s="241" t="n">
        <f aca="false">AD44</f>
        <v>1495.84068565667</v>
      </c>
      <c r="AE45" s="155" t="n">
        <v>181</v>
      </c>
      <c r="AF45" s="279" t="n">
        <v>1.7</v>
      </c>
      <c r="AG45" s="281" t="n">
        <v>1.3</v>
      </c>
      <c r="AH45" s="155" t="n">
        <v>75.5</v>
      </c>
      <c r="AI45" s="123" t="n">
        <f aca="false">AI44-AH45</f>
        <v>9691.95787748928</v>
      </c>
      <c r="AJ45" s="123"/>
      <c r="AK45" s="154" t="n">
        <f aca="false">N45+O45+P45+Q45+R45+S45+T45+U45+X45+AE45+AH45-AR45</f>
        <v>684.3</v>
      </c>
      <c r="AL45" s="155" t="n">
        <f aca="false">IF(L45&lt;0,L45*-1,0)</f>
        <v>33.8676329720192</v>
      </c>
      <c r="AM45" s="155" t="n">
        <f aca="false">AK45+AL45</f>
        <v>718.167632972019</v>
      </c>
      <c r="AN45" s="303"/>
      <c r="AO45" s="241"/>
      <c r="AP45" s="172" t="n">
        <f aca="false">I45-Q45-R45-X45-AF45</f>
        <v>-124.49</v>
      </c>
      <c r="AQ45" s="186" t="n">
        <f aca="false">13.825*(Z45*1.9835+AC45*1.9835)/E45</f>
        <v>1.67347684083631</v>
      </c>
      <c r="AR45" s="156"/>
      <c r="AS45" s="173" t="n">
        <f aca="false">AS44</f>
        <v>7.45</v>
      </c>
      <c r="AT45" s="5"/>
      <c r="AU45" s="4"/>
      <c r="AV45" s="355" t="n">
        <v>0.18</v>
      </c>
      <c r="AW45" s="248" t="n">
        <v>86</v>
      </c>
      <c r="AX45" s="241" t="n">
        <v>57</v>
      </c>
      <c r="AY45" s="161"/>
      <c r="AZ45" s="282" t="n">
        <f aca="false">SUM(N45,P45:U45)</f>
        <v>10.787757908348</v>
      </c>
      <c r="BA45" s="58" t="n">
        <v>160</v>
      </c>
      <c r="BB45" s="91" t="n">
        <v>21920</v>
      </c>
    </row>
    <row r="46" customFormat="false" ht="3" hidden="false" customHeight="true" outlineLevel="0" collapsed="false">
      <c r="A46" s="261"/>
      <c r="B46" s="286"/>
      <c r="C46" s="263"/>
      <c r="D46" s="264"/>
      <c r="E46" s="263"/>
      <c r="F46" s="265"/>
      <c r="G46" s="264"/>
      <c r="H46" s="271"/>
      <c r="I46" s="264"/>
      <c r="J46" s="264"/>
      <c r="K46" s="264"/>
      <c r="L46" s="264"/>
      <c r="M46" s="267"/>
      <c r="N46" s="264"/>
      <c r="O46" s="264"/>
      <c r="P46" s="268"/>
      <c r="Q46" s="264"/>
      <c r="R46" s="264"/>
      <c r="S46" s="264"/>
      <c r="T46" s="264"/>
      <c r="U46" s="269"/>
      <c r="V46" s="264"/>
      <c r="W46" s="264"/>
      <c r="X46" s="264"/>
      <c r="Y46" s="264"/>
      <c r="Z46" s="263"/>
      <c r="AA46" s="264"/>
      <c r="AB46" s="263"/>
      <c r="AC46" s="263"/>
      <c r="AD46" s="274"/>
      <c r="AE46" s="264"/>
      <c r="AF46" s="267"/>
      <c r="AG46" s="272"/>
      <c r="AH46" s="264"/>
      <c r="AI46" s="264"/>
      <c r="AJ46" s="264"/>
      <c r="AK46" s="264"/>
      <c r="AL46" s="264"/>
      <c r="AM46" s="264"/>
      <c r="AN46" s="309"/>
      <c r="AO46" s="274"/>
      <c r="AP46" s="271"/>
      <c r="AQ46" s="271"/>
      <c r="AR46" s="271"/>
      <c r="AS46" s="268"/>
      <c r="AT46" s="268"/>
      <c r="AU46" s="271"/>
      <c r="AV46" s="556"/>
      <c r="AW46" s="274"/>
      <c r="AX46" s="274"/>
      <c r="AY46" s="289"/>
      <c r="AZ46" s="289"/>
      <c r="BA46" s="289"/>
      <c r="BB46" s="289"/>
    </row>
    <row r="47" customFormat="false" ht="12.95" hidden="false" customHeight="true" outlineLevel="0" collapsed="false">
      <c r="A47" s="209" t="s">
        <v>104</v>
      </c>
      <c r="B47" s="239"/>
      <c r="C47" s="123"/>
      <c r="D47" s="123"/>
      <c r="E47" s="123"/>
      <c r="F47" s="240" t="n">
        <f aca="false">SUM(F15:F45)</f>
        <v>-14531.8880766322</v>
      </c>
      <c r="G47" s="123" t="n">
        <f aca="false">SUM(G15:G45)</f>
        <v>7587</v>
      </c>
      <c r="H47" s="241" t="n">
        <f aca="false">SUM(H15:H45)</f>
        <v>0.358</v>
      </c>
      <c r="I47" s="123" t="n">
        <f aca="false">SUM(I15:I45)</f>
        <v>7587.358</v>
      </c>
      <c r="J47" s="123" t="n">
        <f aca="false">SUM(J15:J45)</f>
        <v>795.879027476683</v>
      </c>
      <c r="K47" s="123" t="n">
        <f aca="false">SUM(K15:K45)</f>
        <v>8383.23702747668</v>
      </c>
      <c r="L47" s="123" t="n">
        <f aca="false">SUM(L15:L45)</f>
        <v>622.753923367785</v>
      </c>
      <c r="M47" s="242" t="n">
        <f aca="false">SUM(M15:M45)</f>
        <v>8900</v>
      </c>
      <c r="N47" s="123" t="n">
        <f aca="false">SUM(N15:N45)</f>
        <v>0</v>
      </c>
      <c r="O47" s="123" t="n">
        <f aca="false">SUM(O15:O45)</f>
        <v>2401.495</v>
      </c>
      <c r="P47" s="186" t="n">
        <f aca="false">SUM(P15:P45)</f>
        <v>7.06</v>
      </c>
      <c r="Q47" s="123" t="n">
        <f aca="false">SUM(Q15:Q45)</f>
        <v>95.2811020981931</v>
      </c>
      <c r="R47" s="123" t="n">
        <f aca="false">SUM(R15:R45)</f>
        <v>127.2084544</v>
      </c>
      <c r="S47" s="123" t="n">
        <f aca="false">SUM(S15:S45)</f>
        <v>41.70647568</v>
      </c>
      <c r="T47" s="123" t="n">
        <f aca="false">SUM(T15:T45)</f>
        <v>40.85306992</v>
      </c>
      <c r="U47" s="243" t="n">
        <f aca="false">SUM(U15:U45)</f>
        <v>0</v>
      </c>
      <c r="V47" s="123" t="n">
        <f aca="false">SUM(V15:V45)</f>
        <v>2870.8</v>
      </c>
      <c r="W47" s="123" t="n">
        <f aca="false">SUM(W15:W45)</f>
        <v>2102.3</v>
      </c>
      <c r="X47" s="123" t="n">
        <f aca="false">SUM(X15:X45)</f>
        <v>11159.4958979018</v>
      </c>
      <c r="Y47" s="123" t="n">
        <f aca="false">SUM(Y15:Y45)</f>
        <v>11159.4958979018</v>
      </c>
      <c r="Z47" s="123"/>
      <c r="AA47" s="123" t="n">
        <f aca="false">SUM(AA15:AA45)</f>
        <v>3847.3274544</v>
      </c>
      <c r="AB47" s="123"/>
      <c r="AC47" s="123"/>
      <c r="AD47" s="123"/>
      <c r="AE47" s="123" t="n">
        <f aca="false">SUM(AE15:AE45)</f>
        <v>6526</v>
      </c>
      <c r="AF47" s="475" t="n">
        <f aca="false">SUM(AF15:AF45)</f>
        <v>52.7</v>
      </c>
      <c r="AG47" s="476" t="n">
        <f aca="false">SUM(AG15:AG45)</f>
        <v>40.3</v>
      </c>
      <c r="AH47" s="123" t="n">
        <f aca="false">SUM(AH15:AH45)</f>
        <v>2342.9</v>
      </c>
      <c r="AI47" s="123"/>
      <c r="AJ47" s="123" t="n">
        <f aca="false">SUM(AJ15:AJ45)</f>
        <v>0</v>
      </c>
      <c r="AK47" s="123" t="n">
        <f aca="false">SUM(AK15:AK45)</f>
        <v>22742</v>
      </c>
      <c r="AL47" s="123" t="n">
        <f aca="false">SUM(AL15:AL45)</f>
        <v>173.125104108898</v>
      </c>
      <c r="AM47" s="123" t="n">
        <f aca="false">SUM(AM15:AM45)</f>
        <v>22915.1251041089</v>
      </c>
      <c r="AN47" s="303"/>
      <c r="AO47" s="123" t="n">
        <f aca="false">SUM(AO15:AO45)</f>
        <v>0</v>
      </c>
      <c r="AP47" s="156" t="n">
        <f aca="false">SUM(AP15:AP45)</f>
        <v>-3847.3274544</v>
      </c>
      <c r="AQ47" s="560"/>
      <c r="AR47" s="156" t="n">
        <f aca="false">SUM(AR15:AR45)</f>
        <v>0</v>
      </c>
      <c r="AS47" s="156" t="n">
        <f aca="false">SUM(AS15:AS45)</f>
        <v>202.34</v>
      </c>
      <c r="AT47" s="186" t="n">
        <f aca="false">SUM(AT15:AT45)</f>
        <v>0</v>
      </c>
      <c r="AU47" s="156" t="n">
        <f aca="false">SUM(AU15:AU45)</f>
        <v>0</v>
      </c>
      <c r="AV47" s="355" t="n">
        <f aca="false">SUM(AV15:AV45)</f>
        <v>1.5</v>
      </c>
      <c r="AW47" s="241" t="n">
        <f aca="false">AVERAGE(AW15:AW45)</f>
        <v>89.9354838709678</v>
      </c>
      <c r="AX47" s="241" t="n">
        <f aca="false">AVERAGE(AX15:AX45)</f>
        <v>56.8709677419355</v>
      </c>
      <c r="AY47" s="250" t="s">
        <v>130</v>
      </c>
      <c r="AZ47" s="375" t="n">
        <f aca="false">SUM(AZ15:AZ45)</f>
        <v>312.109102098193</v>
      </c>
      <c r="BA47" s="156" t="n">
        <f aca="false">SUM(BA15:BA45)</f>
        <v>1914.265</v>
      </c>
      <c r="BB47" s="91"/>
    </row>
    <row r="48" customFormat="false" ht="12.95" hidden="false" customHeight="true" outlineLevel="0" collapsed="false">
      <c r="A48" s="209" t="s">
        <v>106</v>
      </c>
      <c r="B48" s="239"/>
      <c r="C48" s="123"/>
      <c r="D48" s="123" t="n">
        <f aca="false">SUM(D15:D45)</f>
        <v>-28824</v>
      </c>
      <c r="E48" s="123"/>
      <c r="F48" s="240" t="n">
        <f aca="false">F47*$D$2</f>
        <v>-28824</v>
      </c>
      <c r="G48" s="123" t="n">
        <f aca="false">G47*$D$2</f>
        <v>15048.8145</v>
      </c>
      <c r="H48" s="241" t="n">
        <f aca="false">H47*$D$2</f>
        <v>0.710093</v>
      </c>
      <c r="I48" s="123" t="n">
        <f aca="false">I47*$D$2</f>
        <v>15049.524593</v>
      </c>
      <c r="J48" s="123" t="n">
        <f aca="false">J47*$D$2</f>
        <v>1578.626051</v>
      </c>
      <c r="K48" s="123" t="n">
        <f aca="false">K47*$D$2</f>
        <v>16628.150644</v>
      </c>
      <c r="L48" s="123" t="n">
        <f aca="false">L47*$D$2</f>
        <v>1235.232407</v>
      </c>
      <c r="M48" s="242" t="n">
        <f aca="false">M47*$D$2</f>
        <v>17653.15</v>
      </c>
      <c r="N48" s="123" t="n">
        <f aca="false">N47*$D$2</f>
        <v>0</v>
      </c>
      <c r="O48" s="123" t="n">
        <f aca="false">O47*$D$2</f>
        <v>4763.3653325</v>
      </c>
      <c r="P48" s="186" t="n">
        <f aca="false">P47*$D$2</f>
        <v>14.00351</v>
      </c>
      <c r="Q48" s="123" t="n">
        <f aca="false">Q47*$D$2</f>
        <v>188.990066011766</v>
      </c>
      <c r="R48" s="123" t="n">
        <f aca="false">R47*$D$2</f>
        <v>252.3179693024</v>
      </c>
      <c r="S48" s="123" t="n">
        <f aca="false">S47*$D$2</f>
        <v>82.72479451128</v>
      </c>
      <c r="T48" s="123" t="n">
        <f aca="false">T47*$D$2</f>
        <v>81.03206418632</v>
      </c>
      <c r="U48" s="243" t="n">
        <f aca="false">U47*$D$2</f>
        <v>0</v>
      </c>
      <c r="V48" s="123" t="n">
        <f aca="false">V47*$D$2</f>
        <v>5694.2318</v>
      </c>
      <c r="W48" s="123" t="n">
        <f aca="false">W47*$D$2</f>
        <v>4169.91205</v>
      </c>
      <c r="X48" s="123" t="n">
        <f aca="false">X47*$D$2</f>
        <v>22134.8601134882</v>
      </c>
      <c r="Y48" s="123" t="n">
        <f aca="false">Y47*$D$2</f>
        <v>22134.8601134882</v>
      </c>
      <c r="Z48" s="123"/>
      <c r="AA48" s="123" t="n">
        <f aca="false">AA47*$D$2</f>
        <v>7631.1740058024</v>
      </c>
      <c r="AB48" s="123"/>
      <c r="AC48" s="123"/>
      <c r="AD48" s="123"/>
      <c r="AE48" s="123" t="n">
        <f aca="false">AE47*$D$2</f>
        <v>12944.321</v>
      </c>
      <c r="AF48" s="242" t="n">
        <f aca="false">AF47*$D$2</f>
        <v>104.53045</v>
      </c>
      <c r="AG48" s="245" t="n">
        <f aca="false">AG47*$D$2</f>
        <v>79.93505</v>
      </c>
      <c r="AH48" s="123" t="n">
        <f aca="false">AH47*$D$2</f>
        <v>4647.14215</v>
      </c>
      <c r="AI48" s="123"/>
      <c r="AJ48" s="123" t="n">
        <f aca="false">AJ47*$D$2</f>
        <v>0</v>
      </c>
      <c r="AK48" s="123" t="n">
        <f aca="false">AK47*$D$2</f>
        <v>45108.757</v>
      </c>
      <c r="AL48" s="123" t="n">
        <f aca="false">AL47*$D$2</f>
        <v>343.393644</v>
      </c>
      <c r="AM48" s="123" t="n">
        <f aca="false">AM47*$D$2</f>
        <v>45452.150644</v>
      </c>
      <c r="AN48" s="303"/>
      <c r="AO48" s="123" t="n">
        <f aca="false">AO47*$D$2</f>
        <v>0</v>
      </c>
      <c r="AP48" s="156"/>
      <c r="AQ48" s="560" t="n">
        <f aca="false">SUM(AQ15:AQ45)</f>
        <v>291.366899080584</v>
      </c>
      <c r="AR48" s="156" t="n">
        <f aca="false">AR47*$D$2</f>
        <v>0</v>
      </c>
      <c r="AS48" s="156" t="n">
        <f aca="false">AS47*$D$2</f>
        <v>401.34139</v>
      </c>
      <c r="AT48" s="186" t="n">
        <f aca="false">AT47*$D$2</f>
        <v>0</v>
      </c>
      <c r="AU48" s="156" t="n">
        <f aca="false">AU47*$D$2</f>
        <v>0</v>
      </c>
      <c r="AV48" s="355"/>
      <c r="AW48" s="241" t="n">
        <f aca="false">MAX(AW15:AW45)</f>
        <v>98</v>
      </c>
      <c r="AX48" s="241" t="n">
        <f aca="false">MAX(AX15:AX45)</f>
        <v>62</v>
      </c>
      <c r="AY48" s="250" t="s">
        <v>35</v>
      </c>
      <c r="AZ48" s="375" t="n">
        <f aca="false">AZ47*$D$2</f>
        <v>619.068404011766</v>
      </c>
      <c r="BA48" s="156" t="n">
        <f aca="false">BA47*$D$2</f>
        <v>3796.9446275</v>
      </c>
      <c r="BB48" s="91"/>
    </row>
    <row r="49" customFormat="false" ht="3" hidden="false" customHeight="true" outlineLevel="0" collapsed="false">
      <c r="A49" s="261"/>
      <c r="B49" s="286"/>
      <c r="C49" s="263"/>
      <c r="D49" s="263"/>
      <c r="E49" s="263"/>
      <c r="F49" s="289"/>
      <c r="G49" s="263"/>
      <c r="H49" s="274"/>
      <c r="I49" s="263"/>
      <c r="J49" s="263"/>
      <c r="K49" s="263"/>
      <c r="L49" s="263"/>
      <c r="M49" s="290"/>
      <c r="N49" s="263"/>
      <c r="O49" s="263"/>
      <c r="P49" s="268"/>
      <c r="Q49" s="263"/>
      <c r="R49" s="263"/>
      <c r="S49" s="263"/>
      <c r="T49" s="263"/>
      <c r="U49" s="269"/>
      <c r="V49" s="263"/>
      <c r="W49" s="263"/>
      <c r="X49" s="263"/>
      <c r="Y49" s="263"/>
      <c r="Z49" s="263"/>
      <c r="AA49" s="263"/>
      <c r="AB49" s="263"/>
      <c r="AC49" s="263"/>
      <c r="AD49" s="263"/>
      <c r="AE49" s="263"/>
      <c r="AF49" s="290"/>
      <c r="AG49" s="291"/>
      <c r="AH49" s="263"/>
      <c r="AI49" s="264"/>
      <c r="AJ49" s="263"/>
      <c r="AK49" s="263"/>
      <c r="AL49" s="263"/>
      <c r="AM49" s="263"/>
      <c r="AN49" s="293"/>
      <c r="AO49" s="263"/>
      <c r="AP49" s="271"/>
      <c r="AQ49" s="268"/>
      <c r="AR49" s="268"/>
      <c r="AS49" s="268"/>
      <c r="AT49" s="268"/>
      <c r="AU49" s="271"/>
      <c r="AV49" s="293"/>
      <c r="AW49" s="263"/>
      <c r="AX49" s="263"/>
      <c r="AY49" s="263"/>
      <c r="AZ49" s="263"/>
      <c r="BA49" s="263"/>
      <c r="BB49" s="263"/>
    </row>
    <row r="50" customFormat="false" ht="12.95" hidden="false" customHeight="true" outlineLevel="0" collapsed="false">
      <c r="A50" s="209" t="s">
        <v>108</v>
      </c>
      <c r="B50" s="239"/>
      <c r="C50" s="123"/>
      <c r="D50" s="123"/>
      <c r="E50" s="123"/>
      <c r="F50" s="240" t="n">
        <f aca="false">F12+F47</f>
        <v>40103.8568187547</v>
      </c>
      <c r="G50" s="123" t="n">
        <f aca="false">G12+G47</f>
        <v>112379</v>
      </c>
      <c r="H50" s="241" t="n">
        <f aca="false">H12+H47</f>
        <v>4369.598</v>
      </c>
      <c r="I50" s="123" t="n">
        <f aca="false">I12+I47</f>
        <v>116748.598</v>
      </c>
      <c r="J50" s="123" t="n">
        <f aca="false">J12+J47</f>
        <v>5385.37716813713</v>
      </c>
      <c r="K50" s="123" t="n">
        <f aca="false">K12+K47</f>
        <v>122133.965168137</v>
      </c>
      <c r="L50" s="123" t="n">
        <f aca="false">L12+L47</f>
        <v>3077.75581875473</v>
      </c>
      <c r="M50" s="242" t="n">
        <f aca="false">M12+M47</f>
        <v>27468.98</v>
      </c>
      <c r="N50" s="123" t="n">
        <f aca="false">N12+N47</f>
        <v>0</v>
      </c>
      <c r="O50" s="123" t="n">
        <f aca="false">O12+O47</f>
        <v>8918.4515</v>
      </c>
      <c r="P50" s="186" t="n">
        <f aca="false">P12+P47</f>
        <v>7.06</v>
      </c>
      <c r="Q50" s="123"/>
      <c r="R50" s="123"/>
      <c r="S50" s="123"/>
      <c r="T50" s="123"/>
      <c r="U50" s="243"/>
      <c r="V50" s="123" t="n">
        <f aca="false">V12+V47</f>
        <v>9760.1</v>
      </c>
      <c r="W50" s="123" t="n">
        <f aca="false">W12+W47</f>
        <v>5835.2</v>
      </c>
      <c r="X50" s="123" t="n">
        <f aca="false">X12+X47</f>
        <v>33030.7095873366</v>
      </c>
      <c r="Y50" s="123" t="n">
        <f aca="false">Y12+Y47</f>
        <v>32997.9392319043</v>
      </c>
      <c r="Z50" s="93"/>
      <c r="AA50" s="123"/>
      <c r="AB50" s="244"/>
      <c r="AC50" s="244"/>
      <c r="AD50" s="123"/>
      <c r="AE50" s="123" t="n">
        <f aca="false">AE12+AE47</f>
        <v>16304.773</v>
      </c>
      <c r="AF50" s="242" t="n">
        <f aca="false">AF12+AF47</f>
        <v>207.4</v>
      </c>
      <c r="AG50" s="245" t="n">
        <f aca="false">AG12+AG47</f>
        <v>158.6</v>
      </c>
      <c r="AH50" s="123"/>
      <c r="AI50" s="244"/>
      <c r="AJ50" s="123" t="n">
        <f aca="false">AJ12+AJ47</f>
        <v>14122</v>
      </c>
      <c r="AK50" s="123" t="n">
        <f aca="false">AK12+AK47</f>
        <v>79722.487</v>
      </c>
      <c r="AL50" s="123" t="n">
        <f aca="false">AL12+AL47</f>
        <v>2307.6213493824</v>
      </c>
      <c r="AM50" s="123" t="n">
        <f aca="false">AM12+AM47</f>
        <v>82030.1083493824</v>
      </c>
      <c r="AN50" s="303"/>
      <c r="AO50" s="241"/>
      <c r="AP50" s="156"/>
      <c r="AQ50" s="560"/>
      <c r="AR50" s="156" t="n">
        <f aca="false">AR12+AR47</f>
        <v>0</v>
      </c>
      <c r="AS50" s="156" t="n">
        <f aca="false">AS12+AS47</f>
        <v>202.34</v>
      </c>
      <c r="AT50" s="186" t="n">
        <f aca="false">AT12+AT47</f>
        <v>172.906</v>
      </c>
      <c r="AU50" s="156" t="n">
        <f aca="false">AU12+AU47</f>
        <v>0</v>
      </c>
      <c r="AV50" s="355" t="s">
        <v>136</v>
      </c>
      <c r="AW50" s="241" t="n">
        <f aca="false">MIN(AW15:AW45)</f>
        <v>70</v>
      </c>
      <c r="AX50" s="241" t="n">
        <f aca="false">MIN(AX15:AX45)</f>
        <v>52</v>
      </c>
      <c r="AY50" s="250" t="s">
        <v>36</v>
      </c>
      <c r="AZ50" s="375" t="n">
        <f aca="false">AZ12+AZ47</f>
        <v>958.918412663397</v>
      </c>
      <c r="BA50" s="156" t="n">
        <f aca="false">BA12+BA47</f>
        <v>4567.664</v>
      </c>
      <c r="BB50" s="91"/>
    </row>
    <row r="51" customFormat="false" ht="12.95" hidden="false" customHeight="true" outlineLevel="0" collapsed="false">
      <c r="A51" s="209" t="s">
        <v>110</v>
      </c>
      <c r="B51" s="239"/>
      <c r="C51" s="123"/>
      <c r="D51" s="123"/>
      <c r="E51" s="123"/>
      <c r="F51" s="240" t="n">
        <f aca="false">F50*$D$2</f>
        <v>79546</v>
      </c>
      <c r="G51" s="123" t="n">
        <f aca="false">G50*$D$2</f>
        <v>222903.7465</v>
      </c>
      <c r="H51" s="241" t="n">
        <f aca="false">H50*$D$2</f>
        <v>8667.097633</v>
      </c>
      <c r="I51" s="123" t="n">
        <f aca="false">I50*$D$2</f>
        <v>231570.844133</v>
      </c>
      <c r="J51" s="123" t="n">
        <f aca="false">J50*$D$2</f>
        <v>10681.895613</v>
      </c>
      <c r="K51" s="123" t="n">
        <f aca="false">K50*$D$2</f>
        <v>242252.719911</v>
      </c>
      <c r="L51" s="123" t="n">
        <f aca="false">L50*$D$2</f>
        <v>6104.7286665</v>
      </c>
      <c r="M51" s="242" t="n">
        <f aca="false">M50*$D$2</f>
        <v>54484.72183</v>
      </c>
      <c r="N51" s="123" t="n">
        <f aca="false">N50*$D$2</f>
        <v>0</v>
      </c>
      <c r="O51" s="123" t="n">
        <f aca="false">O50*$D$2</f>
        <v>17689.74855025</v>
      </c>
      <c r="P51" s="186" t="n">
        <f aca="false">P50*$D$2</f>
        <v>14.00351</v>
      </c>
      <c r="Q51" s="123"/>
      <c r="R51" s="123"/>
      <c r="S51" s="123"/>
      <c r="T51" s="123"/>
      <c r="U51" s="243"/>
      <c r="V51" s="123" t="n">
        <f aca="false">V50*$D$2</f>
        <v>19359.15835</v>
      </c>
      <c r="W51" s="123" t="n">
        <f aca="false">W50*$D$2</f>
        <v>11574.1192</v>
      </c>
      <c r="X51" s="123" t="n">
        <f aca="false">X50*$D$2</f>
        <v>65516.4124664822</v>
      </c>
      <c r="Y51" s="123" t="n">
        <f aca="false">Y50*$D$2</f>
        <v>65451.4124664822</v>
      </c>
      <c r="Z51" s="93"/>
      <c r="AA51" s="123"/>
      <c r="AB51" s="123"/>
      <c r="AC51" s="123"/>
      <c r="AD51" s="123"/>
      <c r="AE51" s="123" t="n">
        <f aca="false">AE50*$D$2</f>
        <v>32340.5172455</v>
      </c>
      <c r="AF51" s="242" t="n">
        <f aca="false">AF50*$D$2</f>
        <v>411.3779</v>
      </c>
      <c r="AG51" s="245" t="n">
        <f aca="false">AG50*$D$2</f>
        <v>314.5831</v>
      </c>
      <c r="AH51" s="123"/>
      <c r="AI51" s="123"/>
      <c r="AJ51" s="123" t="n">
        <f aca="false">AJ50*$D$2</f>
        <v>28010.987</v>
      </c>
      <c r="AK51" s="123" t="n">
        <f aca="false">AK50*$D$2</f>
        <v>158129.5529645</v>
      </c>
      <c r="AL51" s="123" t="n">
        <f aca="false">AL50*$D$2</f>
        <v>4577.1669465</v>
      </c>
      <c r="AM51" s="123" t="n">
        <f aca="false">AM50*$D$2</f>
        <v>162706.719911</v>
      </c>
      <c r="AN51" s="303"/>
      <c r="AO51" s="241"/>
      <c r="AP51" s="156"/>
      <c r="AQ51" s="560" t="n">
        <f aca="false">AQ12+AQ48</f>
        <v>909.930160529382</v>
      </c>
      <c r="AR51" s="156" t="n">
        <f aca="false">AR50*$D$2</f>
        <v>0</v>
      </c>
      <c r="AS51" s="156" t="n">
        <f aca="false">AS50*$D$2</f>
        <v>401.34139</v>
      </c>
      <c r="AT51" s="156" t="n">
        <f aca="false">AT50*$D$2</f>
        <v>342.959051</v>
      </c>
      <c r="AU51" s="156" t="n">
        <f aca="false">AU50*$D$2</f>
        <v>0</v>
      </c>
      <c r="AV51" s="355" t="n">
        <f aca="false">JUN!AV50+AV47</f>
        <v>3.39845679012346</v>
      </c>
      <c r="AW51" s="241"/>
      <c r="AX51" s="241"/>
      <c r="AY51" s="283"/>
      <c r="AZ51" s="375" t="n">
        <f aca="false">AZ50*$D$2</f>
        <v>1902.01467151785</v>
      </c>
      <c r="BA51" s="156" t="n">
        <f aca="false">BA50*$D$2</f>
        <v>9059.961544</v>
      </c>
      <c r="BB51" s="91"/>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269"/>
      <c r="V52" s="263"/>
      <c r="W52" s="263"/>
      <c r="X52" s="263"/>
      <c r="Y52" s="263"/>
      <c r="Z52" s="263"/>
      <c r="AA52" s="263"/>
      <c r="AB52" s="263"/>
      <c r="AC52" s="263"/>
      <c r="AD52" s="274"/>
      <c r="AE52" s="263"/>
      <c r="AF52" s="290"/>
      <c r="AG52" s="291"/>
      <c r="AH52" s="263"/>
      <c r="AI52" s="263"/>
      <c r="AJ52" s="263"/>
      <c r="AK52" s="263"/>
      <c r="AL52" s="263"/>
      <c r="AM52" s="263"/>
      <c r="AN52" s="293"/>
      <c r="AO52" s="263"/>
      <c r="AP52" s="271"/>
      <c r="AQ52" s="268"/>
      <c r="AR52" s="268"/>
      <c r="AS52" s="268"/>
      <c r="AT52" s="268"/>
      <c r="AU52" s="271"/>
      <c r="AV52" s="556"/>
      <c r="AW52" s="263"/>
      <c r="AX52" s="263"/>
      <c r="AY52" s="263"/>
      <c r="AZ52" s="263"/>
      <c r="BA52" s="263"/>
      <c r="BB52" s="263"/>
    </row>
    <row r="53" customFormat="false" ht="12.95" hidden="false" customHeight="true" outlineLevel="0" collapsed="false">
      <c r="A53" s="209" t="s">
        <v>111</v>
      </c>
      <c r="B53" s="239"/>
      <c r="C53" s="123"/>
      <c r="D53" s="123"/>
      <c r="E53" s="123"/>
      <c r="F53" s="240" t="n">
        <f aca="false">F13+F47</f>
        <v>50504.1593143433</v>
      </c>
      <c r="G53" s="123" t="n">
        <f aca="false">G13+G47</f>
        <v>128638.879899924</v>
      </c>
      <c r="H53" s="241" t="n">
        <f aca="false">H13+H47</f>
        <v>4658.297</v>
      </c>
      <c r="I53" s="123" t="n">
        <f aca="false">I13+I47</f>
        <v>133297.176899924</v>
      </c>
      <c r="J53" s="123" t="n">
        <f aca="false">J13+J47</f>
        <v>8766.59639929418</v>
      </c>
      <c r="K53" s="123" t="n">
        <f aca="false">K13+K47</f>
        <v>142063.763299219</v>
      </c>
      <c r="L53" s="123" t="n">
        <f aca="false">L13+L47</f>
        <v>6140.97441441896</v>
      </c>
      <c r="M53" s="242" t="n">
        <f aca="false">M13+M47</f>
        <v>28223.98</v>
      </c>
      <c r="N53" s="123" t="n">
        <f aca="false">N13+N47</f>
        <v>0</v>
      </c>
      <c r="O53" s="123" t="n">
        <f aca="false">O13+O47</f>
        <v>8920.18505</v>
      </c>
      <c r="P53" s="186"/>
      <c r="Q53" s="123" t="n">
        <f aca="false">Q13+Q47</f>
        <v>553.074042340234</v>
      </c>
      <c r="R53" s="123" t="n">
        <f aca="false">R13+R47</f>
        <v>665.02227584</v>
      </c>
      <c r="S53" s="123" t="n">
        <f aca="false">S13+S47</f>
        <v>90.61521248</v>
      </c>
      <c r="T53" s="123" t="n">
        <f aca="false">T13+T47</f>
        <v>217.49051168</v>
      </c>
      <c r="U53" s="352" t="n">
        <f aca="false">U13+U47</f>
        <v>-15.4916088537026</v>
      </c>
      <c r="V53" s="123" t="n">
        <f aca="false">V13+V47</f>
        <v>12974.91</v>
      </c>
      <c r="W53" s="123" t="n">
        <f aca="false">W13+W47</f>
        <v>5865.285</v>
      </c>
      <c r="X53" s="123" t="n">
        <f aca="false">X13+X47</f>
        <v>36429.5394165135</v>
      </c>
      <c r="Y53" s="123" t="n">
        <f aca="false">Y13+Y47</f>
        <v>36146.6290610811</v>
      </c>
      <c r="Z53" s="123"/>
      <c r="AA53" s="123"/>
      <c r="AB53" s="123"/>
      <c r="AC53" s="123"/>
      <c r="AD53" s="241"/>
      <c r="AE53" s="123"/>
      <c r="AF53" s="242" t="n">
        <f aca="false">AF13+AF47</f>
        <v>207.4</v>
      </c>
      <c r="AG53" s="245" t="n">
        <f aca="false">AG13+AG47</f>
        <v>158.6</v>
      </c>
      <c r="AH53" s="123" t="n">
        <f aca="false">AH13+AH47</f>
        <v>25672.9</v>
      </c>
      <c r="AI53" s="123" t="n">
        <f aca="false">AI45</f>
        <v>9691.95787748928</v>
      </c>
      <c r="AJ53" s="123" t="n">
        <f aca="false">AJ13+AJ47</f>
        <v>14122</v>
      </c>
      <c r="AK53" s="123" t="n">
        <f aca="false">AK13+AK47</f>
        <v>88933.982</v>
      </c>
      <c r="AL53" s="123" t="n">
        <f aca="false">AL13+AL47</f>
        <v>2625.62198487522</v>
      </c>
      <c r="AM53" s="561" t="n">
        <f aca="false">AM13+AM47</f>
        <v>91559.6039848752</v>
      </c>
      <c r="AN53" s="123" t="n">
        <f aca="false">AN13+AN47</f>
        <v>3115.79</v>
      </c>
      <c r="AO53" s="123" t="n">
        <f aca="false">AO13+AO47</f>
        <v>282.910355432317</v>
      </c>
      <c r="AP53" s="156"/>
      <c r="AQ53" s="560"/>
      <c r="AR53" s="560"/>
      <c r="AS53" s="155" t="n">
        <f aca="false">AS13+AS47</f>
        <v>202.34</v>
      </c>
      <c r="AT53" s="560"/>
      <c r="AU53" s="561" t="n">
        <f aca="false">AU13+AU47</f>
        <v>0</v>
      </c>
      <c r="AV53" s="355" t="n">
        <f aca="false">AV13+AV47</f>
        <v>11.534885361552</v>
      </c>
      <c r="AW53" s="241"/>
      <c r="AX53" s="241"/>
      <c r="AY53" s="283"/>
      <c r="AZ53" s="375" t="n">
        <f aca="false">AZ13+AZ47</f>
        <v>1513.87043348653</v>
      </c>
      <c r="BA53" s="155" t="n">
        <f aca="false">BA13+BA47</f>
        <v>4652.122</v>
      </c>
      <c r="BB53" s="91"/>
    </row>
    <row r="54" customFormat="false" ht="12.95" hidden="false" customHeight="true" outlineLevel="0" collapsed="false">
      <c r="A54" s="209" t="s">
        <v>112</v>
      </c>
      <c r="B54" s="239"/>
      <c r="C54" s="123"/>
      <c r="D54" s="123" t="n">
        <f aca="false">D13+D48</f>
        <v>100039</v>
      </c>
      <c r="E54" s="123" t="n">
        <f aca="false">E45</f>
        <v>191207</v>
      </c>
      <c r="F54" s="240" t="n">
        <f aca="false">F53*$D$2</f>
        <v>100175</v>
      </c>
      <c r="G54" s="123" t="n">
        <f aca="false">G53*$D$2</f>
        <v>255155.2182815</v>
      </c>
      <c r="H54" s="241" t="n">
        <f aca="false">H53*$D$2</f>
        <v>9239.7320995</v>
      </c>
      <c r="I54" s="123" t="n">
        <f aca="false">I53*$D$2</f>
        <v>264394.950381</v>
      </c>
      <c r="J54" s="123" t="n">
        <f aca="false">J53*$D$2</f>
        <v>17388.543958</v>
      </c>
      <c r="K54" s="123" t="n">
        <f aca="false">K53*$D$2</f>
        <v>281783.474504</v>
      </c>
      <c r="L54" s="123" t="n">
        <f aca="false">L53*$D$2</f>
        <v>12180.622751</v>
      </c>
      <c r="M54" s="242" t="n">
        <f aca="false">M53*$D$2</f>
        <v>55982.26433</v>
      </c>
      <c r="N54" s="123" t="n">
        <f aca="false">N53*$D$2</f>
        <v>0</v>
      </c>
      <c r="O54" s="123" t="n">
        <f aca="false">O53*$D$2</f>
        <v>17693.187046675</v>
      </c>
      <c r="P54" s="186"/>
      <c r="Q54" s="241" t="n">
        <f aca="false">Q53*$D$2</f>
        <v>1097.02236298185</v>
      </c>
      <c r="R54" s="241" t="n">
        <f aca="false">R53*$D$2</f>
        <v>1319.07168412864</v>
      </c>
      <c r="S54" s="255" t="n">
        <f aca="false">S53*$D$2</f>
        <v>179.73527395408</v>
      </c>
      <c r="T54" s="255" t="n">
        <f aca="false">T53*$D$2</f>
        <v>431.39242991728</v>
      </c>
      <c r="U54" s="469" t="n">
        <f aca="false">U53*$D$2</f>
        <v>-30.7276061613192</v>
      </c>
      <c r="V54" s="123" t="n">
        <f aca="false">V53*$D$2</f>
        <v>25735.733985</v>
      </c>
      <c r="W54" s="123" t="n">
        <f aca="false">W53*$D$2</f>
        <v>11633.7927975</v>
      </c>
      <c r="X54" s="123" t="n">
        <f aca="false">X53*$D$2</f>
        <v>72257.9914326545</v>
      </c>
      <c r="Y54" s="123" t="n">
        <f aca="false">Y53*$D$2</f>
        <v>71696.8387426545</v>
      </c>
      <c r="Z54" s="123"/>
      <c r="AA54" s="123"/>
      <c r="AB54" s="123"/>
      <c r="AC54" s="123"/>
      <c r="AD54" s="241"/>
      <c r="AE54" s="123"/>
      <c r="AF54" s="296" t="n">
        <f aca="false">AF53*$D$2</f>
        <v>411.3779</v>
      </c>
      <c r="AG54" s="297" t="n">
        <f aca="false">AG53*$D$2</f>
        <v>314.5831</v>
      </c>
      <c r="AH54" s="123" t="n">
        <f aca="false">AH53*$D$2</f>
        <v>50922.19715</v>
      </c>
      <c r="AI54" s="123" t="n">
        <f aca="false">AI53*$D$2</f>
        <v>19223.99845</v>
      </c>
      <c r="AJ54" s="123" t="n">
        <f aca="false">AJ53*$D$2</f>
        <v>28010.987</v>
      </c>
      <c r="AK54" s="123" t="n">
        <f aca="false">AK53*$D$2</f>
        <v>176400.553297</v>
      </c>
      <c r="AL54" s="123" t="n">
        <f aca="false">AL53*$D$2</f>
        <v>5207.921207</v>
      </c>
      <c r="AM54" s="298" t="n">
        <f aca="false">AM53*$D$2</f>
        <v>181608.474504</v>
      </c>
      <c r="AN54" s="123" t="n">
        <f aca="false">AN53*$D$2</f>
        <v>6180.169465</v>
      </c>
      <c r="AO54" s="123" t="n">
        <f aca="false">AO53*$D$2</f>
        <v>561.15269</v>
      </c>
      <c r="AP54" s="156"/>
      <c r="AQ54" s="560" t="n">
        <f aca="false">AQ13+AQ48</f>
        <v>909.930160529382</v>
      </c>
      <c r="AR54" s="186"/>
      <c r="AS54" s="155" t="n">
        <f aca="false">AS53*$D$2</f>
        <v>401.34139</v>
      </c>
      <c r="AT54" s="186"/>
      <c r="AU54" s="298" t="n">
        <f aca="false">AU53*$D$2</f>
        <v>0</v>
      </c>
      <c r="AV54" s="355"/>
      <c r="AW54" s="241"/>
      <c r="AX54" s="241"/>
      <c r="AY54" s="283"/>
      <c r="AZ54" s="375" t="n">
        <f aca="false">AZ53*$D$2</f>
        <v>3002.76200482053</v>
      </c>
      <c r="BA54" s="155" t="n">
        <f aca="false">BA53*$D$2</f>
        <v>9227.483987</v>
      </c>
      <c r="BB54" s="91"/>
    </row>
    <row r="55" customFormat="false" ht="3" hidden="false" customHeight="true" outlineLevel="0" collapsed="false">
      <c r="A55" s="261"/>
      <c r="B55" s="562"/>
      <c r="C55" s="563"/>
      <c r="D55" s="261"/>
      <c r="E55" s="563"/>
      <c r="F55" s="564"/>
      <c r="G55" s="261"/>
      <c r="H55" s="565"/>
      <c r="I55" s="261"/>
      <c r="J55" s="261"/>
      <c r="K55" s="261"/>
      <c r="L55" s="261"/>
      <c r="M55" s="566"/>
      <c r="N55" s="261"/>
      <c r="O55" s="261"/>
      <c r="P55" s="567"/>
      <c r="Q55" s="261"/>
      <c r="R55" s="261"/>
      <c r="S55" s="261"/>
      <c r="T55" s="261"/>
      <c r="U55" s="568"/>
      <c r="V55" s="261"/>
      <c r="W55" s="261"/>
      <c r="X55" s="261"/>
      <c r="Y55" s="261"/>
      <c r="Z55" s="563"/>
      <c r="AA55" s="261"/>
      <c r="AB55" s="563"/>
      <c r="AC55" s="563"/>
      <c r="AD55" s="569"/>
      <c r="AE55" s="261"/>
      <c r="AF55" s="267"/>
      <c r="AG55" s="272"/>
      <c r="AH55" s="261"/>
      <c r="AI55" s="563"/>
      <c r="AJ55" s="563"/>
      <c r="AK55" s="261"/>
      <c r="AL55" s="261"/>
      <c r="AM55" s="261"/>
      <c r="AN55" s="286"/>
      <c r="AO55" s="264"/>
      <c r="AP55" s="271"/>
      <c r="AQ55" s="271"/>
      <c r="AR55" s="271"/>
      <c r="AS55" s="268"/>
      <c r="AT55" s="268"/>
      <c r="AU55" s="271"/>
      <c r="AV55" s="562"/>
      <c r="AW55" s="261"/>
      <c r="AX55" s="261"/>
      <c r="AY55" s="261"/>
      <c r="AZ55" s="261"/>
      <c r="BA55" s="261"/>
      <c r="BB55" s="261"/>
    </row>
    <row r="56" customFormat="false" ht="11.1" hidden="false" customHeight="true" outlineLevel="0" collapsed="false">
      <c r="A56" s="209"/>
      <c r="B56" s="200"/>
      <c r="C56" s="2"/>
      <c r="D56" s="11"/>
      <c r="E56" s="105"/>
      <c r="F56" s="1"/>
      <c r="G56" s="1"/>
      <c r="H56" s="4"/>
      <c r="I56" s="11"/>
      <c r="J56" s="11"/>
      <c r="K56" s="523"/>
      <c r="L56" s="176"/>
      <c r="M56" s="11"/>
      <c r="N56" s="11"/>
      <c r="O56" s="11"/>
      <c r="P56" s="5"/>
      <c r="Q56" s="11"/>
      <c r="R56" s="11"/>
      <c r="S56" s="11"/>
      <c r="T56" s="11"/>
      <c r="U56" s="5"/>
      <c r="V56" s="11"/>
      <c r="W56" s="11"/>
      <c r="X56" s="11"/>
      <c r="Y56" s="11"/>
      <c r="Z56" s="1"/>
      <c r="AA56" s="11"/>
      <c r="AB56" s="1"/>
      <c r="AC56" s="1"/>
      <c r="AD56" s="9"/>
      <c r="AE56" s="11"/>
      <c r="AF56" s="11"/>
      <c r="AG56" s="11"/>
      <c r="AH56" s="11"/>
      <c r="AI56" s="105"/>
      <c r="AJ56" s="525"/>
      <c r="AK56" s="105"/>
      <c r="AL56" s="209"/>
      <c r="AM56" s="209"/>
      <c r="AN56" s="207"/>
      <c r="AO56" s="207"/>
      <c r="AP56" s="361"/>
      <c r="AV56" s="8"/>
      <c r="AX56" s="206"/>
    </row>
    <row r="57" customFormat="false" ht="11.1" hidden="false" customHeight="true" outlineLevel="0" collapsed="false">
      <c r="A57" s="209"/>
      <c r="B57" s="200"/>
      <c r="C57" s="2"/>
      <c r="D57" s="1"/>
      <c r="E57" s="423"/>
      <c r="F57" s="212"/>
      <c r="G57" s="1"/>
      <c r="H57" s="4"/>
      <c r="I57" s="12"/>
      <c r="J57" s="11"/>
      <c r="K57" s="201"/>
      <c r="L57" s="120"/>
      <c r="M57" s="11"/>
      <c r="N57" s="11"/>
      <c r="O57" s="11"/>
      <c r="P57" s="5"/>
      <c r="Q57" s="11"/>
      <c r="R57" s="11"/>
      <c r="S57" s="150"/>
      <c r="T57" s="150"/>
      <c r="U57" s="108"/>
      <c r="V57" s="27"/>
      <c r="W57" s="150"/>
      <c r="X57" s="526"/>
      <c r="Y57" s="526"/>
      <c r="Z57" s="176"/>
      <c r="AA57" s="526"/>
      <c r="AB57" s="176"/>
      <c r="AC57" s="176"/>
      <c r="AE57" s="27"/>
      <c r="AF57" s="27"/>
      <c r="AG57" s="27"/>
      <c r="AH57" s="150"/>
      <c r="AI57" s="103"/>
      <c r="AJ57" s="424"/>
      <c r="AK57" s="2"/>
      <c r="AL57" s="209"/>
      <c r="AN57" s="212"/>
      <c r="AO57" s="212"/>
      <c r="AP57" s="361"/>
    </row>
    <row r="58" customFormat="false" ht="11.1" hidden="false" customHeight="true" outlineLevel="0" collapsed="false">
      <c r="B58" s="176"/>
      <c r="E58" s="423"/>
      <c r="F58" s="254"/>
      <c r="G58" s="1"/>
      <c r="H58" s="4"/>
      <c r="I58" s="1"/>
      <c r="J58" s="1"/>
      <c r="K58" s="424"/>
      <c r="L58" s="484"/>
      <c r="M58" s="527"/>
      <c r="N58" s="527"/>
      <c r="O58" s="423"/>
      <c r="P58" s="529"/>
      <c r="Q58" s="423"/>
      <c r="R58" s="423"/>
      <c r="S58" s="27"/>
      <c r="T58" s="27"/>
      <c r="U58" s="108"/>
      <c r="V58" s="27"/>
      <c r="W58" s="150"/>
      <c r="X58" s="103"/>
      <c r="Y58" s="103"/>
      <c r="Z58" s="176"/>
      <c r="AA58" s="103"/>
      <c r="AB58" s="176"/>
      <c r="AC58" s="176"/>
      <c r="AE58" s="176"/>
      <c r="AF58" s="176"/>
      <c r="AG58" s="176"/>
      <c r="AH58" s="103"/>
      <c r="AI58" s="27"/>
      <c r="AJ58" s="530"/>
      <c r="AK58" s="27"/>
      <c r="AN58" s="204"/>
      <c r="AO58" s="204"/>
      <c r="AP58" s="361"/>
    </row>
    <row r="59" customFormat="false" ht="11.1" hidden="false" customHeight="true" outlineLevel="0" collapsed="false">
      <c r="G59" s="302"/>
      <c r="AN59" s="204"/>
      <c r="AO59" s="204"/>
      <c r="AP59" s="361"/>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99"/>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1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16"/>
    <col collapsed="false" customWidth="true" hidden="false" outlineLevel="0" max="22" min="22" style="58" width="5.49"/>
    <col collapsed="false" customWidth="true" hidden="false" outlineLevel="0" max="23" min="23" style="176" width="5.49"/>
    <col collapsed="false" customWidth="true" hidden="false" outlineLevel="0" max="24" min="24" style="474" width="6.32"/>
    <col collapsed="false" customWidth="true" hidden="false" outlineLevel="0" max="25" min="25" style="58" width="6.32"/>
    <col collapsed="false" customWidth="true" hidden="false" outlineLevel="0" max="26" min="26" style="58" width="5.49"/>
    <col collapsed="false" customWidth="true" hidden="false" outlineLevel="0" max="27" min="27" style="58" width="6.32"/>
    <col collapsed="false" customWidth="true" hidden="false" outlineLevel="0" max="28" min="28" style="58" width="5.49"/>
    <col collapsed="false" customWidth="true" hidden="false" outlineLevel="0" max="29" min="29" style="176" width="5.82"/>
    <col collapsed="false" customWidth="true" hidden="false" outlineLevel="0" max="30" min="30" style="176" width="5.49"/>
    <col collapsed="false" customWidth="true" hidden="false" outlineLevel="0" max="33" min="31" style="58" width="5.49"/>
    <col collapsed="false" customWidth="true" hidden="false" outlineLevel="0" max="34" min="34" style="58" width="6.32"/>
    <col collapsed="false" customWidth="true" hidden="false" outlineLevel="0" max="35" min="35" style="58" width="5.49"/>
    <col collapsed="false" customWidth="true" hidden="false" outlineLevel="0" max="36" min="36" style="204" width="6.32"/>
    <col collapsed="false" customWidth="true" hidden="false" outlineLevel="0" max="37" min="37" style="8" width="6.32"/>
    <col collapsed="false" customWidth="true" hidden="false" outlineLevel="0" max="38" min="38" style="203" width="6.82"/>
    <col collapsed="false" customWidth="true" hidden="false" outlineLevel="0" max="39" min="39" style="206" width="6.82"/>
    <col collapsed="false" customWidth="true" hidden="false" outlineLevel="0" max="41" min="40" style="425" width="5.49"/>
    <col collapsed="false" customWidth="true" hidden="false" outlineLevel="0" max="42" min="42" style="451" width="6.32"/>
    <col collapsed="false" customWidth="true" hidden="false" outlineLevel="0" max="43" min="43" style="204" width="6.32"/>
    <col collapsed="false" customWidth="true" hidden="false" outlineLevel="0" max="44" min="44" style="570" width="5.49"/>
    <col collapsed="false" customWidth="true" hidden="false" outlineLevel="0" max="45" min="45" style="204" width="5.82"/>
    <col collapsed="false" customWidth="true" hidden="false" outlineLevel="0" max="47" min="46" style="361" width="5.82"/>
    <col collapsed="false" customWidth="true" hidden="false" outlineLevel="0" max="48" min="48" style="207" width="5.32"/>
    <col collapsed="false" customWidth="true" hidden="false" outlineLevel="0" max="50" min="49" style="58" width="3.82"/>
    <col collapsed="false" customWidth="true" hidden="false" outlineLevel="0" max="51" min="51" style="208" width="3.82"/>
    <col collapsed="false" customWidth="true" hidden="false" outlineLevel="0" max="52" min="52" style="208" width="6.16"/>
    <col collapsed="false" customWidth="false" hidden="false" outlineLevel="0" max="54" min="53" style="58" width="9.32"/>
    <col collapsed="false" customWidth="false" hidden="false" outlineLevel="0" max="257" min="55" style="208" width="9.32"/>
  </cols>
  <sheetData>
    <row r="1" customFormat="false" ht="14.1" hidden="false" customHeight="true" outlineLevel="0" collapsed="false">
      <c r="A1" s="209"/>
      <c r="B1" s="209"/>
      <c r="D1" s="209"/>
      <c r="F1" s="209"/>
      <c r="G1" s="209"/>
      <c r="I1" s="209"/>
      <c r="J1" s="209"/>
      <c r="K1" s="13" t="s">
        <v>0</v>
      </c>
      <c r="L1" s="214"/>
      <c r="M1" s="214"/>
      <c r="N1" s="214"/>
      <c r="O1" s="214"/>
      <c r="P1" s="214"/>
      <c r="Q1" s="214"/>
      <c r="R1" s="214"/>
      <c r="S1" s="214"/>
      <c r="T1" s="214"/>
      <c r="U1" s="214"/>
      <c r="V1" s="214"/>
      <c r="W1" s="214"/>
      <c r="X1" s="484"/>
      <c r="Y1" s="176"/>
      <c r="Z1" s="209"/>
      <c r="AA1" s="176"/>
      <c r="AB1" s="209"/>
      <c r="AC1" s="209"/>
      <c r="AE1" s="209"/>
      <c r="AF1" s="209"/>
      <c r="AG1" s="209"/>
      <c r="AH1" s="176"/>
      <c r="AI1" s="209"/>
      <c r="AJ1" s="212"/>
      <c r="AK1" s="209"/>
      <c r="AL1" s="209"/>
      <c r="AM1" s="8"/>
      <c r="AN1" s="212"/>
      <c r="AO1" s="212"/>
      <c r="AQ1" s="425"/>
      <c r="AR1" s="571"/>
      <c r="AS1" s="447"/>
      <c r="AV1" s="203"/>
      <c r="AW1" s="206"/>
      <c r="AX1" s="207"/>
    </row>
    <row r="2" customFormat="false" ht="14.1" hidden="false" customHeight="true" outlineLevel="0" collapsed="false">
      <c r="A2" s="212" t="s">
        <v>1</v>
      </c>
      <c r="B2" s="209"/>
      <c r="D2" s="213" t="n">
        <v>1.9835</v>
      </c>
      <c r="F2" s="209"/>
      <c r="G2" s="209"/>
      <c r="I2" s="209"/>
      <c r="J2" s="209"/>
      <c r="K2" s="491" t="s">
        <v>147</v>
      </c>
      <c r="L2" s="214"/>
      <c r="M2" s="214"/>
      <c r="N2" s="214"/>
      <c r="O2" s="214"/>
      <c r="P2" s="214"/>
      <c r="Q2" s="214"/>
      <c r="R2" s="214"/>
      <c r="S2" s="214"/>
      <c r="T2" s="214"/>
      <c r="U2" s="214"/>
      <c r="V2" s="214"/>
      <c r="W2" s="214"/>
      <c r="X2" s="547"/>
      <c r="Y2" s="97"/>
      <c r="Z2" s="215" t="s">
        <v>117</v>
      </c>
      <c r="AA2" s="215"/>
      <c r="AB2" s="215"/>
      <c r="AC2" s="215"/>
      <c r="AD2" s="215"/>
      <c r="AE2" s="209"/>
      <c r="AF2" s="209"/>
      <c r="AG2" s="209"/>
      <c r="AH2" s="176"/>
      <c r="AI2" s="209"/>
      <c r="AJ2" s="212"/>
      <c r="AK2" s="209"/>
      <c r="AL2" s="209"/>
      <c r="AM2" s="8"/>
      <c r="AN2" s="212"/>
      <c r="AO2" s="212"/>
      <c r="AQ2" s="425"/>
      <c r="AR2" s="571"/>
      <c r="AS2" s="447"/>
      <c r="AV2" s="203"/>
      <c r="AW2" s="206"/>
      <c r="AX2" s="207"/>
    </row>
    <row r="3" customFormat="false" ht="14.1" hidden="false" customHeight="true" outlineLevel="0" collapsed="false">
      <c r="A3" s="217"/>
      <c r="B3" s="217"/>
      <c r="C3" s="218"/>
      <c r="D3" s="219"/>
      <c r="E3" s="218"/>
      <c r="F3" s="217"/>
      <c r="G3" s="217"/>
      <c r="H3" s="220"/>
      <c r="I3" s="217"/>
      <c r="J3" s="217"/>
      <c r="K3" s="217"/>
      <c r="L3" s="217"/>
      <c r="M3" s="217"/>
      <c r="N3" s="217"/>
      <c r="O3" s="218"/>
      <c r="P3" s="221"/>
      <c r="Q3" s="221"/>
      <c r="R3" s="221"/>
      <c r="S3" s="221"/>
      <c r="T3" s="221"/>
      <c r="U3" s="221"/>
      <c r="V3" s="217"/>
      <c r="W3" s="217"/>
      <c r="X3" s="572"/>
      <c r="Y3" s="218"/>
      <c r="Z3" s="217"/>
      <c r="AA3" s="218"/>
      <c r="AB3" s="217"/>
      <c r="AC3" s="217"/>
      <c r="AD3" s="218"/>
      <c r="AE3" s="217"/>
      <c r="AF3" s="217"/>
      <c r="AG3" s="217"/>
      <c r="AH3" s="218"/>
      <c r="AI3" s="217"/>
      <c r="AJ3" s="223"/>
      <c r="AK3" s="217"/>
      <c r="AL3" s="217"/>
      <c r="AM3" s="221"/>
      <c r="AN3" s="223"/>
      <c r="AO3" s="223"/>
      <c r="AP3" s="573"/>
      <c r="AQ3" s="574"/>
      <c r="AR3" s="571"/>
      <c r="AS3" s="447"/>
      <c r="AV3" s="226"/>
      <c r="AW3" s="227"/>
      <c r="AX3" s="228"/>
      <c r="BA3" s="224"/>
      <c r="BB3" s="224"/>
    </row>
    <row r="4" s="1" customFormat="true" ht="14.1" hidden="false" customHeight="true" outlineLevel="0" collapsed="false">
      <c r="A4" s="11"/>
      <c r="B4" s="531"/>
      <c r="C4" s="532"/>
      <c r="D4" s="532" t="s">
        <v>3</v>
      </c>
      <c r="E4" s="532"/>
      <c r="F4" s="533"/>
      <c r="H4" s="534"/>
      <c r="I4" s="534" t="s">
        <v>144</v>
      </c>
      <c r="J4" s="534"/>
      <c r="K4" s="534"/>
      <c r="L4" s="535"/>
      <c r="N4" s="534"/>
      <c r="O4" s="534"/>
      <c r="P4" s="534"/>
      <c r="Q4" s="534"/>
      <c r="R4" s="534"/>
      <c r="S4" s="534"/>
      <c r="T4" s="534"/>
      <c r="U4" s="534"/>
      <c r="V4" s="534"/>
      <c r="W4" s="534"/>
      <c r="X4" s="575"/>
      <c r="Y4" s="534"/>
      <c r="Z4" s="534"/>
      <c r="AA4" s="534" t="s">
        <v>5</v>
      </c>
      <c r="AB4" s="534"/>
      <c r="AC4" s="534"/>
      <c r="AD4" s="534"/>
      <c r="AE4" s="534"/>
      <c r="AF4" s="534"/>
      <c r="AG4" s="534"/>
      <c r="AH4" s="534"/>
      <c r="AI4" s="534"/>
      <c r="AJ4" s="534"/>
      <c r="AK4" s="534"/>
      <c r="AL4" s="534"/>
      <c r="AM4" s="536"/>
      <c r="AN4" s="537"/>
      <c r="AO4" s="538"/>
      <c r="AP4" s="538"/>
      <c r="AQ4" s="538" t="s">
        <v>6</v>
      </c>
      <c r="AR4" s="576"/>
      <c r="AS4" s="538"/>
      <c r="AT4" s="538"/>
      <c r="AU4" s="539"/>
      <c r="AV4" s="540"/>
      <c r="AW4" s="541" t="s">
        <v>7</v>
      </c>
      <c r="AX4" s="541"/>
      <c r="AY4" s="542"/>
      <c r="AZ4" s="364"/>
      <c r="BA4" s="495"/>
      <c r="BB4" s="496"/>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97" t="s">
        <v>18</v>
      </c>
      <c r="N5" s="497"/>
      <c r="O5" s="497"/>
      <c r="P5" s="497"/>
      <c r="Q5" s="497"/>
      <c r="R5" s="497"/>
      <c r="S5" s="497"/>
      <c r="T5" s="497"/>
      <c r="U5" s="497"/>
      <c r="V5" s="359" t="s">
        <v>19</v>
      </c>
      <c r="W5" s="359" t="s">
        <v>20</v>
      </c>
      <c r="X5" s="65" t="s">
        <v>17</v>
      </c>
      <c r="Y5" s="60" t="s">
        <v>17</v>
      </c>
      <c r="Z5" s="67" t="s">
        <v>21</v>
      </c>
      <c r="AA5" s="60" t="s">
        <v>21</v>
      </c>
      <c r="AB5" s="67" t="s">
        <v>21</v>
      </c>
      <c r="AC5" s="446" t="s">
        <v>22</v>
      </c>
      <c r="AD5" s="451" t="s">
        <v>21</v>
      </c>
      <c r="AE5" s="359" t="s">
        <v>23</v>
      </c>
      <c r="AF5" s="449" t="s">
        <v>145</v>
      </c>
      <c r="AG5" s="450"/>
      <c r="AH5" s="451" t="s">
        <v>25</v>
      </c>
      <c r="AI5" s="446" t="s">
        <v>133</v>
      </c>
      <c r="AJ5" s="446" t="s">
        <v>27</v>
      </c>
      <c r="AK5" s="359" t="s">
        <v>15</v>
      </c>
      <c r="AL5" s="359" t="s">
        <v>16</v>
      </c>
      <c r="AM5" s="359" t="s">
        <v>17</v>
      </c>
      <c r="AN5" s="498" t="s">
        <v>28</v>
      </c>
      <c r="AO5" s="67" t="s">
        <v>21</v>
      </c>
      <c r="AP5" s="74" t="s">
        <v>29</v>
      </c>
      <c r="AQ5" s="74" t="s">
        <v>29</v>
      </c>
      <c r="AR5" s="238" t="s">
        <v>30</v>
      </c>
      <c r="AS5" s="75" t="s">
        <v>31</v>
      </c>
      <c r="AT5" s="447" t="s">
        <v>32</v>
      </c>
      <c r="AU5" s="76" t="s">
        <v>33</v>
      </c>
      <c r="AV5" s="452" t="s">
        <v>34</v>
      </c>
      <c r="AW5" s="451" t="s">
        <v>35</v>
      </c>
      <c r="AX5" s="451" t="s">
        <v>36</v>
      </c>
      <c r="AY5" s="283"/>
      <c r="AZ5" s="328" t="s">
        <v>17</v>
      </c>
      <c r="BA5" s="80" t="s">
        <v>37</v>
      </c>
      <c r="BB5" s="81" t="s">
        <v>37</v>
      </c>
    </row>
    <row r="6" customFormat="false" ht="12.95" hidden="false" customHeight="true" outlineLevel="0" collapsed="false">
      <c r="A6" s="454" t="s">
        <v>148</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80" t="s">
        <v>135</v>
      </c>
      <c r="Q6" s="63" t="s">
        <v>51</v>
      </c>
      <c r="R6" s="63" t="s">
        <v>52</v>
      </c>
      <c r="S6" s="63"/>
      <c r="T6" s="63" t="s">
        <v>49</v>
      </c>
      <c r="U6" s="457" t="s">
        <v>53</v>
      </c>
      <c r="V6" s="359" t="s">
        <v>54</v>
      </c>
      <c r="W6" s="359" t="s">
        <v>55</v>
      </c>
      <c r="X6" s="65" t="s">
        <v>21</v>
      </c>
      <c r="Y6" s="60" t="s">
        <v>21</v>
      </c>
      <c r="Z6" s="67" t="s">
        <v>56</v>
      </c>
      <c r="AA6" s="60" t="s">
        <v>56</v>
      </c>
      <c r="AB6" s="67" t="s">
        <v>57</v>
      </c>
      <c r="AC6" s="446" t="s">
        <v>58</v>
      </c>
      <c r="AD6" s="451" t="s">
        <v>59</v>
      </c>
      <c r="AE6" s="359" t="s">
        <v>60</v>
      </c>
      <c r="AF6" s="83" t="s">
        <v>61</v>
      </c>
      <c r="AG6" s="87" t="s">
        <v>62</v>
      </c>
      <c r="AH6" s="451" t="s">
        <v>63</v>
      </c>
      <c r="AI6" s="446" t="s">
        <v>64</v>
      </c>
      <c r="AJ6" s="446"/>
      <c r="AK6" s="359" t="s">
        <v>65</v>
      </c>
      <c r="AL6" s="359" t="s">
        <v>65</v>
      </c>
      <c r="AM6" s="359" t="s">
        <v>65</v>
      </c>
      <c r="AN6" s="500" t="s">
        <v>66</v>
      </c>
      <c r="AO6" s="67" t="s">
        <v>67</v>
      </c>
      <c r="AP6" s="74" t="s">
        <v>68</v>
      </c>
      <c r="AQ6" s="74" t="s">
        <v>68</v>
      </c>
      <c r="AR6" s="238" t="s">
        <v>69</v>
      </c>
      <c r="AS6" s="75" t="s">
        <v>70</v>
      </c>
      <c r="AT6" s="447" t="s">
        <v>71</v>
      </c>
      <c r="AU6" s="76" t="s">
        <v>72</v>
      </c>
      <c r="AV6" s="458"/>
      <c r="AW6" s="451" t="s">
        <v>73</v>
      </c>
      <c r="AX6" s="451" t="s">
        <v>73</v>
      </c>
      <c r="AY6" s="283"/>
      <c r="AZ6" s="328" t="s">
        <v>74</v>
      </c>
      <c r="BA6" s="80" t="s">
        <v>75</v>
      </c>
      <c r="BB6" s="81" t="s">
        <v>76</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577" t="s">
        <v>81</v>
      </c>
      <c r="Y7" s="62" t="s">
        <v>82</v>
      </c>
      <c r="Z7" s="67" t="s">
        <v>83</v>
      </c>
      <c r="AA7" s="60" t="s">
        <v>84</v>
      </c>
      <c r="AB7" s="67" t="s">
        <v>85</v>
      </c>
      <c r="AC7" s="446"/>
      <c r="AD7" s="206"/>
      <c r="AE7" s="359"/>
      <c r="AF7" s="545" t="n">
        <v>1.7</v>
      </c>
      <c r="AG7" s="546" t="n">
        <v>1.3</v>
      </c>
      <c r="AH7" s="451"/>
      <c r="AI7" s="446"/>
      <c r="AJ7" s="446"/>
      <c r="AK7" s="359"/>
      <c r="AL7" s="359"/>
      <c r="AM7" s="359"/>
      <c r="AN7" s="500"/>
      <c r="AO7" s="67" t="s">
        <v>42</v>
      </c>
      <c r="AP7" s="74" t="s">
        <v>86</v>
      </c>
      <c r="AQ7" s="74" t="s">
        <v>87</v>
      </c>
      <c r="AR7" s="238" t="s">
        <v>88</v>
      </c>
      <c r="AS7" s="75" t="s">
        <v>89</v>
      </c>
      <c r="AT7" s="447" t="s">
        <v>90</v>
      </c>
      <c r="AU7" s="76" t="s">
        <v>81</v>
      </c>
      <c r="AV7" s="458"/>
      <c r="AW7" s="451"/>
      <c r="AX7" s="451"/>
      <c r="AY7" s="283"/>
      <c r="AZ7" s="328" t="s">
        <v>91</v>
      </c>
      <c r="BA7" s="8"/>
      <c r="BB7" s="91"/>
    </row>
    <row r="8" customFormat="false" ht="12.95" hidden="false" customHeight="true" outlineLevel="0" collapsed="false">
      <c r="A8" s="359"/>
      <c r="B8" s="445"/>
      <c r="C8" s="446"/>
      <c r="D8" s="359"/>
      <c r="E8" s="446"/>
      <c r="F8" s="359"/>
      <c r="G8" s="445"/>
      <c r="H8" s="447"/>
      <c r="I8" s="359"/>
      <c r="J8" s="359"/>
      <c r="K8" s="359"/>
      <c r="L8" s="359"/>
      <c r="M8" s="455"/>
      <c r="N8" s="63"/>
      <c r="O8" s="547" t="n">
        <v>26517</v>
      </c>
      <c r="P8" s="80"/>
      <c r="Q8" s="63" t="s">
        <v>62</v>
      </c>
      <c r="R8" s="63" t="s">
        <v>62</v>
      </c>
      <c r="S8" s="63"/>
      <c r="T8" s="63"/>
      <c r="U8" s="457"/>
      <c r="V8" s="359"/>
      <c r="W8" s="359"/>
      <c r="X8" s="577" t="s">
        <v>92</v>
      </c>
      <c r="Y8" s="62" t="s">
        <v>81</v>
      </c>
      <c r="Z8" s="67"/>
      <c r="AA8" s="62" t="s">
        <v>93</v>
      </c>
      <c r="AB8" s="67" t="s">
        <v>94</v>
      </c>
      <c r="AC8" s="446"/>
      <c r="AD8" s="548" t="n">
        <v>2544</v>
      </c>
      <c r="AE8" s="578"/>
      <c r="AF8" s="460"/>
      <c r="AG8" s="461"/>
      <c r="AH8" s="451"/>
      <c r="AI8" s="446" t="n">
        <v>31798</v>
      </c>
      <c r="AJ8" s="446"/>
      <c r="AK8" s="359"/>
      <c r="AL8" s="359"/>
      <c r="AM8" s="359"/>
      <c r="AN8" s="500"/>
      <c r="AO8" s="67"/>
      <c r="AP8" s="74"/>
      <c r="AQ8" s="74"/>
      <c r="AR8" s="238"/>
      <c r="AS8" s="462" t="n">
        <v>1524.4</v>
      </c>
      <c r="AT8" s="549" t="n">
        <v>400</v>
      </c>
      <c r="AU8" s="76"/>
      <c r="AV8" s="458"/>
      <c r="AW8" s="451"/>
      <c r="AX8" s="451"/>
      <c r="AY8" s="283"/>
      <c r="AZ8" s="328"/>
      <c r="BA8" s="8"/>
      <c r="BB8" s="91"/>
    </row>
    <row r="9" customFormat="false" ht="12.95" hidden="false" customHeight="true" outlineLevel="0" collapsed="false">
      <c r="A9" s="359"/>
      <c r="B9" s="445"/>
      <c r="C9" s="446"/>
      <c r="D9" s="359"/>
      <c r="E9" s="446"/>
      <c r="F9" s="359"/>
      <c r="G9" s="445"/>
      <c r="H9" s="447"/>
      <c r="I9" s="359"/>
      <c r="J9" s="359"/>
      <c r="K9" s="359"/>
      <c r="L9" s="359"/>
      <c r="M9" s="455"/>
      <c r="N9" s="80"/>
      <c r="O9" s="359"/>
      <c r="P9" s="80"/>
      <c r="Q9" s="63"/>
      <c r="R9" s="92" t="n">
        <v>4.2</v>
      </c>
      <c r="S9" s="63"/>
      <c r="T9" s="63"/>
      <c r="U9" s="457"/>
      <c r="V9" s="359"/>
      <c r="W9" s="359"/>
      <c r="X9" s="577"/>
      <c r="Y9" s="62" t="s">
        <v>92</v>
      </c>
      <c r="Z9" s="67"/>
      <c r="AA9" s="62" t="s">
        <v>92</v>
      </c>
      <c r="AB9" s="67" t="s">
        <v>95</v>
      </c>
      <c r="AC9" s="446"/>
      <c r="AD9" s="451"/>
      <c r="AE9" s="359"/>
      <c r="AF9" s="460"/>
      <c r="AG9" s="461"/>
      <c r="AH9" s="451"/>
      <c r="AI9" s="446"/>
      <c r="AJ9" s="446"/>
      <c r="AK9" s="359"/>
      <c r="AL9" s="359"/>
      <c r="AM9" s="359"/>
      <c r="AN9" s="500"/>
      <c r="AO9" s="67"/>
      <c r="AP9" s="74"/>
      <c r="AQ9" s="74"/>
      <c r="AR9" s="238"/>
      <c r="AS9" s="75"/>
      <c r="AT9" s="549" t="n">
        <f aca="false">AT8/D2</f>
        <v>201.663725737333</v>
      </c>
      <c r="AU9" s="76"/>
      <c r="AV9" s="458"/>
      <c r="AW9" s="451"/>
      <c r="AX9" s="451"/>
      <c r="AY9" s="283"/>
      <c r="AZ9" s="328"/>
      <c r="BA9" s="8"/>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579" t="n">
        <v>153400</v>
      </c>
      <c r="Y10" s="62" t="n">
        <v>150400</v>
      </c>
      <c r="Z10" s="63" t="s">
        <v>42</v>
      </c>
      <c r="AA10" s="62"/>
      <c r="AB10" s="62" t="n">
        <v>72000</v>
      </c>
      <c r="AC10" s="447" t="s">
        <v>42</v>
      </c>
      <c r="AD10" s="451"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238" t="s">
        <v>42</v>
      </c>
      <c r="AS10" s="67" t="s">
        <v>42</v>
      </c>
      <c r="AT10" s="67" t="s">
        <v>42</v>
      </c>
      <c r="AU10" s="67" t="s">
        <v>42</v>
      </c>
      <c r="AV10" s="458"/>
      <c r="AW10" s="451"/>
      <c r="AX10" s="451"/>
      <c r="AY10" s="283"/>
      <c r="AZ10" s="328" t="s">
        <v>100</v>
      </c>
      <c r="BA10" s="80" t="s">
        <v>42</v>
      </c>
      <c r="BB10" s="81" t="s">
        <v>98</v>
      </c>
    </row>
    <row r="11" customFormat="false" ht="12.95" hidden="false" customHeight="true" outlineLevel="0" collapsed="false">
      <c r="A11" s="501"/>
      <c r="B11" s="359"/>
      <c r="C11" s="446"/>
      <c r="D11" s="359"/>
      <c r="E11" s="446"/>
      <c r="F11" s="501"/>
      <c r="G11" s="359"/>
      <c r="H11" s="447"/>
      <c r="I11" s="359"/>
      <c r="J11" s="359"/>
      <c r="K11" s="359"/>
      <c r="L11" s="459"/>
      <c r="M11" s="359"/>
      <c r="N11" s="80" t="n">
        <v>1.03</v>
      </c>
      <c r="O11" s="466" t="n">
        <v>1.05</v>
      </c>
      <c r="P11" s="80" t="n">
        <v>1.02</v>
      </c>
      <c r="Q11" s="95" t="n">
        <v>1.02</v>
      </c>
      <c r="R11" s="96" t="n">
        <v>1.04</v>
      </c>
      <c r="S11" s="63"/>
      <c r="T11" s="95" t="n">
        <v>1.04</v>
      </c>
      <c r="U11" s="457"/>
      <c r="V11" s="359"/>
      <c r="W11" s="359"/>
      <c r="X11" s="84" t="s">
        <v>42</v>
      </c>
      <c r="Y11" s="63" t="s">
        <v>42</v>
      </c>
      <c r="Z11" s="63" t="s">
        <v>42</v>
      </c>
      <c r="AA11" s="62" t="s">
        <v>42</v>
      </c>
      <c r="AB11" s="97" t="s">
        <v>101</v>
      </c>
      <c r="AC11" s="446"/>
      <c r="AD11" s="241"/>
      <c r="AE11" s="359"/>
      <c r="AF11" s="460"/>
      <c r="AG11" s="461"/>
      <c r="AH11" s="451"/>
      <c r="AI11" s="446"/>
      <c r="AJ11" s="446"/>
      <c r="AK11" s="359"/>
      <c r="AL11" s="359"/>
      <c r="AM11" s="359"/>
      <c r="AN11" s="500"/>
      <c r="AO11" s="67"/>
      <c r="AP11" s="74"/>
      <c r="AQ11" s="74"/>
      <c r="AR11" s="238"/>
      <c r="AS11" s="100"/>
      <c r="AU11" s="551"/>
      <c r="AV11" s="552"/>
      <c r="AW11" s="451"/>
      <c r="AX11" s="451"/>
      <c r="AY11" s="283"/>
      <c r="AZ11" s="328" t="s">
        <v>42</v>
      </c>
      <c r="BA11" s="8"/>
      <c r="BB11" s="91"/>
    </row>
    <row r="12" customFormat="false" ht="12.95" hidden="false" customHeight="true" outlineLevel="0" collapsed="false">
      <c r="A12" s="212" t="s">
        <v>102</v>
      </c>
      <c r="B12" s="580"/>
      <c r="D12" s="176"/>
      <c r="F12" s="124" t="n">
        <f aca="false">JUL!F50</f>
        <v>40103.8568187547</v>
      </c>
      <c r="G12" s="176" t="n">
        <f aca="false">JUL!G50</f>
        <v>112379</v>
      </c>
      <c r="H12" s="176" t="n">
        <f aca="false">JUL!H50</f>
        <v>4369.598</v>
      </c>
      <c r="I12" s="176" t="n">
        <f aca="false">JUL!I50</f>
        <v>116748.598</v>
      </c>
      <c r="J12" s="176" t="n">
        <f aca="false">JUL!J50</f>
        <v>5385.37716813713</v>
      </c>
      <c r="K12" s="176" t="n">
        <f aca="false">JUL!K50</f>
        <v>122133.965168137</v>
      </c>
      <c r="L12" s="581" t="n">
        <f aca="false">JUL!L50</f>
        <v>3077.75581875473</v>
      </c>
      <c r="M12" s="176" t="n">
        <f aca="false">JUL!M50</f>
        <v>27468.98</v>
      </c>
      <c r="N12" s="176" t="n">
        <f aca="false">JUL!N50</f>
        <v>0</v>
      </c>
      <c r="O12" s="176" t="n">
        <f aca="false">JUL!O50</f>
        <v>8918.4515</v>
      </c>
      <c r="P12" s="301" t="n">
        <f aca="false">JUL!P50</f>
        <v>7.06</v>
      </c>
      <c r="Q12" s="8"/>
      <c r="R12" s="8"/>
      <c r="S12" s="8"/>
      <c r="T12" s="8"/>
      <c r="U12" s="582"/>
      <c r="V12" s="176" t="n">
        <f aca="false">JUL!V50</f>
        <v>9760.1</v>
      </c>
      <c r="W12" s="176" t="n">
        <f aca="false">JUL!W50</f>
        <v>5835.2</v>
      </c>
      <c r="X12" s="484" t="n">
        <f aca="false">JUL!X50</f>
        <v>33030.7095873366</v>
      </c>
      <c r="Y12" s="176" t="n">
        <f aca="false">JUL!Y50</f>
        <v>32997.9392319043</v>
      </c>
      <c r="Z12" s="176" t="n">
        <f aca="false">JUL!Z45</f>
        <v>10210.2882452775</v>
      </c>
      <c r="AA12" s="176"/>
      <c r="AB12" s="176"/>
      <c r="AC12" s="176" t="n">
        <f aca="false">JUL!AC45</f>
        <v>1458.51049462649</v>
      </c>
      <c r="AD12" s="176" t="n">
        <f aca="false">JUL!AD45</f>
        <v>1495.84068565667</v>
      </c>
      <c r="AE12" s="176" t="n">
        <f aca="false">JUL!AE50</f>
        <v>16304.773</v>
      </c>
      <c r="AF12" s="583" t="n">
        <f aca="false">JUL!AF50</f>
        <v>207.4</v>
      </c>
      <c r="AG12" s="581" t="n">
        <f aca="false">JUL!AG50</f>
        <v>158.6</v>
      </c>
      <c r="AH12" s="176"/>
      <c r="AI12" s="176"/>
      <c r="AJ12" s="176"/>
      <c r="AK12" s="176" t="n">
        <f aca="false">JUL!AK50</f>
        <v>79722.487</v>
      </c>
      <c r="AL12" s="176" t="n">
        <f aca="false">JUL!AL50</f>
        <v>2307.6213493824</v>
      </c>
      <c r="AM12" s="176" t="n">
        <f aca="false">JUL!AM50</f>
        <v>82030.1083493824</v>
      </c>
      <c r="AN12" s="584"/>
      <c r="AO12" s="207"/>
      <c r="AP12" s="120" t="n">
        <f aca="false">JUL!AP46</f>
        <v>0</v>
      </c>
      <c r="AQ12" s="120" t="n">
        <f aca="false">JUL!AQ51</f>
        <v>909.930160529382</v>
      </c>
      <c r="AR12" s="585" t="n">
        <f aca="false">JUL!AR50</f>
        <v>0</v>
      </c>
      <c r="AS12" s="156" t="n">
        <f aca="false">JUL!AS50</f>
        <v>202.34</v>
      </c>
      <c r="AT12" s="156" t="n">
        <f aca="false">JUL!AT50</f>
        <v>172.906</v>
      </c>
      <c r="AU12" s="156" t="n">
        <f aca="false">JUL!AU50</f>
        <v>0</v>
      </c>
      <c r="AV12" s="586"/>
      <c r="AW12" s="206"/>
      <c r="AX12" s="206"/>
      <c r="AY12" s="283"/>
      <c r="AZ12" s="468" t="n">
        <f aca="false">JUL!AZ50</f>
        <v>958.918412663397</v>
      </c>
      <c r="BA12" s="120" t="n">
        <f aca="false">JUL!BA50</f>
        <v>4567.664</v>
      </c>
      <c r="BB12" s="91"/>
    </row>
    <row r="13" s="260" customFormat="true" ht="12.95" hidden="false" customHeight="true" outlineLevel="0" collapsed="false">
      <c r="A13" s="254" t="s">
        <v>103</v>
      </c>
      <c r="B13" s="587" t="n">
        <f aca="false">JUL!B45</f>
        <v>6915.2</v>
      </c>
      <c r="C13" s="176" t="n">
        <f aca="false">JUL!C45</f>
        <v>343207</v>
      </c>
      <c r="D13" s="176" t="n">
        <f aca="false">JUL!D54</f>
        <v>100039</v>
      </c>
      <c r="E13" s="176" t="n">
        <f aca="false">JUL!E54</f>
        <v>191207</v>
      </c>
      <c r="F13" s="124" t="n">
        <f aca="false">JUL!F53</f>
        <v>50504.1593143433</v>
      </c>
      <c r="G13" s="176" t="n">
        <f aca="false">JUL!G53</f>
        <v>128638.879899924</v>
      </c>
      <c r="H13" s="176" t="n">
        <f aca="false">JUL!H53</f>
        <v>4658.297</v>
      </c>
      <c r="I13" s="176" t="n">
        <f aca="false">JUL!I53</f>
        <v>133297.176899924</v>
      </c>
      <c r="J13" s="176" t="n">
        <f aca="false">JUL!J53</f>
        <v>8766.59639929418</v>
      </c>
      <c r="K13" s="176" t="n">
        <f aca="false">JUL!K53</f>
        <v>142063.763299219</v>
      </c>
      <c r="L13" s="588" t="n">
        <f aca="false">JUL!L53</f>
        <v>6140.97441441896</v>
      </c>
      <c r="M13" s="176" t="n">
        <f aca="false">JUL!M53</f>
        <v>28223.98</v>
      </c>
      <c r="N13" s="176" t="n">
        <f aca="false">JUL!N53</f>
        <v>0</v>
      </c>
      <c r="O13" s="176" t="n">
        <f aca="false">JUL!O53</f>
        <v>8920.18505</v>
      </c>
      <c r="P13" s="8"/>
      <c r="Q13" s="176" t="n">
        <f aca="false">JUL!Q53</f>
        <v>553.074042340234</v>
      </c>
      <c r="R13" s="176" t="n">
        <f aca="false">JUL!R53</f>
        <v>665.02227584</v>
      </c>
      <c r="S13" s="176" t="n">
        <f aca="false">JUL!S53</f>
        <v>90.61521248</v>
      </c>
      <c r="T13" s="176" t="n">
        <f aca="false">JUL!T53</f>
        <v>217.49051168</v>
      </c>
      <c r="U13" s="589" t="n">
        <f aca="false">JUL!U53</f>
        <v>-15.4916088537026</v>
      </c>
      <c r="V13" s="176" t="n">
        <f aca="false">JUL!V53</f>
        <v>12974.91</v>
      </c>
      <c r="W13" s="176" t="n">
        <f aca="false">JUL!W53</f>
        <v>5865.285</v>
      </c>
      <c r="X13" s="484" t="n">
        <f aca="false">JUL!X53</f>
        <v>36429.5394165135</v>
      </c>
      <c r="Y13" s="176" t="n">
        <f aca="false">JUL!Y53</f>
        <v>36146.6290610811</v>
      </c>
      <c r="Z13" s="176"/>
      <c r="AA13" s="176"/>
      <c r="AB13" s="176"/>
      <c r="AC13" s="176"/>
      <c r="AD13" s="176"/>
      <c r="AE13" s="176" t="n">
        <f aca="false">JUL!AE51</f>
        <v>32340.5172455</v>
      </c>
      <c r="AF13" s="242" t="n">
        <f aca="false">AF12</f>
        <v>207.4</v>
      </c>
      <c r="AG13" s="245" t="n">
        <f aca="false">AG12</f>
        <v>158.6</v>
      </c>
      <c r="AH13" s="176" t="n">
        <f aca="false">JUL!AH53</f>
        <v>25672.9</v>
      </c>
      <c r="AI13" s="176" t="n">
        <f aca="false">JUL!AI53</f>
        <v>9691.95787748928</v>
      </c>
      <c r="AJ13" s="176" t="n">
        <f aca="false">JUL!AJ53</f>
        <v>14122</v>
      </c>
      <c r="AK13" s="176" t="n">
        <f aca="false">JUL!AK53</f>
        <v>88933.982</v>
      </c>
      <c r="AL13" s="176" t="n">
        <f aca="false">JUL!AL53</f>
        <v>2625.62198487522</v>
      </c>
      <c r="AM13" s="176" t="n">
        <f aca="false">JUL!AM53</f>
        <v>91559.6039848752</v>
      </c>
      <c r="AN13" s="590" t="n">
        <f aca="false">JUL!AN53</f>
        <v>3115.79</v>
      </c>
      <c r="AO13" s="206" t="n">
        <f aca="false">JUL!AO53</f>
        <v>282.910355432317</v>
      </c>
      <c r="AP13" s="207"/>
      <c r="AQ13" s="120" t="n">
        <f aca="false">JUL!AQ54</f>
        <v>909.930160529382</v>
      </c>
      <c r="AR13" s="585"/>
      <c r="AS13" s="156" t="n">
        <f aca="false">JUL!AS53</f>
        <v>202.34</v>
      </c>
      <c r="AT13" s="120" t="n">
        <f aca="false">JUL!AT52</f>
        <v>0</v>
      </c>
      <c r="AU13" s="120" t="n">
        <f aca="false">JUL!AU53</f>
        <v>0</v>
      </c>
      <c r="AV13" s="249" t="n">
        <f aca="false">JUL!AV53</f>
        <v>11.534885361552</v>
      </c>
      <c r="AW13" s="206"/>
      <c r="AX13" s="206"/>
      <c r="AY13" s="336"/>
      <c r="AZ13" s="468" t="n">
        <f aca="false">JUL!AZ53</f>
        <v>1513.87043348653</v>
      </c>
      <c r="BA13" s="120" t="n">
        <f aca="false">JUL!BA53</f>
        <v>4652.122</v>
      </c>
      <c r="BB13" s="124"/>
    </row>
    <row r="14" customFormat="false" ht="3" hidden="false" customHeight="true" outlineLevel="0" collapsed="false">
      <c r="A14" s="261"/>
      <c r="B14" s="591"/>
      <c r="C14" s="563"/>
      <c r="D14" s="261"/>
      <c r="E14" s="563"/>
      <c r="F14" s="564"/>
      <c r="G14" s="261"/>
      <c r="H14" s="592"/>
      <c r="I14" s="261"/>
      <c r="J14" s="261"/>
      <c r="K14" s="261"/>
      <c r="L14" s="261"/>
      <c r="M14" s="566"/>
      <c r="N14" s="261"/>
      <c r="O14" s="261"/>
      <c r="P14" s="567"/>
      <c r="Q14" s="567"/>
      <c r="R14" s="567"/>
      <c r="S14" s="567"/>
      <c r="T14" s="567"/>
      <c r="U14" s="568"/>
      <c r="V14" s="261"/>
      <c r="W14" s="261"/>
      <c r="X14" s="593"/>
      <c r="Y14" s="261"/>
      <c r="Z14" s="563"/>
      <c r="AA14" s="261"/>
      <c r="AB14" s="563"/>
      <c r="AC14" s="563"/>
      <c r="AD14" s="563"/>
      <c r="AE14" s="261"/>
      <c r="AF14" s="267"/>
      <c r="AG14" s="272"/>
      <c r="AH14" s="261"/>
      <c r="AI14" s="563"/>
      <c r="AJ14" s="563"/>
      <c r="AK14" s="261"/>
      <c r="AL14" s="261"/>
      <c r="AM14" s="261"/>
      <c r="AN14" s="594"/>
      <c r="AO14" s="371"/>
      <c r="AP14" s="371"/>
      <c r="AQ14" s="142"/>
      <c r="AR14" s="595"/>
      <c r="AS14" s="596"/>
      <c r="AT14" s="596"/>
      <c r="AU14" s="596"/>
      <c r="AV14" s="597"/>
      <c r="AW14" s="569"/>
      <c r="AX14" s="569"/>
      <c r="AY14" s="569"/>
      <c r="AZ14" s="569"/>
      <c r="BA14" s="569"/>
      <c r="BB14" s="569"/>
    </row>
    <row r="15" customFormat="false" ht="12.95" hidden="false" customHeight="true" outlineLevel="0" collapsed="false">
      <c r="A15" s="207" t="n">
        <v>1</v>
      </c>
      <c r="B15" s="342" t="n">
        <v>6915.01</v>
      </c>
      <c r="C15" s="176" t="n">
        <v>342414</v>
      </c>
      <c r="D15" s="206" t="n">
        <f aca="false">C15-C13</f>
        <v>-793</v>
      </c>
      <c r="E15" s="176" t="n">
        <f aca="false">C15-152000</f>
        <v>190414</v>
      </c>
      <c r="F15" s="598" t="n">
        <f aca="false">D15/$D$2</f>
        <v>-399.798336274263</v>
      </c>
      <c r="G15" s="599" t="n">
        <v>212</v>
      </c>
      <c r="H15" s="210" t="n">
        <v>0</v>
      </c>
      <c r="I15" s="209" t="n">
        <f aca="false">G15+H15</f>
        <v>212</v>
      </c>
      <c r="J15" s="120" t="n">
        <f aca="false">IF(L15&gt;0,L15,0)</f>
        <v>59.0016637257373</v>
      </c>
      <c r="K15" s="209" t="n">
        <f aca="false">I15+J15</f>
        <v>271.001663725737</v>
      </c>
      <c r="L15" s="209" t="n">
        <f aca="false">F15-(I15-AK15)</f>
        <v>59.0016637257373</v>
      </c>
      <c r="M15" s="600" t="n">
        <v>288</v>
      </c>
      <c r="N15" s="186" t="n">
        <v>0</v>
      </c>
      <c r="O15" s="209" t="n">
        <f aca="false">87.2*1.05</f>
        <v>91.56</v>
      </c>
      <c r="P15" s="186" t="n">
        <v>0</v>
      </c>
      <c r="Q15" s="373" t="n">
        <f aca="false">1817400/325851/1.9835*1.02</f>
        <v>2.86813396504944</v>
      </c>
      <c r="R15" s="151" t="n">
        <f aca="false">IF(((7*1.04)-T15)&gt;=4.2,4.2,(7*1.04)-T15)</f>
        <v>4.2</v>
      </c>
      <c r="S15" s="151" t="n">
        <f aca="false">IF(((7*1.04)-T15)&gt;=4.2,((7*1.04)-T15)-4.2,0)</f>
        <v>2.01607376</v>
      </c>
      <c r="T15" s="151" t="n">
        <f aca="false">(0.9651*1.06)*1.04</f>
        <v>1.06392624</v>
      </c>
      <c r="U15" s="393" t="n">
        <v>0</v>
      </c>
      <c r="V15" s="209" t="n">
        <v>62.5</v>
      </c>
      <c r="W15" s="599" t="n">
        <v>68.3</v>
      </c>
      <c r="X15" s="280" t="n">
        <f aca="false">M15-N15-O15-P15-Q15-R15-S15-T15-U15+V15+W15-AT15+AR15</f>
        <v>317.091866034951</v>
      </c>
      <c r="Y15" s="280" t="n">
        <f aca="false">X15-AO15</f>
        <v>317.091866034951</v>
      </c>
      <c r="Z15" s="123" t="n">
        <f aca="false">Z12+AP15</f>
        <v>10096.4282452775</v>
      </c>
      <c r="AA15" s="155" t="n">
        <f aca="false">(-AP15)</f>
        <v>113.86</v>
      </c>
      <c r="AB15" s="244"/>
      <c r="AC15" s="244" t="n">
        <f aca="false">AC12-(JUL!AQ45/1.9835)+AS15</f>
        <v>1465.11679568985</v>
      </c>
      <c r="AD15" s="484" t="n">
        <f aca="false">AD12</f>
        <v>1495.84068565667</v>
      </c>
      <c r="AE15" s="599" t="n">
        <v>182</v>
      </c>
      <c r="AF15" s="279" t="n">
        <v>1.7</v>
      </c>
      <c r="AG15" s="281" t="n">
        <v>1.3</v>
      </c>
      <c r="AH15" s="209" t="n">
        <v>70</v>
      </c>
      <c r="AI15" s="176" t="n">
        <f aca="false">AI13-AH15</f>
        <v>9621.95787748928</v>
      </c>
      <c r="AJ15" s="176"/>
      <c r="AK15" s="154" t="n">
        <f aca="false">N15+O15+P15+Q15+R15+S15+T15+U15+X15+AE15+AH15-AR15</f>
        <v>670.8</v>
      </c>
      <c r="AL15" s="209" t="n">
        <f aca="false">IF(L15&lt;0,L15*-1,0)</f>
        <v>0</v>
      </c>
      <c r="AM15" s="209" t="n">
        <f aca="false">AK15+AL15</f>
        <v>670.8</v>
      </c>
      <c r="AN15" s="247"/>
      <c r="AO15" s="207"/>
      <c r="AP15" s="112" t="n">
        <f aca="false">I15-Q15-R15-X15-AF15</f>
        <v>-113.86</v>
      </c>
      <c r="AQ15" s="186" t="n">
        <f aca="false">105.509*(Z15*1.9835+AC15*1.9835)/E15</f>
        <v>12.7068736281751</v>
      </c>
      <c r="AR15" s="601"/>
      <c r="AS15" s="173" t="n">
        <f aca="false">JUL!AS45</f>
        <v>7.45</v>
      </c>
      <c r="AT15" s="5"/>
      <c r="AU15" s="4"/>
      <c r="AV15" s="602" t="n">
        <v>0</v>
      </c>
      <c r="AW15" s="603" t="n">
        <v>92</v>
      </c>
      <c r="AX15" s="206" t="n">
        <v>59</v>
      </c>
      <c r="AY15" s="161"/>
      <c r="AZ15" s="282" t="n">
        <f aca="false">SUM(N15,P15:U15)</f>
        <v>10.1481339650494</v>
      </c>
      <c r="BA15" s="558" t="n">
        <v>159</v>
      </c>
      <c r="BB15" s="407" t="n">
        <v>21540</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207" t="n">
        <f aca="false">A15+1</f>
        <v>2</v>
      </c>
      <c r="B16" s="342" t="n">
        <v>6914.77</v>
      </c>
      <c r="C16" s="176" t="n">
        <v>341420</v>
      </c>
      <c r="D16" s="206" t="n">
        <f aca="false">C16-C15</f>
        <v>-994</v>
      </c>
      <c r="E16" s="176" t="n">
        <f aca="false">C16-152000</f>
        <v>189420</v>
      </c>
      <c r="F16" s="598" t="n">
        <f aca="false">D16/$D$2</f>
        <v>-501.134358457272</v>
      </c>
      <c r="G16" s="599" t="n">
        <v>210</v>
      </c>
      <c r="H16" s="210" t="n">
        <v>0</v>
      </c>
      <c r="I16" s="209" t="n">
        <f aca="false">G16+H16</f>
        <v>210</v>
      </c>
      <c r="J16" s="120" t="n">
        <f aca="false">IF(L16&gt;0,L16,0)</f>
        <v>0</v>
      </c>
      <c r="K16" s="209" t="n">
        <f aca="false">I16+J16</f>
        <v>210</v>
      </c>
      <c r="L16" s="155" t="n">
        <f aca="false">F16-(I16-AK16)</f>
        <v>-4.53435845727245</v>
      </c>
      <c r="M16" s="600" t="n">
        <v>302</v>
      </c>
      <c r="N16" s="186" t="n">
        <v>0</v>
      </c>
      <c r="O16" s="209" t="n">
        <f aca="false">83.6*1.05</f>
        <v>87.78</v>
      </c>
      <c r="P16" s="186" t="n">
        <v>0</v>
      </c>
      <c r="Q16" s="373" t="n">
        <f aca="false">1769600/325851/1.9835*1.02</f>
        <v>2.79269828576619</v>
      </c>
      <c r="R16" s="151" t="n">
        <f aca="false">IF(((6.9*1.04)-T16)&gt;=4.2,4.2,(6.9*1.04)-T16)</f>
        <v>4.2</v>
      </c>
      <c r="S16" s="151" t="n">
        <f aca="false">IF(((6.9*1.04)-T16)&gt;=4.2,((6.9*1.04)-T16)-4.2,0)</f>
        <v>1.91207376</v>
      </c>
      <c r="T16" s="151" t="n">
        <f aca="false">(0.9651*1.06)*1.04</f>
        <v>1.06392624</v>
      </c>
      <c r="U16" s="393" t="n">
        <v>0</v>
      </c>
      <c r="V16" s="209" t="n">
        <v>62.6</v>
      </c>
      <c r="W16" s="599" t="n">
        <v>68.4</v>
      </c>
      <c r="X16" s="280" t="n">
        <f aca="false">M16-N16-O16-P16-Q16-R16-S16-T16-U16+V16+W16-AT16+AR16</f>
        <v>335.251301714234</v>
      </c>
      <c r="Y16" s="280" t="n">
        <f aca="false">X16-AO16</f>
        <v>335.251301714234</v>
      </c>
      <c r="Z16" s="123" t="n">
        <f aca="false">Z15+AP16</f>
        <v>9962.48424527745</v>
      </c>
      <c r="AA16" s="155" t="n">
        <f aca="false">(-AP16)</f>
        <v>133.944</v>
      </c>
      <c r="AB16" s="244"/>
      <c r="AC16" s="244" t="n">
        <f aca="false">AC15-(AQ15/1.9835)+AS16</f>
        <v>1466.16050699402</v>
      </c>
      <c r="AD16" s="484" t="n">
        <f aca="false">AD15</f>
        <v>1495.84068565667</v>
      </c>
      <c r="AE16" s="599" t="n">
        <v>208</v>
      </c>
      <c r="AF16" s="279" t="n">
        <v>1.7</v>
      </c>
      <c r="AG16" s="281" t="n">
        <v>1.3</v>
      </c>
      <c r="AH16" s="209" t="n">
        <v>65.6</v>
      </c>
      <c r="AI16" s="176" t="n">
        <f aca="false">AI15-AH16</f>
        <v>9556.35787748928</v>
      </c>
      <c r="AJ16" s="176"/>
      <c r="AK16" s="11" t="n">
        <f aca="false">N16+O16+P16+Q16+R16+S16+T16+U16+X16+AE16+AH16-AR16</f>
        <v>706.6</v>
      </c>
      <c r="AL16" s="209" t="n">
        <f aca="false">IF(L16&lt;0,L16*-1,0)</f>
        <v>4.53435845727245</v>
      </c>
      <c r="AM16" s="209" t="n">
        <f aca="false">AK16+AL16</f>
        <v>711.134358457273</v>
      </c>
      <c r="AN16" s="303"/>
      <c r="AO16" s="207"/>
      <c r="AP16" s="112" t="n">
        <f aca="false">I16-Q16-R16-X16-AF16</f>
        <v>-133.944</v>
      </c>
      <c r="AQ16" s="186" t="n">
        <f aca="false">78.101*(Z16*1.9835+AC16*1.9835)/E16</f>
        <v>9.34668702334313</v>
      </c>
      <c r="AR16" s="601"/>
      <c r="AS16" s="173" t="n">
        <f aca="false">AS15</f>
        <v>7.45</v>
      </c>
      <c r="AT16" s="5"/>
      <c r="AU16" s="4"/>
      <c r="AV16" s="602" t="n">
        <v>0</v>
      </c>
      <c r="AW16" s="603" t="n">
        <v>90</v>
      </c>
      <c r="AX16" s="206" t="n">
        <v>60</v>
      </c>
      <c r="AY16" s="161"/>
      <c r="AZ16" s="282" t="n">
        <f aca="false">SUM(N16,P16:U16)</f>
        <v>9.9686982857662</v>
      </c>
      <c r="BA16" s="558" t="n">
        <v>159</v>
      </c>
      <c r="BB16" s="407" t="n">
        <v>21230</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207" t="n">
        <f aca="false">A16+1</f>
        <v>3</v>
      </c>
      <c r="B17" s="342" t="n">
        <v>6914.6</v>
      </c>
      <c r="C17" s="176" t="n">
        <v>340716</v>
      </c>
      <c r="D17" s="206" t="n">
        <f aca="false">C17-C16</f>
        <v>-704</v>
      </c>
      <c r="E17" s="176" t="n">
        <f aca="false">C17-152000</f>
        <v>188716</v>
      </c>
      <c r="F17" s="598" t="n">
        <f aca="false">D17/$D$2</f>
        <v>-354.928157297706</v>
      </c>
      <c r="G17" s="599" t="n">
        <v>225</v>
      </c>
      <c r="H17" s="210" t="n">
        <v>0</v>
      </c>
      <c r="I17" s="209" t="n">
        <f aca="false">G17+H17</f>
        <v>225</v>
      </c>
      <c r="J17" s="120" t="n">
        <f aca="false">IF(L17&gt;0,L17,0)</f>
        <v>119.871842702294</v>
      </c>
      <c r="K17" s="209" t="n">
        <f aca="false">I17+J17</f>
        <v>344.871842702294</v>
      </c>
      <c r="L17" s="209" t="n">
        <f aca="false">F17-(I17-AK17)</f>
        <v>119.871842702294</v>
      </c>
      <c r="M17" s="600" t="n">
        <v>292</v>
      </c>
      <c r="N17" s="186" t="n">
        <v>0</v>
      </c>
      <c r="O17" s="209" t="n">
        <f aca="false">83.4*1.05</f>
        <v>87.57</v>
      </c>
      <c r="P17" s="186" t="n">
        <v>0</v>
      </c>
      <c r="Q17" s="373" t="n">
        <f aca="false">1687100/325851/1.9835*1.02</f>
        <v>2.66250072214972</v>
      </c>
      <c r="R17" s="151" t="n">
        <f aca="false">IF(((6.9*1.04)-T17)&gt;=4.2,4.2,(6.9*1.04)-T17)</f>
        <v>4.2</v>
      </c>
      <c r="S17" s="151" t="n">
        <f aca="false">IF(((6.9*1.04)-T17)&gt;=4.2,((6.9*1.04)-T17)-4.2,0)</f>
        <v>1.91207376</v>
      </c>
      <c r="T17" s="151" t="n">
        <f aca="false">(0.9651*1.06)*1.04</f>
        <v>1.06392624</v>
      </c>
      <c r="U17" s="393" t="n">
        <v>0</v>
      </c>
      <c r="V17" s="209" t="n">
        <v>62.7</v>
      </c>
      <c r="W17" s="599" t="n">
        <v>68.2</v>
      </c>
      <c r="X17" s="280" t="n">
        <f aca="false">M17-N17-O17-P17-Q17-R17-S17-T17-U17+V17+W17-AT17+AR17</f>
        <v>325.49149927785</v>
      </c>
      <c r="Y17" s="280" t="n">
        <f aca="false">X17-AO17</f>
        <v>325.49149927785</v>
      </c>
      <c r="Z17" s="123" t="n">
        <f aca="false">Z16+AP17</f>
        <v>9853.43024527745</v>
      </c>
      <c r="AA17" s="155" t="n">
        <f aca="false">(-AP17)</f>
        <v>109.054</v>
      </c>
      <c r="AB17" s="244"/>
      <c r="AC17" s="244" t="n">
        <f aca="false">AC16-(AQ16/1.9835)+AS17</f>
        <v>1468.89828767295</v>
      </c>
      <c r="AD17" s="484" t="n">
        <f aca="false">AD16</f>
        <v>1495.84068565667</v>
      </c>
      <c r="AE17" s="599" t="n">
        <v>211</v>
      </c>
      <c r="AF17" s="279" t="n">
        <v>1.7</v>
      </c>
      <c r="AG17" s="281" t="n">
        <v>1.3</v>
      </c>
      <c r="AH17" s="209" t="n">
        <v>65.9</v>
      </c>
      <c r="AI17" s="176" t="n">
        <f aca="false">AI16-AH17</f>
        <v>9490.45787748928</v>
      </c>
      <c r="AJ17" s="176"/>
      <c r="AK17" s="11" t="n">
        <f aca="false">N17+O17+P17+Q17+R17+S17+T17+U17+X17+AE17+AH17-AR17</f>
        <v>699.8</v>
      </c>
      <c r="AL17" s="209" t="n">
        <f aca="false">IF(L17&lt;0,L17*-1,0)</f>
        <v>0</v>
      </c>
      <c r="AM17" s="209" t="n">
        <f aca="false">AK17+AL17</f>
        <v>699.8</v>
      </c>
      <c r="AN17" s="303"/>
      <c r="AO17" s="207"/>
      <c r="AP17" s="112" t="n">
        <f aca="false">I17-Q17-R17-X17-AF17</f>
        <v>-109.054</v>
      </c>
      <c r="AQ17" s="186" t="n">
        <f aca="false">0*(Z17*1.9835+AC17*1.9835)/E17</f>
        <v>0</v>
      </c>
      <c r="AR17" s="601"/>
      <c r="AS17" s="173" t="n">
        <f aca="false">AS16</f>
        <v>7.45</v>
      </c>
      <c r="AT17" s="5"/>
      <c r="AU17" s="4"/>
      <c r="AV17" s="602" t="n">
        <v>0.82</v>
      </c>
      <c r="AW17" s="603" t="n">
        <v>86</v>
      </c>
      <c r="AX17" s="206" t="n">
        <v>57</v>
      </c>
      <c r="AY17" s="161"/>
      <c r="AZ17" s="282" t="n">
        <f aca="false">SUM(N17,P17:U17)</f>
        <v>9.83850072214972</v>
      </c>
      <c r="BA17" s="558" t="n">
        <v>158</v>
      </c>
      <c r="BB17" s="407" t="n">
        <v>20932</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207" t="n">
        <f aca="false">A17+1</f>
        <v>4</v>
      </c>
      <c r="B18" s="342" t="n">
        <v>6914.51</v>
      </c>
      <c r="C18" s="176" t="n">
        <v>340343</v>
      </c>
      <c r="D18" s="206" t="n">
        <f aca="false">C18-C17</f>
        <v>-373</v>
      </c>
      <c r="E18" s="176" t="n">
        <f aca="false">C18-152000</f>
        <v>188343</v>
      </c>
      <c r="F18" s="598" t="n">
        <f aca="false">D18/$D$2</f>
        <v>-188.051424250063</v>
      </c>
      <c r="G18" s="599" t="n">
        <v>361</v>
      </c>
      <c r="H18" s="210" t="n">
        <v>0</v>
      </c>
      <c r="I18" s="209" t="n">
        <f aca="false">G18+H18</f>
        <v>361</v>
      </c>
      <c r="J18" s="120" t="n">
        <f aca="false">IF(L18&gt;0,L18,0)</f>
        <v>137.048575749937</v>
      </c>
      <c r="K18" s="209" t="n">
        <f aca="false">I18+J18</f>
        <v>498.048575749937</v>
      </c>
      <c r="L18" s="209" t="n">
        <f aca="false">F18-(I18-AK18)</f>
        <v>137.048575749937</v>
      </c>
      <c r="M18" s="600" t="n">
        <v>256</v>
      </c>
      <c r="N18" s="186" t="n">
        <v>0</v>
      </c>
      <c r="O18" s="209" t="n">
        <f aca="false">67.2*1.05</f>
        <v>70.56</v>
      </c>
      <c r="P18" s="186" t="n">
        <v>0</v>
      </c>
      <c r="Q18" s="373" t="n">
        <f aca="false">1265500/325851/1.9835*1.02</f>
        <v>1.99715171826239</v>
      </c>
      <c r="R18" s="151" t="n">
        <f aca="false">IF(((4.7*1.04)-T18)&gt;=4.2,4.2,(4.7*1.04)-T18)</f>
        <v>3.82407376</v>
      </c>
      <c r="S18" s="151" t="n">
        <f aca="false">IF(((4.7*1.04)-T18)&gt;=4.2,((4.7*1.04)-T18)-4.2,0)</f>
        <v>0</v>
      </c>
      <c r="T18" s="151" t="n">
        <f aca="false">(0.9651*1.06)*1.04</f>
        <v>1.06392624</v>
      </c>
      <c r="U18" s="393" t="n">
        <v>0</v>
      </c>
      <c r="V18" s="209" t="n">
        <v>108</v>
      </c>
      <c r="W18" s="599" t="n">
        <v>69.4</v>
      </c>
      <c r="X18" s="280" t="n">
        <f aca="false">M18-N18-O18-P18-Q18-R18-S18-T18-U18+V18+W18-AT18+AR18</f>
        <v>355.954848281738</v>
      </c>
      <c r="Y18" s="280" t="n">
        <f aca="false">X18-AO18</f>
        <v>355.954848281738</v>
      </c>
      <c r="Z18" s="123" t="n">
        <f aca="false">Z17+AP18</f>
        <v>9850.95417151745</v>
      </c>
      <c r="AA18" s="155" t="n">
        <f aca="false">(-AP18)</f>
        <v>2.47607375999992</v>
      </c>
      <c r="AB18" s="244"/>
      <c r="AC18" s="244" t="n">
        <f aca="false">AC17-(AQ17/1.9835)+AS18</f>
        <v>1476.34828767295</v>
      </c>
      <c r="AD18" s="484" t="n">
        <f aca="false">AD17</f>
        <v>1495.84068565667</v>
      </c>
      <c r="AE18" s="599" t="n">
        <v>187</v>
      </c>
      <c r="AF18" s="279" t="n">
        <v>1.7</v>
      </c>
      <c r="AG18" s="281" t="n">
        <v>1.3</v>
      </c>
      <c r="AH18" s="209" t="n">
        <v>65.7</v>
      </c>
      <c r="AI18" s="176" t="n">
        <f aca="false">AI17-AH18</f>
        <v>9424.75787748928</v>
      </c>
      <c r="AJ18" s="176"/>
      <c r="AK18" s="11" t="n">
        <f aca="false">N18+O18+P18+Q18+R18+S18+T18+U18+X18+AE18+AH18-AR18</f>
        <v>686.1</v>
      </c>
      <c r="AL18" s="209" t="n">
        <f aca="false">IF(L18&lt;0,L18*-1,0)</f>
        <v>0</v>
      </c>
      <c r="AM18" s="209" t="n">
        <f aca="false">AK18+AL18</f>
        <v>686.1</v>
      </c>
      <c r="AN18" s="303"/>
      <c r="AO18" s="207"/>
      <c r="AP18" s="112" t="n">
        <f aca="false">I18-Q18-R18-X18-AF18</f>
        <v>-2.47607375999992</v>
      </c>
      <c r="AQ18" s="186" t="n">
        <f aca="false">0*(Z18*1.9835+AC18*1.9835)/E18</f>
        <v>0</v>
      </c>
      <c r="AR18" s="601"/>
      <c r="AS18" s="173" t="n">
        <f aca="false">AS17</f>
        <v>7.45</v>
      </c>
      <c r="AT18" s="5"/>
      <c r="AU18" s="4"/>
      <c r="AV18" s="602" t="n">
        <v>0.82</v>
      </c>
      <c r="AW18" s="603" t="n">
        <v>77</v>
      </c>
      <c r="AX18" s="206" t="n">
        <v>58</v>
      </c>
      <c r="AY18" s="161"/>
      <c r="AZ18" s="282" t="n">
        <f aca="false">SUM(N18,P18:U18)</f>
        <v>6.88515171826239</v>
      </c>
      <c r="BA18" s="558" t="n">
        <v>158</v>
      </c>
      <c r="BB18" s="407" t="n">
        <v>20654</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207" t="n">
        <f aca="false">A18+1</f>
        <v>5</v>
      </c>
      <c r="B19" s="342" t="n">
        <v>6914.46</v>
      </c>
      <c r="C19" s="176" t="n">
        <v>340136</v>
      </c>
      <c r="D19" s="206" t="n">
        <f aca="false">C19-C18</f>
        <v>-207</v>
      </c>
      <c r="E19" s="176" t="n">
        <f aca="false">C19-152000</f>
        <v>188136</v>
      </c>
      <c r="F19" s="598" t="n">
        <f aca="false">D19/$D$2</f>
        <v>-104.36097806907</v>
      </c>
      <c r="G19" s="599" t="n">
        <v>445</v>
      </c>
      <c r="H19" s="210" t="n">
        <v>0</v>
      </c>
      <c r="I19" s="209" t="n">
        <f aca="false">G19+H19</f>
        <v>445</v>
      </c>
      <c r="J19" s="120" t="n">
        <f aca="false">IF(L19&gt;0,L19,0)</f>
        <v>91.53902193093</v>
      </c>
      <c r="K19" s="209" t="n">
        <f aca="false">I19+J19</f>
        <v>536.53902193093</v>
      </c>
      <c r="L19" s="209" t="n">
        <f aca="false">F19-(I19-AK19)</f>
        <v>91.53902193093</v>
      </c>
      <c r="M19" s="600" t="n">
        <v>191</v>
      </c>
      <c r="N19" s="186" t="n">
        <v>0</v>
      </c>
      <c r="O19" s="209" t="n">
        <f aca="false">32.8*1.05</f>
        <v>34.44</v>
      </c>
      <c r="P19" s="186" t="n">
        <v>0</v>
      </c>
      <c r="Q19" s="373" t="n">
        <f aca="false">1245700/325851/1.9835*1.02</f>
        <v>1.96590430299443</v>
      </c>
      <c r="R19" s="151" t="n">
        <f aca="false">IF(((5.4*1.04)-T19)&gt;=4.2,4.2,(5.4*1.04)-T19)</f>
        <v>4.2</v>
      </c>
      <c r="S19" s="151" t="n">
        <f aca="false">IF(((5.4*1.04)-T19)&gt;=4.2,((5.4*1.04)-T19)-4.2,0)</f>
        <v>0.28317376</v>
      </c>
      <c r="T19" s="151" t="n">
        <f aca="false">(1.0276*1.06)*1.04</f>
        <v>1.13282624</v>
      </c>
      <c r="U19" s="393" t="n">
        <v>0</v>
      </c>
      <c r="V19" s="209" t="n">
        <v>154</v>
      </c>
      <c r="W19" s="599" t="n">
        <v>70.1</v>
      </c>
      <c r="X19" s="280" t="n">
        <f aca="false">M19-N19-O19-P19-Q19-R19-S19-T19-U19+V19+W19-AT19+AR19</f>
        <v>373.078095697006</v>
      </c>
      <c r="Y19" s="280" t="n">
        <f aca="false">X19-AO19</f>
        <v>373.078095697006</v>
      </c>
      <c r="Z19" s="123" t="n">
        <f aca="false">Z18</f>
        <v>9850.95417151745</v>
      </c>
      <c r="AA19" s="155" t="n">
        <f aca="false">(-AP19)</f>
        <v>-64.056</v>
      </c>
      <c r="AB19" s="244"/>
      <c r="AC19" s="244" t="n">
        <f aca="false">AC18-(AQ18/1.9835)+AS19</f>
        <v>1483.79828767295</v>
      </c>
      <c r="AD19" s="484" t="n">
        <f aca="false">AD18</f>
        <v>1495.84068565667</v>
      </c>
      <c r="AE19" s="599" t="n">
        <v>160</v>
      </c>
      <c r="AF19" s="279" t="n">
        <v>1.7</v>
      </c>
      <c r="AG19" s="281" t="n">
        <v>1.3</v>
      </c>
      <c r="AH19" s="209" t="n">
        <v>65.8</v>
      </c>
      <c r="AI19" s="176" t="n">
        <f aca="false">AI18-AH19</f>
        <v>9358.95787748928</v>
      </c>
      <c r="AJ19" s="176"/>
      <c r="AK19" s="11" t="n">
        <f aca="false">N19+O19+P19+Q19+R19+S19+T19+U19+X19+AE19+AH19-AR19</f>
        <v>640.9</v>
      </c>
      <c r="AL19" s="209" t="n">
        <f aca="false">IF(L19&lt;0,L19*-1,0)</f>
        <v>0</v>
      </c>
      <c r="AM19" s="209" t="n">
        <f aca="false">AK19+AL19</f>
        <v>640.9</v>
      </c>
      <c r="AN19" s="303"/>
      <c r="AO19" s="207"/>
      <c r="AP19" s="112" t="n">
        <f aca="false">I19-Q19-R19-X19-AF19</f>
        <v>64.056</v>
      </c>
      <c r="AQ19" s="186" t="n">
        <f aca="false">22.138*(Z19*1.9835+AC19*1.9835)/E19</f>
        <v>2.64551800563995</v>
      </c>
      <c r="AR19" s="601"/>
      <c r="AS19" s="173" t="n">
        <f aca="false">AS18</f>
        <v>7.45</v>
      </c>
      <c r="AT19" s="5"/>
      <c r="AU19" s="4"/>
      <c r="AV19" s="602" t="n">
        <v>0.64</v>
      </c>
      <c r="AW19" s="603" t="n">
        <v>74</v>
      </c>
      <c r="AX19" s="206" t="n">
        <v>56</v>
      </c>
      <c r="AY19" s="161"/>
      <c r="AZ19" s="282" t="n">
        <f aca="false">SUM(N19,P19:U19)</f>
        <v>7.58190430299443</v>
      </c>
      <c r="BA19" s="558" t="n">
        <v>158</v>
      </c>
      <c r="BB19" s="407" t="n">
        <v>20402</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207" t="n">
        <f aca="false">A19+1</f>
        <v>6</v>
      </c>
      <c r="B20" s="342" t="n">
        <v>6914.5</v>
      </c>
      <c r="C20" s="176" t="n">
        <v>340301</v>
      </c>
      <c r="D20" s="206" t="n">
        <f aca="false">C20-C19</f>
        <v>165</v>
      </c>
      <c r="E20" s="176" t="n">
        <f aca="false">C20-152000</f>
        <v>188301</v>
      </c>
      <c r="F20" s="598" t="n">
        <f aca="false">D20/$D$2</f>
        <v>83.1862868666499</v>
      </c>
      <c r="G20" s="599" t="n">
        <v>651</v>
      </c>
      <c r="H20" s="210" t="n">
        <v>0</v>
      </c>
      <c r="I20" s="209" t="n">
        <f aca="false">G20+H20</f>
        <v>651</v>
      </c>
      <c r="J20" s="120" t="n">
        <f aca="false">IF(L20&gt;0,L20,0)</f>
        <v>14.4862868666499</v>
      </c>
      <c r="K20" s="209" t="n">
        <f aca="false">I20+J20</f>
        <v>665.48628686665</v>
      </c>
      <c r="L20" s="209" t="n">
        <f aca="false">F20-(I20-AK20)</f>
        <v>14.4862868666499</v>
      </c>
      <c r="M20" s="600" t="n">
        <v>166</v>
      </c>
      <c r="N20" s="186" t="n">
        <v>0</v>
      </c>
      <c r="O20" s="209" t="n">
        <f aca="false">20.3*1.05</f>
        <v>21.315</v>
      </c>
      <c r="P20" s="186" t="n">
        <v>0</v>
      </c>
      <c r="Q20" s="373" t="n">
        <f aca="false">1250600/325851/1.9835*1.02</f>
        <v>1.97363724919711</v>
      </c>
      <c r="R20" s="151" t="n">
        <f aca="false">IF(((5.1*1.04)-T20)&gt;=4.2,4.2,(5.1*1.04)-T20)</f>
        <v>4.17117376</v>
      </c>
      <c r="S20" s="151" t="n">
        <f aca="false">IF(((5.1*1.04)-T20)&gt;=4.2,((5.1*1.04)-T20)-4.2,0)</f>
        <v>0</v>
      </c>
      <c r="T20" s="151" t="n">
        <f aca="false">(1.0276*1.06)*1.04</f>
        <v>1.13282624</v>
      </c>
      <c r="U20" s="393" t="n">
        <v>0</v>
      </c>
      <c r="V20" s="209" t="n">
        <v>150</v>
      </c>
      <c r="W20" s="599" t="n">
        <v>68.7</v>
      </c>
      <c r="X20" s="280" t="n">
        <f aca="false">M20-N20-O20-P20-Q20-R20-S20-T20-U20+V20+W20-AT20+AR20</f>
        <v>356.107362750803</v>
      </c>
      <c r="Y20" s="280" t="n">
        <f aca="false">X20-AO20</f>
        <v>356.107362750803</v>
      </c>
      <c r="Z20" s="123" t="n">
        <f aca="false">Z19</f>
        <v>9850.95417151745</v>
      </c>
      <c r="AA20" s="155" t="n">
        <f aca="false">(-AP20)</f>
        <v>-287.04782624</v>
      </c>
      <c r="AB20" s="244"/>
      <c r="AC20" s="244" t="n">
        <f aca="false">AC19-(AQ19/1.9835)+AS20</f>
        <v>1489.91452512914</v>
      </c>
      <c r="AD20" s="484" t="n">
        <f aca="false">AD19</f>
        <v>1495.84068565667</v>
      </c>
      <c r="AE20" s="599" t="n">
        <v>132</v>
      </c>
      <c r="AF20" s="279" t="n">
        <v>1.7</v>
      </c>
      <c r="AG20" s="281" t="n">
        <v>1.3</v>
      </c>
      <c r="AH20" s="209" t="n">
        <v>65.6</v>
      </c>
      <c r="AI20" s="176" t="n">
        <f aca="false">AI19-AH20</f>
        <v>9293.35787748928</v>
      </c>
      <c r="AJ20" s="176"/>
      <c r="AK20" s="11" t="n">
        <f aca="false">N20+O20+P20+Q20+R20+S20+T20+U20+X20+AE20+AH20-AR20</f>
        <v>582.3</v>
      </c>
      <c r="AL20" s="209" t="n">
        <f aca="false">IF(L20&lt;0,L20*-1,0)</f>
        <v>0</v>
      </c>
      <c r="AM20" s="209" t="n">
        <f aca="false">AK20+AL20</f>
        <v>582.3</v>
      </c>
      <c r="AN20" s="303"/>
      <c r="AO20" s="548"/>
      <c r="AP20" s="112" t="n">
        <f aca="false">I20-Q20-R20-X20-AF20</f>
        <v>287.04782624</v>
      </c>
      <c r="AQ20" s="186" t="n">
        <f aca="false">56.272*(Z20*1.9835+AC20*1.9835)/E20</f>
        <v>6.72230559636424</v>
      </c>
      <c r="AR20" s="601"/>
      <c r="AS20" s="173" t="n">
        <f aca="false">AS19</f>
        <v>7.45</v>
      </c>
      <c r="AT20" s="5"/>
      <c r="AU20" s="4"/>
      <c r="AV20" s="602" t="n">
        <v>0.01</v>
      </c>
      <c r="AW20" s="603" t="n">
        <v>82</v>
      </c>
      <c r="AX20" s="206" t="n">
        <v>54</v>
      </c>
      <c r="AY20" s="161"/>
      <c r="AZ20" s="282" t="n">
        <f aca="false">SUM(N20,P20:U20)</f>
        <v>7.27763724919711</v>
      </c>
      <c r="BA20" s="558" t="n">
        <v>95.1</v>
      </c>
      <c r="BB20" s="407" t="n">
        <v>20186</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207" t="n">
        <f aca="false">A20+1</f>
        <v>7</v>
      </c>
      <c r="B21" s="342" t="n">
        <v>6914.44</v>
      </c>
      <c r="C21" s="176" t="n">
        <v>340053</v>
      </c>
      <c r="D21" s="206" t="n">
        <f aca="false">C21-C20</f>
        <v>-248</v>
      </c>
      <c r="E21" s="176" t="n">
        <f aca="false">C21-152000</f>
        <v>188053</v>
      </c>
      <c r="F21" s="598" t="n">
        <f aca="false">D21/$D$2</f>
        <v>-125.031509957146</v>
      </c>
      <c r="G21" s="599" t="n">
        <v>439</v>
      </c>
      <c r="H21" s="210" t="n">
        <v>0</v>
      </c>
      <c r="I21" s="209" t="n">
        <f aca="false">G21+H21</f>
        <v>439</v>
      </c>
      <c r="J21" s="120" t="n">
        <f aca="false">IF(L21&gt;0,L21,0)</f>
        <v>19.4684900428534</v>
      </c>
      <c r="K21" s="209" t="n">
        <f aca="false">I21+J21</f>
        <v>458.468490042853</v>
      </c>
      <c r="L21" s="209" t="n">
        <f aca="false">F21-(I21-AK21)</f>
        <v>19.4684900428534</v>
      </c>
      <c r="M21" s="600" t="n">
        <v>166</v>
      </c>
      <c r="N21" s="186" t="n">
        <v>0</v>
      </c>
      <c r="O21" s="209" t="n">
        <f aca="false">26.3*1.05</f>
        <v>27.615</v>
      </c>
      <c r="P21" s="186" t="n">
        <v>0</v>
      </c>
      <c r="Q21" s="373" t="n">
        <f aca="false">1413200/325851/1.9835*1.02</f>
        <v>2.23024481094303</v>
      </c>
      <c r="R21" s="151" t="n">
        <f aca="false">IF(((4.6*1.04)-T21)&gt;=4.2,4.2,(4.6*1.04)-T21)</f>
        <v>3.65117376</v>
      </c>
      <c r="S21" s="151" t="n">
        <f aca="false">IF(((4.6*1.04)-T21)&gt;=4.2,((4.6*1.04)-T21)-4.2,0)</f>
        <v>0</v>
      </c>
      <c r="T21" s="151" t="n">
        <f aca="false">(1.0276*1.06)*1.04</f>
        <v>1.13282624</v>
      </c>
      <c r="U21" s="393" t="n">
        <v>0</v>
      </c>
      <c r="V21" s="209" t="n">
        <v>149</v>
      </c>
      <c r="W21" s="599" t="n">
        <v>67.9</v>
      </c>
      <c r="X21" s="280" t="n">
        <f aca="false">M21-N21-O21-P21-Q21-R21-S21-T21-U21+V21+W21-AT21+AR21</f>
        <v>348.270755189057</v>
      </c>
      <c r="Y21" s="280" t="n">
        <f aca="false">X21-AO21</f>
        <v>348.270755189057</v>
      </c>
      <c r="Z21" s="123" t="n">
        <f aca="false">Z20</f>
        <v>9850.95417151745</v>
      </c>
      <c r="AA21" s="155" t="n">
        <f aca="false">(-AP21)</f>
        <v>-83.1478262400001</v>
      </c>
      <c r="AB21" s="244"/>
      <c r="AC21" s="244" t="n">
        <f aca="false">AC20-(AQ20/1.9835)+AS21</f>
        <v>1493.97541214887</v>
      </c>
      <c r="AD21" s="484" t="n">
        <f aca="false">AD20</f>
        <v>1495.84068565667</v>
      </c>
      <c r="AE21" s="599" t="n">
        <v>135</v>
      </c>
      <c r="AF21" s="279" t="n">
        <v>1.7</v>
      </c>
      <c r="AG21" s="281" t="n">
        <v>1.3</v>
      </c>
      <c r="AH21" s="209" t="n">
        <v>65.6</v>
      </c>
      <c r="AI21" s="176" t="n">
        <f aca="false">AI20-AH21</f>
        <v>9227.75787748927</v>
      </c>
      <c r="AJ21" s="176"/>
      <c r="AK21" s="11" t="n">
        <f aca="false">N21+O21+P21+Q21+R21+S21+T21+U21+X21+AE21+AH21-AR21</f>
        <v>583.5</v>
      </c>
      <c r="AL21" s="209" t="n">
        <f aca="false">IF(L21&lt;0,L21*-1,0)</f>
        <v>0</v>
      </c>
      <c r="AM21" s="209" t="n">
        <f aca="false">AK21+AL21</f>
        <v>583.5</v>
      </c>
      <c r="AN21" s="303"/>
      <c r="AO21" s="548"/>
      <c r="AP21" s="112" t="n">
        <f aca="false">I21-Q21-R21-X21-AF21</f>
        <v>83.1478262400001</v>
      </c>
      <c r="AQ21" s="186" t="n">
        <f aca="false">54.863*(Z21*1.9835+AC21*1.9835)/E21</f>
        <v>6.56497830459242</v>
      </c>
      <c r="AR21" s="601"/>
      <c r="AS21" s="173" t="n">
        <f aca="false">AS20</f>
        <v>7.45</v>
      </c>
      <c r="AT21" s="5"/>
      <c r="AU21" s="4"/>
      <c r="AV21" s="602" t="n">
        <v>0</v>
      </c>
      <c r="AW21" s="603" t="n">
        <v>86</v>
      </c>
      <c r="AX21" s="206" t="n">
        <v>57</v>
      </c>
      <c r="AY21" s="161"/>
      <c r="AZ21" s="282" t="n">
        <f aca="false">SUM(N21,P21:U21)</f>
        <v>7.01424481094303</v>
      </c>
      <c r="BA21" s="558" t="n">
        <v>60.2</v>
      </c>
      <c r="BB21" s="407" t="n">
        <v>20068</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207" t="n">
        <f aca="false">A21+1</f>
        <v>8</v>
      </c>
      <c r="B22" s="342" t="n">
        <v>6914.33</v>
      </c>
      <c r="C22" s="176" t="n">
        <v>339597</v>
      </c>
      <c r="D22" s="206" t="n">
        <f aca="false">C22-C21</f>
        <v>-456</v>
      </c>
      <c r="E22" s="176" t="n">
        <f aca="false">C22-152000</f>
        <v>187597</v>
      </c>
      <c r="F22" s="598" t="n">
        <f aca="false">D22/$D$2</f>
        <v>-229.89664734056</v>
      </c>
      <c r="G22" s="599" t="n">
        <v>401</v>
      </c>
      <c r="H22" s="210" t="n">
        <v>0</v>
      </c>
      <c r="I22" s="209" t="n">
        <f aca="false">G22+H22</f>
        <v>401</v>
      </c>
      <c r="J22" s="120" t="n">
        <f aca="false">IF(L22&gt;0,L22,0)</f>
        <v>0</v>
      </c>
      <c r="K22" s="209" t="n">
        <f aca="false">I22+J22</f>
        <v>401</v>
      </c>
      <c r="L22" s="209" t="n">
        <f aca="false">F22-(I22-AK22)</f>
        <v>-26.0966473405595</v>
      </c>
      <c r="M22" s="600" t="n">
        <v>155</v>
      </c>
      <c r="N22" s="186" t="n">
        <v>0</v>
      </c>
      <c r="O22" s="209" t="n">
        <f aca="false">9.84*1.05</f>
        <v>10.332</v>
      </c>
      <c r="P22" s="186" t="n">
        <v>0</v>
      </c>
      <c r="Q22" s="373" t="n">
        <f aca="false">1474200/325851/1.9835*1.02</f>
        <v>2.32651210040491</v>
      </c>
      <c r="R22" s="151" t="n">
        <f aca="false">IF(((4.5*1.04)-T22)&gt;=4.2,4.2,(4.5*1.04)-T22)</f>
        <v>3.54717376</v>
      </c>
      <c r="S22" s="151" t="n">
        <f aca="false">IF(((4.5*1.04)-T22)&gt;=4.2,((4.5*1.04)-T22)-4.2,0)</f>
        <v>0</v>
      </c>
      <c r="T22" s="151" t="n">
        <f aca="false">(1.0276*1.06)*1.04</f>
        <v>1.13282624</v>
      </c>
      <c r="U22" s="393" t="n">
        <v>0</v>
      </c>
      <c r="V22" s="209" t="n">
        <v>148</v>
      </c>
      <c r="W22" s="599" t="n">
        <v>69.2</v>
      </c>
      <c r="X22" s="280" t="n">
        <f aca="false">M22-N22-O22-P22-Q22-R22-S22-T22-U22+V22+W22-AT22+AR22</f>
        <v>354.861487899595</v>
      </c>
      <c r="Y22" s="280" t="n">
        <f aca="false">X22-AO22</f>
        <v>354.861487899595</v>
      </c>
      <c r="Z22" s="123" t="n">
        <f aca="false">Z21+AP22</f>
        <v>9889.51899775745</v>
      </c>
      <c r="AA22" s="155" t="n">
        <f aca="false">(-AP22)</f>
        <v>-38.56482624</v>
      </c>
      <c r="AB22" s="244"/>
      <c r="AC22" s="244" t="n">
        <f aca="false">AC21-(AQ21/1.9835)+AS22</f>
        <v>1498.11561718815</v>
      </c>
      <c r="AD22" s="484" t="n">
        <f aca="false">AD21</f>
        <v>1495.84068565667</v>
      </c>
      <c r="AE22" s="599" t="n">
        <v>167</v>
      </c>
      <c r="AF22" s="279" t="n">
        <v>1.7</v>
      </c>
      <c r="AG22" s="281" t="n">
        <v>1.3</v>
      </c>
      <c r="AH22" s="209" t="n">
        <v>65.6</v>
      </c>
      <c r="AI22" s="176" t="n">
        <f aca="false">AI21-AH22</f>
        <v>9162.15787748928</v>
      </c>
      <c r="AJ22" s="176"/>
      <c r="AK22" s="11" t="n">
        <f aca="false">N22+O22+P22+Q22+R22+S22+T22+U22+X22+AE22+AH22-AR22</f>
        <v>604.8</v>
      </c>
      <c r="AL22" s="209" t="n">
        <f aca="false">IF(L22&lt;0,L22*-1,0)</f>
        <v>26.0966473405595</v>
      </c>
      <c r="AM22" s="209" t="n">
        <f aca="false">AK22+AL22</f>
        <v>630.89664734056</v>
      </c>
      <c r="AN22" s="303"/>
      <c r="AO22" s="548"/>
      <c r="AP22" s="112" t="n">
        <f aca="false">I22-Q22-R22-X22-AF22</f>
        <v>38.56482624</v>
      </c>
      <c r="AQ22" s="186" t="n">
        <f aca="false">52.216*(Z22*1.9835+AC22*1.9835)/E22</f>
        <v>6.28699969657622</v>
      </c>
      <c r="AR22" s="601"/>
      <c r="AS22" s="173" t="n">
        <f aca="false">AS21</f>
        <v>7.45</v>
      </c>
      <c r="AT22" s="5"/>
      <c r="AU22" s="4"/>
      <c r="AV22" s="602" t="n">
        <v>0.01</v>
      </c>
      <c r="AW22" s="603" t="n">
        <v>88</v>
      </c>
      <c r="AX22" s="206" t="n">
        <v>57</v>
      </c>
      <c r="AY22" s="161"/>
      <c r="AZ22" s="282" t="n">
        <f aca="false">SUM(N22,P22:U22)</f>
        <v>7.00651210040491</v>
      </c>
      <c r="BA22" s="558" t="n">
        <v>60.1</v>
      </c>
      <c r="BB22" s="407" t="n">
        <v>19958</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207" t="n">
        <f aca="false">A22+1</f>
        <v>9</v>
      </c>
      <c r="B23" s="342" t="n">
        <v>6914.13</v>
      </c>
      <c r="C23" s="176" t="n">
        <v>338769</v>
      </c>
      <c r="D23" s="206" t="n">
        <f aca="false">C23-C22</f>
        <v>-828</v>
      </c>
      <c r="E23" s="176" t="n">
        <f aca="false">C23-152000</f>
        <v>186769</v>
      </c>
      <c r="F23" s="598" t="n">
        <f aca="false">D23/$D$2</f>
        <v>-417.443912276279</v>
      </c>
      <c r="G23" s="599" t="n">
        <v>313</v>
      </c>
      <c r="H23" s="210" t="n">
        <v>0</v>
      </c>
      <c r="I23" s="209" t="n">
        <f aca="false">G23+H23</f>
        <v>313</v>
      </c>
      <c r="J23" s="120" t="n">
        <f aca="false">IF(L23&gt;0,L23,0)</f>
        <v>0</v>
      </c>
      <c r="K23" s="209" t="n">
        <f aca="false">I23+J23</f>
        <v>313</v>
      </c>
      <c r="L23" s="209" t="n">
        <f aca="false">F23-(I23-AK23)</f>
        <v>-102.643912276279</v>
      </c>
      <c r="M23" s="600" t="n">
        <v>168</v>
      </c>
      <c r="N23" s="186" t="n">
        <v>0</v>
      </c>
      <c r="O23" s="209" t="n">
        <v>12.2</v>
      </c>
      <c r="P23" s="186" t="n">
        <v>0</v>
      </c>
      <c r="Q23" s="373" t="n">
        <f aca="false">1601300/325851/1.9835*1.02</f>
        <v>2.52709525598859</v>
      </c>
      <c r="R23" s="151" t="n">
        <f aca="false">IF(((5.5*1.04)-T23)&gt;=4.2,4.2,(5.5*1.04)-T23)</f>
        <v>4.2</v>
      </c>
      <c r="S23" s="151" t="n">
        <f aca="false">IF(((5.5*1.04)-T23)&gt;=4.2,((5.5*1.04)-T23)-4.2,0)</f>
        <v>0.38717376</v>
      </c>
      <c r="T23" s="151" t="n">
        <f aca="false">(1.0276*1.06)*1.04</f>
        <v>1.13282624</v>
      </c>
      <c r="U23" s="393" t="n">
        <v>0</v>
      </c>
      <c r="V23" s="209" t="n">
        <v>147</v>
      </c>
      <c r="W23" s="599" t="n">
        <v>70.2</v>
      </c>
      <c r="X23" s="280" t="n">
        <f aca="false">M23-N23-O23-P23-Q23-R23-S23-T23-U23+V23+W23-AT23+AR23</f>
        <v>364.752904744011</v>
      </c>
      <c r="Y23" s="280" t="n">
        <f aca="false">X23-AO23</f>
        <v>364.752904744011</v>
      </c>
      <c r="Z23" s="123" t="n">
        <f aca="false">Z22+AP23</f>
        <v>9829.33899775745</v>
      </c>
      <c r="AA23" s="155" t="n">
        <f aca="false">(-AP23)</f>
        <v>60.18</v>
      </c>
      <c r="AB23" s="244"/>
      <c r="AC23" s="244" t="n">
        <f aca="false">AC22-(AQ22/1.9835)+AS23</f>
        <v>1502.39596773185</v>
      </c>
      <c r="AD23" s="484" t="n">
        <f aca="false">AD22</f>
        <v>1495.84068565667</v>
      </c>
      <c r="AE23" s="599" t="n">
        <v>177</v>
      </c>
      <c r="AF23" s="279" t="n">
        <v>1.7</v>
      </c>
      <c r="AG23" s="281" t="n">
        <v>1.3</v>
      </c>
      <c r="AH23" s="209" t="n">
        <v>65.6</v>
      </c>
      <c r="AI23" s="176" t="n">
        <f aca="false">AI22-AH23</f>
        <v>9096.55787748928</v>
      </c>
      <c r="AJ23" s="176"/>
      <c r="AK23" s="11" t="n">
        <f aca="false">N23+O23+P23+Q23+R23+S23+T23+U23+X23+AE23+AH23-AR23</f>
        <v>627.8</v>
      </c>
      <c r="AL23" s="209" t="n">
        <f aca="false">IF(L23&lt;0,L23*-1,0)</f>
        <v>102.643912276279</v>
      </c>
      <c r="AM23" s="209" t="n">
        <f aca="false">AK23+AL23</f>
        <v>730.443912276279</v>
      </c>
      <c r="AN23" s="303"/>
      <c r="AO23" s="548"/>
      <c r="AP23" s="112" t="n">
        <f aca="false">I23-Q23-R23-X23-AF23</f>
        <v>-60.18</v>
      </c>
      <c r="AQ23" s="186" t="n">
        <f aca="false">70.503*(Z23*1.9835+AC23*1.9835)/E23</f>
        <v>8.48460086483462</v>
      </c>
      <c r="AR23" s="601"/>
      <c r="AS23" s="173" t="n">
        <f aca="false">AS22</f>
        <v>7.45</v>
      </c>
      <c r="AT23" s="5"/>
      <c r="AU23" s="4"/>
      <c r="AV23" s="602" t="n">
        <v>0</v>
      </c>
      <c r="AW23" s="474" t="n">
        <v>88</v>
      </c>
      <c r="AX23" s="206" t="n">
        <v>59</v>
      </c>
      <c r="AY23" s="161"/>
      <c r="AZ23" s="282" t="n">
        <f aca="false">SUM(N23,P23:U23)</f>
        <v>8.24709525598859</v>
      </c>
      <c r="BA23" s="558" t="n">
        <v>60</v>
      </c>
      <c r="BB23" s="407" t="n">
        <v>19874</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207" t="n">
        <f aca="false">A23+1</f>
        <v>10</v>
      </c>
      <c r="B24" s="342" t="n">
        <v>6913.92</v>
      </c>
      <c r="C24" s="176" t="n">
        <v>337902</v>
      </c>
      <c r="D24" s="206" t="n">
        <f aca="false">C24-C23</f>
        <v>-867</v>
      </c>
      <c r="E24" s="176" t="n">
        <f aca="false">C24-152000</f>
        <v>185902</v>
      </c>
      <c r="F24" s="598" t="n">
        <f aca="false">D24/$D$2</f>
        <v>-437.106125535669</v>
      </c>
      <c r="G24" s="599" t="n">
        <v>257</v>
      </c>
      <c r="H24" s="210" t="n">
        <v>0</v>
      </c>
      <c r="I24" s="209" t="n">
        <f aca="false">G24+H24</f>
        <v>257</v>
      </c>
      <c r="J24" s="120" t="n">
        <f aca="false">IF(L24&gt;0,L24,0)</f>
        <v>0</v>
      </c>
      <c r="K24" s="209" t="n">
        <f aca="false">I24+J24</f>
        <v>257</v>
      </c>
      <c r="L24" s="209" t="n">
        <f aca="false">F24-(I24-AK24)</f>
        <v>-7.50612553566924</v>
      </c>
      <c r="M24" s="600" t="n">
        <v>229</v>
      </c>
      <c r="N24" s="186" t="n">
        <v>0</v>
      </c>
      <c r="O24" s="209" t="n">
        <f aca="false">54.2*1.05</f>
        <v>56.91</v>
      </c>
      <c r="P24" s="186" t="n">
        <v>0</v>
      </c>
      <c r="Q24" s="373" t="n">
        <f aca="false">1550600/325851/1.9835*1.02</f>
        <v>2.44708293507519</v>
      </c>
      <c r="R24" s="151" t="n">
        <f aca="false">IF(((6.6*1.04)-T24)&gt;=4.2,4.2,(6.6*1.04)-T24)</f>
        <v>4.2</v>
      </c>
      <c r="S24" s="151" t="n">
        <f aca="false">IF(((6.6*1.04)-T24)&gt;=4.2,((6.6*1.04)-T24)-4.2,0)</f>
        <v>1.53117376</v>
      </c>
      <c r="T24" s="151" t="n">
        <f aca="false">(1.0276*1.06)*1.04</f>
        <v>1.13282624</v>
      </c>
      <c r="U24" s="393" t="n">
        <v>0</v>
      </c>
      <c r="V24" s="209" t="n">
        <v>146</v>
      </c>
      <c r="W24" s="599" t="n">
        <v>70</v>
      </c>
      <c r="X24" s="280" t="n">
        <f aca="false">M24-N24-O24-P24-Q24-R24-S24-T24-U24+V24+W24-AT24+AR24</f>
        <v>378.778917064925</v>
      </c>
      <c r="Y24" s="280" t="n">
        <f aca="false">X24-AO24</f>
        <v>378.778917064925</v>
      </c>
      <c r="Z24" s="123" t="n">
        <f aca="false">Z23+AP24</f>
        <v>9699.21299775745</v>
      </c>
      <c r="AA24" s="155" t="n">
        <f aca="false">(-AP24)</f>
        <v>130.126</v>
      </c>
      <c r="AB24" s="244"/>
      <c r="AC24" s="244" t="n">
        <f aca="false">AC23-(AQ23/1.9835)+AS24</f>
        <v>1505.56837717736</v>
      </c>
      <c r="AD24" s="484" t="n">
        <f aca="false">AD23</f>
        <v>1495.84068565667</v>
      </c>
      <c r="AE24" s="599" t="n">
        <v>176</v>
      </c>
      <c r="AF24" s="279" t="n">
        <v>1.7</v>
      </c>
      <c r="AG24" s="281" t="n">
        <v>1.3</v>
      </c>
      <c r="AH24" s="209" t="n">
        <v>65.6</v>
      </c>
      <c r="AI24" s="176" t="n">
        <f aca="false">AI23-AH24</f>
        <v>9030.95787748928</v>
      </c>
      <c r="AJ24" s="176"/>
      <c r="AK24" s="11" t="n">
        <f aca="false">N24+O24+P24+Q24+R24+S24+T24+U24+X24+AE24+AH24-AR24</f>
        <v>686.6</v>
      </c>
      <c r="AL24" s="209" t="n">
        <f aca="false">IF(L24&lt;0,L24*-1,0)</f>
        <v>7.50612553566924</v>
      </c>
      <c r="AM24" s="209" t="n">
        <f aca="false">AK24+AL24</f>
        <v>694.106125535669</v>
      </c>
      <c r="AN24" s="303"/>
      <c r="AO24" s="548"/>
      <c r="AP24" s="112" t="n">
        <f aca="false">I24-Q24-R24-X24-AF24</f>
        <v>-130.126</v>
      </c>
      <c r="AQ24" s="186" t="n">
        <f aca="false">63.284*(Z24*1.9835+AC24*1.9835)/E24</f>
        <v>7.5656361589331</v>
      </c>
      <c r="AR24" s="601"/>
      <c r="AS24" s="173" t="n">
        <f aca="false">AS23</f>
        <v>7.45</v>
      </c>
      <c r="AT24" s="5"/>
      <c r="AU24" s="4"/>
      <c r="AV24" s="602" t="n">
        <v>0.01</v>
      </c>
      <c r="AW24" s="603" t="n">
        <v>87</v>
      </c>
      <c r="AX24" s="206" t="n">
        <v>59</v>
      </c>
      <c r="AY24" s="161"/>
      <c r="AZ24" s="282" t="n">
        <f aca="false">SUM(N24,P24:U24)</f>
        <v>9.31108293507519</v>
      </c>
      <c r="BA24" s="558" t="n">
        <v>60</v>
      </c>
      <c r="BB24" s="407" t="n">
        <v>19768</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207" t="n">
        <v>11</v>
      </c>
      <c r="B25" s="342" t="n">
        <v>6913.71</v>
      </c>
      <c r="C25" s="176" t="n">
        <v>337039</v>
      </c>
      <c r="D25" s="206" t="n">
        <f aca="false">C25-C24</f>
        <v>-863</v>
      </c>
      <c r="E25" s="176" t="n">
        <f aca="false">C25-152000</f>
        <v>185039</v>
      </c>
      <c r="F25" s="598" t="n">
        <f aca="false">D25/$D$2</f>
        <v>-435.089488278296</v>
      </c>
      <c r="G25" s="599" t="n">
        <v>234</v>
      </c>
      <c r="H25" s="210" t="n">
        <v>0</v>
      </c>
      <c r="I25" s="209" t="n">
        <f aca="false">G25+H25</f>
        <v>234</v>
      </c>
      <c r="J25" s="120" t="n">
        <f aca="false">IF(L25&gt;0,L25,0)</f>
        <v>5.81051172170402</v>
      </c>
      <c r="K25" s="209" t="n">
        <f aca="false">I25+J25</f>
        <v>239.810511721704</v>
      </c>
      <c r="L25" s="209" t="n">
        <f aca="false">F25-(I25-AK25)</f>
        <v>5.81051172170402</v>
      </c>
      <c r="M25" s="600" t="n">
        <v>266</v>
      </c>
      <c r="N25" s="186" t="n">
        <v>0</v>
      </c>
      <c r="O25" s="209" t="n">
        <f aca="false">94.9*1.05</f>
        <v>99.645</v>
      </c>
      <c r="P25" s="186" t="n">
        <v>0</v>
      </c>
      <c r="Q25" s="373" t="n">
        <f aca="false">1649800/325851/1.9835*1.02</f>
        <v>2.60363564187221</v>
      </c>
      <c r="R25" s="151" t="n">
        <f aca="false">IF(((4.4*1.04)-T25)&gt;=4.2,4.2,(4.4*1.04)-T25)</f>
        <v>3.44317376</v>
      </c>
      <c r="S25" s="151" t="n">
        <f aca="false">IF(((4.4*1.04)-T25)&gt;=4.2,((4.4*1.04)-T25)-4.2,0)</f>
        <v>0</v>
      </c>
      <c r="T25" s="151" t="n">
        <f aca="false">(1.0276*1.06)*1.04</f>
        <v>1.13282624</v>
      </c>
      <c r="U25" s="393" t="n">
        <v>0</v>
      </c>
      <c r="V25" s="209" t="n">
        <v>74.6</v>
      </c>
      <c r="W25" s="599" t="n">
        <v>70.7</v>
      </c>
      <c r="X25" s="280" t="n">
        <f aca="false">M25-N25-O25-P25-Q25-R25-S25-T25-U25+V25+W25-AT25+AR25</f>
        <v>304.475364358128</v>
      </c>
      <c r="Y25" s="280" t="n">
        <f aca="false">X25-AO25</f>
        <v>304.475364358128</v>
      </c>
      <c r="Z25" s="123" t="n">
        <f aca="false">Z24+AP25</f>
        <v>9620.99082399745</v>
      </c>
      <c r="AA25" s="155" t="n">
        <f aca="false">(-AP25)</f>
        <v>78.22217376</v>
      </c>
      <c r="AB25" s="244"/>
      <c r="AC25" s="244" t="n">
        <f aca="false">AC24-(AQ24/1.9835)+AS25</f>
        <v>1509.2040912389</v>
      </c>
      <c r="AD25" s="484" t="n">
        <f aca="false">AD24</f>
        <v>1495.84068565667</v>
      </c>
      <c r="AE25" s="599" t="n">
        <v>198</v>
      </c>
      <c r="AF25" s="279" t="n">
        <v>1.7</v>
      </c>
      <c r="AG25" s="281" t="n">
        <v>1.3</v>
      </c>
      <c r="AH25" s="209" t="n">
        <v>65.6</v>
      </c>
      <c r="AI25" s="176" t="n">
        <f aca="false">AI24-AH25</f>
        <v>8965.35787748927</v>
      </c>
      <c r="AJ25" s="176"/>
      <c r="AK25" s="11" t="n">
        <f aca="false">N25+O25+P25+Q25+R25+S25+T25+U25+X25+AE25+AH25-AR25</f>
        <v>674.9</v>
      </c>
      <c r="AL25" s="209" t="n">
        <f aca="false">IF(L25&lt;0,L25*-1,0)</f>
        <v>0</v>
      </c>
      <c r="AM25" s="209" t="n">
        <f aca="false">AK25+AL25</f>
        <v>674.9</v>
      </c>
      <c r="AN25" s="303"/>
      <c r="AO25" s="548"/>
      <c r="AP25" s="112" t="n">
        <f aca="false">I25-Q25-R25-X25-AF25</f>
        <v>-78.22217376</v>
      </c>
      <c r="AQ25" s="186" t="n">
        <f aca="false">59.434*(Z25*1.9835+AC25*1.9835)/E25</f>
        <v>7.09098655477248</v>
      </c>
      <c r="AR25" s="601"/>
      <c r="AS25" s="173" t="n">
        <f aca="false">AS24</f>
        <v>7.45</v>
      </c>
      <c r="AT25" s="5"/>
      <c r="AU25" s="4"/>
      <c r="AV25" s="602" t="n">
        <v>0</v>
      </c>
      <c r="AW25" s="603" t="n">
        <v>85</v>
      </c>
      <c r="AX25" s="206" t="n">
        <v>54</v>
      </c>
      <c r="AY25" s="161"/>
      <c r="AZ25" s="282" t="n">
        <f aca="false">SUM(N25,P25:U25)</f>
        <v>7.17963564187221</v>
      </c>
      <c r="BA25" s="558" t="n">
        <v>60</v>
      </c>
      <c r="BB25" s="407" t="n">
        <v>19627</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207" t="n">
        <v>12</v>
      </c>
      <c r="B26" s="342" t="n">
        <v>6913.48</v>
      </c>
      <c r="C26" s="176" t="n">
        <v>336094</v>
      </c>
      <c r="D26" s="206" t="n">
        <f aca="false">C26-C25</f>
        <v>-945</v>
      </c>
      <c r="E26" s="176" t="n">
        <f aca="false">C26-152000</f>
        <v>184094</v>
      </c>
      <c r="F26" s="598" t="n">
        <f aca="false">D26/$D$2</f>
        <v>-476.430552054449</v>
      </c>
      <c r="G26" s="599" t="n">
        <v>207</v>
      </c>
      <c r="H26" s="210" t="n">
        <v>0</v>
      </c>
      <c r="I26" s="209" t="n">
        <f aca="false">G26+H26</f>
        <v>207</v>
      </c>
      <c r="J26" s="120" t="n">
        <f aca="false">IF(L26&gt;0,L26,0)</f>
        <v>0</v>
      </c>
      <c r="K26" s="209" t="n">
        <f aca="false">I26+J26</f>
        <v>207</v>
      </c>
      <c r="L26" s="209" t="n">
        <f aca="false">F26-(I26-AK26)</f>
        <v>-47.9305520544491</v>
      </c>
      <c r="M26" s="600" t="n">
        <v>272</v>
      </c>
      <c r="N26" s="186" t="n">
        <v>0</v>
      </c>
      <c r="O26" s="209" t="n">
        <f aca="false">91.8*1.05</f>
        <v>96.39</v>
      </c>
      <c r="P26" s="186" t="n">
        <v>0</v>
      </c>
      <c r="Q26" s="373" t="n">
        <f aca="false">1711000/325851/1.9835*1.02</f>
        <v>2.70021856179134</v>
      </c>
      <c r="R26" s="151" t="n">
        <f aca="false">IF(((6*1.04)-T26)&gt;=4.2,4.2,(6*1.04)-T26)</f>
        <v>4.2</v>
      </c>
      <c r="S26" s="151" t="n">
        <f aca="false">IF(((6*1.04)-T26)&gt;=4.2,((6*1.04)-T26)-4.2,0)</f>
        <v>0.87454272</v>
      </c>
      <c r="T26" s="151" t="n">
        <f aca="false">(1.0572*1.06)*1.04</f>
        <v>1.16545728</v>
      </c>
      <c r="U26" s="393" t="n">
        <v>0</v>
      </c>
      <c r="V26" s="209" t="n">
        <v>37.7</v>
      </c>
      <c r="W26" s="599" t="n">
        <v>71.2</v>
      </c>
      <c r="X26" s="280" t="n">
        <f aca="false">M26-N26-O26-P26-Q26-R26-S26-T26-U26+V26+W26-AT26+AR26</f>
        <v>275.569781438209</v>
      </c>
      <c r="Y26" s="280" t="n">
        <f aca="false">X26-AO26</f>
        <v>275.569781438209</v>
      </c>
      <c r="Z26" s="123" t="n">
        <f aca="false">Z25+AP26</f>
        <v>9543.82082399745</v>
      </c>
      <c r="AA26" s="155" t="n">
        <f aca="false">(-AP26)</f>
        <v>77.17</v>
      </c>
      <c r="AB26" s="244"/>
      <c r="AC26" s="244" t="n">
        <f aca="false">AC25-(AQ25/1.9835)+AS26</f>
        <v>1513.07910431943</v>
      </c>
      <c r="AD26" s="484" t="n">
        <f aca="false">AD25</f>
        <v>1495.84068565667</v>
      </c>
      <c r="AE26" s="599" t="n">
        <v>189</v>
      </c>
      <c r="AF26" s="279" t="n">
        <v>1.7</v>
      </c>
      <c r="AG26" s="281" t="n">
        <v>1.3</v>
      </c>
      <c r="AH26" s="209" t="n">
        <v>65.6</v>
      </c>
      <c r="AI26" s="176" t="n">
        <f aca="false">AI25-AH26</f>
        <v>8899.75787748927</v>
      </c>
      <c r="AJ26" s="176"/>
      <c r="AK26" s="11" t="n">
        <f aca="false">N26+O26+P26+Q26+R26+S26+T26+U26+X26+AE26+AH26-AR26</f>
        <v>635.5</v>
      </c>
      <c r="AL26" s="209" t="n">
        <f aca="false">IF(L26&lt;0,L26*-1,0)</f>
        <v>47.9305520544491</v>
      </c>
      <c r="AM26" s="209" t="n">
        <f aca="false">AK26+AL26</f>
        <v>683.430552054449</v>
      </c>
      <c r="AN26" s="303"/>
      <c r="AO26" s="548"/>
      <c r="AP26" s="112" t="n">
        <f aca="false">I26-Q26-R26-X26-AF26</f>
        <v>-77.17</v>
      </c>
      <c r="AQ26" s="186" t="n">
        <f aca="false">89.057*(Z26*1.9835+AC26*1.9835)/E26</f>
        <v>10.6094778606208</v>
      </c>
      <c r="AR26" s="601"/>
      <c r="AS26" s="173" t="n">
        <f aca="false">AS25</f>
        <v>7.45</v>
      </c>
      <c r="AT26" s="5"/>
      <c r="AU26" s="4"/>
      <c r="AV26" s="602" t="n">
        <v>0</v>
      </c>
      <c r="AW26" s="603" t="n">
        <v>86</v>
      </c>
      <c r="AX26" s="206" t="n">
        <v>55</v>
      </c>
      <c r="AY26" s="161"/>
      <c r="AZ26" s="282" t="n">
        <f aca="false">SUM(N26,P26:U26)</f>
        <v>8.94021856179134</v>
      </c>
      <c r="BA26" s="558" t="n">
        <v>59.8</v>
      </c>
      <c r="BB26" s="407" t="n">
        <v>19527</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207" t="n">
        <v>13</v>
      </c>
      <c r="B27" s="342" t="n">
        <v>6913.25</v>
      </c>
      <c r="C27" s="176" t="n">
        <v>335149</v>
      </c>
      <c r="D27" s="206" t="n">
        <f aca="false">C27-C26</f>
        <v>-945</v>
      </c>
      <c r="E27" s="176" t="n">
        <f aca="false">C27-152000</f>
        <v>183149</v>
      </c>
      <c r="F27" s="598" t="n">
        <f aca="false">D27/$D$2</f>
        <v>-476.430552054449</v>
      </c>
      <c r="G27" s="599" t="n">
        <v>184</v>
      </c>
      <c r="H27" s="210" t="n">
        <v>0</v>
      </c>
      <c r="I27" s="209" t="n">
        <f aca="false">G27+H27</f>
        <v>184</v>
      </c>
      <c r="J27" s="120" t="n">
        <f aca="false">IF(L27&gt;0,L27,0)</f>
        <v>0</v>
      </c>
      <c r="K27" s="209" t="n">
        <f aca="false">I27+J27</f>
        <v>184</v>
      </c>
      <c r="L27" s="209" t="n">
        <f aca="false">F27-(I27-AK27)</f>
        <v>-39.9305520544491</v>
      </c>
      <c r="M27" s="600" t="n">
        <v>261</v>
      </c>
      <c r="N27" s="186" t="n">
        <v>0</v>
      </c>
      <c r="O27" s="209" t="n">
        <f aca="false">88.3*1.05</f>
        <v>92.715</v>
      </c>
      <c r="P27" s="186" t="n">
        <v>0</v>
      </c>
      <c r="Q27" s="373" t="n">
        <f aca="false">1812400/325851/1.9835*1.02</f>
        <v>2.86024320361813</v>
      </c>
      <c r="R27" s="151" t="n">
        <f aca="false">IF(((7*1.04)-T27)&gt;=4.2,4.2,(7*1.04)-T27)</f>
        <v>4.2</v>
      </c>
      <c r="S27" s="151" t="n">
        <f aca="false">IF(((7*1.04)-T27)&gt;=4.2,((7*1.04)-T27)-4.2,0)</f>
        <v>1.91454272</v>
      </c>
      <c r="T27" s="151" t="n">
        <f aca="false">(1.0572*1.06)*1.04</f>
        <v>1.16545728</v>
      </c>
      <c r="U27" s="393" t="n">
        <v>0</v>
      </c>
      <c r="V27" s="209" t="n">
        <v>34.1</v>
      </c>
      <c r="W27" s="599" t="n">
        <v>70.8</v>
      </c>
      <c r="X27" s="280" t="n">
        <f aca="false">M27-N27-O27-P27-Q27-R27-S27-T27-U27+V27+W27-AT27+AR27</f>
        <v>263.044756796382</v>
      </c>
      <c r="Y27" s="280" t="n">
        <f aca="false">X27-AO27</f>
        <v>263.044756796382</v>
      </c>
      <c r="Z27" s="123" t="n">
        <f aca="false">Z26+AP27</f>
        <v>9456.01582399745</v>
      </c>
      <c r="AA27" s="155" t="n">
        <f aca="false">(-AP27)</f>
        <v>87.805</v>
      </c>
      <c r="AB27" s="244"/>
      <c r="AC27" s="244" t="n">
        <f aca="false">AC26-(AQ26/1.9835)+AS27</f>
        <v>1515.18023723567</v>
      </c>
      <c r="AD27" s="484" t="n">
        <f aca="false">AD26</f>
        <v>1495.84068565667</v>
      </c>
      <c r="AE27" s="599" t="n">
        <v>189</v>
      </c>
      <c r="AF27" s="279" t="n">
        <v>1.7</v>
      </c>
      <c r="AG27" s="281" t="n">
        <v>1.3</v>
      </c>
      <c r="AH27" s="209" t="n">
        <v>65.6</v>
      </c>
      <c r="AI27" s="176" t="n">
        <f aca="false">AI26-AH27</f>
        <v>8834.15787748927</v>
      </c>
      <c r="AJ27" s="176"/>
      <c r="AK27" s="11" t="n">
        <f aca="false">N27+O27+P27+Q27+R27+S27+T27+U27+X27+AE27+AH27-AR27</f>
        <v>620.5</v>
      </c>
      <c r="AL27" s="209" t="n">
        <f aca="false">IF(L27&lt;0,L27*-1,0)</f>
        <v>39.9305520544491</v>
      </c>
      <c r="AM27" s="209" t="n">
        <f aca="false">AK27+AL27</f>
        <v>660.430552054449</v>
      </c>
      <c r="AN27" s="303"/>
      <c r="AO27" s="548"/>
      <c r="AP27" s="112" t="n">
        <f aca="false">I27-Q27-R27-X27-AF27</f>
        <v>-87.805</v>
      </c>
      <c r="AQ27" s="186" t="n">
        <f aca="false">79.268*(Z27*1.9835+AC27*1.9835)/E27</f>
        <v>9.41845202577603</v>
      </c>
      <c r="AR27" s="601"/>
      <c r="AS27" s="173" t="n">
        <f aca="false">AS26</f>
        <v>7.45</v>
      </c>
      <c r="AT27" s="5"/>
      <c r="AU27" s="4"/>
      <c r="AV27" s="602" t="n">
        <v>0</v>
      </c>
      <c r="AW27" s="603" t="n">
        <v>88</v>
      </c>
      <c r="AX27" s="206" t="n">
        <v>53</v>
      </c>
      <c r="AY27" s="161"/>
      <c r="AZ27" s="282" t="n">
        <f aca="false">SUM(N27,P27:U27)</f>
        <v>10.1402432036181</v>
      </c>
      <c r="BA27" s="558" t="n">
        <v>59.8</v>
      </c>
      <c r="BB27" s="407" t="n">
        <v>19416</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207" t="n">
        <v>14</v>
      </c>
      <c r="B28" s="342" t="n">
        <v>6913.05</v>
      </c>
      <c r="C28" s="176" t="n">
        <v>334327</v>
      </c>
      <c r="D28" s="206" t="n">
        <f aca="false">C28-C27</f>
        <v>-822</v>
      </c>
      <c r="E28" s="176" t="n">
        <f aca="false">C28-152000</f>
        <v>182327</v>
      </c>
      <c r="F28" s="598" t="n">
        <f aca="false">D28/$D$2</f>
        <v>-414.418956390219</v>
      </c>
      <c r="G28" s="599" t="n">
        <v>173</v>
      </c>
      <c r="H28" s="210" t="n">
        <v>0</v>
      </c>
      <c r="I28" s="209" t="n">
        <f aca="false">G28+H28</f>
        <v>173</v>
      </c>
      <c r="J28" s="120" t="n">
        <f aca="false">IF(L28&gt;0,L28,0)</f>
        <v>19.0810436097807</v>
      </c>
      <c r="K28" s="209" t="n">
        <f aca="false">I28+J28</f>
        <v>192.081043609781</v>
      </c>
      <c r="L28" s="209" t="n">
        <f aca="false">F28-(I28-AK28)</f>
        <v>19.0810436097807</v>
      </c>
      <c r="M28" s="600" t="n">
        <v>265</v>
      </c>
      <c r="N28" s="186" t="n">
        <v>0</v>
      </c>
      <c r="O28" s="209" t="n">
        <f aca="false">93.3*1.05</f>
        <v>97.965</v>
      </c>
      <c r="P28" s="186" t="n">
        <v>0</v>
      </c>
      <c r="Q28" s="373" t="n">
        <f aca="false">2145500/325851/1.9835*1.02</f>
        <v>3.38592573017143</v>
      </c>
      <c r="R28" s="151" t="n">
        <f aca="false">IF(((6.4*1.04)-T28)&gt;=4.2,4.2,(6.4*1.04)-T28)</f>
        <v>4.2</v>
      </c>
      <c r="S28" s="151" t="n">
        <f aca="false">IF(((6.4*1.04)-T28)&gt;=4.2,((6.4*1.04)-T28)-4.2,0)</f>
        <v>1.29054272</v>
      </c>
      <c r="T28" s="151" t="n">
        <f aca="false">(1.0572*1.06)*1.04</f>
        <v>1.16545728</v>
      </c>
      <c r="U28" s="393" t="n">
        <v>0</v>
      </c>
      <c r="V28" s="209" t="n">
        <v>34.1</v>
      </c>
      <c r="W28" s="599" t="n">
        <v>66.8</v>
      </c>
      <c r="X28" s="280" t="n">
        <f aca="false">M28-N28-O28-P28-Q28-R28-S28-T28-U28+V28+W28-AT28+AR28</f>
        <v>257.893074269829</v>
      </c>
      <c r="Y28" s="280" t="n">
        <f aca="false">X28-AO28</f>
        <v>257.893074269829</v>
      </c>
      <c r="Z28" s="123" t="n">
        <f aca="false">Z27+AP28</f>
        <v>9361.83682399745</v>
      </c>
      <c r="AA28" s="155" t="n">
        <f aca="false">(-AP28)</f>
        <v>94.179</v>
      </c>
      <c r="AB28" s="244"/>
      <c r="AC28" s="244" t="n">
        <f aca="false">AC27-(AQ27/1.9835)+AS28</f>
        <v>1517.88183692018</v>
      </c>
      <c r="AD28" s="484" t="n">
        <f aca="false">AD27</f>
        <v>1495.84068565667</v>
      </c>
      <c r="AE28" s="599" t="n">
        <v>175</v>
      </c>
      <c r="AF28" s="279" t="n">
        <v>1.7</v>
      </c>
      <c r="AG28" s="281" t="n">
        <v>1.3</v>
      </c>
      <c r="AH28" s="209" t="n">
        <v>65.6</v>
      </c>
      <c r="AI28" s="176" t="n">
        <f aca="false">AI27-AH28</f>
        <v>8768.55787748927</v>
      </c>
      <c r="AJ28" s="176"/>
      <c r="AK28" s="11" t="n">
        <f aca="false">N28+O28+P28+Q28+R28+S28+T28+U28+X28+AE28+AH28-AR28</f>
        <v>606.5</v>
      </c>
      <c r="AL28" s="209" t="n">
        <f aca="false">IF(L28&lt;0,L28*-1,0)</f>
        <v>0</v>
      </c>
      <c r="AM28" s="209" t="n">
        <f aca="false">AK28+AL28</f>
        <v>606.5</v>
      </c>
      <c r="AN28" s="303"/>
      <c r="AO28" s="548"/>
      <c r="AP28" s="112" t="n">
        <f aca="false">I28-Q28-R28-X28-AF28</f>
        <v>-94.179</v>
      </c>
      <c r="AQ28" s="186" t="n">
        <f aca="false">62.555*(Z28*1.9835+AC28*1.9835)/E28</f>
        <v>7.40390626979904</v>
      </c>
      <c r="AR28" s="601"/>
      <c r="AS28" s="173" t="n">
        <f aca="false">AS27</f>
        <v>7.45</v>
      </c>
      <c r="AT28" s="5"/>
      <c r="AU28" s="4"/>
      <c r="AV28" s="602" t="n">
        <v>0</v>
      </c>
      <c r="AW28" s="603" t="n">
        <v>88</v>
      </c>
      <c r="AX28" s="206" t="n">
        <v>52</v>
      </c>
      <c r="AY28" s="161"/>
      <c r="AZ28" s="282" t="n">
        <f aca="false">SUM(N28,P28:U28)</f>
        <v>10.0419257301714</v>
      </c>
      <c r="BA28" s="558" t="n">
        <v>59.6</v>
      </c>
      <c r="BB28" s="407" t="n">
        <v>19300</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207" t="n">
        <v>15</v>
      </c>
      <c r="B29" s="342" t="n">
        <v>6912.81</v>
      </c>
      <c r="C29" s="176" t="n">
        <v>333347</v>
      </c>
      <c r="D29" s="206" t="n">
        <f aca="false">C29-C28</f>
        <v>-980</v>
      </c>
      <c r="E29" s="176" t="n">
        <f aca="false">C29-152000</f>
        <v>181347</v>
      </c>
      <c r="F29" s="598" t="n">
        <f aca="false">D29/$D$2</f>
        <v>-494.076128056466</v>
      </c>
      <c r="G29" s="599" t="n">
        <v>166</v>
      </c>
      <c r="H29" s="210" t="n">
        <v>0</v>
      </c>
      <c r="I29" s="209" t="n">
        <f aca="false">G29+H29</f>
        <v>166</v>
      </c>
      <c r="J29" s="120" t="n">
        <f aca="false">IF(L29&gt;0,L29,0)</f>
        <v>0</v>
      </c>
      <c r="K29" s="209" t="n">
        <f aca="false">I29+J29</f>
        <v>166</v>
      </c>
      <c r="L29" s="209" t="n">
        <f aca="false">F29-(I29-AK29)</f>
        <v>-39.2761280564658</v>
      </c>
      <c r="M29" s="600" t="n">
        <v>265</v>
      </c>
      <c r="N29" s="186" t="n">
        <v>0</v>
      </c>
      <c r="O29" s="209" t="n">
        <v>74.9</v>
      </c>
      <c r="P29" s="186" t="n">
        <v>0</v>
      </c>
      <c r="Q29" s="373" t="n">
        <f aca="false">1742400/325851/1.9835*1.02</f>
        <v>2.74977254357992</v>
      </c>
      <c r="R29" s="151" t="n">
        <f aca="false">IF(((6.2*1.04)-T29)&gt;=4.2,4.2,(6.2*1.04)-T29)</f>
        <v>4.2</v>
      </c>
      <c r="S29" s="151" t="n">
        <f aca="false">IF(((6.2*1.04)-T29)&gt;=4.2,((6.2*1.04)-T29)-4.2,0)</f>
        <v>1.08254272</v>
      </c>
      <c r="T29" s="151" t="n">
        <f aca="false">(1.0572*1.06)*1.04</f>
        <v>1.16545728</v>
      </c>
      <c r="U29" s="393" t="n">
        <v>0</v>
      </c>
      <c r="V29" s="209" t="n">
        <v>34.1</v>
      </c>
      <c r="W29" s="599" t="n">
        <v>70.1</v>
      </c>
      <c r="X29" s="280" t="n">
        <f aca="false">M29-N29-O29-P29-Q29-R29-S29-T29-U29+V29+W29-AT29+AR29</f>
        <v>285.10222745642</v>
      </c>
      <c r="Y29" s="280" t="n">
        <f aca="false">X29-AO29</f>
        <v>285.10222745642</v>
      </c>
      <c r="Z29" s="123" t="n">
        <f aca="false">Z28+AP29</f>
        <v>9234.08482399745</v>
      </c>
      <c r="AA29" s="155" t="n">
        <f aca="false">(-AP29)</f>
        <v>127.752</v>
      </c>
      <c r="AB29" s="244"/>
      <c r="AC29" s="244" t="n">
        <f aca="false">AC28-(AQ28/1.9835)+AS29</f>
        <v>1521.59908861174</v>
      </c>
      <c r="AD29" s="484" t="n">
        <f aca="false">AD28</f>
        <v>1495.84068565667</v>
      </c>
      <c r="AE29" s="599" t="n">
        <v>186</v>
      </c>
      <c r="AF29" s="279" t="n">
        <v>1.7</v>
      </c>
      <c r="AG29" s="281" t="n">
        <v>1.3</v>
      </c>
      <c r="AH29" s="209" t="n">
        <v>65.6</v>
      </c>
      <c r="AI29" s="176" t="n">
        <f aca="false">AI28-AH29</f>
        <v>8702.95787748927</v>
      </c>
      <c r="AJ29" s="176"/>
      <c r="AK29" s="11" t="n">
        <f aca="false">N29+O29+P29+Q29+R29+S29+T29+U29+X29+AE29+AH29-AR29</f>
        <v>620.8</v>
      </c>
      <c r="AL29" s="209" t="n">
        <f aca="false">IF(L29&lt;0,L29*-1,0)</f>
        <v>39.2761280564658</v>
      </c>
      <c r="AM29" s="209" t="n">
        <f aca="false">AK29+AL29</f>
        <v>660.076128056466</v>
      </c>
      <c r="AN29" s="303"/>
      <c r="AO29" s="548"/>
      <c r="AP29" s="112" t="n">
        <f aca="false">I29-Q29-R29-X29-AF29</f>
        <v>-127.752</v>
      </c>
      <c r="AQ29" s="186" t="n">
        <f aca="false">87.624*(Z29*1.9835+AC29*1.9835)/E29</f>
        <v>10.3082023388246</v>
      </c>
      <c r="AR29" s="601"/>
      <c r="AS29" s="173" t="n">
        <f aca="false">AS28</f>
        <v>7.45</v>
      </c>
      <c r="AT29" s="5"/>
      <c r="AU29" s="4"/>
      <c r="AV29" s="602" t="n">
        <v>0</v>
      </c>
      <c r="AW29" s="603" t="n">
        <v>91</v>
      </c>
      <c r="AX29" s="206" t="n">
        <v>54</v>
      </c>
      <c r="AY29" s="161"/>
      <c r="AZ29" s="282" t="n">
        <f aca="false">SUM(N29,P29:U29)</f>
        <v>9.19777254357992</v>
      </c>
      <c r="BA29" s="558" t="n">
        <v>59.5</v>
      </c>
      <c r="BB29" s="407" t="n">
        <v>19205</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207" t="n">
        <v>16</v>
      </c>
      <c r="B30" s="342" t="n">
        <v>6912.58</v>
      </c>
      <c r="C30" s="176" t="n">
        <v>332409</v>
      </c>
      <c r="D30" s="206" t="n">
        <f aca="false">C30-C29</f>
        <v>-938</v>
      </c>
      <c r="E30" s="176" t="n">
        <f aca="false">C30-152000</f>
        <v>180409</v>
      </c>
      <c r="F30" s="598" t="n">
        <f aca="false">D30/$D$2</f>
        <v>-472.901436854046</v>
      </c>
      <c r="G30" s="599" t="n">
        <v>160</v>
      </c>
      <c r="H30" s="210" t="n">
        <v>0</v>
      </c>
      <c r="I30" s="209" t="n">
        <f aca="false">G30+H30</f>
        <v>160</v>
      </c>
      <c r="J30" s="120" t="n">
        <f aca="false">IF(L30&gt;0,L30,0)</f>
        <v>22.1985631459542</v>
      </c>
      <c r="K30" s="209" t="n">
        <f aca="false">I30+J30</f>
        <v>182.198563145954</v>
      </c>
      <c r="L30" s="209" t="n">
        <f aca="false">F30-(I30-AK30)</f>
        <v>22.1985631459542</v>
      </c>
      <c r="M30" s="600" t="n">
        <v>271</v>
      </c>
      <c r="N30" s="186" t="n">
        <v>0</v>
      </c>
      <c r="O30" s="209" t="n">
        <f aca="false">86.2*1.05</f>
        <v>90.51</v>
      </c>
      <c r="P30" s="186" t="n">
        <v>0</v>
      </c>
      <c r="Q30" s="373" t="n">
        <f aca="false">1674700/325851/1.9835*1.02</f>
        <v>2.64293163380009</v>
      </c>
      <c r="R30" s="151" t="n">
        <f aca="false">IF(((6.9*1.04)-T30)&gt;=4.2,4.2,(6.9*1.04)-T30)</f>
        <v>4.2</v>
      </c>
      <c r="S30" s="151" t="n">
        <f aca="false">IF(((6.9*1.04)-T30)&gt;=4.2,((6.9*1.04)-T30)-4.2,0)</f>
        <v>1.81054272</v>
      </c>
      <c r="T30" s="151" t="n">
        <f aca="false">(1.0572*1.06)*1.04</f>
        <v>1.16545728</v>
      </c>
      <c r="U30" s="393" t="n">
        <v>0</v>
      </c>
      <c r="V30" s="209" t="n">
        <v>34.1</v>
      </c>
      <c r="W30" s="599" t="n">
        <v>71.4</v>
      </c>
      <c r="X30" s="280" t="n">
        <f aca="false">M30-N30-O30-P30-Q30-R30-S30-T30-U30+V30+W30-AT30+AR30</f>
        <v>276.1710683662</v>
      </c>
      <c r="Y30" s="280" t="n">
        <f aca="false">X30-AO30</f>
        <v>276.1710683662</v>
      </c>
      <c r="Z30" s="123" t="n">
        <f aca="false">Z29+AP30</f>
        <v>9109.37082399745</v>
      </c>
      <c r="AA30" s="155" t="n">
        <f aca="false">(-AP30)</f>
        <v>124.714</v>
      </c>
      <c r="AB30" s="244"/>
      <c r="AC30" s="244" t="n">
        <f aca="false">AC29-(AQ29/1.9835)+AS30</f>
        <v>1523.85211238848</v>
      </c>
      <c r="AD30" s="484" t="n">
        <f aca="false">AD29</f>
        <v>1495.84068565667</v>
      </c>
      <c r="AE30" s="599" t="n">
        <v>213</v>
      </c>
      <c r="AF30" s="279" t="n">
        <v>1.7</v>
      </c>
      <c r="AG30" s="281" t="n">
        <v>1.3</v>
      </c>
      <c r="AH30" s="209" t="n">
        <v>65.6</v>
      </c>
      <c r="AI30" s="176" t="n">
        <f aca="false">AI29-AH30</f>
        <v>8637.35787748927</v>
      </c>
      <c r="AJ30" s="176"/>
      <c r="AK30" s="11" t="n">
        <f aca="false">N30+O30+P30+Q30+R30+S30+T30+U30+X30+AE30+AH30-AR30</f>
        <v>655.1</v>
      </c>
      <c r="AL30" s="209" t="n">
        <f aca="false">IF(L30&lt;0,L30*-1,0)</f>
        <v>0</v>
      </c>
      <c r="AM30" s="209" t="n">
        <f aca="false">AK30+AL30</f>
        <v>655.1</v>
      </c>
      <c r="AN30" s="303"/>
      <c r="AO30" s="548"/>
      <c r="AP30" s="112" t="n">
        <f aca="false">I30-Q30-R30-X30-AF30</f>
        <v>-124.714</v>
      </c>
      <c r="AQ30" s="186" t="n">
        <f aca="false">46.319*(Z30*1.9835+AC30*1.9835)/E30</f>
        <v>5.4149954946997</v>
      </c>
      <c r="AR30" s="601"/>
      <c r="AS30" s="173" t="n">
        <f aca="false">AS29</f>
        <v>7.45</v>
      </c>
      <c r="AT30" s="5"/>
      <c r="AU30" s="4"/>
      <c r="AV30" s="602" t="n">
        <v>0</v>
      </c>
      <c r="AW30" s="603" t="n">
        <v>86</v>
      </c>
      <c r="AX30" s="206" t="n">
        <v>59</v>
      </c>
      <c r="AY30" s="161"/>
      <c r="AZ30" s="282" t="n">
        <f aca="false">SUM(N30,P30:U30)</f>
        <v>9.81893163380009</v>
      </c>
      <c r="BA30" s="558" t="n">
        <v>59.5</v>
      </c>
      <c r="BB30" s="407" t="n">
        <v>19068</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207" t="n">
        <v>17</v>
      </c>
      <c r="B31" s="342" t="n">
        <v>6912.31</v>
      </c>
      <c r="C31" s="176" t="n">
        <v>331308</v>
      </c>
      <c r="D31" s="206" t="n">
        <f aca="false">C31-C30</f>
        <v>-1101</v>
      </c>
      <c r="E31" s="176" t="n">
        <f aca="false">C31-152000</f>
        <v>179308</v>
      </c>
      <c r="F31" s="598" t="n">
        <f aca="false">D31/$D$2</f>
        <v>-555.079405092009</v>
      </c>
      <c r="G31" s="599" t="n">
        <v>157</v>
      </c>
      <c r="H31" s="210" t="n">
        <v>0</v>
      </c>
      <c r="I31" s="209" t="n">
        <f aca="false">G31+H31</f>
        <v>157</v>
      </c>
      <c r="J31" s="120" t="n">
        <f aca="false">IF(L31&gt;0,L31,0)</f>
        <v>0</v>
      </c>
      <c r="K31" s="209" t="n">
        <f aca="false">I31+J31</f>
        <v>157</v>
      </c>
      <c r="L31" s="209" t="n">
        <f aca="false">F31-(I31-AK31)</f>
        <v>-63.279405092009</v>
      </c>
      <c r="M31" s="600" t="n">
        <v>258</v>
      </c>
      <c r="N31" s="186" t="n">
        <v>0</v>
      </c>
      <c r="O31" s="209" t="n">
        <f aca="false">79.5*1.05</f>
        <v>83.475</v>
      </c>
      <c r="P31" s="186" t="n">
        <v>0</v>
      </c>
      <c r="Q31" s="373" t="n">
        <f aca="false">1831200/325851/1.9835*1.02</f>
        <v>2.88991246659983</v>
      </c>
      <c r="R31" s="151" t="n">
        <f aca="false">IF(((7*1.04)-T31)&gt;=4.2,4.2,(7*1.04)-T31)</f>
        <v>4.2</v>
      </c>
      <c r="S31" s="151" t="n">
        <f aca="false">IF(((7*1.04)-T31)&gt;=4.2,((7*1.04)-T31)-4.2,0)</f>
        <v>1.91454272</v>
      </c>
      <c r="T31" s="151" t="n">
        <f aca="false">(1.0572*1.06)*1.04</f>
        <v>1.16545728</v>
      </c>
      <c r="U31" s="393" t="n">
        <v>0</v>
      </c>
      <c r="V31" s="209" t="n">
        <v>33.8</v>
      </c>
      <c r="W31" s="599" t="n">
        <v>71.4</v>
      </c>
      <c r="X31" s="280" t="n">
        <f aca="false">M31-N31-O31-P31-Q31-R31-S31-T31-U31+V31+W31-AT31+AR31</f>
        <v>269.5550875334</v>
      </c>
      <c r="Y31" s="280" t="n">
        <f aca="false">X31-AO31</f>
        <v>269.5550875334</v>
      </c>
      <c r="Z31" s="123" t="n">
        <f aca="false">Z30+AP31</f>
        <v>8988.02582399745</v>
      </c>
      <c r="AA31" s="155" t="n">
        <f aca="false">(-AP31)</f>
        <v>121.345</v>
      </c>
      <c r="AB31" s="244"/>
      <c r="AC31" s="244" t="n">
        <f aca="false">AC30-(AQ30/1.9835)+AS31</f>
        <v>1528.5720919727</v>
      </c>
      <c r="AD31" s="484" t="n">
        <f aca="false">AD30</f>
        <v>1495.84068565667</v>
      </c>
      <c r="AE31" s="599" t="n">
        <v>224</v>
      </c>
      <c r="AF31" s="279" t="n">
        <v>1.7</v>
      </c>
      <c r="AG31" s="281" t="n">
        <v>1.3</v>
      </c>
      <c r="AH31" s="209" t="n">
        <v>61.6</v>
      </c>
      <c r="AI31" s="176" t="n">
        <f aca="false">AI30-AH31</f>
        <v>8575.75787748927</v>
      </c>
      <c r="AJ31" s="176"/>
      <c r="AK31" s="11" t="n">
        <f aca="false">N31+O31+P31+Q31+R31+S31+T31+U31+X31+AE31+AH31-AR31</f>
        <v>648.8</v>
      </c>
      <c r="AL31" s="209" t="n">
        <f aca="false">IF(L31&lt;0,L31*-1,0)</f>
        <v>63.279405092009</v>
      </c>
      <c r="AM31" s="209" t="n">
        <f aca="false">AK31+AL31</f>
        <v>712.079405092009</v>
      </c>
      <c r="AN31" s="303"/>
      <c r="AO31" s="548"/>
      <c r="AP31" s="112" t="n">
        <f aca="false">I31-Q31-R31-X31-AF31</f>
        <v>-121.345</v>
      </c>
      <c r="AQ31" s="186" t="n">
        <f aca="false">53.064*(Z31*1.9835+AC31*1.9835)/E31</f>
        <v>6.17316368048925</v>
      </c>
      <c r="AR31" s="601"/>
      <c r="AS31" s="173" t="n">
        <f aca="false">AS30</f>
        <v>7.45</v>
      </c>
      <c r="AT31" s="5"/>
      <c r="AU31" s="4"/>
      <c r="AV31" s="602" t="n">
        <v>0</v>
      </c>
      <c r="AW31" s="603" t="n">
        <v>83</v>
      </c>
      <c r="AX31" s="206" t="n">
        <v>56</v>
      </c>
      <c r="AY31" s="161"/>
      <c r="AZ31" s="282" t="n">
        <f aca="false">SUM(N31,P31:U31)</f>
        <v>10.1699124665998</v>
      </c>
      <c r="BA31" s="558" t="n">
        <v>59.3</v>
      </c>
      <c r="BB31" s="407" t="n">
        <v>18931</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207" t="n">
        <v>18</v>
      </c>
      <c r="B32" s="342" t="n">
        <v>6912.04</v>
      </c>
      <c r="C32" s="176" t="n">
        <v>330207</v>
      </c>
      <c r="D32" s="206" t="n">
        <f aca="false">C32-C31</f>
        <v>-1101</v>
      </c>
      <c r="E32" s="176" t="n">
        <f aca="false">C32-152000</f>
        <v>178207</v>
      </c>
      <c r="F32" s="598" t="n">
        <f aca="false">D32/$D$2</f>
        <v>-555.079405092009</v>
      </c>
      <c r="G32" s="599" t="n">
        <v>158</v>
      </c>
      <c r="H32" s="210" t="n">
        <v>0</v>
      </c>
      <c r="I32" s="209" t="n">
        <f aca="false">G32+H32</f>
        <v>158</v>
      </c>
      <c r="J32" s="120" t="n">
        <f aca="false">IF(L32&gt;0,L32,0)</f>
        <v>0</v>
      </c>
      <c r="K32" s="209" t="n">
        <f aca="false">I32+J32</f>
        <v>158</v>
      </c>
      <c r="L32" s="209" t="n">
        <f aca="false">F32-(I32-AK32)</f>
        <v>-59.4794050920091</v>
      </c>
      <c r="M32" s="600" t="n">
        <v>267</v>
      </c>
      <c r="N32" s="186" t="n">
        <v>0</v>
      </c>
      <c r="O32" s="209" t="n">
        <f aca="false">82.9*1.05</f>
        <v>87.045</v>
      </c>
      <c r="P32" s="186" t="n">
        <v>0</v>
      </c>
      <c r="Q32" s="373" t="n">
        <f aca="false">1561900/325851/1.9835*1.02</f>
        <v>2.46491605590993</v>
      </c>
      <c r="R32" s="151" t="n">
        <f aca="false">IF(((4.1*1.04)-T32)&gt;=4.2,4.2,(4.1*1.04)-T32)</f>
        <v>3.09854272</v>
      </c>
      <c r="S32" s="151" t="n">
        <f aca="false">IF(((4.1*1.04)-T32)&gt;=4.2,((4.1*1.04)-T32)-4.2,0)</f>
        <v>0</v>
      </c>
      <c r="T32" s="151" t="n">
        <f aca="false">(1.0572*1.06)*1.04</f>
        <v>1.16545728</v>
      </c>
      <c r="U32" s="393" t="n">
        <v>0</v>
      </c>
      <c r="V32" s="209" t="n">
        <v>34.9</v>
      </c>
      <c r="W32" s="599" t="n">
        <v>69.2</v>
      </c>
      <c r="X32" s="280" t="n">
        <f aca="false">M32-N32-O32-P32-Q32-R32-S32-T32-U32+V32+W32-AT32+AR32</f>
        <v>277.32608394409</v>
      </c>
      <c r="Y32" s="280" t="n">
        <f aca="false">X32-AO32</f>
        <v>277.32608394409</v>
      </c>
      <c r="Z32" s="123" t="n">
        <f aca="false">Z31+AP32</f>
        <v>8861.43628127745</v>
      </c>
      <c r="AA32" s="155" t="n">
        <f aca="false">(-AP32)</f>
        <v>126.58954272</v>
      </c>
      <c r="AB32" s="244"/>
      <c r="AC32" s="244" t="n">
        <f aca="false">AC31-(AQ31/1.9835)+AS32</f>
        <v>1532.90983400422</v>
      </c>
      <c r="AD32" s="484" t="n">
        <f aca="false">AD31</f>
        <v>1495.84068565667</v>
      </c>
      <c r="AE32" s="599" t="n">
        <v>223</v>
      </c>
      <c r="AF32" s="279" t="n">
        <v>1.7</v>
      </c>
      <c r="AG32" s="281" t="n">
        <v>1.3</v>
      </c>
      <c r="AH32" s="209" t="n">
        <v>59.5</v>
      </c>
      <c r="AI32" s="176" t="n">
        <f aca="false">AI31-AH32</f>
        <v>8516.25787748927</v>
      </c>
      <c r="AJ32" s="176"/>
      <c r="AK32" s="11" t="n">
        <f aca="false">N32+O32+P32+Q32+R32+S32+T32+U32+X32+AE32+AH32-AR32</f>
        <v>653.6</v>
      </c>
      <c r="AL32" s="209" t="n">
        <f aca="false">IF(L32&lt;0,L32*-1,0)</f>
        <v>59.4794050920091</v>
      </c>
      <c r="AM32" s="209" t="n">
        <f aca="false">AK32+AL32</f>
        <v>713.079405092009</v>
      </c>
      <c r="AN32" s="303"/>
      <c r="AO32" s="548"/>
      <c r="AP32" s="112" t="n">
        <f aca="false">I32-Q32-R32-X32-AF32</f>
        <v>-126.58954272</v>
      </c>
      <c r="AQ32" s="186" t="n">
        <f aca="false">39.324*(Z32*1.9835+AC32*1.9835)/E32</f>
        <v>4.54948572937739</v>
      </c>
      <c r="AR32" s="601"/>
      <c r="AS32" s="173" t="n">
        <f aca="false">AS31</f>
        <v>7.45</v>
      </c>
      <c r="AT32" s="5"/>
      <c r="AU32" s="4"/>
      <c r="AV32" s="602" t="n">
        <v>0</v>
      </c>
      <c r="AW32" s="603" t="n">
        <v>81</v>
      </c>
      <c r="AX32" s="206" t="n">
        <v>53</v>
      </c>
      <c r="AY32" s="161"/>
      <c r="AZ32" s="282" t="n">
        <f aca="false">SUM(N32,P32:U32)</f>
        <v>6.72891605590993</v>
      </c>
      <c r="BA32" s="558" t="n">
        <v>59.3</v>
      </c>
      <c r="BB32" s="407" t="n">
        <v>18796</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207" t="n">
        <v>19</v>
      </c>
      <c r="B33" s="342" t="n">
        <v>6911.81</v>
      </c>
      <c r="C33" s="176" t="n">
        <v>329276</v>
      </c>
      <c r="D33" s="206" t="n">
        <f aca="false">C33-C32</f>
        <v>-931</v>
      </c>
      <c r="E33" s="176" t="n">
        <f aca="false">C33-152000</f>
        <v>177276</v>
      </c>
      <c r="F33" s="598" t="n">
        <f aca="false">D33/$D$2</f>
        <v>-469.372321653643</v>
      </c>
      <c r="G33" s="599" t="n">
        <v>168</v>
      </c>
      <c r="H33" s="210" t="n">
        <v>0</v>
      </c>
      <c r="I33" s="209" t="n">
        <f aca="false">G33+H33</f>
        <v>168</v>
      </c>
      <c r="J33" s="120" t="n">
        <f aca="false">IF(L33&gt;0,L33,0)</f>
        <v>0</v>
      </c>
      <c r="K33" s="209" t="n">
        <f aca="false">I33+J33</f>
        <v>168</v>
      </c>
      <c r="L33" s="209" t="n">
        <f aca="false">F33-(I33-AK33)</f>
        <v>-0.772321653642507</v>
      </c>
      <c r="M33" s="600" t="n">
        <v>249</v>
      </c>
      <c r="N33" s="186" t="n">
        <v>0</v>
      </c>
      <c r="O33" s="209" t="n">
        <f aca="false">81.8*1.05</f>
        <v>85.89</v>
      </c>
      <c r="P33" s="186" t="n">
        <v>0</v>
      </c>
      <c r="Q33" s="373" t="n">
        <f aca="false">1885800/325851/1.9835*1.02</f>
        <v>2.97607958142964</v>
      </c>
      <c r="R33" s="151" t="n">
        <f aca="false">IF(((4.1*1.04)-T33)&gt;=4.2,4.2,(4.1*1.04)-T33)</f>
        <v>3.16071808</v>
      </c>
      <c r="S33" s="151" t="n">
        <f aca="false">IF(((4.1*1.04)-T33)&gt;=4.2,((4.1*1.04)-T33)-4.2,0)</f>
        <v>0</v>
      </c>
      <c r="T33" s="151" t="n">
        <f aca="false">(1.0008*1.06)*1.04</f>
        <v>1.10328192</v>
      </c>
      <c r="U33" s="393" t="n">
        <v>0</v>
      </c>
      <c r="V33" s="209" t="n">
        <v>37.1</v>
      </c>
      <c r="W33" s="599" t="n">
        <v>68.1</v>
      </c>
      <c r="X33" s="280" t="n">
        <f aca="false">M33-N33-O33-P33-Q33-R33-S33-T33-U33+V33+W33-AT33+AR33</f>
        <v>261.06992041857</v>
      </c>
      <c r="Y33" s="280" t="n">
        <f aca="false">X33-AO33</f>
        <v>261.06992041857</v>
      </c>
      <c r="Z33" s="123" t="n">
        <f aca="false">Z32+AP33</f>
        <v>8760.52956319745</v>
      </c>
      <c r="AA33" s="155" t="n">
        <f aca="false">(-AP33)</f>
        <v>100.90671808</v>
      </c>
      <c r="AB33" s="244"/>
      <c r="AC33" s="244" t="n">
        <f aca="false">AC32-(AQ32/1.9835)+AS33</f>
        <v>1538.06616839828</v>
      </c>
      <c r="AD33" s="484" t="n">
        <f aca="false">AD32</f>
        <v>1495.84068565667</v>
      </c>
      <c r="AE33" s="599" t="n">
        <v>223</v>
      </c>
      <c r="AF33" s="279" t="n">
        <v>1.7</v>
      </c>
      <c r="AG33" s="281" t="n">
        <v>1.3</v>
      </c>
      <c r="AH33" s="209" t="n">
        <v>59.4</v>
      </c>
      <c r="AI33" s="176" t="n">
        <f aca="false">AI32-AH33</f>
        <v>8456.85787748927</v>
      </c>
      <c r="AJ33" s="176"/>
      <c r="AK33" s="11" t="n">
        <f aca="false">N33+O33+P33+Q33+R33+S33+T33+U33+X33+AE33+AH33-AR33</f>
        <v>636.6</v>
      </c>
      <c r="AL33" s="209" t="n">
        <f aca="false">IF(L33&lt;0,L33*-1,0)</f>
        <v>0.772321653642507</v>
      </c>
      <c r="AM33" s="209" t="n">
        <f aca="false">AK33+AL33</f>
        <v>637.372321653643</v>
      </c>
      <c r="AN33" s="303"/>
      <c r="AO33" s="548"/>
      <c r="AP33" s="112" t="n">
        <f aca="false">I33-Q33-R33-X33-AF33</f>
        <v>-100.90671808</v>
      </c>
      <c r="AQ33" s="186" t="n">
        <f aca="false">18.951*(Z33*1.9835+AC33*1.9835)/E33</f>
        <v>2.18369712804742</v>
      </c>
      <c r="AR33" s="601"/>
      <c r="AS33" s="173" t="n">
        <f aca="false">AS32</f>
        <v>7.45</v>
      </c>
      <c r="AT33" s="5"/>
      <c r="AU33" s="4"/>
      <c r="AV33" s="602" t="n">
        <v>0.04</v>
      </c>
      <c r="AW33" s="603" t="n">
        <v>83</v>
      </c>
      <c r="AX33" s="206" t="n">
        <v>50</v>
      </c>
      <c r="AY33" s="161"/>
      <c r="AZ33" s="282" t="n">
        <f aca="false">SUM(N33,P33:U33)</f>
        <v>7.24007958142964</v>
      </c>
      <c r="BA33" s="558" t="n">
        <v>59.1</v>
      </c>
      <c r="BB33" s="407" t="n">
        <v>18742</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207" t="n">
        <v>20</v>
      </c>
      <c r="B34" s="342" t="n">
        <v>6911.57</v>
      </c>
      <c r="C34" s="176" t="n">
        <v>328305</v>
      </c>
      <c r="D34" s="206" t="n">
        <f aca="false">C34-C33</f>
        <v>-971</v>
      </c>
      <c r="E34" s="176" t="n">
        <f aca="false">C34-152000</f>
        <v>176305</v>
      </c>
      <c r="F34" s="598" t="n">
        <f aca="false">D34/$D$2</f>
        <v>-489.538694227376</v>
      </c>
      <c r="G34" s="599" t="n">
        <v>151</v>
      </c>
      <c r="H34" s="210" t="n">
        <v>0</v>
      </c>
      <c r="I34" s="209" t="n">
        <f aca="false">G34+H34</f>
        <v>151</v>
      </c>
      <c r="J34" s="120" t="n">
        <f aca="false">IF(L34&gt;0,L34,0)</f>
        <v>0</v>
      </c>
      <c r="K34" s="209" t="n">
        <f aca="false">I34+J34</f>
        <v>151</v>
      </c>
      <c r="L34" s="209" t="n">
        <f aca="false">F34-(I34-AK34)</f>
        <v>-4.03869422737597</v>
      </c>
      <c r="M34" s="600" t="n">
        <v>257</v>
      </c>
      <c r="N34" s="186" t="n">
        <v>0</v>
      </c>
      <c r="O34" s="209" t="n">
        <f aca="false">66.8*1.05</f>
        <v>70.14</v>
      </c>
      <c r="P34" s="186" t="n">
        <v>0</v>
      </c>
      <c r="Q34" s="373" t="n">
        <f aca="false">1747700/325851/1.9835*1.02</f>
        <v>2.75813675069709</v>
      </c>
      <c r="R34" s="151" t="n">
        <f aca="false">IF(((3.7*1.04)-T34)&gt;=4.2,4.2,(3.7*1.04)-T34)</f>
        <v>2.74471808</v>
      </c>
      <c r="S34" s="151" t="n">
        <f aca="false">IF(((3.7*1.04)-T34)&gt;=4.2,((3.7*1.04)-T34)-4.2,0)</f>
        <v>0</v>
      </c>
      <c r="T34" s="151" t="n">
        <f aca="false">(1.0008*1.06)*1.04</f>
        <v>1.10328192</v>
      </c>
      <c r="U34" s="393" t="n">
        <v>0</v>
      </c>
      <c r="V34" s="209" t="n">
        <v>37</v>
      </c>
      <c r="W34" s="599" t="n">
        <v>68.1</v>
      </c>
      <c r="X34" s="280" t="n">
        <f aca="false">M34-N34-O34-P34-Q34-R34-S34-T34-U34+V34+W34-AT34+AR34</f>
        <v>285.353863249303</v>
      </c>
      <c r="Y34" s="280" t="n">
        <f aca="false">X34-AO34</f>
        <v>285.353863249303</v>
      </c>
      <c r="Z34" s="123" t="n">
        <f aca="false">Z33+AP34</f>
        <v>8618.97284511745</v>
      </c>
      <c r="AA34" s="155" t="n">
        <f aca="false">(-AP34)</f>
        <v>141.55671808</v>
      </c>
      <c r="AB34" s="244"/>
      <c r="AC34" s="244" t="n">
        <f aca="false">AC33-(AQ33/1.9835)+AS34</f>
        <v>1544.41523715147</v>
      </c>
      <c r="AD34" s="484" t="n">
        <f aca="false">AD33</f>
        <v>1495.84068565667</v>
      </c>
      <c r="AE34" s="599" t="n">
        <v>215</v>
      </c>
      <c r="AF34" s="279" t="n">
        <v>1.7</v>
      </c>
      <c r="AG34" s="281" t="n">
        <v>1.3</v>
      </c>
      <c r="AH34" s="209" t="n">
        <v>59.4</v>
      </c>
      <c r="AI34" s="176" t="n">
        <f aca="false">AI33-AH34</f>
        <v>8397.45787748927</v>
      </c>
      <c r="AJ34" s="176"/>
      <c r="AK34" s="11" t="n">
        <f aca="false">N34+O34+P34+Q34+R34+S34+T34+U34+X34+AE34+AH34-AR34</f>
        <v>636.5</v>
      </c>
      <c r="AL34" s="209" t="n">
        <f aca="false">IF(L34&lt;0,L34*-1,0)</f>
        <v>4.03869422737597</v>
      </c>
      <c r="AM34" s="209" t="n">
        <f aca="false">AK34+AL34</f>
        <v>640.538694227376</v>
      </c>
      <c r="AN34" s="303"/>
      <c r="AO34" s="548"/>
      <c r="AP34" s="112" t="n">
        <f aca="false">I34-Q34-R34-X34-AF34</f>
        <v>-141.55671808</v>
      </c>
      <c r="AQ34" s="186" t="n">
        <f aca="false">68.225*(Z34*1.9835+AC34*1.9835)/E34</f>
        <v>7.8009883487084</v>
      </c>
      <c r="AR34" s="601"/>
      <c r="AS34" s="173" t="n">
        <f aca="false">AS33</f>
        <v>7.45</v>
      </c>
      <c r="AT34" s="5"/>
      <c r="AU34" s="4"/>
      <c r="AV34" s="602" t="n">
        <v>0</v>
      </c>
      <c r="AW34" s="603" t="n">
        <v>86</v>
      </c>
      <c r="AX34" s="206" t="n">
        <v>52</v>
      </c>
      <c r="AY34" s="161"/>
      <c r="AZ34" s="282" t="n">
        <f aca="false">SUM(N34,P34:U34)</f>
        <v>6.6061367506971</v>
      </c>
      <c r="BA34" s="558" t="n">
        <v>49.7</v>
      </c>
      <c r="BB34" s="407" t="n">
        <v>18654</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207" t="n">
        <v>21</v>
      </c>
      <c r="B35" s="342" t="n">
        <v>6911.31</v>
      </c>
      <c r="C35" s="176" t="n">
        <v>327253</v>
      </c>
      <c r="D35" s="206" t="n">
        <f aca="false">C35-C34</f>
        <v>-1052</v>
      </c>
      <c r="E35" s="176" t="n">
        <f aca="false">C35-152000</f>
        <v>175253</v>
      </c>
      <c r="F35" s="598" t="n">
        <f aca="false">D35/$D$2</f>
        <v>-530.375598689186</v>
      </c>
      <c r="G35" s="599" t="n">
        <v>123</v>
      </c>
      <c r="H35" s="210" t="n">
        <v>0</v>
      </c>
      <c r="I35" s="209" t="n">
        <f aca="false">G35+H35</f>
        <v>123</v>
      </c>
      <c r="J35" s="120" t="n">
        <f aca="false">IF(L35&gt;0,L35,0)</f>
        <v>0</v>
      </c>
      <c r="K35" s="209" t="n">
        <f aca="false">I35+J35</f>
        <v>123</v>
      </c>
      <c r="L35" s="209" t="n">
        <f aca="false">F35-(I35-AK35)</f>
        <v>-67.5755986891858</v>
      </c>
      <c r="M35" s="600" t="n">
        <v>233</v>
      </c>
      <c r="N35" s="186" t="n">
        <v>0</v>
      </c>
      <c r="O35" s="209" t="n">
        <f aca="false">65.2*1.05</f>
        <v>68.46</v>
      </c>
      <c r="P35" s="186" t="n">
        <v>0</v>
      </c>
      <c r="Q35" s="373" t="n">
        <f aca="false">1734900/325851/1.9835*1.02</f>
        <v>2.73793640143296</v>
      </c>
      <c r="R35" s="151" t="n">
        <f aca="false">IF(((5.8*1.04)-T35)&gt;=4.2,4.2,(5.8*1.04)-T35)</f>
        <v>4.2</v>
      </c>
      <c r="S35" s="151" t="n">
        <f aca="false">IF(((5.8*1.04)-T35)&gt;=4.2,((5.8*1.04)-T35)-4.2,0)</f>
        <v>0.728718079999999</v>
      </c>
      <c r="T35" s="151" t="n">
        <f aca="false">(1.0008*1.06)*1.04</f>
        <v>1.10328192</v>
      </c>
      <c r="U35" s="393" t="n">
        <v>0</v>
      </c>
      <c r="V35" s="209" t="n">
        <v>36.9</v>
      </c>
      <c r="W35" s="599" t="n">
        <v>69.6</v>
      </c>
      <c r="X35" s="280" t="n">
        <f aca="false">M35-N35-O35-P35-Q35-R35-S35-T35-U35+V35+W35-AT35+AR35</f>
        <v>262.270063598567</v>
      </c>
      <c r="Y35" s="280" t="n">
        <f aca="false">X35-AO35</f>
        <v>262.270063598567</v>
      </c>
      <c r="Z35" s="123" t="n">
        <f aca="false">Z34+AP35</f>
        <v>8471.06484511745</v>
      </c>
      <c r="AA35" s="155" t="n">
        <f aca="false">(-AP35)</f>
        <v>147.908</v>
      </c>
      <c r="AB35" s="244"/>
      <c r="AC35" s="244" t="n">
        <f aca="false">AC34-(AQ34/1.9835)+AS35</f>
        <v>1547.93229621439</v>
      </c>
      <c r="AD35" s="484" t="n">
        <f aca="false">AD34</f>
        <v>1495.84068565667</v>
      </c>
      <c r="AE35" s="599" t="n">
        <v>187</v>
      </c>
      <c r="AF35" s="279" t="n">
        <v>1.7</v>
      </c>
      <c r="AG35" s="281" t="n">
        <v>1.3</v>
      </c>
      <c r="AH35" s="209" t="n">
        <v>59.3</v>
      </c>
      <c r="AI35" s="176" t="n">
        <f aca="false">AI34-AH35</f>
        <v>8338.15787748927</v>
      </c>
      <c r="AJ35" s="176"/>
      <c r="AK35" s="11" t="n">
        <f aca="false">N35+O35+P35+Q35+R35+S35+T35+U35+X35+AE35+AH35-AR35</f>
        <v>585.8</v>
      </c>
      <c r="AL35" s="209" t="n">
        <f aca="false">IF(L35&lt;0,L35*-1,0)</f>
        <v>67.5755986891858</v>
      </c>
      <c r="AM35" s="209" t="n">
        <f aca="false">AK35+AL35</f>
        <v>653.375598689186</v>
      </c>
      <c r="AN35" s="303"/>
      <c r="AO35" s="548"/>
      <c r="AP35" s="112" t="n">
        <f aca="false">I35-Q35-R35-X35-AF35</f>
        <v>-147.908</v>
      </c>
      <c r="AQ35" s="186" t="n">
        <f aca="false">60.166*(Z35*1.9835+AC35*1.9835)/E35</f>
        <v>6.82247787374627</v>
      </c>
      <c r="AR35" s="601"/>
      <c r="AS35" s="173" t="n">
        <f aca="false">AS34</f>
        <v>7.45</v>
      </c>
      <c r="AT35" s="5"/>
      <c r="AU35" s="4"/>
      <c r="AV35" s="602" t="n">
        <v>0</v>
      </c>
      <c r="AW35" s="603" t="n">
        <v>86</v>
      </c>
      <c r="AX35" s="206" t="n">
        <v>53</v>
      </c>
      <c r="AY35" s="161"/>
      <c r="AZ35" s="282" t="n">
        <f aca="false">SUM(N35,P35:U35)</f>
        <v>8.76993640143296</v>
      </c>
      <c r="BA35" s="558" t="n">
        <v>11.1</v>
      </c>
      <c r="BB35" s="407" t="n">
        <v>18574</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207" t="n">
        <v>22</v>
      </c>
      <c r="B36" s="342" t="n">
        <v>6911.09</v>
      </c>
      <c r="C36" s="176" t="n">
        <v>326363</v>
      </c>
      <c r="D36" s="206" t="n">
        <f aca="false">C36-C35</f>
        <v>-890</v>
      </c>
      <c r="E36" s="176" t="n">
        <f aca="false">C36-152000</f>
        <v>174363</v>
      </c>
      <c r="F36" s="598" t="n">
        <f aca="false">D36/$D$2</f>
        <v>-448.701789765566</v>
      </c>
      <c r="G36" s="599" t="n">
        <v>112</v>
      </c>
      <c r="H36" s="210" t="n">
        <v>0</v>
      </c>
      <c r="I36" s="209" t="n">
        <f aca="false">G36+H36</f>
        <v>112</v>
      </c>
      <c r="J36" s="120" t="n">
        <f aca="false">IF(L36&gt;0,L36,0)</f>
        <v>77.9982102344341</v>
      </c>
      <c r="K36" s="209" t="n">
        <f aca="false">I36+J36</f>
        <v>189.998210234434</v>
      </c>
      <c r="L36" s="209" t="n">
        <f aca="false">F36-(I36-AK36)</f>
        <v>77.9982102344341</v>
      </c>
      <c r="M36" s="600" t="n">
        <v>254</v>
      </c>
      <c r="N36" s="186" t="n">
        <v>0</v>
      </c>
      <c r="O36" s="209" t="n">
        <f aca="false">70.5*1.05</f>
        <v>74.025</v>
      </c>
      <c r="P36" s="186" t="n">
        <v>0</v>
      </c>
      <c r="Q36" s="373" t="n">
        <f aca="false">1613100/325851/1.9835*1.02</f>
        <v>2.54571745296646</v>
      </c>
      <c r="R36" s="151" t="n">
        <f aca="false">IF(((6.9*1.04)-T36)&gt;=4.2,4.2,(6.9*1.04)-T36)</f>
        <v>4.2</v>
      </c>
      <c r="S36" s="151" t="n">
        <f aca="false">IF(((6.9*1.04)-T36)&gt;=4.2,((6.9*1.04)-T36)-4.2,0)</f>
        <v>1.87271808</v>
      </c>
      <c r="T36" s="151" t="n">
        <f aca="false">(1.0008*1.06)*1.04</f>
        <v>1.10328192</v>
      </c>
      <c r="U36" s="393" t="n">
        <v>0</v>
      </c>
      <c r="V36" s="209" t="n">
        <v>36.8</v>
      </c>
      <c r="W36" s="599" t="n">
        <v>69.3</v>
      </c>
      <c r="X36" s="280" t="n">
        <f aca="false">M36-N36-O36-P36-Q36-R36-S36-T36-U36+V36+W36-AT36+AR36</f>
        <v>276.353282547034</v>
      </c>
      <c r="Y36" s="280" t="n">
        <f aca="false">X36-AO36</f>
        <v>276.353282547034</v>
      </c>
      <c r="Z36" s="123" t="n">
        <f aca="false">Z35+AP36</f>
        <v>8298.26584511745</v>
      </c>
      <c r="AA36" s="155" t="n">
        <f aca="false">(-AP36)</f>
        <v>172.799</v>
      </c>
      <c r="AB36" s="244"/>
      <c r="AC36" s="244" t="n">
        <f aca="false">AC35-(AQ35/1.9835)+AS36</f>
        <v>1551.94268044744</v>
      </c>
      <c r="AD36" s="484" t="n">
        <f aca="false">AD35</f>
        <v>1495.84068565667</v>
      </c>
      <c r="AE36" s="599" t="n">
        <v>219</v>
      </c>
      <c r="AF36" s="279" t="n">
        <v>1.7</v>
      </c>
      <c r="AG36" s="281" t="n">
        <v>1.3</v>
      </c>
      <c r="AH36" s="209" t="n">
        <v>59.6</v>
      </c>
      <c r="AI36" s="176" t="n">
        <f aca="false">AI35-AH36</f>
        <v>8278.55787748927</v>
      </c>
      <c r="AJ36" s="176"/>
      <c r="AK36" s="11" t="n">
        <f aca="false">N36+O36+P36+Q36+R36+S36+T36+U36+X36+AE36+AH36-AR36</f>
        <v>638.7</v>
      </c>
      <c r="AL36" s="209" t="n">
        <f aca="false">IF(L36&lt;0,L36*-1,0)</f>
        <v>0</v>
      </c>
      <c r="AM36" s="209" t="n">
        <f aca="false">AK36+AL36</f>
        <v>638.7</v>
      </c>
      <c r="AN36" s="303"/>
      <c r="AO36" s="548"/>
      <c r="AP36" s="112" t="n">
        <f aca="false">I36-Q36-R36-X36-AF36</f>
        <v>-172.799</v>
      </c>
      <c r="AQ36" s="186" t="n">
        <f aca="false">0*(Z36*1.9835+AC36*1.9835)/E36</f>
        <v>0</v>
      </c>
      <c r="AR36" s="601"/>
      <c r="AS36" s="173" t="n">
        <f aca="false">AS35</f>
        <v>7.45</v>
      </c>
      <c r="AT36" s="5"/>
      <c r="AU36" s="4"/>
      <c r="AV36" s="602" t="n">
        <v>0.57</v>
      </c>
      <c r="AW36" s="603" t="n">
        <v>77</v>
      </c>
      <c r="AX36" s="206" t="n">
        <v>53</v>
      </c>
      <c r="AY36" s="161"/>
      <c r="AZ36" s="282" t="n">
        <f aca="false">SUM(N36,P36:U36)</f>
        <v>9.72171745296646</v>
      </c>
      <c r="BA36" s="558" t="n">
        <v>11.1</v>
      </c>
      <c r="BB36" s="407" t="n">
        <v>18532</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207" t="n">
        <v>23</v>
      </c>
      <c r="B37" s="342" t="n">
        <v>6910.95</v>
      </c>
      <c r="C37" s="176" t="n">
        <v>325799</v>
      </c>
      <c r="D37" s="206" t="n">
        <f aca="false">C37-C36</f>
        <v>-564</v>
      </c>
      <c r="E37" s="176" t="n">
        <f aca="false">C37-152000</f>
        <v>173799</v>
      </c>
      <c r="F37" s="598" t="n">
        <f aca="false">D37/$D$2</f>
        <v>-284.34585328964</v>
      </c>
      <c r="G37" s="599" t="n">
        <v>142</v>
      </c>
      <c r="H37" s="210" t="n">
        <v>0</v>
      </c>
      <c r="I37" s="209" t="n">
        <f aca="false">G37+H37</f>
        <v>142</v>
      </c>
      <c r="J37" s="120" t="n">
        <f aca="false">IF(L37&gt;0,L37,0)</f>
        <v>200.35414671036</v>
      </c>
      <c r="K37" s="209" t="n">
        <f aca="false">I37+J37</f>
        <v>342.354146710361</v>
      </c>
      <c r="L37" s="209" t="n">
        <f aca="false">F37-(I37-AK37)</f>
        <v>200.35414671036</v>
      </c>
      <c r="M37" s="600" t="n">
        <v>249</v>
      </c>
      <c r="N37" s="186" t="n">
        <v>0</v>
      </c>
      <c r="O37" s="209" t="n">
        <f aca="false">82.9*1.05</f>
        <v>87.045</v>
      </c>
      <c r="P37" s="186" t="n">
        <v>0</v>
      </c>
      <c r="Q37" s="373" t="n">
        <f aca="false">1432200/325851/1.9835*1.02</f>
        <v>2.26022970438198</v>
      </c>
      <c r="R37" s="151" t="n">
        <f aca="false">IF(((6*1.04)-T37)&gt;=4.2,4.2,(6*1.04)-T37)</f>
        <v>4.2</v>
      </c>
      <c r="S37" s="151" t="n">
        <f aca="false">IF(((6*1.04)-T37)&gt;=4.2,((6*1.04)-T37)-4.2,0)</f>
        <v>0.936718079999999</v>
      </c>
      <c r="T37" s="151" t="n">
        <f aca="false">(1.0008*1.06)*1.04</f>
        <v>1.10328192</v>
      </c>
      <c r="U37" s="393" t="n">
        <v>0</v>
      </c>
      <c r="V37" s="209" t="n">
        <v>37</v>
      </c>
      <c r="W37" s="599" t="n">
        <v>69.7</v>
      </c>
      <c r="X37" s="280" t="n">
        <f aca="false">M37-N37-O37-P37-Q37-R37-S37-T37-U37+V37+W37-AT37+AR37</f>
        <v>260.154770295618</v>
      </c>
      <c r="Y37" s="280" t="n">
        <f aca="false">X37-AO37</f>
        <v>260.154770295618</v>
      </c>
      <c r="Z37" s="123" t="n">
        <f aca="false">Z36+AP37</f>
        <v>8171.95084511745</v>
      </c>
      <c r="AA37" s="155" t="n">
        <f aca="false">(-AP37)</f>
        <v>126.315</v>
      </c>
      <c r="AB37" s="244"/>
      <c r="AC37" s="244" t="n">
        <f aca="false">AC36-(AQ36/1.9835)+AS37</f>
        <v>1559.39268044744</v>
      </c>
      <c r="AD37" s="484" t="n">
        <f aca="false">AD36</f>
        <v>1495.84068565667</v>
      </c>
      <c r="AE37" s="599" t="n">
        <v>211</v>
      </c>
      <c r="AF37" s="279" t="n">
        <v>1.7</v>
      </c>
      <c r="AG37" s="281" t="n">
        <v>1.3</v>
      </c>
      <c r="AH37" s="209" t="n">
        <v>60</v>
      </c>
      <c r="AI37" s="176" t="n">
        <f aca="false">AI36-AH37</f>
        <v>8218.55787748927</v>
      </c>
      <c r="AJ37" s="176"/>
      <c r="AK37" s="11" t="n">
        <f aca="false">N37+O37+P37+Q37+R37+S37+T37+U37+X37+AE37+AH37-AR37</f>
        <v>626.7</v>
      </c>
      <c r="AL37" s="209" t="n">
        <f aca="false">IF(L37&lt;0,L37*-1,0)</f>
        <v>0</v>
      </c>
      <c r="AM37" s="209" t="n">
        <f aca="false">AK37+AL37</f>
        <v>626.7</v>
      </c>
      <c r="AN37" s="303"/>
      <c r="AO37" s="548"/>
      <c r="AP37" s="112" t="n">
        <f aca="false">I37-Q37-R37-X37-AF37</f>
        <v>-126.315</v>
      </c>
      <c r="AQ37" s="186" t="n">
        <f aca="false">0*(Z37*1.9835+AC37*1.9835)/E37</f>
        <v>0</v>
      </c>
      <c r="AR37" s="601"/>
      <c r="AS37" s="173" t="n">
        <f aca="false">AS36</f>
        <v>7.45</v>
      </c>
      <c r="AT37" s="5"/>
      <c r="AU37" s="4"/>
      <c r="AV37" s="602" t="n">
        <v>1.46</v>
      </c>
      <c r="AW37" s="603" t="n">
        <v>76</v>
      </c>
      <c r="AX37" s="206" t="n">
        <v>49</v>
      </c>
      <c r="AY37" s="161"/>
      <c r="AZ37" s="282" t="n">
        <f aca="false">SUM(N37,P37:U37)</f>
        <v>8.50022970438198</v>
      </c>
      <c r="BA37" s="558" t="n">
        <v>11.1</v>
      </c>
      <c r="BB37" s="407" t="n">
        <v>18536</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207" t="n">
        <v>24</v>
      </c>
      <c r="B38" s="342" t="n">
        <v>6910.86</v>
      </c>
      <c r="C38" s="176" t="n">
        <v>325438</v>
      </c>
      <c r="D38" s="206" t="n">
        <f aca="false">C38-C37</f>
        <v>-361</v>
      </c>
      <c r="E38" s="176" t="n">
        <f aca="false">C38-152000</f>
        <v>173438</v>
      </c>
      <c r="F38" s="598" t="n">
        <f aca="false">D38/$D$2</f>
        <v>-182.001512477943</v>
      </c>
      <c r="G38" s="599" t="n">
        <v>235</v>
      </c>
      <c r="H38" s="210" t="n">
        <v>0</v>
      </c>
      <c r="I38" s="209" t="n">
        <f aca="false">G38+H38</f>
        <v>235</v>
      </c>
      <c r="J38" s="120" t="n">
        <f aca="false">IF(L38&gt;0,L38,0)</f>
        <v>56.0984875220569</v>
      </c>
      <c r="K38" s="209" t="n">
        <f aca="false">I38+J38</f>
        <v>291.098487522057</v>
      </c>
      <c r="L38" s="209" t="n">
        <f aca="false">F38-(I38-AK38)</f>
        <v>56.0984875220569</v>
      </c>
      <c r="M38" s="600" t="n">
        <v>157</v>
      </c>
      <c r="N38" s="186" t="n">
        <v>0</v>
      </c>
      <c r="O38" s="209" t="n">
        <f aca="false">70.9*1.05</f>
        <v>74.445</v>
      </c>
      <c r="P38" s="186" t="n">
        <v>0</v>
      </c>
      <c r="Q38" s="373" t="n">
        <f aca="false">1250700/325851/1.9835*1.02</f>
        <v>1.97379506442573</v>
      </c>
      <c r="R38" s="151" t="n">
        <f aca="false">IF(((6.1*1.04)-T38)&gt;=4.2,4.2,(6.1*1.04)-T38)</f>
        <v>4.2</v>
      </c>
      <c r="S38" s="151" t="n">
        <f aca="false">IF(((6.1*1.04)-T38)&gt;=4.2,((6.1*1.04)-T38)-4.2,0)</f>
        <v>1.04071808</v>
      </c>
      <c r="T38" s="151" t="n">
        <f aca="false">(1.0008*1.06)*1.04</f>
        <v>1.10328192</v>
      </c>
      <c r="U38" s="393" t="n">
        <v>0</v>
      </c>
      <c r="V38" s="209" t="n">
        <v>36.9</v>
      </c>
      <c r="W38" s="599" t="n">
        <v>63.5</v>
      </c>
      <c r="X38" s="280" t="n">
        <f aca="false">M38-N38-O38-P38-Q38-R38-S38-T38-U38+V38+W38-AT38+AR38</f>
        <v>174.637204935574</v>
      </c>
      <c r="Y38" s="280" t="n">
        <f aca="false">X38-AO38</f>
        <v>174.637204935574</v>
      </c>
      <c r="Z38" s="123" t="n">
        <f aca="false">Z37</f>
        <v>8171.95084511745</v>
      </c>
      <c r="AA38" s="155" t="n">
        <f aca="false">(-AP38)</f>
        <v>-52.489</v>
      </c>
      <c r="AB38" s="244"/>
      <c r="AC38" s="244" t="n">
        <f aca="false">AC37-(AQ37/1.9835)+AS38</f>
        <v>1566.84268044744</v>
      </c>
      <c r="AD38" s="484" t="n">
        <f aca="false">AD37</f>
        <v>1495.84068565667</v>
      </c>
      <c r="AE38" s="599" t="n">
        <v>156</v>
      </c>
      <c r="AF38" s="279" t="n">
        <v>1.7</v>
      </c>
      <c r="AG38" s="281" t="n">
        <v>1.3</v>
      </c>
      <c r="AH38" s="209" t="n">
        <v>59.7</v>
      </c>
      <c r="AI38" s="176" t="n">
        <f aca="false">AI37-AH38</f>
        <v>8158.85787748927</v>
      </c>
      <c r="AJ38" s="176"/>
      <c r="AK38" s="11" t="n">
        <f aca="false">N38+O38+P38+Q38+R38+S38+T38+U38+X38+AE38+AH38-AR38</f>
        <v>473.1</v>
      </c>
      <c r="AL38" s="209" t="n">
        <f aca="false">IF(L38&lt;0,L38*-1,0)</f>
        <v>0</v>
      </c>
      <c r="AM38" s="209" t="n">
        <f aca="false">AK38+AL38</f>
        <v>473.1</v>
      </c>
      <c r="AN38" s="303"/>
      <c r="AO38" s="548"/>
      <c r="AP38" s="112" t="n">
        <f aca="false">I38-Q38-R38-X38-AF38</f>
        <v>52.489</v>
      </c>
      <c r="AQ38" s="186" t="n">
        <f aca="false">13.396*(Z38*1.9835+AC38*1.9835)/E38</f>
        <v>1.49199801455739</v>
      </c>
      <c r="AR38" s="601"/>
      <c r="AS38" s="173" t="n">
        <f aca="false">AS37</f>
        <v>7.45</v>
      </c>
      <c r="AT38" s="5"/>
      <c r="AU38" s="4"/>
      <c r="AV38" s="602" t="n">
        <v>0.21</v>
      </c>
      <c r="AW38" s="603" t="n">
        <v>76</v>
      </c>
      <c r="AX38" s="206" t="n">
        <v>50</v>
      </c>
      <c r="AY38" s="161"/>
      <c r="AZ38" s="282" t="n">
        <f aca="false">SUM(N38,P38:U38)</f>
        <v>8.31779506442573</v>
      </c>
      <c r="BA38" s="558" t="n">
        <v>11.1</v>
      </c>
      <c r="BB38" s="407" t="n">
        <v>18537</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207" t="n">
        <v>25</v>
      </c>
      <c r="B39" s="342" t="n">
        <v>6910.72</v>
      </c>
      <c r="C39" s="176" t="n">
        <v>324876</v>
      </c>
      <c r="D39" s="206" t="n">
        <f aca="false">C39-C38</f>
        <v>-562</v>
      </c>
      <c r="E39" s="176" t="n">
        <f aca="false">C39-152000</f>
        <v>172876</v>
      </c>
      <c r="F39" s="598" t="n">
        <f aca="false">D39/$D$2</f>
        <v>-283.337534660953</v>
      </c>
      <c r="G39" s="599" t="n">
        <v>172</v>
      </c>
      <c r="H39" s="210" t="n">
        <v>0</v>
      </c>
      <c r="I39" s="209" t="n">
        <f aca="false">G39+H39</f>
        <v>172</v>
      </c>
      <c r="J39" s="120" t="n">
        <f aca="false">IF(L39&gt;0,L39,0)</f>
        <v>37.2624653390471</v>
      </c>
      <c r="K39" s="209" t="n">
        <f aca="false">I39+J39</f>
        <v>209.262465339047</v>
      </c>
      <c r="L39" s="209" t="n">
        <f aca="false">F39-(I39-AK39)</f>
        <v>37.2624653390471</v>
      </c>
      <c r="M39" s="600" t="n">
        <v>148</v>
      </c>
      <c r="N39" s="186" t="n">
        <v>0</v>
      </c>
      <c r="O39" s="209" t="n">
        <f aca="false">48.3*1.05</f>
        <v>50.715</v>
      </c>
      <c r="P39" s="186" t="n">
        <v>0</v>
      </c>
      <c r="Q39" s="373" t="n">
        <f aca="false">1197500/325851/1.9835*1.02</f>
        <v>1.88983736279669</v>
      </c>
      <c r="R39" s="151" t="n">
        <f aca="false">IF(((4.5*1.04)-T39)&gt;=4.2,4.2,(4.5*1.04)-T39)</f>
        <v>3.57671808</v>
      </c>
      <c r="S39" s="151" t="n">
        <f aca="false">IF(((4.5*1.04)-T39)&gt;=4.2,((4.5*1.04)-T39)-4.2,0)</f>
        <v>0</v>
      </c>
      <c r="T39" s="151" t="n">
        <f aca="false">(1.0008*1.06)*1.04</f>
        <v>1.10328192</v>
      </c>
      <c r="U39" s="393" t="n">
        <v>0</v>
      </c>
      <c r="V39" s="209" t="n">
        <v>36.8</v>
      </c>
      <c r="W39" s="599" t="n">
        <v>67.1</v>
      </c>
      <c r="X39" s="280" t="n">
        <f aca="false">M39-N39-O39-P39-Q39-R39-S39-T39-U39+V39+W39-AT39+AR39</f>
        <v>194.615162637203</v>
      </c>
      <c r="Y39" s="280" t="n">
        <f aca="false">X39-AO39</f>
        <v>194.615162637203</v>
      </c>
      <c r="Z39" s="123" t="n">
        <f aca="false">Z38+AP39</f>
        <v>8142.16912703745</v>
      </c>
      <c r="AA39" s="155" t="n">
        <f aca="false">(-AP39)</f>
        <v>29.78171808</v>
      </c>
      <c r="AB39" s="244"/>
      <c r="AC39" s="244" t="n">
        <f aca="false">AC38-(AQ38/1.9835)+AS39</f>
        <v>1573.54047575142</v>
      </c>
      <c r="AD39" s="484" t="n">
        <f aca="false">AD38</f>
        <v>1495.84068565667</v>
      </c>
      <c r="AE39" s="599" t="n">
        <v>181</v>
      </c>
      <c r="AF39" s="279" t="n">
        <v>1.7</v>
      </c>
      <c r="AG39" s="281" t="n">
        <v>1.3</v>
      </c>
      <c r="AH39" s="209" t="n">
        <v>59.7</v>
      </c>
      <c r="AI39" s="176" t="n">
        <f aca="false">AI38-AH39</f>
        <v>8099.15787748927</v>
      </c>
      <c r="AJ39" s="176"/>
      <c r="AK39" s="11" t="n">
        <f aca="false">N39+O39+P39+Q39+R39+S39+T39+U39+X39+AE39+AH39-AR39</f>
        <v>492.6</v>
      </c>
      <c r="AL39" s="209" t="n">
        <f aca="false">IF(L39&lt;0,L39*-1,0)</f>
        <v>0</v>
      </c>
      <c r="AM39" s="209" t="n">
        <f aca="false">AK39+AL39</f>
        <v>492.6</v>
      </c>
      <c r="AN39" s="303"/>
      <c r="AO39" s="548"/>
      <c r="AP39" s="112" t="n">
        <f aca="false">I39-Q39-R39-X39-AF39</f>
        <v>-29.78171808</v>
      </c>
      <c r="AQ39" s="186" t="n">
        <f aca="false">0*(Z39*1.9835+AC39*1.9835)/E39</f>
        <v>0</v>
      </c>
      <c r="AR39" s="601"/>
      <c r="AS39" s="173" t="n">
        <f aca="false">AS38</f>
        <v>7.45</v>
      </c>
      <c r="AT39" s="5"/>
      <c r="AU39" s="4"/>
      <c r="AV39" s="602" t="n">
        <v>0.44</v>
      </c>
      <c r="AW39" s="603" t="n">
        <v>81</v>
      </c>
      <c r="AX39" s="206" t="n">
        <v>49</v>
      </c>
      <c r="AY39" s="161"/>
      <c r="AZ39" s="282" t="n">
        <f aca="false">SUM(N39,P39:U39)</f>
        <v>6.56983736279669</v>
      </c>
      <c r="BA39" s="558" t="n">
        <v>11.1</v>
      </c>
      <c r="BB39" s="407" t="n">
        <v>18523</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207" t="n">
        <v>26</v>
      </c>
      <c r="B40" s="342" t="n">
        <v>6910.63</v>
      </c>
      <c r="C40" s="176" t="n">
        <v>324515</v>
      </c>
      <c r="D40" s="206" t="n">
        <f aca="false">C40-C39</f>
        <v>-361</v>
      </c>
      <c r="E40" s="176" t="n">
        <f aca="false">C40-152000</f>
        <v>172515</v>
      </c>
      <c r="F40" s="598" t="n">
        <f aca="false">D40/$D$2</f>
        <v>-182.001512477943</v>
      </c>
      <c r="G40" s="599" t="n">
        <v>200</v>
      </c>
      <c r="H40" s="210" t="n">
        <v>0</v>
      </c>
      <c r="I40" s="209" t="n">
        <f aca="false">G40+H40</f>
        <v>200</v>
      </c>
      <c r="J40" s="120" t="n">
        <f aca="false">IF(L40&gt;0,L40,0)</f>
        <v>74.198487522057</v>
      </c>
      <c r="K40" s="209" t="n">
        <f aca="false">I40+J40</f>
        <v>274.198487522057</v>
      </c>
      <c r="L40" s="209" t="n">
        <f aca="false">F40-(I40-AK40)</f>
        <v>74.198487522057</v>
      </c>
      <c r="M40" s="600" t="n">
        <v>129</v>
      </c>
      <c r="N40" s="186" t="n">
        <v>0</v>
      </c>
      <c r="O40" s="209" t="n">
        <f aca="false">39.3*1.05</f>
        <v>41.265</v>
      </c>
      <c r="P40" s="186" t="n">
        <v>0</v>
      </c>
      <c r="Q40" s="373" t="n">
        <f aca="false">1251200/325851/1.9835*1.02</f>
        <v>1.97458414056886</v>
      </c>
      <c r="R40" s="151" t="n">
        <f aca="false">IF(((4.6*1.04)-T40)&gt;=4.2,4.2,(4.6*1.04)-T40)</f>
        <v>3.70210464</v>
      </c>
      <c r="S40" s="151" t="n">
        <f aca="false">IF(((4.6*1.04)-T40)&gt;=4.2,((4.6*1.04)-T40)-4.2,0)</f>
        <v>0</v>
      </c>
      <c r="T40" s="151" t="n">
        <f aca="false">(0.9814*1.06)*1.04</f>
        <v>1.08189536</v>
      </c>
      <c r="U40" s="393" t="n">
        <v>0</v>
      </c>
      <c r="V40" s="209" t="n">
        <v>37.1</v>
      </c>
      <c r="W40" s="599" t="n">
        <v>69.5</v>
      </c>
      <c r="X40" s="280" t="n">
        <f aca="false">M40-N40-O40-P40-Q40-R40-S40-T40-U40+V40+W40-AT40+AR40</f>
        <v>187.576415859431</v>
      </c>
      <c r="Y40" s="280" t="n">
        <f aca="false">X40-AO40</f>
        <v>187.576415859431</v>
      </c>
      <c r="Z40" s="123" t="n">
        <f aca="false">Z39</f>
        <v>8142.16912703745</v>
      </c>
      <c r="AA40" s="155" t="n">
        <f aca="false">(-AP40)</f>
        <v>-5.04689536000002</v>
      </c>
      <c r="AB40" s="244"/>
      <c r="AC40" s="244" t="n">
        <f aca="false">AC39-(AQ39/1.9835)+AS40</f>
        <v>1580.99047575142</v>
      </c>
      <c r="AD40" s="484" t="n">
        <f aca="false">AD39</f>
        <v>1495.84068565667</v>
      </c>
      <c r="AE40" s="599" t="n">
        <v>161</v>
      </c>
      <c r="AF40" s="279" t="n">
        <v>1.7</v>
      </c>
      <c r="AG40" s="281" t="n">
        <v>1.3</v>
      </c>
      <c r="AH40" s="209" t="n">
        <v>59.6</v>
      </c>
      <c r="AI40" s="176" t="n">
        <f aca="false">AI39-AH40</f>
        <v>8039.55787748927</v>
      </c>
      <c r="AJ40" s="176"/>
      <c r="AK40" s="11" t="n">
        <f aca="false">N40+O40+P40+Q40+R40+S40+T40+U40+X40+AE40+AH40-AR40</f>
        <v>456.2</v>
      </c>
      <c r="AL40" s="209" t="n">
        <f aca="false">IF(L40&lt;0,L40*-1,0)</f>
        <v>0</v>
      </c>
      <c r="AM40" s="209" t="n">
        <f aca="false">AK40+AL40</f>
        <v>456.2</v>
      </c>
      <c r="AN40" s="303"/>
      <c r="AO40" s="548"/>
      <c r="AP40" s="112" t="n">
        <f aca="false">I40-Q40-R40-X40-AF40</f>
        <v>5.04689536000002</v>
      </c>
      <c r="AQ40" s="186" t="n">
        <f aca="false">27.498*(Z40*1.9835+AC40*1.9835)/E40</f>
        <v>3.07407079215998</v>
      </c>
      <c r="AR40" s="601"/>
      <c r="AS40" s="173" t="n">
        <f aca="false">AS39</f>
        <v>7.45</v>
      </c>
      <c r="AT40" s="5"/>
      <c r="AU40" s="4"/>
      <c r="AV40" s="602" t="n">
        <v>0</v>
      </c>
      <c r="AW40" s="603" t="n">
        <v>75</v>
      </c>
      <c r="AX40" s="206" t="n">
        <v>47</v>
      </c>
      <c r="AY40" s="161"/>
      <c r="AZ40" s="282" t="n">
        <f aca="false">SUM(N40,P40:U40)</f>
        <v>6.75858414056886</v>
      </c>
      <c r="BA40" s="558" t="n">
        <v>11.1</v>
      </c>
      <c r="BB40" s="407" t="n">
        <v>18544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207" t="n">
        <v>27</v>
      </c>
      <c r="B41" s="342" t="n">
        <v>6910.49</v>
      </c>
      <c r="C41" s="176" t="n">
        <v>323953</v>
      </c>
      <c r="D41" s="206" t="n">
        <f aca="false">C41-C40</f>
        <v>-562</v>
      </c>
      <c r="E41" s="176" t="n">
        <f aca="false">C41-152000</f>
        <v>171953</v>
      </c>
      <c r="F41" s="598" t="n">
        <f aca="false">D41/$D$2</f>
        <v>-283.337534660953</v>
      </c>
      <c r="G41" s="599" t="n">
        <v>193</v>
      </c>
      <c r="H41" s="210" t="n">
        <v>0</v>
      </c>
      <c r="I41" s="209" t="n">
        <f aca="false">G41+H41</f>
        <v>193</v>
      </c>
      <c r="J41" s="120" t="n">
        <f aca="false">IF(L41&gt;0,L41,0)</f>
        <v>0</v>
      </c>
      <c r="K41" s="209" t="n">
        <f aca="false">I41+J41</f>
        <v>193</v>
      </c>
      <c r="L41" s="209" t="n">
        <f aca="false">F41-(I41-AK41)</f>
        <v>-3.93753466095291</v>
      </c>
      <c r="M41" s="600" t="n">
        <v>141</v>
      </c>
      <c r="N41" s="186" t="n">
        <v>0</v>
      </c>
      <c r="O41" s="209" t="n">
        <f aca="false">37.4*1.05</f>
        <v>39.27</v>
      </c>
      <c r="P41" s="186" t="n">
        <v>0</v>
      </c>
      <c r="Q41" s="373" t="n">
        <f aca="false">1221600/325851/1.9835*1.02</f>
        <v>1.92787083289556</v>
      </c>
      <c r="R41" s="151" t="n">
        <f aca="false">IF(((4.5*1.04)-T41)&gt;=4.2,4.2,(4.5*1.04)-T41)</f>
        <v>3.59810464</v>
      </c>
      <c r="S41" s="151" t="n">
        <f aca="false">IF(((4.5*1.04)-T41)&gt;=4.2,((4.5*1.04)-T41)-4.2,0)</f>
        <v>0</v>
      </c>
      <c r="T41" s="151" t="n">
        <f aca="false">(0.9814*1.06)*1.04</f>
        <v>1.08189536</v>
      </c>
      <c r="U41" s="393" t="n">
        <v>0</v>
      </c>
      <c r="V41" s="209" t="n">
        <v>37.5</v>
      </c>
      <c r="W41" s="599" t="n">
        <v>69.3</v>
      </c>
      <c r="X41" s="280" t="n">
        <f aca="false">M41-N41-O41-P41-Q41-R41-S41-T41-U41+V41+W41-AT41+AR41</f>
        <v>201.922129167104</v>
      </c>
      <c r="Y41" s="280" t="n">
        <f aca="false">X41-AO41</f>
        <v>201.922129167104</v>
      </c>
      <c r="Z41" s="123" t="n">
        <f aca="false">Z40+AP41</f>
        <v>8126.02102239745</v>
      </c>
      <c r="AA41" s="155" t="n">
        <f aca="false">(-AP41)</f>
        <v>16.14810464</v>
      </c>
      <c r="AB41" s="244"/>
      <c r="AC41" s="244" t="n">
        <f aca="false">AC40-(AQ40/1.9835)+AS41</f>
        <v>1586.8906543286</v>
      </c>
      <c r="AD41" s="484" t="n">
        <f aca="false">AD40</f>
        <v>1495.84068565667</v>
      </c>
      <c r="AE41" s="599" t="n">
        <v>165</v>
      </c>
      <c r="AF41" s="279" t="n">
        <v>1.7</v>
      </c>
      <c r="AG41" s="281" t="n">
        <v>1.3</v>
      </c>
      <c r="AH41" s="209" t="n">
        <v>59.6</v>
      </c>
      <c r="AI41" s="176" t="n">
        <f aca="false">AI40-AH41</f>
        <v>7979.95787748927</v>
      </c>
      <c r="AJ41" s="176"/>
      <c r="AK41" s="11" t="n">
        <f aca="false">N41+O41+P41+Q41+R41+S41+T41+U41+X41+AE41+AH41-AR41</f>
        <v>472.4</v>
      </c>
      <c r="AL41" s="209" t="n">
        <f aca="false">IF(L41&lt;0,L41*-1,0)</f>
        <v>3.93753466095291</v>
      </c>
      <c r="AM41" s="209" t="n">
        <f aca="false">AK41+AL41</f>
        <v>476.337534660953</v>
      </c>
      <c r="AN41" s="303"/>
      <c r="AO41" s="548"/>
      <c r="AP41" s="112" t="n">
        <f aca="false">I41-Q41-R41-X41-AF41</f>
        <v>-16.14810464</v>
      </c>
      <c r="AQ41" s="186" t="n">
        <f aca="false">44.3*(Z41*1.9835+AC41*1.9835)/E41</f>
        <v>4.9633581372109</v>
      </c>
      <c r="AR41" s="601"/>
      <c r="AS41" s="173" t="n">
        <f aca="false">AS40</f>
        <v>7.45</v>
      </c>
      <c r="AT41" s="5"/>
      <c r="AU41" s="4"/>
      <c r="AV41" s="602" t="n">
        <v>0</v>
      </c>
      <c r="AW41" s="603" t="n">
        <v>75</v>
      </c>
      <c r="AX41" s="206" t="n">
        <v>51</v>
      </c>
      <c r="AY41" s="161"/>
      <c r="AZ41" s="282" t="n">
        <f aca="false">SUM(N41,P41:U41)</f>
        <v>6.60787083289556</v>
      </c>
      <c r="BA41" s="558" t="n">
        <v>10.9</v>
      </c>
      <c r="BB41" s="407" t="n">
        <v>18517</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548" t="n">
        <v>28</v>
      </c>
      <c r="B42" s="587" t="n">
        <v>6910.42</v>
      </c>
      <c r="C42" s="484" t="n">
        <v>323672</v>
      </c>
      <c r="D42" s="603" t="n">
        <f aca="false">C42-C41</f>
        <v>-281</v>
      </c>
      <c r="E42" s="484" t="n">
        <f aca="false">C42-152000</f>
        <v>171672</v>
      </c>
      <c r="F42" s="604" t="n">
        <f aca="false">D42/$D$2</f>
        <v>-141.668767330476</v>
      </c>
      <c r="G42" s="599" t="n">
        <v>260</v>
      </c>
      <c r="H42" s="210" t="n">
        <v>0</v>
      </c>
      <c r="I42" s="599" t="n">
        <f aca="false">G42+H42</f>
        <v>260</v>
      </c>
      <c r="J42" s="585" t="n">
        <f aca="false">IF(L42&gt;0,L42,0)</f>
        <v>5.83123266952356</v>
      </c>
      <c r="K42" s="599" t="n">
        <f aca="false">I42+J42</f>
        <v>265.831232669524</v>
      </c>
      <c r="L42" s="599" t="n">
        <f aca="false">F42-(I42-AK42)</f>
        <v>5.83123266952356</v>
      </c>
      <c r="M42" s="605" t="n">
        <v>131</v>
      </c>
      <c r="N42" s="186" t="n">
        <v>0</v>
      </c>
      <c r="O42" s="599" t="n">
        <f aca="false">35.4*1.05</f>
        <v>37.17</v>
      </c>
      <c r="P42" s="186" t="n">
        <v>0</v>
      </c>
      <c r="Q42" s="373" t="n">
        <f aca="false">1248900/325851/1.9835*1.02</f>
        <v>1.97095439031047</v>
      </c>
      <c r="R42" s="151" t="n">
        <f aca="false">IF(((4.5*1.04)-T42)&gt;=4.2,4.2,(4.5*1.04)-T42)</f>
        <v>3.59810464</v>
      </c>
      <c r="S42" s="151" t="n">
        <f aca="false">IF(((4.5*1.04)-T42)&gt;=4.2,((4.5*1.04)-T42)-4.2,0)</f>
        <v>0</v>
      </c>
      <c r="T42" s="151" t="n">
        <f aca="false">(0.9814*1.06)*1.04</f>
        <v>1.08189536</v>
      </c>
      <c r="U42" s="393" t="n">
        <v>0</v>
      </c>
      <c r="V42" s="599" t="n">
        <v>37.5</v>
      </c>
      <c r="W42" s="599" t="n">
        <v>69.4</v>
      </c>
      <c r="X42" s="280" t="n">
        <f aca="false">M42-N42-O42-P42-Q42-R42-S42-T42-U42+V42+W42-AT42+AR42</f>
        <v>194.07904560969</v>
      </c>
      <c r="Y42" s="280" t="n">
        <f aca="false">X42-AO42</f>
        <v>194.07904560969</v>
      </c>
      <c r="Z42" s="123" t="n">
        <f aca="false">Z41</f>
        <v>8126.02102239745</v>
      </c>
      <c r="AA42" s="155" t="n">
        <f aca="false">(-AP42)</f>
        <v>-58.65189536</v>
      </c>
      <c r="AB42" s="244"/>
      <c r="AC42" s="244" t="n">
        <f aca="false">AC41-(AQ41/1.9835)+AS42</f>
        <v>1591.8383310933</v>
      </c>
      <c r="AD42" s="484" t="n">
        <f aca="false">AD41</f>
        <v>1495.84068565667</v>
      </c>
      <c r="AE42" s="599" t="n">
        <v>110</v>
      </c>
      <c r="AF42" s="279" t="n">
        <v>1.7</v>
      </c>
      <c r="AG42" s="281" t="n">
        <v>1.3</v>
      </c>
      <c r="AH42" s="209" t="n">
        <v>59.6</v>
      </c>
      <c r="AI42" s="176" t="n">
        <f aca="false">AI41-AH42</f>
        <v>7920.35787748927</v>
      </c>
      <c r="AJ42" s="176"/>
      <c r="AK42" s="11" t="n">
        <f aca="false">N42+O42+P42+Q42+R42+S42+T42+U42+X42+AE42+AH42-AR42</f>
        <v>407.5</v>
      </c>
      <c r="AL42" s="599" t="n">
        <f aca="false">IF(L42&lt;0,L42*-1,0)</f>
        <v>0</v>
      </c>
      <c r="AM42" s="599" t="n">
        <f aca="false">AK42+AL42</f>
        <v>407.5</v>
      </c>
      <c r="AN42" s="303"/>
      <c r="AO42" s="548"/>
      <c r="AP42" s="112" t="n">
        <f aca="false">I42-Q42-R42-X42-AF42</f>
        <v>58.65189536</v>
      </c>
      <c r="AQ42" s="186" t="n">
        <f aca="false">26.114*(Z42*1.9835+AC42*1.9835)/E42</f>
        <v>2.93208628872515</v>
      </c>
      <c r="AR42" s="601"/>
      <c r="AS42" s="173" t="n">
        <f aca="false">AS41</f>
        <v>7.45</v>
      </c>
      <c r="AT42" s="5"/>
      <c r="AU42" s="4"/>
      <c r="AV42" s="602" t="n">
        <v>0.04</v>
      </c>
      <c r="AW42" s="603" t="n">
        <v>72</v>
      </c>
      <c r="AX42" s="603" t="n">
        <v>49</v>
      </c>
      <c r="AY42" s="161"/>
      <c r="AZ42" s="282" t="n">
        <f aca="false">SUM(N42,P42:U42)</f>
        <v>6.65095439031047</v>
      </c>
      <c r="BA42" s="558" t="n">
        <v>10.8</v>
      </c>
      <c r="BB42" s="407" t="n">
        <v>18532</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548" t="n">
        <v>29</v>
      </c>
      <c r="B43" s="587" t="n">
        <v>6910.33</v>
      </c>
      <c r="C43" s="484" t="n">
        <v>323311</v>
      </c>
      <c r="D43" s="603" t="n">
        <f aca="false">C43-C42</f>
        <v>-361</v>
      </c>
      <c r="E43" s="484" t="n">
        <f aca="false">C43-152000</f>
        <v>171311</v>
      </c>
      <c r="F43" s="604" t="n">
        <f aca="false">D43/$D$2</f>
        <v>-182.001512477943</v>
      </c>
      <c r="G43" s="599" t="n">
        <v>276</v>
      </c>
      <c r="H43" s="606" t="n">
        <v>0</v>
      </c>
      <c r="I43" s="599" t="n">
        <f aca="false">G43+H43</f>
        <v>276</v>
      </c>
      <c r="J43" s="585" t="n">
        <f aca="false">IF(L43&gt;0,L43,0)</f>
        <v>31.6984875220569</v>
      </c>
      <c r="K43" s="599" t="n">
        <f aca="false">I43+J43</f>
        <v>307.698487522057</v>
      </c>
      <c r="L43" s="599" t="n">
        <f aca="false">F43-(I43-AK43)</f>
        <v>31.6984875220569</v>
      </c>
      <c r="M43" s="605" t="n">
        <v>133</v>
      </c>
      <c r="N43" s="186" t="n">
        <v>0</v>
      </c>
      <c r="O43" s="599" t="n">
        <f aca="false">31.4*1.05</f>
        <v>32.97</v>
      </c>
      <c r="P43" s="186" t="n">
        <v>0</v>
      </c>
      <c r="Q43" s="373" t="n">
        <f aca="false">1360500/325851/1.9835*1.02</f>
        <v>2.14707618545711</v>
      </c>
      <c r="R43" s="151" t="n">
        <f aca="false">IF(((4.5*1.04)-T43)&gt;=4.2,4.2,(4.5*1.04)-T43)</f>
        <v>3.59810464</v>
      </c>
      <c r="S43" s="151" t="n">
        <f aca="false">IF(((4.5*1.04)-T43)&gt;=4.2,((4.5*1.04)-T43)-4.2,0)</f>
        <v>0</v>
      </c>
      <c r="T43" s="151" t="n">
        <f aca="false">(0.9814*1.06)*1.04</f>
        <v>1.08189536</v>
      </c>
      <c r="U43" s="393" t="n">
        <v>0</v>
      </c>
      <c r="V43" s="599" t="n">
        <v>37.5</v>
      </c>
      <c r="W43" s="599" t="n">
        <v>68.9</v>
      </c>
      <c r="X43" s="280" t="n">
        <f aca="false">M43-N43-O43-P43-Q43-R43-S43-T43-U43+V43+W43-AT43+AR43</f>
        <v>199.602923814543</v>
      </c>
      <c r="Y43" s="280" t="n">
        <f aca="false">X43-AO43</f>
        <v>199.602923814543</v>
      </c>
      <c r="Z43" s="123" t="n">
        <f aca="false">Z42</f>
        <v>8126.02102239745</v>
      </c>
      <c r="AA43" s="155" t="n">
        <f aca="false">(-AP43)</f>
        <v>-68.95189536</v>
      </c>
      <c r="AB43" s="244"/>
      <c r="AC43" s="244" t="n">
        <f aca="false">AC42-(AQ42/1.9835)+AS43</f>
        <v>1597.81009248038</v>
      </c>
      <c r="AD43" s="484" t="n">
        <f aca="false">AD42</f>
        <v>1495.84068565667</v>
      </c>
      <c r="AE43" s="599" t="n">
        <v>191</v>
      </c>
      <c r="AF43" s="279" t="n">
        <v>1.7</v>
      </c>
      <c r="AG43" s="281" t="n">
        <v>1.3</v>
      </c>
      <c r="AH43" s="209" t="n">
        <v>59.3</v>
      </c>
      <c r="AI43" s="176" t="n">
        <f aca="false">AI42-AH43</f>
        <v>7861.05787748927</v>
      </c>
      <c r="AJ43" s="176"/>
      <c r="AK43" s="11" t="n">
        <f aca="false">N43+O43+P43+Q43+R43+S43+T43+U43+X43+AE43+AH43-AR43</f>
        <v>489.7</v>
      </c>
      <c r="AL43" s="599" t="n">
        <f aca="false">IF(L43&lt;0,L43*-1,0)</f>
        <v>0</v>
      </c>
      <c r="AM43" s="599" t="n">
        <f aca="false">AK43+AL43</f>
        <v>489.7</v>
      </c>
      <c r="AN43" s="303"/>
      <c r="AO43" s="548"/>
      <c r="AP43" s="112" t="n">
        <f aca="false">I43-Q43-R43-X43-AF43</f>
        <v>68.95189536</v>
      </c>
      <c r="AQ43" s="186" t="n">
        <f aca="false">28.212*(Z43*1.9835+AC43*1.9835)/E43</f>
        <v>3.17627602949929</v>
      </c>
      <c r="AR43" s="601"/>
      <c r="AS43" s="173" t="n">
        <f aca="false">AS42</f>
        <v>7.45</v>
      </c>
      <c r="AT43" s="5"/>
      <c r="AU43" s="4"/>
      <c r="AV43" s="602" t="n">
        <v>0.07</v>
      </c>
      <c r="AW43" s="603" t="n">
        <v>80</v>
      </c>
      <c r="AX43" s="603" t="n">
        <v>48</v>
      </c>
      <c r="AY43" s="161"/>
      <c r="AZ43" s="282" t="n">
        <f aca="false">SUM(N43,P43:U43)</f>
        <v>6.82707618545711</v>
      </c>
      <c r="BA43" s="558" t="n">
        <v>10.7</v>
      </c>
      <c r="BB43" s="407" t="n">
        <v>18542</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548" t="n">
        <v>30</v>
      </c>
      <c r="B44" s="587" t="n">
        <v>6910.2</v>
      </c>
      <c r="C44" s="484" t="n">
        <v>322789</v>
      </c>
      <c r="D44" s="603" t="n">
        <f aca="false">C44-C43</f>
        <v>-522</v>
      </c>
      <c r="E44" s="484" t="n">
        <f aca="false">C44-152000</f>
        <v>170789</v>
      </c>
      <c r="F44" s="604" t="n">
        <f aca="false">D44/$D$2</f>
        <v>-263.17116208722</v>
      </c>
      <c r="G44" s="599" t="n">
        <v>234</v>
      </c>
      <c r="H44" s="606" t="n">
        <v>0</v>
      </c>
      <c r="I44" s="599" t="n">
        <f aca="false">G44+H44</f>
        <v>234</v>
      </c>
      <c r="J44" s="585" t="n">
        <f aca="false">IF(L44&gt;0,L44,0)</f>
        <v>2.02883791278043</v>
      </c>
      <c r="K44" s="599" t="n">
        <f aca="false">I44+J44</f>
        <v>236.02883791278</v>
      </c>
      <c r="L44" s="599" t="n">
        <f aca="false">F44-(I44-AK44)</f>
        <v>2.02883791278043</v>
      </c>
      <c r="M44" s="605" t="n">
        <v>149</v>
      </c>
      <c r="N44" s="186" t="n">
        <v>0</v>
      </c>
      <c r="O44" s="599" t="n">
        <f aca="false">36.1*1.05</f>
        <v>37.905</v>
      </c>
      <c r="P44" s="186" t="n">
        <v>0</v>
      </c>
      <c r="Q44" s="373" t="n">
        <f aca="false">1357100/325851/1.9835*1.02</f>
        <v>2.14171046768383</v>
      </c>
      <c r="R44" s="151" t="n">
        <f aca="false">IF(((4.2*1.04)-T44)&gt;=4.2,4.2,(4.2*1.04)-T44)</f>
        <v>3.28610464</v>
      </c>
      <c r="S44" s="151" t="n">
        <f aca="false">IF(((4.2*1.04)-T44)&gt;=4.2,((4.2*1.04)-T44)-4.2,0)</f>
        <v>0</v>
      </c>
      <c r="T44" s="151" t="n">
        <f aca="false">(0.9814*1.06)*1.04</f>
        <v>1.08189536</v>
      </c>
      <c r="U44" s="393" t="n">
        <v>0</v>
      </c>
      <c r="V44" s="599" t="n">
        <v>37.5</v>
      </c>
      <c r="W44" s="599" t="n">
        <v>67.6</v>
      </c>
      <c r="X44" s="280" t="n">
        <f aca="false">M44-N44-O44-P44-Q44-R44-S44-T44-U44+V44+W44-AT44+AR44</f>
        <v>209.685289532316</v>
      </c>
      <c r="Y44" s="280" t="n">
        <f aca="false">X44-AO44</f>
        <v>209.685289532316</v>
      </c>
      <c r="Z44" s="123" t="n">
        <f aca="false">Z43</f>
        <v>8126.02102239745</v>
      </c>
      <c r="AA44" s="155" t="n">
        <f aca="false">(-AP44)</f>
        <v>-17.18689536</v>
      </c>
      <c r="AB44" s="244"/>
      <c r="AC44" s="244" t="n">
        <f aca="false">AC43-(AQ43/1.9835)+AS44</f>
        <v>1603.65874333519</v>
      </c>
      <c r="AD44" s="484" t="n">
        <f aca="false">AD43</f>
        <v>1495.84068565667</v>
      </c>
      <c r="AE44" s="599" t="n">
        <v>186</v>
      </c>
      <c r="AF44" s="279" t="n">
        <v>1.7</v>
      </c>
      <c r="AG44" s="281" t="n">
        <v>1.3</v>
      </c>
      <c r="AH44" s="209" t="n">
        <v>59.1</v>
      </c>
      <c r="AI44" s="176" t="n">
        <f aca="false">AI43-AH44</f>
        <v>7801.95787748927</v>
      </c>
      <c r="AJ44" s="176"/>
      <c r="AK44" s="11" t="n">
        <f aca="false">N44+O44+P44+Q44+R44+S44+T44+U44+X44+AE44+AH44-AR44</f>
        <v>499.2</v>
      </c>
      <c r="AL44" s="599" t="n">
        <f aca="false">IF(L44&lt;0,L44*-1,0)</f>
        <v>0</v>
      </c>
      <c r="AM44" s="599" t="n">
        <f aca="false">AK44+AL44</f>
        <v>499.2</v>
      </c>
      <c r="AN44" s="303"/>
      <c r="AO44" s="548"/>
      <c r="AP44" s="112" t="n">
        <f aca="false">I44-Q44-R44-X44-AF44</f>
        <v>17.18689536</v>
      </c>
      <c r="AQ44" s="186" t="n">
        <f aca="false">43.601*(Z44*1.9835+AC44*1.9835)/E44</f>
        <v>4.9268269195805</v>
      </c>
      <c r="AR44" s="601"/>
      <c r="AS44" s="173" t="n">
        <f aca="false">AS43</f>
        <v>7.45</v>
      </c>
      <c r="AT44" s="5"/>
      <c r="AU44" s="4"/>
      <c r="AV44" s="602" t="n">
        <v>0</v>
      </c>
      <c r="AW44" s="603" t="n">
        <v>82</v>
      </c>
      <c r="AX44" s="603" t="n">
        <v>50</v>
      </c>
      <c r="AY44" s="161"/>
      <c r="AZ44" s="282" t="n">
        <f aca="false">SUM(N44,P44:U44)</f>
        <v>6.50971046768383</v>
      </c>
      <c r="BA44" s="558" t="n">
        <v>10.6</v>
      </c>
      <c r="BB44" s="407" t="n">
        <v>18524</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2.95" hidden="false" customHeight="true" outlineLevel="0" collapsed="false">
      <c r="A45" s="548" t="n">
        <v>31</v>
      </c>
      <c r="B45" s="587" t="n">
        <v>6910.04</v>
      </c>
      <c r="C45" s="484" t="n">
        <v>322147</v>
      </c>
      <c r="D45" s="603" t="n">
        <f aca="false">C45-C44</f>
        <v>-642</v>
      </c>
      <c r="E45" s="484" t="n">
        <f aca="false">C45-152000</f>
        <v>170147</v>
      </c>
      <c r="F45" s="604" t="n">
        <f aca="false">D45/$D$2</f>
        <v>-323.670279808419</v>
      </c>
      <c r="G45" s="599" t="n">
        <v>209</v>
      </c>
      <c r="H45" s="606" t="n">
        <v>0</v>
      </c>
      <c r="I45" s="599" t="n">
        <f aca="false">G45+H45</f>
        <v>209</v>
      </c>
      <c r="J45" s="585" t="n">
        <f aca="false">IF(L45&gt;0,L45,0)</f>
        <v>34.1297201915805</v>
      </c>
      <c r="K45" s="599" t="n">
        <f aca="false">I45+J45</f>
        <v>243.12972019158</v>
      </c>
      <c r="L45" s="599" t="n">
        <f aca="false">F45-(I45-AK45)</f>
        <v>34.1297201915805</v>
      </c>
      <c r="M45" s="605" t="n">
        <v>179</v>
      </c>
      <c r="N45" s="186" t="n">
        <v>0</v>
      </c>
      <c r="O45" s="599" t="n">
        <f aca="false">56.7*1.05</f>
        <v>59.535</v>
      </c>
      <c r="P45" s="186" t="n">
        <v>0</v>
      </c>
      <c r="Q45" s="373" t="n">
        <f aca="false">1430700/325851/1.9835*1.02</f>
        <v>2.25786247595259</v>
      </c>
      <c r="R45" s="151" t="n">
        <f aca="false">IF(((4.1*1.04)-T45)&gt;=4.2,4.2,(4.1*1.04)-T45)</f>
        <v>3.18210464</v>
      </c>
      <c r="S45" s="151" t="n">
        <f aca="false">IF(((4.1*1.04)-T45)&gt;=4.2,((4.1*1.04)-T45)-4.2,0)</f>
        <v>0</v>
      </c>
      <c r="T45" s="151" t="n">
        <f aca="false">(0.9814*1.06)*1.04</f>
        <v>1.08189536</v>
      </c>
      <c r="U45" s="393" t="n">
        <v>0</v>
      </c>
      <c r="V45" s="599" t="n">
        <v>37.5</v>
      </c>
      <c r="W45" s="599" t="n">
        <v>65.8</v>
      </c>
      <c r="X45" s="280" t="n">
        <f aca="false">M45-N45-O45-P45-Q45-R45-S45-T45-U45+V45+W45-AT45+AR45</f>
        <v>216.243137524047</v>
      </c>
      <c r="Y45" s="280" t="n">
        <f aca="false">X45-AO45</f>
        <v>216.243137524047</v>
      </c>
      <c r="Z45" s="123" t="n">
        <f aca="false">Z44+AP45</f>
        <v>8111.63791775745</v>
      </c>
      <c r="AA45" s="155" t="n">
        <f aca="false">(-AP45)</f>
        <v>14.38310464</v>
      </c>
      <c r="AB45" s="244"/>
      <c r="AC45" s="244" t="n">
        <f aca="false">AC44-(AQ44/1.9835)+AS45</f>
        <v>1608.62483765352</v>
      </c>
      <c r="AD45" s="484" t="n">
        <f aca="false">AD44</f>
        <v>1495.84068565667</v>
      </c>
      <c r="AE45" s="599" t="n">
        <v>225</v>
      </c>
      <c r="AF45" s="279" t="n">
        <v>1.7</v>
      </c>
      <c r="AG45" s="281" t="n">
        <v>1.3</v>
      </c>
      <c r="AH45" s="209" t="n">
        <v>59.5</v>
      </c>
      <c r="AI45" s="176" t="n">
        <f aca="false">AI44-AH45</f>
        <v>7742.45787748927</v>
      </c>
      <c r="AJ45" s="176"/>
      <c r="AK45" s="11" t="n">
        <f aca="false">N45+O45+P45+Q45+R45+S45+T45+U45+X45+AE45+AH45-AR45</f>
        <v>566.8</v>
      </c>
      <c r="AL45" s="599" t="n">
        <f aca="false">IF(L45&lt;0,L45*-1,0)</f>
        <v>0</v>
      </c>
      <c r="AM45" s="599" t="n">
        <f aca="false">AK45+AL45</f>
        <v>566.8</v>
      </c>
      <c r="AN45" s="303"/>
      <c r="AO45" s="207"/>
      <c r="AP45" s="112" t="n">
        <f aca="false">I45-Q45-R45-X45-AF45</f>
        <v>-14.38310464</v>
      </c>
      <c r="AQ45" s="186" t="n">
        <f aca="false">43.601*(Z45*1.9835+AC45*1.9835)/E45</f>
        <v>4.94063036895608</v>
      </c>
      <c r="AR45" s="601"/>
      <c r="AS45" s="173" t="n">
        <f aca="false">AS44</f>
        <v>7.45</v>
      </c>
      <c r="AT45" s="5"/>
      <c r="AU45" s="4"/>
      <c r="AV45" s="602" t="n">
        <v>0</v>
      </c>
      <c r="AW45" s="603" t="n">
        <v>82</v>
      </c>
      <c r="AX45" s="603" t="n">
        <v>53</v>
      </c>
      <c r="AY45" s="161"/>
      <c r="AZ45" s="282" t="n">
        <f aca="false">SUM(N45,P45:U45)</f>
        <v>6.52186247595258</v>
      </c>
      <c r="BA45" s="558" t="n">
        <v>10.6</v>
      </c>
      <c r="BB45" s="407" t="n">
        <v>18504</v>
      </c>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3" hidden="false" customHeight="true" outlineLevel="0" collapsed="false">
      <c r="A46" s="261"/>
      <c r="B46" s="562"/>
      <c r="C46" s="563"/>
      <c r="D46" s="261"/>
      <c r="E46" s="563"/>
      <c r="F46" s="564"/>
      <c r="G46" s="592"/>
      <c r="H46" s="592"/>
      <c r="I46" s="261"/>
      <c r="J46" s="261"/>
      <c r="K46" s="261"/>
      <c r="L46" s="261"/>
      <c r="M46" s="566"/>
      <c r="N46" s="261"/>
      <c r="O46" s="261"/>
      <c r="P46" s="567"/>
      <c r="Q46" s="567"/>
      <c r="R46" s="567"/>
      <c r="S46" s="567"/>
      <c r="T46" s="567"/>
      <c r="U46" s="568"/>
      <c r="V46" s="261"/>
      <c r="W46" s="261"/>
      <c r="X46" s="593"/>
      <c r="Y46" s="261"/>
      <c r="Z46" s="563"/>
      <c r="AA46" s="261"/>
      <c r="AB46" s="563"/>
      <c r="AC46" s="563"/>
      <c r="AD46" s="563"/>
      <c r="AE46" s="261" t="n">
        <v>178</v>
      </c>
      <c r="AF46" s="267"/>
      <c r="AG46" s="272"/>
      <c r="AH46" s="261"/>
      <c r="AI46" s="261"/>
      <c r="AJ46" s="261"/>
      <c r="AK46" s="261"/>
      <c r="AL46" s="261"/>
      <c r="AM46" s="261"/>
      <c r="AN46" s="594"/>
      <c r="AO46" s="371"/>
      <c r="AP46" s="371"/>
      <c r="AQ46" s="142"/>
      <c r="AR46" s="595"/>
      <c r="AS46" s="596"/>
      <c r="AT46" s="596"/>
      <c r="AU46" s="596"/>
      <c r="AV46" s="597"/>
      <c r="AW46" s="569"/>
      <c r="AX46" s="569"/>
      <c r="AY46" s="569"/>
      <c r="AZ46" s="569"/>
      <c r="BA46" s="569"/>
      <c r="BB46" s="569"/>
    </row>
    <row r="47" customFormat="false" ht="12.95" hidden="false" customHeight="true" outlineLevel="0" collapsed="false">
      <c r="A47" s="209" t="s">
        <v>104</v>
      </c>
      <c r="B47" s="580"/>
      <c r="D47" s="176"/>
      <c r="F47" s="124" t="n">
        <f aca="false">SUM(F15:F45)</f>
        <v>-10617.5951600706</v>
      </c>
      <c r="G47" s="484" t="n">
        <f aca="false">SUM(G15:G45)</f>
        <v>7428</v>
      </c>
      <c r="H47" s="176" t="n">
        <f aca="false">SUM(H15:H45)</f>
        <v>0</v>
      </c>
      <c r="I47" s="176" t="n">
        <f aca="false">SUM(I15:I45)</f>
        <v>7428</v>
      </c>
      <c r="J47" s="176" t="n">
        <f aca="false">SUM(J15:J45)</f>
        <v>1008.10607511974</v>
      </c>
      <c r="K47" s="176" t="n">
        <f aca="false">SUM(K15:K45)</f>
        <v>8436.10607511974</v>
      </c>
      <c r="L47" s="176" t="n">
        <f aca="false">SUM(L15:L45)</f>
        <v>541.104839929418</v>
      </c>
      <c r="M47" s="583" t="n">
        <f aca="false">SUM(M15:M45)</f>
        <v>6747</v>
      </c>
      <c r="N47" s="176" t="n">
        <f aca="false">SUM(N15:N45)</f>
        <v>0</v>
      </c>
      <c r="O47" s="176" t="n">
        <f aca="false">SUM(O15:O45)</f>
        <v>1981.762</v>
      </c>
      <c r="P47" s="8" t="n">
        <f aca="false">SUM(P15:P45)</f>
        <v>0</v>
      </c>
      <c r="Q47" s="206" t="n">
        <f aca="false">SUM(Q15:Q45)</f>
        <v>75.6503079941729</v>
      </c>
      <c r="R47" s="206" t="n">
        <f aca="false">SUM(R15:R45)</f>
        <v>119.3820936</v>
      </c>
      <c r="S47" s="206" t="n">
        <f aca="false">SUM(S15:S45)</f>
        <v>21.5078712</v>
      </c>
      <c r="T47" s="206" t="n">
        <f aca="false">SUM(T15:T45)</f>
        <v>34.5580352</v>
      </c>
      <c r="U47" s="582" t="n">
        <f aca="false">SUM(U15:U45)</f>
        <v>0</v>
      </c>
      <c r="V47" s="176" t="n">
        <f aca="false">SUM(V15:V45)</f>
        <v>1990.3</v>
      </c>
      <c r="W47" s="176" t="n">
        <f aca="false">SUM(W15:W45)</f>
        <v>2137.9</v>
      </c>
      <c r="X47" s="484" t="n">
        <f aca="false">SUM(X15:X45)</f>
        <v>8642.33969200583</v>
      </c>
      <c r="Y47" s="123" t="n">
        <f aca="false">SUM(Y15:Y45)</f>
        <v>8642.33969200583</v>
      </c>
      <c r="Z47" s="176"/>
      <c r="AA47" s="123"/>
      <c r="AB47" s="176"/>
      <c r="AE47" s="176" t="n">
        <f aca="false">SUM(AE15:AE45)</f>
        <v>5762</v>
      </c>
      <c r="AF47" s="583" t="n">
        <f aca="false">SUM(AF15:AF45)</f>
        <v>52.7</v>
      </c>
      <c r="AG47" s="581" t="n">
        <f aca="false">SUM(AG15:AG45)</f>
        <v>40.3</v>
      </c>
      <c r="AH47" s="176" t="n">
        <f aca="false">SUM(AH15:AH45)</f>
        <v>1949.5</v>
      </c>
      <c r="AI47" s="176"/>
      <c r="AJ47" s="176" t="n">
        <f aca="false">SUM(AJ15:AJ45)</f>
        <v>0</v>
      </c>
      <c r="AK47" s="176" t="n">
        <f aca="false">SUM(AK15:AK45)</f>
        <v>18586.7</v>
      </c>
      <c r="AL47" s="176" t="n">
        <f aca="false">SUM(AL15:AL45)</f>
        <v>467.00123519032</v>
      </c>
      <c r="AM47" s="176" t="n">
        <f aca="false">SUM(AM15:AM45)</f>
        <v>19053.7012351903</v>
      </c>
      <c r="AN47" s="584"/>
      <c r="AO47" s="176" t="n">
        <f aca="false">SUM(AO15:AO45)</f>
        <v>0</v>
      </c>
      <c r="AP47" s="120" t="n">
        <f aca="false">SUM(AP15:AP45)</f>
        <v>-1462.0720936</v>
      </c>
      <c r="AQ47" s="8"/>
      <c r="AR47" s="601" t="n">
        <f aca="false">SUM(AR15:AR45)</f>
        <v>0</v>
      </c>
      <c r="AS47" s="241" t="n">
        <f aca="false">SUM(AS15:AS45)</f>
        <v>230.95</v>
      </c>
      <c r="AT47" s="156" t="n">
        <f aca="false">SUM(AT15:AT45)</f>
        <v>0</v>
      </c>
      <c r="AU47" s="156" t="n">
        <f aca="false">SUM(AU15:AU45)</f>
        <v>0</v>
      </c>
      <c r="AV47" s="602" t="n">
        <f aca="false">SUM(AV15:AV45)</f>
        <v>5.14</v>
      </c>
      <c r="AW47" s="206" t="n">
        <f aca="false">AVERAGE(AW15:AW45)</f>
        <v>82.8709677419355</v>
      </c>
      <c r="AX47" s="206" t="n">
        <f aca="false">AVERAGE(AX15:AX45)</f>
        <v>53.741935483871</v>
      </c>
      <c r="AY47" s="341" t="s">
        <v>130</v>
      </c>
      <c r="AZ47" s="468" t="n">
        <f aca="false">SUM(AZ15:AZ45)</f>
        <v>251.098307994173</v>
      </c>
      <c r="BA47" s="176" t="n">
        <f aca="false">SUM(BA15:BA45)</f>
        <v>1833.2</v>
      </c>
      <c r="BB47" s="91"/>
    </row>
    <row r="48" customFormat="false" ht="12.95" hidden="false" customHeight="true" outlineLevel="0" collapsed="false">
      <c r="A48" s="209" t="s">
        <v>106</v>
      </c>
      <c r="B48" s="580"/>
      <c r="D48" s="176" t="n">
        <f aca="false">SUM(D15:D45)</f>
        <v>-21060</v>
      </c>
      <c r="F48" s="124" t="n">
        <f aca="false">F47*$D$2</f>
        <v>-21060</v>
      </c>
      <c r="G48" s="484" t="n">
        <f aca="false">G47*$D$2</f>
        <v>14733.438</v>
      </c>
      <c r="H48" s="176" t="n">
        <f aca="false">H47*$D$2</f>
        <v>0</v>
      </c>
      <c r="I48" s="176" t="n">
        <f aca="false">I47*$D$2</f>
        <v>14733.438</v>
      </c>
      <c r="J48" s="176" t="n">
        <f aca="false">J47*$D$2</f>
        <v>1999.5784</v>
      </c>
      <c r="K48" s="176" t="n">
        <f aca="false">K47*$D$2</f>
        <v>16733.0164</v>
      </c>
      <c r="L48" s="176" t="n">
        <f aca="false">L47*$D$2</f>
        <v>1073.28145</v>
      </c>
      <c r="M48" s="583" t="n">
        <f aca="false">M47*$D$2</f>
        <v>13382.6745</v>
      </c>
      <c r="N48" s="176" t="n">
        <f aca="false">N47*$D$2</f>
        <v>0</v>
      </c>
      <c r="O48" s="176" t="n">
        <f aca="false">O47*$D$2</f>
        <v>3930.824927</v>
      </c>
      <c r="P48" s="8" t="n">
        <f aca="false">P47*$D$2</f>
        <v>0</v>
      </c>
      <c r="Q48" s="206" t="n">
        <f aca="false">Q47*$D$2</f>
        <v>150.052385906442</v>
      </c>
      <c r="R48" s="206" t="n">
        <f aca="false">R47*$D$2</f>
        <v>236.7943826556</v>
      </c>
      <c r="S48" s="206" t="n">
        <f aca="false">S47*$D$2</f>
        <v>42.6608625252</v>
      </c>
      <c r="T48" s="206" t="n">
        <f aca="false">T47*$D$2</f>
        <v>68.5458628192</v>
      </c>
      <c r="U48" s="582" t="n">
        <f aca="false">U47*$D$2</f>
        <v>0</v>
      </c>
      <c r="V48" s="176" t="n">
        <f aca="false">V47*$D$2</f>
        <v>3947.76005</v>
      </c>
      <c r="W48" s="176" t="n">
        <f aca="false">W47*$D$2</f>
        <v>4240.52465</v>
      </c>
      <c r="X48" s="484" t="n">
        <f aca="false">X47*$D$2</f>
        <v>17142.0807790936</v>
      </c>
      <c r="Y48" s="123" t="n">
        <f aca="false">Y47*$D$2</f>
        <v>17142.0807790936</v>
      </c>
      <c r="Z48" s="176"/>
      <c r="AA48" s="123"/>
      <c r="AB48" s="176"/>
      <c r="AE48" s="176" t="n">
        <f aca="false">AE47*$D$2</f>
        <v>11428.927</v>
      </c>
      <c r="AF48" s="583" t="n">
        <f aca="false">AF47*$D$2</f>
        <v>104.53045</v>
      </c>
      <c r="AG48" s="581" t="n">
        <f aca="false">AG47*$D$2</f>
        <v>79.93505</v>
      </c>
      <c r="AH48" s="176" t="n">
        <f aca="false">AH47*$D$2</f>
        <v>3866.83325</v>
      </c>
      <c r="AI48" s="176"/>
      <c r="AJ48" s="176" t="n">
        <f aca="false">AJ47*$D$2</f>
        <v>0</v>
      </c>
      <c r="AK48" s="176" t="n">
        <f aca="false">AK47*$D$2</f>
        <v>36866.71945</v>
      </c>
      <c r="AL48" s="176" t="n">
        <f aca="false">AL47*$D$2</f>
        <v>926.296949999999</v>
      </c>
      <c r="AM48" s="176" t="n">
        <f aca="false">AM47*$D$2</f>
        <v>37793.0164</v>
      </c>
      <c r="AN48" s="584"/>
      <c r="AO48" s="176" t="n">
        <f aca="false">AO47*$D$2</f>
        <v>0</v>
      </c>
      <c r="AP48" s="207"/>
      <c r="AQ48" s="8" t="n">
        <f aca="false">SUM(AQ15:AQ45)</f>
        <v>163.604679134009</v>
      </c>
      <c r="AR48" s="312" t="n">
        <f aca="false">AR47*$D$2</f>
        <v>0</v>
      </c>
      <c r="AS48" s="241" t="n">
        <f aca="false">AS47*$D$2</f>
        <v>458.089325</v>
      </c>
      <c r="AT48" s="156" t="n">
        <f aca="false">AT47*$D$2</f>
        <v>0</v>
      </c>
      <c r="AU48" s="156" t="n">
        <f aca="false">AU47*$D$2</f>
        <v>0</v>
      </c>
      <c r="AV48" s="586"/>
      <c r="AW48" s="206" t="n">
        <f aca="false">MAX(AW15:AW45)</f>
        <v>92</v>
      </c>
      <c r="AX48" s="206" t="n">
        <f aca="false">MAX(AX15:AX45)</f>
        <v>60</v>
      </c>
      <c r="AY48" s="341" t="s">
        <v>107</v>
      </c>
      <c r="AZ48" s="468" t="n">
        <f aca="false">AZ47*$D$2</f>
        <v>498.053493906442</v>
      </c>
      <c r="BA48" s="176" t="n">
        <f aca="false">BA47*$D$2</f>
        <v>3636.1522</v>
      </c>
      <c r="BB48" s="91"/>
    </row>
    <row r="49" customFormat="false" ht="3" hidden="false" customHeight="true" outlineLevel="0" collapsed="false">
      <c r="A49" s="261"/>
      <c r="B49" s="562"/>
      <c r="C49" s="563"/>
      <c r="D49" s="563"/>
      <c r="E49" s="563"/>
      <c r="F49" s="607"/>
      <c r="G49" s="563"/>
      <c r="H49" s="563"/>
      <c r="I49" s="563"/>
      <c r="J49" s="563"/>
      <c r="K49" s="563"/>
      <c r="L49" s="563"/>
      <c r="M49" s="608"/>
      <c r="N49" s="563"/>
      <c r="O49" s="563"/>
      <c r="P49" s="567"/>
      <c r="Q49" s="569"/>
      <c r="R49" s="569"/>
      <c r="S49" s="569"/>
      <c r="T49" s="569"/>
      <c r="U49" s="568"/>
      <c r="V49" s="563"/>
      <c r="W49" s="563"/>
      <c r="X49" s="609"/>
      <c r="Y49" s="263"/>
      <c r="Z49" s="563"/>
      <c r="AA49" s="263"/>
      <c r="AB49" s="563"/>
      <c r="AC49" s="563"/>
      <c r="AD49" s="563"/>
      <c r="AE49" s="563"/>
      <c r="AF49" s="608"/>
      <c r="AG49" s="610"/>
      <c r="AH49" s="563"/>
      <c r="AI49" s="261"/>
      <c r="AJ49" s="563"/>
      <c r="AK49" s="563"/>
      <c r="AL49" s="563"/>
      <c r="AM49" s="563"/>
      <c r="AN49" s="611"/>
      <c r="AO49" s="563"/>
      <c r="AP49" s="371"/>
      <c r="AQ49" s="567"/>
      <c r="AR49" s="612"/>
      <c r="AS49" s="274"/>
      <c r="AT49" s="271"/>
      <c r="AU49" s="596"/>
      <c r="AV49" s="611"/>
      <c r="AW49" s="563"/>
      <c r="AX49" s="563"/>
      <c r="AY49" s="563"/>
      <c r="AZ49" s="563"/>
      <c r="BA49" s="563"/>
      <c r="BB49" s="563"/>
    </row>
    <row r="50" customFormat="false" ht="12.95" hidden="false" customHeight="true" outlineLevel="0" collapsed="false">
      <c r="A50" s="209" t="s">
        <v>108</v>
      </c>
      <c r="B50" s="580"/>
      <c r="D50" s="176"/>
      <c r="F50" s="124" t="n">
        <f aca="false">F12+F47</f>
        <v>29486.2616586841</v>
      </c>
      <c r="G50" s="176" t="n">
        <f aca="false">G12+G47</f>
        <v>119807</v>
      </c>
      <c r="H50" s="176" t="n">
        <f aca="false">H12+H47</f>
        <v>4369.598</v>
      </c>
      <c r="I50" s="176" t="n">
        <f aca="false">I12+I47</f>
        <v>124176.598</v>
      </c>
      <c r="J50" s="176" t="n">
        <f aca="false">J12+J47</f>
        <v>6393.48324325687</v>
      </c>
      <c r="K50" s="176" t="n">
        <f aca="false">K12+K47</f>
        <v>130570.071243257</v>
      </c>
      <c r="L50" s="176" t="n">
        <f aca="false">L12+L47</f>
        <v>3618.86065868414</v>
      </c>
      <c r="M50" s="583" t="n">
        <f aca="false">M12+M47</f>
        <v>34215.98</v>
      </c>
      <c r="N50" s="176" t="n">
        <f aca="false">N12+N47</f>
        <v>0</v>
      </c>
      <c r="O50" s="176" t="n">
        <f aca="false">O12+O47</f>
        <v>10900.2135</v>
      </c>
      <c r="P50" s="8" t="n">
        <f aca="false">P12+P47</f>
        <v>7.06</v>
      </c>
      <c r="Q50" s="206"/>
      <c r="R50" s="206"/>
      <c r="S50" s="206"/>
      <c r="T50" s="206"/>
      <c r="U50" s="582"/>
      <c r="V50" s="176" t="n">
        <f aca="false">V12+V47</f>
        <v>11750.4</v>
      </c>
      <c r="W50" s="176" t="n">
        <f aca="false">W12+W47</f>
        <v>7973.1</v>
      </c>
      <c r="X50" s="484" t="n">
        <f aca="false">X12+X47</f>
        <v>41673.0492793424</v>
      </c>
      <c r="Y50" s="123" t="n">
        <f aca="false">Y12+Y47</f>
        <v>41640.2789239101</v>
      </c>
      <c r="Z50" s="93" t="n">
        <f aca="false">Z45</f>
        <v>8111.63791775745</v>
      </c>
      <c r="AA50" s="123"/>
      <c r="AB50" s="484"/>
      <c r="AE50" s="176" t="n">
        <f aca="false">AE12+AE47</f>
        <v>22066.773</v>
      </c>
      <c r="AF50" s="583" t="n">
        <f aca="false">AF12+AF47</f>
        <v>260.1</v>
      </c>
      <c r="AG50" s="581" t="n">
        <f aca="false">AG12+AG47</f>
        <v>198.9</v>
      </c>
      <c r="AH50" s="176"/>
      <c r="AI50" s="484"/>
      <c r="AJ50" s="176" t="n">
        <f aca="false">AJ12+AJ47</f>
        <v>0</v>
      </c>
      <c r="AK50" s="176" t="n">
        <f aca="false">AK12+AK47</f>
        <v>98309.187</v>
      </c>
      <c r="AL50" s="176" t="n">
        <f aca="false">AL12+AL47</f>
        <v>2774.62258457272</v>
      </c>
      <c r="AM50" s="176" t="n">
        <f aca="false">AM12+AM47</f>
        <v>101083.809584573</v>
      </c>
      <c r="AN50" s="584"/>
      <c r="AO50" s="207"/>
      <c r="AP50" s="207"/>
      <c r="AQ50" s="8"/>
      <c r="AR50" s="312" t="n">
        <f aca="false">AR12+AR47</f>
        <v>0</v>
      </c>
      <c r="AS50" s="241" t="n">
        <f aca="false">AS12+AS47</f>
        <v>433.29</v>
      </c>
      <c r="AT50" s="156" t="n">
        <f aca="false">AT12+AT47</f>
        <v>172.906</v>
      </c>
      <c r="AU50" s="156" t="n">
        <f aca="false">AU12+AU47</f>
        <v>0</v>
      </c>
      <c r="AV50" s="586" t="s">
        <v>136</v>
      </c>
      <c r="AW50" s="206" t="n">
        <f aca="false">MIN(AW15:AW45)</f>
        <v>72</v>
      </c>
      <c r="AX50" s="206" t="n">
        <f aca="false">MIN(AX15:AX45)</f>
        <v>47</v>
      </c>
      <c r="AY50" s="341" t="s">
        <v>109</v>
      </c>
      <c r="AZ50" s="468" t="n">
        <f aca="false">AZ12+AZ47</f>
        <v>1210.01672065757</v>
      </c>
      <c r="BA50" s="176" t="n">
        <f aca="false">BA12+BA47</f>
        <v>6400.864</v>
      </c>
      <c r="BB50" s="91"/>
    </row>
    <row r="51" customFormat="false" ht="12.95" hidden="false" customHeight="true" outlineLevel="0" collapsed="false">
      <c r="A51" s="209" t="s">
        <v>110</v>
      </c>
      <c r="B51" s="580"/>
      <c r="D51" s="176"/>
      <c r="F51" s="124" t="n">
        <f aca="false">F50*$D$2</f>
        <v>58486</v>
      </c>
      <c r="G51" s="176" t="n">
        <f aca="false">G50*$D$2</f>
        <v>237637.1845</v>
      </c>
      <c r="H51" s="176" t="n">
        <f aca="false">H50*$D$2</f>
        <v>8667.097633</v>
      </c>
      <c r="I51" s="176" t="n">
        <f aca="false">I50*$D$2</f>
        <v>246304.282133</v>
      </c>
      <c r="J51" s="176" t="n">
        <f aca="false">J50*$D$2</f>
        <v>12681.474013</v>
      </c>
      <c r="K51" s="176" t="n">
        <f aca="false">K50*$D$2</f>
        <v>258985.736311</v>
      </c>
      <c r="L51" s="176" t="n">
        <f aca="false">L50*$D$2</f>
        <v>7178.0101165</v>
      </c>
      <c r="M51" s="583" t="n">
        <f aca="false">M50*$D$2</f>
        <v>67867.39633</v>
      </c>
      <c r="N51" s="176" t="n">
        <f aca="false">N50*$D$2</f>
        <v>0</v>
      </c>
      <c r="O51" s="176" t="n">
        <f aca="false">O50*$D$2</f>
        <v>21620.57347725</v>
      </c>
      <c r="P51" s="8" t="n">
        <f aca="false">P50*$D$2</f>
        <v>14.00351</v>
      </c>
      <c r="Q51" s="206"/>
      <c r="R51" s="206"/>
      <c r="S51" s="206"/>
      <c r="T51" s="206"/>
      <c r="U51" s="582"/>
      <c r="V51" s="176" t="n">
        <f aca="false">V50*$D$2</f>
        <v>23306.9184</v>
      </c>
      <c r="W51" s="176" t="n">
        <f aca="false">W50*$D$2</f>
        <v>15814.64385</v>
      </c>
      <c r="X51" s="484" t="n">
        <f aca="false">X50*$D$2</f>
        <v>82658.4932455757</v>
      </c>
      <c r="Y51" s="123" t="n">
        <f aca="false">Y50*$D$2</f>
        <v>82593.4932455757</v>
      </c>
      <c r="Z51" s="93" t="n">
        <f aca="false">Z50*$D$2</f>
        <v>16089.4338098719</v>
      </c>
      <c r="AA51" s="123"/>
      <c r="AB51" s="176"/>
      <c r="AE51" s="581" t="n">
        <f aca="false">AE50*$D$2</f>
        <v>43769.4442455</v>
      </c>
      <c r="AF51" s="176" t="n">
        <f aca="false">AF50*$D$2</f>
        <v>515.90835</v>
      </c>
      <c r="AG51" s="176" t="n">
        <f aca="false">AG50*$D$2</f>
        <v>394.51815</v>
      </c>
      <c r="AH51" s="583"/>
      <c r="AI51" s="176"/>
      <c r="AJ51" s="176" t="n">
        <f aca="false">AJ50*$D$2</f>
        <v>0</v>
      </c>
      <c r="AK51" s="176" t="n">
        <f aca="false">AK50*$D$2</f>
        <v>194996.2724145</v>
      </c>
      <c r="AL51" s="176" t="n">
        <f aca="false">AL50*$D$2</f>
        <v>5503.4638965</v>
      </c>
      <c r="AM51" s="176" t="n">
        <f aca="false">AM50*$D$2</f>
        <v>200499.736311</v>
      </c>
      <c r="AN51" s="584"/>
      <c r="AO51" s="207"/>
      <c r="AP51" s="207"/>
      <c r="AQ51" s="120" t="n">
        <f aca="false">AQ12+AQ48</f>
        <v>1073.53483966339</v>
      </c>
      <c r="AR51" s="312" t="n">
        <f aca="false">AR50*$D$2</f>
        <v>0</v>
      </c>
      <c r="AS51" s="241" t="n">
        <f aca="false">AS50*$D$2</f>
        <v>859.430715</v>
      </c>
      <c r="AT51" s="156" t="n">
        <f aca="false">AT50*$D$2</f>
        <v>342.959051</v>
      </c>
      <c r="AU51" s="156" t="n">
        <f aca="false">AU50*$D$2</f>
        <v>0</v>
      </c>
      <c r="AV51" s="586" t="n">
        <f aca="false">JUL!AV51+AV47</f>
        <v>8.53845679012346</v>
      </c>
      <c r="AW51" s="206"/>
      <c r="AX51" s="206"/>
      <c r="AY51" s="283"/>
      <c r="AZ51" s="468" t="n">
        <f aca="false">AZ50*$D$2</f>
        <v>2400.06816542429</v>
      </c>
      <c r="BA51" s="176" t="n">
        <f aca="false">BA50*$D$2</f>
        <v>12696.113744</v>
      </c>
      <c r="BB51" s="91"/>
    </row>
    <row r="52" customFormat="false" ht="3" hidden="false" customHeight="true" outlineLevel="0" collapsed="false">
      <c r="A52" s="261"/>
      <c r="B52" s="562"/>
      <c r="C52" s="563"/>
      <c r="D52" s="563"/>
      <c r="E52" s="563"/>
      <c r="F52" s="607"/>
      <c r="G52" s="563"/>
      <c r="H52" s="569"/>
      <c r="I52" s="563"/>
      <c r="J52" s="563"/>
      <c r="K52" s="563"/>
      <c r="L52" s="563"/>
      <c r="M52" s="608"/>
      <c r="N52" s="563"/>
      <c r="O52" s="563"/>
      <c r="P52" s="567"/>
      <c r="Q52" s="569"/>
      <c r="R52" s="569"/>
      <c r="S52" s="569"/>
      <c r="T52" s="569"/>
      <c r="U52" s="568"/>
      <c r="V52" s="563"/>
      <c r="W52" s="563"/>
      <c r="X52" s="609"/>
      <c r="Y52" s="263"/>
      <c r="Z52" s="563"/>
      <c r="AA52" s="263"/>
      <c r="AB52" s="563"/>
      <c r="AC52" s="563"/>
      <c r="AD52" s="563"/>
      <c r="AE52" s="610"/>
      <c r="AF52" s="263"/>
      <c r="AG52" s="263"/>
      <c r="AH52" s="608"/>
      <c r="AI52" s="563"/>
      <c r="AJ52" s="563"/>
      <c r="AK52" s="563"/>
      <c r="AL52" s="563"/>
      <c r="AM52" s="563"/>
      <c r="AN52" s="597"/>
      <c r="AO52" s="613"/>
      <c r="AP52" s="371"/>
      <c r="AQ52" s="567"/>
      <c r="AR52" s="614"/>
      <c r="AS52" s="371"/>
      <c r="AT52" s="596"/>
      <c r="AU52" s="596"/>
      <c r="AV52" s="597"/>
      <c r="AW52" s="613"/>
      <c r="AX52" s="613"/>
      <c r="AY52" s="613"/>
      <c r="AZ52" s="613"/>
      <c r="BA52" s="613"/>
      <c r="BB52" s="613"/>
    </row>
    <row r="53" customFormat="false" ht="12.95" hidden="false" customHeight="true" outlineLevel="0" collapsed="false">
      <c r="A53" s="209" t="s">
        <v>111</v>
      </c>
      <c r="B53" s="580"/>
      <c r="D53" s="176"/>
      <c r="F53" s="124" t="n">
        <f aca="false">F13+F47</f>
        <v>39886.5641542728</v>
      </c>
      <c r="G53" s="176" t="n">
        <f aca="false">G13+G47</f>
        <v>136066.879899924</v>
      </c>
      <c r="H53" s="206" t="n">
        <f aca="false">H13+H47</f>
        <v>4658.297</v>
      </c>
      <c r="I53" s="176" t="n">
        <f aca="false">I13+I47</f>
        <v>140725.176899924</v>
      </c>
      <c r="J53" s="176" t="n">
        <f aca="false">J13+J47</f>
        <v>9774.70247441391</v>
      </c>
      <c r="K53" s="176" t="n">
        <f aca="false">K13+K47</f>
        <v>150499.869374338</v>
      </c>
      <c r="L53" s="176" t="n">
        <f aca="false">L13+L47</f>
        <v>6682.07925434837</v>
      </c>
      <c r="M53" s="583" t="n">
        <f aca="false">M13+M47</f>
        <v>34970.98</v>
      </c>
      <c r="N53" s="176" t="n">
        <f aca="false">N13+N47</f>
        <v>0</v>
      </c>
      <c r="O53" s="176" t="n">
        <f aca="false">O13+O47</f>
        <v>10901.94705</v>
      </c>
      <c r="Q53" s="206" t="n">
        <f aca="false">Q13+Q47</f>
        <v>628.724350334407</v>
      </c>
      <c r="R53" s="206" t="n">
        <f aca="false">R13+R47</f>
        <v>784.40436944</v>
      </c>
      <c r="S53" s="206" t="n">
        <f aca="false">S13+S47</f>
        <v>112.12308368</v>
      </c>
      <c r="T53" s="206" t="n">
        <f aca="false">T13+T47</f>
        <v>252.04854688</v>
      </c>
      <c r="U53" s="615" t="n">
        <f aca="false">U13+U47</f>
        <v>-15.4916088537026</v>
      </c>
      <c r="V53" s="176" t="n">
        <f aca="false">V13+V47</f>
        <v>14965.21</v>
      </c>
      <c r="W53" s="176" t="n">
        <f aca="false">W13+W47</f>
        <v>8003.185</v>
      </c>
      <c r="X53" s="484" t="n">
        <f aca="false">X13+X47</f>
        <v>45071.8791085193</v>
      </c>
      <c r="Y53" s="123" t="n">
        <f aca="false">Y13+Y47</f>
        <v>44788.968753087</v>
      </c>
      <c r="Z53" s="176"/>
      <c r="AA53" s="123"/>
      <c r="AB53" s="176"/>
      <c r="AE53" s="581"/>
      <c r="AF53" s="123" t="n">
        <f aca="false">AF13+AF47</f>
        <v>260.1</v>
      </c>
      <c r="AG53" s="123" t="n">
        <f aca="false">AG13+AG47</f>
        <v>198.9</v>
      </c>
      <c r="AH53" s="583" t="n">
        <f aca="false">AH13+AH47</f>
        <v>27622.4</v>
      </c>
      <c r="AI53" s="176" t="n">
        <f aca="false">AI45</f>
        <v>7742.45787748927</v>
      </c>
      <c r="AJ53" s="176" t="n">
        <f aca="false">AJ13+AJ47</f>
        <v>14122</v>
      </c>
      <c r="AK53" s="176" t="n">
        <f aca="false">AK13+AK47</f>
        <v>107520.682</v>
      </c>
      <c r="AL53" s="176" t="n">
        <f aca="false">AL13+AL47</f>
        <v>3092.62322006554</v>
      </c>
      <c r="AM53" s="616" t="n">
        <f aca="false">AM13+AM47</f>
        <v>110613.305220066</v>
      </c>
      <c r="AN53" s="176" t="n">
        <f aca="false">AN13+AN47</f>
        <v>3115.79</v>
      </c>
      <c r="AO53" s="176" t="n">
        <f aca="false">AO13+AO47</f>
        <v>282.910355432317</v>
      </c>
      <c r="AP53" s="207"/>
      <c r="AQ53" s="8"/>
      <c r="AR53" s="495"/>
      <c r="AS53" s="176" t="n">
        <f aca="false">AS13+AS47</f>
        <v>433.29</v>
      </c>
      <c r="AT53" s="120" t="n">
        <f aca="false">AT12+AT47</f>
        <v>172.906</v>
      </c>
      <c r="AU53" s="616" t="n">
        <f aca="false">AU13+AU47</f>
        <v>0</v>
      </c>
      <c r="AV53" s="586" t="n">
        <f aca="false">AV13+AV47</f>
        <v>16.674885361552</v>
      </c>
      <c r="AW53" s="206"/>
      <c r="AX53" s="206"/>
      <c r="AY53" s="283"/>
      <c r="AZ53" s="468" t="n">
        <f aca="false">AZ13+AZ47</f>
        <v>1764.9687414807</v>
      </c>
      <c r="BA53" s="176" t="n">
        <f aca="false">BA13+BA47</f>
        <v>6485.322</v>
      </c>
      <c r="BB53" s="91"/>
    </row>
    <row r="54" customFormat="false" ht="12.95" hidden="false" customHeight="true" outlineLevel="0" collapsed="false">
      <c r="A54" s="209" t="s">
        <v>112</v>
      </c>
      <c r="B54" s="580"/>
      <c r="D54" s="176" t="n">
        <f aca="false">D13+D48</f>
        <v>78979</v>
      </c>
      <c r="E54" s="176" t="n">
        <f aca="false">E45</f>
        <v>170147</v>
      </c>
      <c r="F54" s="124" t="n">
        <f aca="false">F53*$D$2</f>
        <v>79115</v>
      </c>
      <c r="G54" s="176" t="n">
        <f aca="false">G53*$D$2</f>
        <v>269888.6562815</v>
      </c>
      <c r="H54" s="206" t="n">
        <f aca="false">H53*$D$2</f>
        <v>9239.7320995</v>
      </c>
      <c r="I54" s="176" t="n">
        <f aca="false">I53*$D$2</f>
        <v>279128.388381</v>
      </c>
      <c r="J54" s="176" t="n">
        <f aca="false">J53*$D$2</f>
        <v>19388.122358</v>
      </c>
      <c r="K54" s="176" t="n">
        <f aca="false">K53*$D$2</f>
        <v>298516.490904</v>
      </c>
      <c r="L54" s="176" t="n">
        <f aca="false">L53*$D$2</f>
        <v>13253.904201</v>
      </c>
      <c r="M54" s="583" t="n">
        <f aca="false">M53*$D$2</f>
        <v>69364.93883</v>
      </c>
      <c r="N54" s="176" t="n">
        <f aca="false">N53*$D$2</f>
        <v>0</v>
      </c>
      <c r="O54" s="176" t="n">
        <f aca="false">O53*$D$2</f>
        <v>21624.011973675</v>
      </c>
      <c r="Q54" s="206" t="n">
        <f aca="false">Q53*$D$2</f>
        <v>1247.0747488883</v>
      </c>
      <c r="R54" s="206" t="n">
        <f aca="false">R53*$D$2</f>
        <v>1555.86606678424</v>
      </c>
      <c r="S54" s="617" t="n">
        <f aca="false">S53*$D$2</f>
        <v>222.39613647928</v>
      </c>
      <c r="T54" s="617" t="n">
        <f aca="false">T53*$D$2</f>
        <v>499.93829273648</v>
      </c>
      <c r="U54" s="589" t="n">
        <f aca="false">U53*$D$2</f>
        <v>-30.7276061613192</v>
      </c>
      <c r="V54" s="176" t="n">
        <f aca="false">V53*$D$2</f>
        <v>29683.494035</v>
      </c>
      <c r="W54" s="176" t="n">
        <f aca="false">W53*$D$2</f>
        <v>15874.3174475</v>
      </c>
      <c r="X54" s="484" t="n">
        <f aca="false">X53*$D$2</f>
        <v>89400.072211748</v>
      </c>
      <c r="Y54" s="123" t="n">
        <f aca="false">Y53*$D$2</f>
        <v>88838.919521748</v>
      </c>
      <c r="Z54" s="176"/>
      <c r="AA54" s="123"/>
      <c r="AB54" s="176"/>
      <c r="AE54" s="581"/>
      <c r="AF54" s="123" t="n">
        <f aca="false">AF53*$D$2</f>
        <v>515.90835</v>
      </c>
      <c r="AG54" s="123" t="n">
        <f aca="false">AG53*$D$2</f>
        <v>394.51815</v>
      </c>
      <c r="AH54" s="583" t="n">
        <f aca="false">AH53*$D$2</f>
        <v>54789.0304</v>
      </c>
      <c r="AI54" s="176" t="n">
        <f aca="false">AI53*$D$2</f>
        <v>15357.1652</v>
      </c>
      <c r="AJ54" s="176" t="n">
        <f aca="false">AJ53*$D$2</f>
        <v>28010.987</v>
      </c>
      <c r="AK54" s="176" t="n">
        <f aca="false">AK53*$D$2</f>
        <v>213267.272747</v>
      </c>
      <c r="AL54" s="176" t="n">
        <f aca="false">AL53*$D$2</f>
        <v>6134.218157</v>
      </c>
      <c r="AM54" s="618" t="n">
        <f aca="false">AM53*$D$2</f>
        <v>219401.490904</v>
      </c>
      <c r="AN54" s="176" t="n">
        <f aca="false">AN53*$D$2</f>
        <v>6180.169465</v>
      </c>
      <c r="AO54" s="176" t="n">
        <f aca="false">AO53*$D$2</f>
        <v>561.15269</v>
      </c>
      <c r="AP54" s="207"/>
      <c r="AQ54" s="120" t="n">
        <f aca="false">AQ13+AQ48</f>
        <v>1073.53483966339</v>
      </c>
      <c r="AR54" s="495"/>
      <c r="AS54" s="176" t="n">
        <f aca="false">AS53*$D$2</f>
        <v>859.430715</v>
      </c>
      <c r="AT54" s="120" t="n">
        <f aca="false">AT53*$D$2</f>
        <v>342.959051</v>
      </c>
      <c r="AU54" s="618" t="n">
        <f aca="false">AU53*$D$2</f>
        <v>0</v>
      </c>
      <c r="AV54" s="586"/>
      <c r="AW54" s="206"/>
      <c r="AX54" s="206"/>
      <c r="AY54" s="283"/>
      <c r="AZ54" s="468" t="n">
        <f aca="false">AZ53*$D$2</f>
        <v>3500.81549872698</v>
      </c>
      <c r="BA54" s="176" t="n">
        <f aca="false">BA53*$D$2</f>
        <v>12863.636187</v>
      </c>
      <c r="BB54" s="91"/>
    </row>
    <row r="55" customFormat="false" ht="3" hidden="false" customHeight="true" outlineLevel="0" collapsed="false">
      <c r="A55" s="261"/>
      <c r="B55" s="562"/>
      <c r="C55" s="563"/>
      <c r="D55" s="261"/>
      <c r="E55" s="563"/>
      <c r="F55" s="564"/>
      <c r="G55" s="261"/>
      <c r="H55" s="592"/>
      <c r="I55" s="261"/>
      <c r="J55" s="261"/>
      <c r="K55" s="619"/>
      <c r="L55" s="261"/>
      <c r="M55" s="566"/>
      <c r="N55" s="261"/>
      <c r="O55" s="261"/>
      <c r="P55" s="567"/>
      <c r="Q55" s="567"/>
      <c r="R55" s="620"/>
      <c r="S55" s="567"/>
      <c r="T55" s="567"/>
      <c r="U55" s="568"/>
      <c r="V55" s="261"/>
      <c r="W55" s="261"/>
      <c r="X55" s="593"/>
      <c r="Y55" s="261"/>
      <c r="Z55" s="563"/>
      <c r="AA55" s="261"/>
      <c r="AB55" s="563"/>
      <c r="AC55" s="563"/>
      <c r="AD55" s="563"/>
      <c r="AE55" s="621"/>
      <c r="AF55" s="264"/>
      <c r="AG55" s="264"/>
      <c r="AH55" s="566"/>
      <c r="AI55" s="563"/>
      <c r="AJ55" s="563"/>
      <c r="AK55" s="261"/>
      <c r="AL55" s="261"/>
      <c r="AM55" s="261"/>
      <c r="AN55" s="562"/>
      <c r="AO55" s="261"/>
      <c r="AP55" s="371"/>
      <c r="AQ55" s="567"/>
      <c r="AR55" s="614"/>
      <c r="AS55" s="596"/>
      <c r="AT55" s="596"/>
      <c r="AU55" s="596"/>
      <c r="AV55" s="562"/>
      <c r="AW55" s="261"/>
      <c r="AX55" s="261"/>
      <c r="AY55" s="261"/>
      <c r="AZ55" s="261"/>
      <c r="BA55" s="261"/>
      <c r="BB55" s="261"/>
    </row>
    <row r="56" customFormat="false" ht="11.1" hidden="false" customHeight="true" outlineLevel="0" collapsed="false">
      <c r="A56" s="622"/>
      <c r="B56" s="200"/>
      <c r="C56" s="2"/>
      <c r="D56" s="11"/>
      <c r="E56" s="105"/>
      <c r="F56" s="1"/>
      <c r="G56" s="1"/>
      <c r="H56" s="3"/>
      <c r="I56" s="11"/>
      <c r="J56" s="11"/>
      <c r="K56" s="523"/>
      <c r="L56" s="176"/>
      <c r="M56" s="11"/>
      <c r="N56" s="11"/>
      <c r="O56" s="11"/>
      <c r="P56" s="5"/>
      <c r="Q56" s="5"/>
      <c r="R56" s="5"/>
      <c r="S56" s="5"/>
      <c r="T56" s="5"/>
      <c r="U56" s="5"/>
      <c r="V56" s="11"/>
      <c r="W56" s="11"/>
      <c r="X56" s="147"/>
      <c r="Y56" s="11"/>
      <c r="Z56" s="1"/>
      <c r="AA56" s="11"/>
      <c r="AB56" s="1"/>
      <c r="AC56" s="1"/>
      <c r="AD56" s="2"/>
      <c r="AE56" s="11"/>
      <c r="AF56" s="11"/>
      <c r="AG56" s="11"/>
      <c r="AH56" s="11"/>
      <c r="AI56" s="105"/>
      <c r="AJ56" s="525"/>
      <c r="AK56" s="105"/>
      <c r="AL56" s="209"/>
      <c r="AM56" s="209"/>
      <c r="AN56" s="451"/>
      <c r="AO56" s="451"/>
      <c r="AQ56" s="425"/>
      <c r="AR56" s="571"/>
      <c r="AS56" s="447"/>
      <c r="AV56" s="8"/>
      <c r="AW56" s="206"/>
      <c r="AX56" s="206"/>
    </row>
    <row r="57" customFormat="false" ht="11.1" hidden="false" customHeight="true" outlineLevel="0" collapsed="false">
      <c r="A57" s="209"/>
      <c r="B57" s="623"/>
      <c r="C57" s="2"/>
      <c r="D57" s="1"/>
      <c r="E57" s="423"/>
      <c r="F57" s="212"/>
      <c r="G57" s="1"/>
      <c r="H57" s="3"/>
      <c r="I57" s="12"/>
      <c r="J57" s="11"/>
      <c r="K57" s="201"/>
      <c r="L57" s="120"/>
      <c r="M57" s="11"/>
      <c r="N57" s="11"/>
      <c r="O57" s="2"/>
      <c r="P57" s="5"/>
      <c r="Q57" s="5"/>
      <c r="R57" s="108"/>
      <c r="S57" s="108"/>
      <c r="T57" s="108"/>
      <c r="U57" s="108"/>
      <c r="V57" s="27"/>
      <c r="W57" s="150"/>
      <c r="X57" s="526"/>
      <c r="Y57" s="526"/>
      <c r="Z57" s="176"/>
      <c r="AA57" s="526"/>
      <c r="AB57" s="176"/>
      <c r="AC57" s="97"/>
      <c r="AD57" s="97"/>
      <c r="AE57" s="2"/>
      <c r="AF57" s="2"/>
      <c r="AG57" s="2"/>
      <c r="AH57" s="11"/>
      <c r="AI57" s="2"/>
      <c r="AJ57" s="121"/>
      <c r="AK57" s="2"/>
      <c r="AL57" s="209"/>
      <c r="AM57" s="8"/>
      <c r="AN57" s="624"/>
      <c r="AO57" s="624"/>
      <c r="AQ57" s="425"/>
      <c r="AR57" s="571"/>
      <c r="AS57" s="447"/>
      <c r="AV57" s="206"/>
      <c r="AW57" s="206"/>
      <c r="AX57" s="206"/>
    </row>
    <row r="58" customFormat="false" ht="11.1" hidden="false" customHeight="true" outlineLevel="0" collapsed="false">
      <c r="B58" s="176"/>
      <c r="E58" s="423"/>
      <c r="F58" s="254"/>
      <c r="G58" s="1"/>
      <c r="H58" s="3"/>
      <c r="I58" s="1"/>
      <c r="J58" s="1"/>
      <c r="K58" s="424"/>
      <c r="L58" s="484"/>
      <c r="M58" s="4"/>
      <c r="N58" s="4"/>
      <c r="O58" s="423"/>
      <c r="P58" s="529"/>
      <c r="Q58" s="529"/>
      <c r="R58" s="108"/>
      <c r="S58" s="108"/>
      <c r="T58" s="108"/>
      <c r="U58" s="108"/>
      <c r="V58" s="27"/>
      <c r="W58" s="150"/>
      <c r="X58" s="526"/>
      <c r="Y58" s="103"/>
      <c r="Z58" s="176"/>
      <c r="AA58" s="103"/>
      <c r="AB58" s="176"/>
      <c r="AE58" s="176"/>
      <c r="AF58" s="176"/>
      <c r="AG58" s="176"/>
      <c r="AH58" s="2"/>
      <c r="AI58" s="27"/>
      <c r="AJ58" s="530"/>
      <c r="AK58" s="27"/>
      <c r="AL58" s="58"/>
      <c r="AM58" s="8"/>
      <c r="AN58" s="204"/>
      <c r="AO58" s="204"/>
      <c r="AQ58" s="425"/>
      <c r="AR58" s="571"/>
      <c r="AS58" s="447"/>
      <c r="AV58" s="206"/>
      <c r="AW58" s="206"/>
      <c r="AX58" s="207"/>
    </row>
    <row r="59" customFormat="false" ht="11.1" hidden="false" customHeight="true" outlineLevel="0" collapsed="false">
      <c r="D59" s="176"/>
      <c r="E59" s="423"/>
      <c r="F59" s="1"/>
      <c r="G59" s="1"/>
      <c r="H59" s="176"/>
      <c r="I59" s="1"/>
      <c r="J59" s="1"/>
      <c r="K59" s="424"/>
      <c r="L59" s="206"/>
      <c r="M59" s="4"/>
      <c r="N59" s="4"/>
      <c r="O59" s="206"/>
      <c r="Q59" s="8"/>
      <c r="R59" s="108"/>
      <c r="S59" s="108"/>
      <c r="T59" s="108"/>
      <c r="U59" s="108"/>
      <c r="V59" s="27"/>
      <c r="W59" s="27"/>
      <c r="X59" s="526"/>
      <c r="Y59" s="103"/>
      <c r="Z59" s="206"/>
      <c r="AA59" s="103"/>
      <c r="AB59" s="206"/>
      <c r="AC59" s="206"/>
      <c r="AE59" s="176"/>
      <c r="AF59" s="176"/>
      <c r="AG59" s="176"/>
      <c r="AH59" s="2"/>
      <c r="AI59" s="176"/>
      <c r="AJ59" s="254"/>
      <c r="AK59" s="176"/>
      <c r="AL59" s="58"/>
      <c r="AM59" s="423"/>
      <c r="AN59" s="204"/>
      <c r="AO59" s="204"/>
      <c r="AQ59" s="425"/>
      <c r="AR59" s="571"/>
      <c r="AS59" s="447"/>
      <c r="AV59" s="206"/>
      <c r="AW59" s="206"/>
      <c r="AX59" s="207"/>
    </row>
    <row r="60" customFormat="false" ht="11.1" hidden="false" customHeight="true" outlineLevel="0" collapsed="false">
      <c r="G60" s="302"/>
      <c r="Q60" s="8"/>
      <c r="R60" s="8"/>
      <c r="S60" s="8"/>
      <c r="T60" s="8"/>
      <c r="W60" s="58"/>
      <c r="X60" s="558"/>
      <c r="Y60" s="1"/>
      <c r="Z60" s="176"/>
      <c r="AA60" s="1"/>
      <c r="AB60" s="176"/>
      <c r="AH60" s="176"/>
      <c r="AK60" s="58"/>
      <c r="AL60" s="58"/>
      <c r="AM60" s="8"/>
      <c r="AN60" s="204"/>
      <c r="AO60" s="204"/>
      <c r="AQ60" s="425"/>
      <c r="AR60" s="571"/>
      <c r="AS60" s="447"/>
      <c r="AV60" s="203"/>
      <c r="AW60" s="206"/>
      <c r="AX60" s="207"/>
    </row>
    <row r="61" customFormat="false" ht="11.1" hidden="false" customHeight="true" outlineLevel="0" collapsed="false">
      <c r="Q61" s="8"/>
      <c r="R61" s="8"/>
      <c r="S61" s="8"/>
      <c r="T61" s="8"/>
      <c r="W61" s="58"/>
      <c r="X61" s="484"/>
      <c r="Y61" s="176"/>
      <c r="Z61" s="176"/>
      <c r="AA61" s="176"/>
      <c r="AB61" s="176"/>
      <c r="AH61" s="176"/>
      <c r="AK61" s="58"/>
      <c r="AL61" s="58"/>
      <c r="AM61" s="8"/>
      <c r="AN61" s="204"/>
      <c r="AO61" s="204"/>
      <c r="AQ61" s="425"/>
      <c r="AR61" s="571"/>
      <c r="AS61" s="447"/>
      <c r="AV61" s="203"/>
      <c r="AW61" s="206"/>
      <c r="AX61" s="207"/>
    </row>
    <row r="62" customFormat="false" ht="11.1" hidden="false" customHeight="true" outlineLevel="0" collapsed="false">
      <c r="Q62" s="8"/>
      <c r="R62" s="8"/>
      <c r="S62" s="8"/>
      <c r="T62" s="8"/>
      <c r="W62" s="58"/>
      <c r="X62" s="484"/>
      <c r="Y62" s="176"/>
      <c r="Z62" s="176"/>
      <c r="AA62" s="176"/>
      <c r="AB62" s="176"/>
      <c r="AH62" s="176"/>
      <c r="AK62" s="58"/>
      <c r="AL62" s="58"/>
      <c r="AM62" s="8"/>
      <c r="AN62" s="204"/>
      <c r="AO62" s="204"/>
      <c r="AQ62" s="425"/>
      <c r="AR62" s="571"/>
      <c r="AS62" s="447"/>
      <c r="AV62" s="203"/>
      <c r="AW62" s="206"/>
      <c r="AX62" s="207"/>
    </row>
    <row r="63" customFormat="false" ht="11.1" hidden="false" customHeight="true" outlineLevel="0" collapsed="false">
      <c r="X63" s="484"/>
      <c r="Y63" s="176"/>
      <c r="AA63" s="176"/>
    </row>
  </sheetData>
  <mergeCells count="2">
    <mergeCell ref="Z2:AD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1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8" width="4.32"/>
    <col collapsed="false" customWidth="true" hidden="false" outlineLevel="0" max="21" min="21" style="8" width="5.16"/>
    <col collapsed="false" customWidth="true" hidden="false" outlineLevel="0" max="22" min="22" style="58" width="5.49"/>
    <col collapsed="false" customWidth="true" hidden="false" outlineLevel="0" max="23" min="23" style="176" width="5.49"/>
    <col collapsed="false" customWidth="true" hidden="false" outlineLevel="0" max="25" min="24" style="58" width="6.32"/>
    <col collapsed="false" customWidth="true" hidden="false" outlineLevel="0" max="26" min="26" style="58" width="5.49"/>
    <col collapsed="false" customWidth="true" hidden="false" outlineLevel="0" max="27" min="27" style="58" width="6.32"/>
    <col collapsed="false" customWidth="true" hidden="false" outlineLevel="0" max="28" min="28" style="58" width="5.49"/>
    <col collapsed="false" customWidth="true" hidden="false" outlineLevel="0" max="29" min="29" style="176" width="5.82"/>
    <col collapsed="false" customWidth="true" hidden="false" outlineLevel="0" max="30" min="30" style="176" width="5.49"/>
    <col collapsed="false" customWidth="true" hidden="false" outlineLevel="0" max="33" min="31" style="58" width="5.49"/>
    <col collapsed="false" customWidth="true" hidden="false" outlineLevel="0" max="34" min="34" style="58" width="6.32"/>
    <col collapsed="false" customWidth="true" hidden="false" outlineLevel="0" max="35" min="35" style="58" width="5.49"/>
    <col collapsed="false" customWidth="true" hidden="false" outlineLevel="0" max="36" min="36" style="204" width="6.32"/>
    <col collapsed="false" customWidth="true" hidden="false" outlineLevel="0" max="37" min="37" style="8" width="6.32"/>
    <col collapsed="false" customWidth="true" hidden="false" outlineLevel="0" max="38" min="38" style="203" width="6.82"/>
    <col collapsed="false" customWidth="true" hidden="false" outlineLevel="0" max="39" min="39" style="206" width="6.82"/>
    <col collapsed="false" customWidth="true" hidden="false" outlineLevel="0" max="41" min="40" style="58" width="5.49"/>
    <col collapsed="false" customWidth="true" hidden="false" outlineLevel="0" max="42" min="42" style="120" width="6.32"/>
    <col collapsed="false" customWidth="true" hidden="false" outlineLevel="0" max="43" min="43" style="8" width="6.32"/>
    <col collapsed="false" customWidth="true" hidden="false" outlineLevel="0" max="44" min="44" style="8" width="5.49"/>
    <col collapsed="false" customWidth="true" hidden="false" outlineLevel="0" max="46" min="45" style="58" width="5.82"/>
    <col collapsed="false" customWidth="true" hidden="false" outlineLevel="0" max="47" min="47" style="120" width="5.82"/>
    <col collapsed="false" customWidth="true" hidden="false" outlineLevel="0" max="48" min="48" style="207" width="5.32"/>
    <col collapsed="false" customWidth="true" hidden="false" outlineLevel="0" max="49" min="49" style="58" width="3.82"/>
    <col collapsed="false" customWidth="true" hidden="false" outlineLevel="0" max="50" min="50" style="8" width="3.82"/>
    <col collapsed="false" customWidth="true" hidden="false" outlineLevel="0" max="51" min="51" style="208" width="3.82"/>
    <col collapsed="false" customWidth="true" hidden="false" outlineLevel="0" max="52" min="52" style="208" width="6.49"/>
    <col collapsed="false" customWidth="false" hidden="false" outlineLevel="0" max="54" min="53" style="58" width="9.32"/>
    <col collapsed="false" customWidth="false" hidden="false" outlineLevel="0" max="257" min="55" style="208" width="9.32"/>
  </cols>
  <sheetData>
    <row r="1" customFormat="false" ht="14.1" hidden="false" customHeight="true" outlineLevel="0" collapsed="false">
      <c r="A1" s="209"/>
      <c r="B1" s="209"/>
      <c r="D1" s="209"/>
      <c r="F1" s="209"/>
      <c r="G1" s="209"/>
      <c r="I1" s="209"/>
      <c r="J1" s="209"/>
      <c r="K1" s="211" t="s">
        <v>0</v>
      </c>
      <c r="L1" s="209"/>
      <c r="M1" s="209"/>
      <c r="N1" s="209"/>
      <c r="O1" s="209"/>
      <c r="V1" s="209"/>
      <c r="W1" s="209"/>
      <c r="X1" s="176"/>
      <c r="Y1" s="176"/>
      <c r="Z1" s="209"/>
      <c r="AA1" s="176"/>
      <c r="AB1" s="209"/>
      <c r="AC1" s="209"/>
      <c r="AD1" s="209"/>
      <c r="AE1" s="209"/>
      <c r="AF1" s="209"/>
      <c r="AG1" s="209"/>
      <c r="AH1" s="176"/>
      <c r="AI1" s="209"/>
      <c r="AJ1" s="212"/>
      <c r="AK1" s="209"/>
      <c r="AL1" s="209"/>
      <c r="AM1" s="8"/>
      <c r="AN1" s="212"/>
      <c r="AO1" s="212"/>
      <c r="AP1" s="361"/>
      <c r="AQ1" s="323"/>
      <c r="AR1" s="323"/>
      <c r="AV1" s="203"/>
      <c r="AW1" s="206"/>
      <c r="AX1" s="207"/>
    </row>
    <row r="2" customFormat="false" ht="14.1" hidden="false" customHeight="true" outlineLevel="0" collapsed="false">
      <c r="A2" s="212" t="s">
        <v>1</v>
      </c>
      <c r="B2" s="209"/>
      <c r="D2" s="213" t="n">
        <v>1.9835</v>
      </c>
      <c r="F2" s="209"/>
      <c r="G2" s="209"/>
      <c r="I2" s="209"/>
      <c r="J2" s="209"/>
      <c r="K2" s="214" t="s">
        <v>149</v>
      </c>
      <c r="L2" s="214"/>
      <c r="M2" s="214"/>
      <c r="N2" s="214"/>
      <c r="O2" s="214"/>
      <c r="P2" s="214"/>
      <c r="Q2" s="214"/>
      <c r="R2" s="214"/>
      <c r="S2" s="214"/>
      <c r="T2" s="214"/>
      <c r="U2" s="214"/>
      <c r="V2" s="214"/>
      <c r="W2" s="215"/>
      <c r="X2" s="97"/>
      <c r="Y2" s="97"/>
      <c r="Z2" s="215"/>
      <c r="AA2" s="97"/>
      <c r="AB2" s="215"/>
      <c r="AC2" s="215"/>
      <c r="AD2" s="215"/>
      <c r="AE2" s="209"/>
      <c r="AF2" s="209"/>
      <c r="AG2" s="209"/>
      <c r="AH2" s="176"/>
      <c r="AI2" s="209"/>
      <c r="AJ2" s="212"/>
      <c r="AK2" s="209"/>
      <c r="AL2" s="209"/>
      <c r="AM2" s="8"/>
      <c r="AN2" s="212"/>
      <c r="AO2" s="212"/>
      <c r="AP2" s="361"/>
      <c r="AQ2" s="323"/>
      <c r="AR2" s="323"/>
      <c r="AV2" s="203"/>
      <c r="AW2" s="206"/>
      <c r="AX2" s="207"/>
    </row>
    <row r="3" customFormat="false" ht="14.1" hidden="false" customHeight="true" outlineLevel="0" collapsed="false">
      <c r="A3" s="217"/>
      <c r="B3" s="217"/>
      <c r="C3" s="218"/>
      <c r="D3" s="219"/>
      <c r="E3" s="218"/>
      <c r="F3" s="217"/>
      <c r="G3" s="217"/>
      <c r="H3" s="220"/>
      <c r="I3" s="217"/>
      <c r="J3" s="217"/>
      <c r="K3" s="217"/>
      <c r="L3" s="217"/>
      <c r="M3" s="217"/>
      <c r="N3" s="217"/>
      <c r="O3" s="217"/>
      <c r="P3" s="221"/>
      <c r="Q3" s="221"/>
      <c r="R3" s="221"/>
      <c r="S3" s="221"/>
      <c r="T3" s="221"/>
      <c r="U3" s="221"/>
      <c r="V3" s="217"/>
      <c r="W3" s="217"/>
      <c r="X3" s="218"/>
      <c r="Y3" s="218"/>
      <c r="Z3" s="217"/>
      <c r="AA3" s="218"/>
      <c r="AB3" s="217"/>
      <c r="AC3" s="217"/>
      <c r="AD3" s="217"/>
      <c r="AE3" s="217"/>
      <c r="AF3" s="217"/>
      <c r="AG3" s="217"/>
      <c r="AH3" s="218"/>
      <c r="AI3" s="217"/>
      <c r="AJ3" s="223"/>
      <c r="AK3" s="217"/>
      <c r="AL3" s="217"/>
      <c r="AM3" s="221"/>
      <c r="AN3" s="223"/>
      <c r="AO3" s="223"/>
      <c r="AP3" s="363"/>
      <c r="AQ3" s="362"/>
      <c r="AR3" s="323"/>
      <c r="AS3" s="317"/>
      <c r="AV3" s="226"/>
      <c r="AW3" s="227"/>
      <c r="AX3" s="228"/>
      <c r="BA3" s="224"/>
    </row>
    <row r="4" s="58" customFormat="true" ht="14.1" hidden="false" customHeight="true" outlineLevel="0" collapsed="false">
      <c r="A4" s="209"/>
      <c r="B4" s="429"/>
      <c r="C4" s="430"/>
      <c r="D4" s="431" t="s">
        <v>3</v>
      </c>
      <c r="E4" s="430"/>
      <c r="F4" s="625"/>
      <c r="G4" s="209"/>
      <c r="H4" s="210"/>
      <c r="I4" s="622" t="s">
        <v>4</v>
      </c>
      <c r="J4" s="622"/>
      <c r="K4" s="209"/>
      <c r="L4" s="434"/>
      <c r="M4" s="209"/>
      <c r="N4" s="209"/>
      <c r="O4" s="209"/>
      <c r="P4" s="8"/>
      <c r="Q4" s="8"/>
      <c r="R4" s="8"/>
      <c r="S4" s="8"/>
      <c r="T4" s="8"/>
      <c r="U4" s="8"/>
      <c r="V4" s="439"/>
      <c r="W4" s="209"/>
      <c r="X4" s="439" t="s">
        <v>5</v>
      </c>
      <c r="Y4" s="176"/>
      <c r="Z4" s="209"/>
      <c r="AA4" s="176"/>
      <c r="AB4" s="209"/>
      <c r="AC4" s="209"/>
      <c r="AD4" s="209"/>
      <c r="AE4" s="209"/>
      <c r="AF4" s="209"/>
      <c r="AG4" s="209"/>
      <c r="AH4" s="176"/>
      <c r="AI4" s="209"/>
      <c r="AJ4" s="212"/>
      <c r="AK4" s="209"/>
      <c r="AL4" s="209"/>
      <c r="AM4" s="8"/>
      <c r="AN4" s="429"/>
      <c r="AO4" s="209"/>
      <c r="AP4" s="626" t="s">
        <v>6</v>
      </c>
      <c r="AQ4" s="626"/>
      <c r="AR4" s="627"/>
      <c r="AS4" s="628"/>
      <c r="AT4" s="629"/>
      <c r="AU4" s="432"/>
      <c r="AV4" s="441"/>
      <c r="AW4" s="442" t="s">
        <v>7</v>
      </c>
      <c r="AX4" s="443"/>
      <c r="AY4" s="59"/>
      <c r="AZ4" s="444"/>
      <c r="BB4" s="59"/>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48" t="s">
        <v>18</v>
      </c>
      <c r="N5" s="448"/>
      <c r="O5" s="448"/>
      <c r="P5" s="448"/>
      <c r="Q5" s="448"/>
      <c r="R5" s="448"/>
      <c r="S5" s="448"/>
      <c r="T5" s="448"/>
      <c r="U5" s="448"/>
      <c r="V5" s="359" t="s">
        <v>19</v>
      </c>
      <c r="W5" s="359" t="s">
        <v>20</v>
      </c>
      <c r="X5" s="60" t="s">
        <v>17</v>
      </c>
      <c r="Y5" s="60" t="s">
        <v>17</v>
      </c>
      <c r="Z5" s="67" t="s">
        <v>21</v>
      </c>
      <c r="AA5" s="60" t="s">
        <v>21</v>
      </c>
      <c r="AB5" s="67" t="s">
        <v>21</v>
      </c>
      <c r="AC5" s="446" t="s">
        <v>22</v>
      </c>
      <c r="AD5" s="446" t="s">
        <v>21</v>
      </c>
      <c r="AE5" s="359" t="s">
        <v>23</v>
      </c>
      <c r="AF5" s="449" t="s">
        <v>132</v>
      </c>
      <c r="AG5" s="450"/>
      <c r="AH5" s="451" t="s">
        <v>25</v>
      </c>
      <c r="AI5" s="446" t="s">
        <v>133</v>
      </c>
      <c r="AJ5" s="446" t="s">
        <v>27</v>
      </c>
      <c r="AK5" s="359" t="s">
        <v>15</v>
      </c>
      <c r="AL5" s="359" t="s">
        <v>16</v>
      </c>
      <c r="AM5" s="359" t="s">
        <v>17</v>
      </c>
      <c r="AN5" s="498" t="s">
        <v>28</v>
      </c>
      <c r="AO5" s="67" t="s">
        <v>21</v>
      </c>
      <c r="AP5" s="74" t="s">
        <v>29</v>
      </c>
      <c r="AQ5" s="74" t="s">
        <v>29</v>
      </c>
      <c r="AR5" s="69" t="s">
        <v>30</v>
      </c>
      <c r="AS5" s="75" t="s">
        <v>31</v>
      </c>
      <c r="AT5" s="447" t="s">
        <v>32</v>
      </c>
      <c r="AU5" s="76" t="s">
        <v>33</v>
      </c>
      <c r="AV5" s="452" t="s">
        <v>34</v>
      </c>
      <c r="AW5" s="451" t="s">
        <v>35</v>
      </c>
      <c r="AX5" s="451" t="s">
        <v>36</v>
      </c>
      <c r="AY5" s="283"/>
      <c r="AZ5" s="328" t="s">
        <v>17</v>
      </c>
      <c r="BA5" s="80" t="s">
        <v>37</v>
      </c>
      <c r="BB5" s="81" t="s">
        <v>37</v>
      </c>
    </row>
    <row r="6" customFormat="false" ht="12.95" hidden="false" customHeight="true" outlineLevel="0" collapsed="false">
      <c r="A6" s="454" t="s">
        <v>150</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459" t="s">
        <v>60</v>
      </c>
      <c r="AF6" s="63" t="s">
        <v>61</v>
      </c>
      <c r="AG6" s="63" t="s">
        <v>62</v>
      </c>
      <c r="AH6" s="630" t="s">
        <v>63</v>
      </c>
      <c r="AI6" s="446" t="s">
        <v>64</v>
      </c>
      <c r="AJ6" s="446"/>
      <c r="AK6" s="359" t="s">
        <v>65</v>
      </c>
      <c r="AL6" s="359" t="s">
        <v>65</v>
      </c>
      <c r="AM6" s="359" t="s">
        <v>65</v>
      </c>
      <c r="AN6" s="498" t="s">
        <v>66</v>
      </c>
      <c r="AO6" s="67" t="s">
        <v>67</v>
      </c>
      <c r="AP6" s="74" t="s">
        <v>68</v>
      </c>
      <c r="AQ6" s="74" t="s">
        <v>68</v>
      </c>
      <c r="AR6" s="69" t="s">
        <v>69</v>
      </c>
      <c r="AS6" s="75" t="s">
        <v>70</v>
      </c>
      <c r="AT6" s="447" t="s">
        <v>71</v>
      </c>
      <c r="AU6" s="76" t="s">
        <v>72</v>
      </c>
      <c r="AV6" s="458"/>
      <c r="AW6" s="451" t="s">
        <v>73</v>
      </c>
      <c r="AX6" s="451" t="s">
        <v>73</v>
      </c>
      <c r="AY6" s="283"/>
      <c r="AZ6" s="328" t="s">
        <v>74</v>
      </c>
      <c r="BA6" s="80" t="s">
        <v>75</v>
      </c>
      <c r="BB6" s="81" t="s">
        <v>76</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459"/>
      <c r="AF7" s="90" t="n">
        <v>1.7</v>
      </c>
      <c r="AG7" s="90" t="n">
        <v>1.3</v>
      </c>
      <c r="AH7" s="630"/>
      <c r="AI7" s="446"/>
      <c r="AJ7" s="446"/>
      <c r="AK7" s="359"/>
      <c r="AL7" s="359"/>
      <c r="AM7" s="359"/>
      <c r="AN7" s="498"/>
      <c r="AO7" s="67" t="s">
        <v>42</v>
      </c>
      <c r="AP7" s="74" t="s">
        <v>86</v>
      </c>
      <c r="AQ7" s="74" t="s">
        <v>87</v>
      </c>
      <c r="AR7" s="69" t="s">
        <v>88</v>
      </c>
      <c r="AS7" s="75" t="s">
        <v>89</v>
      </c>
      <c r="AT7" s="447" t="s">
        <v>90</v>
      </c>
      <c r="AU7" s="76" t="s">
        <v>81</v>
      </c>
      <c r="AV7" s="458"/>
      <c r="AW7" s="451"/>
      <c r="AX7" s="451"/>
      <c r="AY7" s="283"/>
      <c r="AZ7" s="328" t="s">
        <v>91</v>
      </c>
      <c r="BA7" s="8"/>
      <c r="BB7" s="91"/>
    </row>
    <row r="8" customFormat="false" ht="12.95" hidden="false" customHeight="true" outlineLevel="0" collapsed="false">
      <c r="A8" s="359"/>
      <c r="B8" s="445"/>
      <c r="C8" s="446"/>
      <c r="D8" s="359"/>
      <c r="E8" s="446"/>
      <c r="F8" s="359"/>
      <c r="G8" s="445"/>
      <c r="H8" s="447"/>
      <c r="I8" s="359"/>
      <c r="J8" s="359"/>
      <c r="K8" s="359"/>
      <c r="L8" s="359"/>
      <c r="M8" s="455"/>
      <c r="N8" s="63"/>
      <c r="O8" s="547" t="n">
        <v>26517</v>
      </c>
      <c r="P8" s="80"/>
      <c r="Q8" s="63" t="s">
        <v>62</v>
      </c>
      <c r="R8" s="63" t="s">
        <v>62</v>
      </c>
      <c r="S8" s="63"/>
      <c r="T8" s="63"/>
      <c r="U8" s="457"/>
      <c r="V8" s="359"/>
      <c r="W8" s="359"/>
      <c r="X8" s="72" t="s">
        <v>92</v>
      </c>
      <c r="Y8" s="62" t="s">
        <v>81</v>
      </c>
      <c r="Z8" s="67"/>
      <c r="AA8" s="62" t="s">
        <v>93</v>
      </c>
      <c r="AB8" s="67" t="s">
        <v>94</v>
      </c>
      <c r="AC8" s="446"/>
      <c r="AD8" s="548" t="n">
        <v>2544</v>
      </c>
      <c r="AE8" s="631" t="n">
        <v>56267</v>
      </c>
      <c r="AF8" s="215"/>
      <c r="AG8" s="215"/>
      <c r="AH8" s="630"/>
      <c r="AI8" s="446"/>
      <c r="AJ8" s="446"/>
      <c r="AK8" s="359"/>
      <c r="AL8" s="359"/>
      <c r="AM8" s="359"/>
      <c r="AN8" s="498"/>
      <c r="AO8" s="67"/>
      <c r="AP8" s="74"/>
      <c r="AQ8" s="74"/>
      <c r="AR8" s="69"/>
      <c r="AS8" s="462" t="n">
        <v>1524.4</v>
      </c>
      <c r="AT8" s="549"/>
      <c r="AU8" s="76"/>
      <c r="AV8" s="458"/>
      <c r="AW8" s="451"/>
      <c r="AX8" s="451"/>
      <c r="AY8" s="283"/>
      <c r="AZ8" s="328"/>
      <c r="BA8" s="8"/>
      <c r="BB8" s="91"/>
    </row>
    <row r="9" customFormat="false" ht="12.95" hidden="false" customHeight="true" outlineLevel="0" collapsed="false">
      <c r="A9" s="359"/>
      <c r="B9" s="445"/>
      <c r="C9" s="446"/>
      <c r="D9" s="359"/>
      <c r="E9" s="446"/>
      <c r="F9" s="359"/>
      <c r="G9" s="445"/>
      <c r="H9" s="447"/>
      <c r="I9" s="359"/>
      <c r="J9" s="359"/>
      <c r="K9" s="359"/>
      <c r="L9" s="359"/>
      <c r="M9" s="455"/>
      <c r="N9" s="80"/>
      <c r="O9" s="446"/>
      <c r="P9" s="80"/>
      <c r="Q9" s="63"/>
      <c r="R9" s="92" t="n">
        <v>4.2</v>
      </c>
      <c r="S9" s="63"/>
      <c r="T9" s="63"/>
      <c r="U9" s="457"/>
      <c r="V9" s="359"/>
      <c r="W9" s="359"/>
      <c r="X9" s="72"/>
      <c r="Y9" s="62" t="s">
        <v>92</v>
      </c>
      <c r="Z9" s="67"/>
      <c r="AA9" s="62" t="s">
        <v>92</v>
      </c>
      <c r="AB9" s="67" t="s">
        <v>95</v>
      </c>
      <c r="AC9" s="446"/>
      <c r="AD9" s="446"/>
      <c r="AE9" s="359"/>
      <c r="AF9" s="460"/>
      <c r="AG9" s="461"/>
      <c r="AH9" s="451"/>
      <c r="AI9" s="446"/>
      <c r="AJ9" s="446"/>
      <c r="AK9" s="359"/>
      <c r="AL9" s="359"/>
      <c r="AM9" s="359"/>
      <c r="AN9" s="498"/>
      <c r="AO9" s="67"/>
      <c r="AP9" s="74"/>
      <c r="AQ9" s="74"/>
      <c r="AR9" s="69"/>
      <c r="AS9" s="75"/>
      <c r="AT9" s="549"/>
      <c r="AU9" s="76"/>
      <c r="AV9" s="458"/>
      <c r="AW9" s="451"/>
      <c r="AX9" s="451"/>
      <c r="AY9" s="283"/>
      <c r="AZ9" s="328"/>
      <c r="BA9" s="8"/>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47" t="s">
        <v>42</v>
      </c>
      <c r="AN10" s="498" t="s">
        <v>42</v>
      </c>
      <c r="AO10" s="67" t="s">
        <v>42</v>
      </c>
      <c r="AP10" s="67" t="s">
        <v>42</v>
      </c>
      <c r="AQ10" s="74" t="s">
        <v>99</v>
      </c>
      <c r="AR10" s="69" t="s">
        <v>42</v>
      </c>
      <c r="AS10" s="67" t="s">
        <v>42</v>
      </c>
      <c r="AT10" s="67" t="s">
        <v>42</v>
      </c>
      <c r="AU10" s="67" t="s">
        <v>42</v>
      </c>
      <c r="AV10" s="458"/>
      <c r="AW10" s="451"/>
      <c r="AX10" s="451"/>
      <c r="AY10" s="283"/>
      <c r="AZ10" s="328" t="s">
        <v>100</v>
      </c>
      <c r="BA10" s="80" t="s">
        <v>42</v>
      </c>
      <c r="BB10" s="81" t="s">
        <v>98</v>
      </c>
    </row>
    <row r="11" customFormat="false" ht="12.95" hidden="false" customHeight="true" outlineLevel="0" collapsed="false">
      <c r="A11" s="359"/>
      <c r="B11" s="445"/>
      <c r="C11" s="446"/>
      <c r="D11" s="359"/>
      <c r="E11" s="446"/>
      <c r="F11" s="359"/>
      <c r="G11" s="445"/>
      <c r="H11" s="447"/>
      <c r="I11" s="359"/>
      <c r="J11" s="359"/>
      <c r="K11" s="359"/>
      <c r="L11" s="359"/>
      <c r="M11" s="455"/>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446"/>
      <c r="AE11" s="359"/>
      <c r="AF11" s="460"/>
      <c r="AG11" s="461"/>
      <c r="AH11" s="451"/>
      <c r="AI11" s="446"/>
      <c r="AJ11" s="446"/>
      <c r="AK11" s="359"/>
      <c r="AL11" s="359"/>
      <c r="AM11" s="359"/>
      <c r="AN11" s="498"/>
      <c r="AO11" s="67"/>
      <c r="AP11" s="74"/>
      <c r="AQ11" s="74"/>
      <c r="AR11" s="69"/>
      <c r="AS11" s="100"/>
      <c r="AT11" s="361"/>
      <c r="AU11" s="204"/>
      <c r="AV11" s="458"/>
      <c r="AW11" s="451"/>
      <c r="AX11" s="451"/>
      <c r="AY11" s="283"/>
      <c r="AZ11" s="328" t="s">
        <v>42</v>
      </c>
      <c r="BA11" s="8"/>
      <c r="BB11" s="91"/>
    </row>
    <row r="12" customFormat="false" ht="12.95" hidden="false" customHeight="true" outlineLevel="0" collapsed="false">
      <c r="A12" s="212" t="s">
        <v>102</v>
      </c>
      <c r="B12" s="239"/>
      <c r="C12" s="632"/>
      <c r="D12" s="123"/>
      <c r="E12" s="123"/>
      <c r="F12" s="240" t="n">
        <f aca="false">AUG!F50</f>
        <v>29486.2616586841</v>
      </c>
      <c r="G12" s="123" t="n">
        <f aca="false">AUG!G50</f>
        <v>119807</v>
      </c>
      <c r="H12" s="123" t="n">
        <f aca="false">AUG!H50</f>
        <v>4369.598</v>
      </c>
      <c r="I12" s="123" t="n">
        <f aca="false">AUG!I50</f>
        <v>124176.598</v>
      </c>
      <c r="J12" s="123" t="n">
        <f aca="false">AUG!J50</f>
        <v>6393.48324325687</v>
      </c>
      <c r="K12" s="123" t="n">
        <f aca="false">AUG!K50</f>
        <v>130570.071243257</v>
      </c>
      <c r="L12" s="123" t="n">
        <f aca="false">AUG!L50</f>
        <v>3618.86065868414</v>
      </c>
      <c r="M12" s="242" t="n">
        <f aca="false">AUG!M50</f>
        <v>34215.98</v>
      </c>
      <c r="N12" s="123" t="n">
        <f aca="false">AUG!N50</f>
        <v>0</v>
      </c>
      <c r="O12" s="123" t="n">
        <f aca="false">AUG!O50</f>
        <v>10900.2135</v>
      </c>
      <c r="P12" s="186" t="n">
        <f aca="false">AUG!P50</f>
        <v>7.06</v>
      </c>
      <c r="Q12" s="186"/>
      <c r="R12" s="186"/>
      <c r="S12" s="186"/>
      <c r="T12" s="186"/>
      <c r="U12" s="243"/>
      <c r="V12" s="123" t="n">
        <f aca="false">AUG!V50</f>
        <v>11750.4</v>
      </c>
      <c r="W12" s="123" t="n">
        <f aca="false">AUG!W50</f>
        <v>7973.1</v>
      </c>
      <c r="X12" s="123" t="n">
        <f aca="false">AUG!X50</f>
        <v>41673.0492793424</v>
      </c>
      <c r="Y12" s="176" t="n">
        <f aca="false">AUG!Y50</f>
        <v>41640.2789239101</v>
      </c>
      <c r="Z12" s="123" t="n">
        <f aca="false">AUG!Z45</f>
        <v>8111.63791775745</v>
      </c>
      <c r="AA12" s="176"/>
      <c r="AB12" s="176"/>
      <c r="AC12" s="123" t="n">
        <f aca="false">AUG!AC45</f>
        <v>1608.62483765352</v>
      </c>
      <c r="AD12" s="123" t="n">
        <f aca="false">AUG!AD45</f>
        <v>1495.84068565667</v>
      </c>
      <c r="AE12" s="123" t="n">
        <f aca="false">AUG!AE50</f>
        <v>22066.773</v>
      </c>
      <c r="AF12" s="242" t="n">
        <f aca="false">AUG!AF50</f>
        <v>260.1</v>
      </c>
      <c r="AG12" s="245" t="n">
        <f aca="false">AUG!AG50</f>
        <v>198.9</v>
      </c>
      <c r="AH12" s="123"/>
      <c r="AI12" s="123"/>
      <c r="AJ12" s="123"/>
      <c r="AK12" s="123" t="n">
        <f aca="false">AUG!AK50</f>
        <v>98309.187</v>
      </c>
      <c r="AL12" s="123" t="n">
        <f aca="false">AUG!AL50</f>
        <v>2774.62258457272</v>
      </c>
      <c r="AM12" s="123" t="n">
        <f aca="false">AUG!AM50</f>
        <v>101083.809584573</v>
      </c>
      <c r="AN12" s="247"/>
      <c r="AO12" s="241"/>
      <c r="AP12" s="156"/>
      <c r="AQ12" s="156" t="n">
        <f aca="false">AUG!AQ51</f>
        <v>1073.53483966339</v>
      </c>
      <c r="AR12" s="156" t="n">
        <f aca="false">AUG!AR50</f>
        <v>0</v>
      </c>
      <c r="AS12" s="241" t="n">
        <f aca="false">AUG!AS50</f>
        <v>433.29</v>
      </c>
      <c r="AT12" s="241" t="n">
        <f aca="false">AUG!AT50</f>
        <v>172.906</v>
      </c>
      <c r="AU12" s="156" t="n">
        <f aca="false">AUG!AU50</f>
        <v>0</v>
      </c>
      <c r="AV12" s="249"/>
      <c r="AW12" s="241"/>
      <c r="AX12" s="241"/>
      <c r="AY12" s="283"/>
      <c r="AZ12" s="468" t="n">
        <f aca="false">AUG!AZ50</f>
        <v>1210.01672065757</v>
      </c>
      <c r="BA12" s="120" t="n">
        <f aca="false">AUG!BA50</f>
        <v>6400.864</v>
      </c>
      <c r="BB12" s="91"/>
    </row>
    <row r="13" s="260" customFormat="true" ht="12.95" hidden="false" customHeight="true" outlineLevel="0" collapsed="false">
      <c r="A13" s="254" t="s">
        <v>103</v>
      </c>
      <c r="B13" s="473" t="n">
        <f aca="false">AUG!B45</f>
        <v>6910.04</v>
      </c>
      <c r="C13" s="123" t="n">
        <f aca="false">AUG!C45</f>
        <v>322147</v>
      </c>
      <c r="D13" s="123" t="n">
        <f aca="false">AUG!D54</f>
        <v>78979</v>
      </c>
      <c r="E13" s="123" t="n">
        <f aca="false">AUG!E54</f>
        <v>170147</v>
      </c>
      <c r="F13" s="240" t="n">
        <f aca="false">AUG!F53</f>
        <v>39886.5641542728</v>
      </c>
      <c r="G13" s="123" t="n">
        <f aca="false">AUG!G53</f>
        <v>136066.879899924</v>
      </c>
      <c r="H13" s="123" t="n">
        <f aca="false">AUG!H53</f>
        <v>4658.297</v>
      </c>
      <c r="I13" s="123" t="n">
        <f aca="false">AUG!I53</f>
        <v>140725.176899924</v>
      </c>
      <c r="J13" s="123" t="n">
        <f aca="false">AUG!J53</f>
        <v>9774.70247441391</v>
      </c>
      <c r="K13" s="123" t="n">
        <f aca="false">AUG!K53</f>
        <v>150499.869374338</v>
      </c>
      <c r="L13" s="123" t="n">
        <f aca="false">AUG!L53</f>
        <v>6682.07925434837</v>
      </c>
      <c r="M13" s="242" t="n">
        <f aca="false">AUG!M53</f>
        <v>34970.98</v>
      </c>
      <c r="N13" s="123" t="n">
        <f aca="false">AUG!N53</f>
        <v>0</v>
      </c>
      <c r="O13" s="123" t="n">
        <f aca="false">AUG!O53</f>
        <v>10901.94705</v>
      </c>
      <c r="P13" s="186"/>
      <c r="Q13" s="241" t="n">
        <f aca="false">AUG!Q53</f>
        <v>628.724350334407</v>
      </c>
      <c r="R13" s="241" t="n">
        <f aca="false">AUG!R53</f>
        <v>784.40436944</v>
      </c>
      <c r="S13" s="241" t="n">
        <f aca="false">AUG!S53</f>
        <v>112.12308368</v>
      </c>
      <c r="T13" s="241" t="n">
        <f aca="false">AUG!T53</f>
        <v>252.04854688</v>
      </c>
      <c r="U13" s="352" t="n">
        <f aca="false">AUG!U53</f>
        <v>-15.4916088537026</v>
      </c>
      <c r="V13" s="123" t="n">
        <f aca="false">AUG!V53</f>
        <v>14965.21</v>
      </c>
      <c r="W13" s="123" t="n">
        <f aca="false">AUG!W53</f>
        <v>8003.185</v>
      </c>
      <c r="X13" s="123" t="n">
        <f aca="false">AUG!X53</f>
        <v>45071.8791085193</v>
      </c>
      <c r="Y13" s="176" t="n">
        <f aca="false">AUG!Y53</f>
        <v>44788.968753087</v>
      </c>
      <c r="Z13" s="123"/>
      <c r="AA13" s="176"/>
      <c r="AB13" s="123"/>
      <c r="AC13" s="123"/>
      <c r="AD13" s="123"/>
      <c r="AE13" s="123" t="n">
        <f aca="false">AUG!AE51</f>
        <v>43769.4442455</v>
      </c>
      <c r="AF13" s="113" t="n">
        <f aca="false">AF12</f>
        <v>260.1</v>
      </c>
      <c r="AG13" s="114" t="n">
        <f aca="false">AG12</f>
        <v>198.9</v>
      </c>
      <c r="AH13" s="123" t="n">
        <f aca="false">AUG!AH53</f>
        <v>27622.4</v>
      </c>
      <c r="AI13" s="123" t="n">
        <f aca="false">AUG!AI53</f>
        <v>7742.45787748927</v>
      </c>
      <c r="AJ13" s="123" t="n">
        <f aca="false">AUG!AJ53</f>
        <v>14122</v>
      </c>
      <c r="AK13" s="123" t="n">
        <f aca="false">AUG!AK53</f>
        <v>107520.682</v>
      </c>
      <c r="AL13" s="123" t="n">
        <f aca="false">AUG!AL53</f>
        <v>3092.62322006554</v>
      </c>
      <c r="AM13" s="123" t="n">
        <f aca="false">AUG!AM53</f>
        <v>110613.305220066</v>
      </c>
      <c r="AN13" s="247" t="n">
        <f aca="false">AUG!AN53</f>
        <v>3115.79</v>
      </c>
      <c r="AO13" s="241" t="n">
        <f aca="false">AUG!AO53</f>
        <v>282.910355432317</v>
      </c>
      <c r="AP13" s="156"/>
      <c r="AQ13" s="156" t="n">
        <f aca="false">AUG!AQ54</f>
        <v>1073.53483966339</v>
      </c>
      <c r="AR13" s="186"/>
      <c r="AS13" s="241" t="n">
        <f aca="false">AUG!AS53</f>
        <v>433.29</v>
      </c>
      <c r="AT13" s="241" t="n">
        <f aca="false">AUG!AT53</f>
        <v>172.906</v>
      </c>
      <c r="AU13" s="156"/>
      <c r="AV13" s="249" t="n">
        <f aca="false">AUG!AV53</f>
        <v>16.674885361552</v>
      </c>
      <c r="AW13" s="241"/>
      <c r="AX13" s="241"/>
      <c r="AY13" s="336"/>
      <c r="AZ13" s="375" t="n">
        <f aca="false">AUG!AZ53</f>
        <v>1764.9687414807</v>
      </c>
      <c r="BA13" s="120" t="n">
        <f aca="false">AUG!BA53</f>
        <v>6485.322</v>
      </c>
      <c r="BB13" s="124"/>
    </row>
    <row r="14" customFormat="false" ht="3" hidden="false" customHeight="true" outlineLevel="0" collapsed="false">
      <c r="A14" s="261"/>
      <c r="B14" s="262"/>
      <c r="C14" s="263"/>
      <c r="D14" s="264"/>
      <c r="E14" s="263"/>
      <c r="F14" s="265"/>
      <c r="G14" s="264"/>
      <c r="H14" s="266"/>
      <c r="I14" s="264"/>
      <c r="J14" s="264"/>
      <c r="K14" s="264"/>
      <c r="L14" s="264"/>
      <c r="M14" s="267"/>
      <c r="N14" s="264"/>
      <c r="O14" s="264"/>
      <c r="P14" s="268"/>
      <c r="Q14" s="268"/>
      <c r="R14" s="268"/>
      <c r="S14" s="268"/>
      <c r="T14" s="268"/>
      <c r="U14" s="269"/>
      <c r="V14" s="264"/>
      <c r="W14" s="264"/>
      <c r="X14" s="264"/>
      <c r="Y14" s="264"/>
      <c r="Z14" s="263"/>
      <c r="AA14" s="264"/>
      <c r="AB14" s="263"/>
      <c r="AC14" s="263"/>
      <c r="AD14" s="263"/>
      <c r="AE14" s="264"/>
      <c r="AF14" s="138"/>
      <c r="AG14" s="139"/>
      <c r="AH14" s="264"/>
      <c r="AI14" s="263"/>
      <c r="AJ14" s="263"/>
      <c r="AK14" s="264"/>
      <c r="AL14" s="264"/>
      <c r="AM14" s="264"/>
      <c r="AN14" s="273"/>
      <c r="AO14" s="274"/>
      <c r="AP14" s="271"/>
      <c r="AQ14" s="268" t="s">
        <v>151</v>
      </c>
      <c r="AR14" s="268"/>
      <c r="AS14" s="268" t="s">
        <v>151</v>
      </c>
      <c r="AT14" s="268" t="s">
        <v>151</v>
      </c>
      <c r="AU14" s="271" t="s">
        <v>151</v>
      </c>
      <c r="AV14" s="276"/>
      <c r="AW14" s="274" t="n">
        <v>0</v>
      </c>
      <c r="AX14" s="274"/>
      <c r="AY14" s="274"/>
      <c r="AZ14" s="274"/>
      <c r="BA14" s="274"/>
      <c r="BB14" s="274"/>
    </row>
    <row r="15" customFormat="false" ht="12.95" hidden="false" customHeight="true" outlineLevel="0" collapsed="false">
      <c r="A15" s="207" t="n">
        <v>1</v>
      </c>
      <c r="B15" s="122" t="n">
        <v>6909.87</v>
      </c>
      <c r="C15" s="123" t="n">
        <v>321469</v>
      </c>
      <c r="D15" s="241" t="n">
        <f aca="false">C15-C13</f>
        <v>-678</v>
      </c>
      <c r="E15" s="123" t="n">
        <f aca="false">C15-152000</f>
        <v>169469</v>
      </c>
      <c r="F15" s="277" t="n">
        <f aca="false">D15/$D$2</f>
        <v>-341.820015124779</v>
      </c>
      <c r="G15" s="280" t="n">
        <v>192</v>
      </c>
      <c r="H15" s="311" t="n">
        <v>0</v>
      </c>
      <c r="I15" s="280" t="n">
        <f aca="false">G15+H15</f>
        <v>192</v>
      </c>
      <c r="J15" s="156" t="n">
        <f aca="false">IF(L15&gt;0,L15,0)</f>
        <v>0</v>
      </c>
      <c r="K15" s="155" t="n">
        <f aca="false">I15+J15</f>
        <v>192</v>
      </c>
      <c r="L15" s="155" t="n">
        <f aca="false">F15-(I15-AK15)</f>
        <v>-1.02001512477949</v>
      </c>
      <c r="M15" s="279" t="n">
        <v>163</v>
      </c>
      <c r="N15" s="186" t="n">
        <v>0</v>
      </c>
      <c r="O15" s="155" t="n">
        <f aca="false">43.6*1.05</f>
        <v>45.78</v>
      </c>
      <c r="P15" s="186" t="n">
        <v>0</v>
      </c>
      <c r="Q15" s="373" t="n">
        <f aca="false">1436300/325851/1.9835*1.02</f>
        <v>2.26670012875564</v>
      </c>
      <c r="R15" s="151" t="n">
        <f aca="false">IF(((4.1*1.04)-T15)&gt;=4.2,4.2,(4.1*1.04)-T15)</f>
        <v>3.56981872</v>
      </c>
      <c r="S15" s="151" t="n">
        <f aca="false">IF(((4.1*1.04)-T15)&gt;=4.2,((4.1*1.04)-T15)-4.2,0)</f>
        <v>0</v>
      </c>
      <c r="T15" s="151" t="n">
        <f aca="false">(0.6297*1.06)*1.04</f>
        <v>0.69418128</v>
      </c>
      <c r="U15" s="393" t="n">
        <v>0</v>
      </c>
      <c r="V15" s="155" t="n">
        <v>37.5</v>
      </c>
      <c r="W15" s="155" t="n">
        <v>61.7</v>
      </c>
      <c r="X15" s="280" t="n">
        <f aca="false">M15-N15-O15-P15-Q15-R15-S15-T15-U15+V15+W15-AT15+AR15</f>
        <v>209.889299871244</v>
      </c>
      <c r="Y15" s="280" t="n">
        <f aca="false">X15-AO15</f>
        <v>209.889299871244</v>
      </c>
      <c r="Z15" s="123" t="n">
        <f aca="false">Z12+AP15</f>
        <v>8086.21209903745</v>
      </c>
      <c r="AA15" s="155" t="n">
        <f aca="false">(-AP15)</f>
        <v>25.42581872</v>
      </c>
      <c r="AB15" s="244"/>
      <c r="AC15" s="244" t="n">
        <f aca="false">AC12-(AUG!AQ45/1.9835)+AS15</f>
        <v>1613.58397283428</v>
      </c>
      <c r="AD15" s="484" t="n">
        <f aca="false">AD12</f>
        <v>1495.84068565667</v>
      </c>
      <c r="AE15" s="280" t="n">
        <v>211</v>
      </c>
      <c r="AF15" s="157" t="n">
        <v>1.7</v>
      </c>
      <c r="AG15" s="158" t="n">
        <v>1.3</v>
      </c>
      <c r="AH15" s="155" t="n">
        <v>59.6</v>
      </c>
      <c r="AI15" s="123" t="n">
        <f aca="false">AI13-AH15</f>
        <v>7682.85787748927</v>
      </c>
      <c r="AJ15" s="123"/>
      <c r="AK15" s="154" t="n">
        <f aca="false">N15+O15+P15+Q15+R15+S15+T15+U15+X15+AE15+AH15-AR15</f>
        <v>532.8</v>
      </c>
      <c r="AL15" s="155" t="n">
        <f aca="false">IF(L15&lt;0,L15*-1,0)</f>
        <v>1.02001512477949</v>
      </c>
      <c r="AM15" s="155" t="n">
        <f aca="false">AK15+AL15</f>
        <v>533.82001512478</v>
      </c>
      <c r="AN15" s="247"/>
      <c r="AO15" s="241"/>
      <c r="AP15" s="633" t="n">
        <f aca="false">I15-Q15-R15-X15-AF15</f>
        <v>-25.42581872</v>
      </c>
      <c r="AQ15" s="601" t="n">
        <f aca="false">30.544*(Z15*1.9835+AC15*1.9835)/E15</f>
        <v>3.4676116458667</v>
      </c>
      <c r="AR15" s="186" t="n">
        <v>0</v>
      </c>
      <c r="AS15" s="373" t="n">
        <f aca="false">AUG!AS45</f>
        <v>7.45</v>
      </c>
      <c r="AV15" s="249" t="n">
        <v>0.12</v>
      </c>
      <c r="AW15" s="241" t="n">
        <v>86</v>
      </c>
      <c r="AX15" s="241" t="n">
        <v>56</v>
      </c>
      <c r="AY15" s="283"/>
      <c r="AZ15" s="282" t="n">
        <f aca="false">SUM(N15,P15:U15)</f>
        <v>6.53070012875564</v>
      </c>
      <c r="BA15" s="58" t="n">
        <v>10.6</v>
      </c>
      <c r="BB15" s="91" t="n">
        <v>18484</v>
      </c>
    </row>
    <row r="16" customFormat="false" ht="12.95" hidden="false" customHeight="true" outlineLevel="0" collapsed="false">
      <c r="A16" s="207" t="n">
        <v>2</v>
      </c>
      <c r="B16" s="122" t="n">
        <v>6909.73</v>
      </c>
      <c r="C16" s="123" t="n">
        <v>320912</v>
      </c>
      <c r="D16" s="241" t="n">
        <f aca="false">C16-C15</f>
        <v>-557</v>
      </c>
      <c r="E16" s="123" t="n">
        <f aca="false">C16-152000</f>
        <v>168912</v>
      </c>
      <c r="F16" s="277" t="n">
        <f aca="false">D16/$D$2</f>
        <v>-280.816738089236</v>
      </c>
      <c r="G16" s="280" t="n">
        <v>207</v>
      </c>
      <c r="H16" s="311" t="n">
        <v>0</v>
      </c>
      <c r="I16" s="280" t="n">
        <f aca="false">G16+H16</f>
        <v>207</v>
      </c>
      <c r="J16" s="156" t="n">
        <f aca="false">IF(L16&gt;0,L16,0)</f>
        <v>46.6832619107638</v>
      </c>
      <c r="K16" s="155" t="n">
        <f aca="false">I16+J16</f>
        <v>253.683261910764</v>
      </c>
      <c r="L16" s="155" t="n">
        <f aca="false">F16-(I16-AK16)</f>
        <v>46.6832619107638</v>
      </c>
      <c r="M16" s="279" t="n">
        <v>193</v>
      </c>
      <c r="N16" s="186" t="n">
        <v>0</v>
      </c>
      <c r="O16" s="155" t="n">
        <f aca="false">78.2*1.05</f>
        <v>82.11</v>
      </c>
      <c r="P16" s="186" t="n">
        <v>0</v>
      </c>
      <c r="Q16" s="373" t="n">
        <f aca="false">1256600/325851/1.9835*1.02</f>
        <v>1.98310616291467</v>
      </c>
      <c r="R16" s="151" t="n">
        <f aca="false">IF(((4.3*1.04)-T16)&gt;=4.2,4.2,(4.3*1.04)-T16)</f>
        <v>3.39032512</v>
      </c>
      <c r="S16" s="151" t="n">
        <f aca="false">IF(((4.3*1.04)-T16)&gt;=4.2,((4.3*1.04)-T16)-4.2,0)</f>
        <v>0</v>
      </c>
      <c r="T16" s="151" t="n">
        <f aca="false">(0.9812*1.06)*1.04</f>
        <v>1.08167488</v>
      </c>
      <c r="U16" s="393" t="n">
        <v>0</v>
      </c>
      <c r="V16" s="155" t="n">
        <v>37.5</v>
      </c>
      <c r="W16" s="155" t="n">
        <v>62.3</v>
      </c>
      <c r="X16" s="280" t="n">
        <f aca="false">M16-N16-O16-P16-Q16-R16-S16-T16-U16+V16+W16-AT16+AR16</f>
        <v>204.234893837085</v>
      </c>
      <c r="Y16" s="280" t="n">
        <f aca="false">X16-AO16</f>
        <v>204.234893837085</v>
      </c>
      <c r="Z16" s="123" t="n">
        <f aca="false">Z15+AP16</f>
        <v>8081.90377391745</v>
      </c>
      <c r="AA16" s="155" t="n">
        <f aca="false">(-AP16)</f>
        <v>4.30832512000002</v>
      </c>
      <c r="AB16" s="244"/>
      <c r="AC16" s="244" t="n">
        <f aca="false">AC15-(AQ15/1.9835)+AS16</f>
        <v>1619.2857441245</v>
      </c>
      <c r="AD16" s="484" t="n">
        <f aca="false">AD15</f>
        <v>1495.84068565667</v>
      </c>
      <c r="AE16" s="280" t="n">
        <v>182</v>
      </c>
      <c r="AF16" s="157" t="n">
        <v>1.7</v>
      </c>
      <c r="AG16" s="158" t="n">
        <v>1.3</v>
      </c>
      <c r="AH16" s="155" t="n">
        <v>59.7</v>
      </c>
      <c r="AI16" s="123" t="n">
        <f aca="false">AI15-AH16</f>
        <v>7623.15787748927</v>
      </c>
      <c r="AJ16" s="123"/>
      <c r="AK16" s="154" t="n">
        <f aca="false">N16+O16+P16+Q16+R16+S16+T16+U16+X16+AE16+AH16-AR16</f>
        <v>534.5</v>
      </c>
      <c r="AL16" s="155" t="n">
        <f aca="false">IF(L16&lt;0,L16*-1,0)</f>
        <v>0</v>
      </c>
      <c r="AM16" s="155" t="n">
        <f aca="false">AK16+AL16</f>
        <v>534.5</v>
      </c>
      <c r="AN16" s="247"/>
      <c r="AO16" s="241"/>
      <c r="AP16" s="633" t="n">
        <f aca="false">I16-Q16-R16-X16-AF16</f>
        <v>-4.30832512000002</v>
      </c>
      <c r="AQ16" s="601" t="n">
        <f aca="false">0*(Z16*1.9835+AC16*1.9835)/E16</f>
        <v>0</v>
      </c>
      <c r="AR16" s="186" t="n">
        <v>0</v>
      </c>
      <c r="AS16" s="373" t="n">
        <f aca="false">AS15</f>
        <v>7.45</v>
      </c>
      <c r="AV16" s="249" t="n">
        <v>0.19</v>
      </c>
      <c r="AW16" s="241" t="n">
        <v>81</v>
      </c>
      <c r="AX16" s="241" t="n">
        <v>56</v>
      </c>
      <c r="AY16" s="283"/>
      <c r="AZ16" s="282" t="n">
        <f aca="false">SUM(N16,P16:U16)</f>
        <v>6.45510616291467</v>
      </c>
      <c r="BA16" s="58" t="n">
        <v>10.6</v>
      </c>
      <c r="BB16" s="91" t="n">
        <v>18459</v>
      </c>
    </row>
    <row r="17" customFormat="false" ht="12.95" hidden="false" customHeight="true" outlineLevel="0" collapsed="false">
      <c r="A17" s="207" t="n">
        <v>3</v>
      </c>
      <c r="B17" s="122" t="n">
        <v>6909.58</v>
      </c>
      <c r="C17" s="123" t="n">
        <v>320314</v>
      </c>
      <c r="D17" s="241" t="n">
        <f aca="false">C17-C16</f>
        <v>-598</v>
      </c>
      <c r="E17" s="123" t="n">
        <f aca="false">C17-152000</f>
        <v>168314</v>
      </c>
      <c r="F17" s="277" t="n">
        <f aca="false">D17/$D$2</f>
        <v>-301.487269977313</v>
      </c>
      <c r="G17" s="280" t="n">
        <v>220</v>
      </c>
      <c r="H17" s="311" t="n">
        <v>0</v>
      </c>
      <c r="I17" s="280" t="n">
        <f aca="false">G17+H17</f>
        <v>220</v>
      </c>
      <c r="J17" s="156" t="n">
        <f aca="false">IF(L17&gt;0,L17,0)</f>
        <v>25.6127300226872</v>
      </c>
      <c r="K17" s="155" t="n">
        <f aca="false">I17+J17</f>
        <v>245.612730022687</v>
      </c>
      <c r="L17" s="155" t="n">
        <f aca="false">F17-(I17-AK17)</f>
        <v>25.6127300226872</v>
      </c>
      <c r="M17" s="279" t="n">
        <v>208</v>
      </c>
      <c r="N17" s="186" t="n">
        <v>0</v>
      </c>
      <c r="O17" s="155" t="n">
        <f aca="false">75.4*1.05</f>
        <v>79.17</v>
      </c>
      <c r="P17" s="186" t="n">
        <v>0</v>
      </c>
      <c r="Q17" s="373" t="n">
        <f aca="false">1386300/325851/1.9835*1.02</f>
        <v>2.18779251444263</v>
      </c>
      <c r="R17" s="151" t="n">
        <f aca="false">IF(((4.1*1.04)-T17)&gt;=4.2,4.2,(4.1*1.04)-T17)</f>
        <v>3.18232512</v>
      </c>
      <c r="S17" s="151" t="n">
        <f aca="false">IF(((4.1*1.04)-T17)&gt;=4.2,((4.1*1.04)-T17)-4.2,0)</f>
        <v>0</v>
      </c>
      <c r="T17" s="151" t="n">
        <f aca="false">(0.9812*1.06)*1.04</f>
        <v>1.08167488</v>
      </c>
      <c r="U17" s="393" t="n">
        <v>0</v>
      </c>
      <c r="V17" s="155" t="n">
        <v>37.1</v>
      </c>
      <c r="W17" s="155" t="n">
        <v>62.2</v>
      </c>
      <c r="X17" s="280" t="n">
        <f aca="false">M17-N17-O17-P17-Q17-R17-S17-T17-U17+V17+W17-AT17+AR17</f>
        <v>221.678207485557</v>
      </c>
      <c r="Y17" s="280" t="n">
        <f aca="false">X17-AO17</f>
        <v>221.678207485557</v>
      </c>
      <c r="Z17" s="123" t="n">
        <f aca="false">Z16+AP17</f>
        <v>8073.15544879745</v>
      </c>
      <c r="AA17" s="155" t="n">
        <f aca="false">(-AP17)</f>
        <v>8.74832512000002</v>
      </c>
      <c r="AB17" s="244"/>
      <c r="AC17" s="244" t="n">
        <f aca="false">AC16-(AQ16/1.9835)+AS17</f>
        <v>1626.7357441245</v>
      </c>
      <c r="AD17" s="484" t="n">
        <f aca="false">AD16</f>
        <v>1495.84068565667</v>
      </c>
      <c r="AE17" s="280" t="n">
        <v>180</v>
      </c>
      <c r="AF17" s="157" t="n">
        <v>1.7</v>
      </c>
      <c r="AG17" s="158" t="n">
        <v>1.3</v>
      </c>
      <c r="AH17" s="155" t="n">
        <v>59.8</v>
      </c>
      <c r="AI17" s="123" t="n">
        <f aca="false">AI16-AH17</f>
        <v>7563.35787748927</v>
      </c>
      <c r="AJ17" s="123"/>
      <c r="AK17" s="154" t="n">
        <f aca="false">N17+O17+P17+Q17+R17+S17+T17+U17+X17+AE17+AH17-AR17</f>
        <v>547.1</v>
      </c>
      <c r="AL17" s="155" t="n">
        <f aca="false">IF(L17&lt;0,L17*-1,0)</f>
        <v>0</v>
      </c>
      <c r="AM17" s="155" t="n">
        <f aca="false">AK17+AL17</f>
        <v>547.1</v>
      </c>
      <c r="AN17" s="247"/>
      <c r="AO17" s="241"/>
      <c r="AP17" s="633" t="n">
        <f aca="false">I17-Q17-R17-X17-AF17</f>
        <v>-8.74832512000002</v>
      </c>
      <c r="AQ17" s="601" t="n">
        <f aca="false">21.917*(Z17*1.9835+AC17*1.9835)/E17</f>
        <v>2.50530112794241</v>
      </c>
      <c r="AR17" s="186" t="n">
        <v>0</v>
      </c>
      <c r="AS17" s="373" t="n">
        <f aca="false">AS16</f>
        <v>7.45</v>
      </c>
      <c r="AV17" s="249" t="n">
        <v>0.02</v>
      </c>
      <c r="AW17" s="241" t="n">
        <v>80</v>
      </c>
      <c r="AX17" s="241" t="n">
        <v>56</v>
      </c>
      <c r="AY17" s="283"/>
      <c r="AZ17" s="282" t="n">
        <f aca="false">SUM(N17,P17:U17)</f>
        <v>6.45179251444263</v>
      </c>
      <c r="BA17" s="58" t="n">
        <v>10.6</v>
      </c>
      <c r="BB17" s="91" t="n">
        <v>18409</v>
      </c>
    </row>
    <row r="18" customFormat="false" ht="12.95" hidden="false" customHeight="true" outlineLevel="0" collapsed="false">
      <c r="A18" s="207" t="n">
        <v>4</v>
      </c>
      <c r="B18" s="122" t="n">
        <v>6909.43</v>
      </c>
      <c r="C18" s="123" t="n">
        <v>319717</v>
      </c>
      <c r="D18" s="241" t="n">
        <f aca="false">C18-C17</f>
        <v>-597</v>
      </c>
      <c r="E18" s="123" t="n">
        <f aca="false">C18-152000</f>
        <v>167717</v>
      </c>
      <c r="F18" s="277" t="n">
        <f aca="false">D18/$D$2</f>
        <v>-300.983110662969</v>
      </c>
      <c r="G18" s="280" t="n">
        <v>213</v>
      </c>
      <c r="H18" s="311" t="n">
        <v>0</v>
      </c>
      <c r="I18" s="280" t="n">
        <f aca="false">G18+H18</f>
        <v>213</v>
      </c>
      <c r="J18" s="156" t="n">
        <f aca="false">IF(L18&gt;0,L18,0)</f>
        <v>0</v>
      </c>
      <c r="K18" s="155" t="n">
        <f aca="false">I18+J18</f>
        <v>213</v>
      </c>
      <c r="L18" s="155" t="n">
        <f aca="false">F18-(I18-AK18)</f>
        <v>-15.8831106629694</v>
      </c>
      <c r="M18" s="279" t="n">
        <v>182</v>
      </c>
      <c r="N18" s="186" t="n">
        <v>0</v>
      </c>
      <c r="O18" s="155" t="n">
        <f aca="false">79.1*1.05</f>
        <v>83.055</v>
      </c>
      <c r="P18" s="186" t="n">
        <v>0</v>
      </c>
      <c r="Q18" s="373" t="n">
        <f aca="false">1397300/325851/1.9835*1.02</f>
        <v>2.20515218959149</v>
      </c>
      <c r="R18" s="151" t="n">
        <f aca="false">IF(((4.1*1.04)-T18)&gt;=4.2,4.2,(4.1*1.04)-T18)</f>
        <v>3.18232512</v>
      </c>
      <c r="S18" s="151" t="n">
        <f aca="false">IF(((4.1*1.04)-T18)&gt;=4.2,((4.1*1.04)-T18)-4.2,0)</f>
        <v>0</v>
      </c>
      <c r="T18" s="151" t="n">
        <f aca="false">(0.9812*1.06)*1.04</f>
        <v>1.08167488</v>
      </c>
      <c r="U18" s="393" t="n">
        <v>0</v>
      </c>
      <c r="V18" s="155" t="n">
        <v>45.2</v>
      </c>
      <c r="W18" s="155" t="n">
        <v>62.3</v>
      </c>
      <c r="X18" s="280" t="n">
        <f aca="false">M18-N18-O18-P18-Q18-R18-S18-T18-U18+V18+W18-AT18+AR18</f>
        <v>199.975847810409</v>
      </c>
      <c r="Y18" s="280" t="n">
        <f aca="false">X18-AO18</f>
        <v>199.975847810409</v>
      </c>
      <c r="Z18" s="123" t="n">
        <f aca="false">Z17+AP18</f>
        <v>8079.09212367745</v>
      </c>
      <c r="AA18" s="155" t="n">
        <f aca="false">(-AP18)</f>
        <v>-5.93667487999996</v>
      </c>
      <c r="AB18" s="244"/>
      <c r="AC18" s="244" t="n">
        <f aca="false">AC17-(AQ17/1.9835)+AS18</f>
        <v>1632.92267322561</v>
      </c>
      <c r="AD18" s="484" t="n">
        <f aca="false">AD17</f>
        <v>1495.84068565667</v>
      </c>
      <c r="AE18" s="280" t="n">
        <v>149</v>
      </c>
      <c r="AF18" s="157" t="n">
        <v>1.7</v>
      </c>
      <c r="AG18" s="158" t="n">
        <v>1.3</v>
      </c>
      <c r="AH18" s="155" t="n">
        <v>59.6</v>
      </c>
      <c r="AI18" s="123" t="n">
        <f aca="false">AI17-AH18</f>
        <v>7503.75787748927</v>
      </c>
      <c r="AJ18" s="123"/>
      <c r="AK18" s="154" t="n">
        <f aca="false">N18+O18+P18+Q18+R18+S18+T18+U18+X18+AE18+AH18-AR18</f>
        <v>498.1</v>
      </c>
      <c r="AL18" s="155" t="n">
        <f aca="false">IF(L18&lt;0,L18*-1,0)</f>
        <v>15.8831106629694</v>
      </c>
      <c r="AM18" s="155" t="n">
        <f aca="false">AK18+AL18</f>
        <v>513.983110662969</v>
      </c>
      <c r="AN18" s="247"/>
      <c r="AO18" s="241"/>
      <c r="AP18" s="633" t="n">
        <f aca="false">I18-Q18-R18-X18-AF18</f>
        <v>5.93667487999996</v>
      </c>
      <c r="AQ18" s="601" t="n">
        <f aca="false">23.36*(Z18*1.9835+AC18*1.9835)/E18</f>
        <v>2.68310268087309</v>
      </c>
      <c r="AR18" s="186" t="n">
        <v>0</v>
      </c>
      <c r="AS18" s="373" t="n">
        <f aca="false">AS17</f>
        <v>7.45</v>
      </c>
      <c r="AV18" s="249" t="n">
        <v>0.01</v>
      </c>
      <c r="AW18" s="241" t="n">
        <v>81</v>
      </c>
      <c r="AX18" s="241" t="n">
        <v>55</v>
      </c>
      <c r="AY18" s="283"/>
      <c r="AZ18" s="282" t="n">
        <f aca="false">SUM(N18,P18:U18)</f>
        <v>6.46915218959149</v>
      </c>
      <c r="BA18" s="58" t="n">
        <v>10.6</v>
      </c>
      <c r="BB18" s="91" t="n">
        <v>18463</v>
      </c>
    </row>
    <row r="19" customFormat="false" ht="12.95" hidden="false" customHeight="true" outlineLevel="0" collapsed="false">
      <c r="A19" s="207" t="n">
        <v>5</v>
      </c>
      <c r="B19" s="122" t="n">
        <v>6909.23</v>
      </c>
      <c r="C19" s="123" t="n">
        <v>318921</v>
      </c>
      <c r="D19" s="241" t="n">
        <f aca="false">C19-C18</f>
        <v>-796</v>
      </c>
      <c r="E19" s="123" t="n">
        <f aca="false">C19-152000</f>
        <v>166921</v>
      </c>
      <c r="F19" s="277" t="n">
        <f aca="false">D19/$D$2</f>
        <v>-401.310814217293</v>
      </c>
      <c r="G19" s="280" t="n">
        <v>186</v>
      </c>
      <c r="H19" s="311" t="n">
        <v>0</v>
      </c>
      <c r="I19" s="280" t="n">
        <f aca="false">G19+H19</f>
        <v>186</v>
      </c>
      <c r="J19" s="156" t="n">
        <f aca="false">IF(L19&gt;0,L19,0)</f>
        <v>0</v>
      </c>
      <c r="K19" s="155" t="n">
        <f aca="false">I19+J19</f>
        <v>186</v>
      </c>
      <c r="L19" s="155" t="n">
        <f aca="false">F19-(I19-AK19)</f>
        <v>-36.2108142172926</v>
      </c>
      <c r="M19" s="279" t="n">
        <v>219</v>
      </c>
      <c r="N19" s="186" t="n">
        <v>0</v>
      </c>
      <c r="O19" s="155" t="n">
        <f aca="false">87.8*1.05</f>
        <v>92.19</v>
      </c>
      <c r="P19" s="186" t="n">
        <v>0</v>
      </c>
      <c r="Q19" s="373" t="n">
        <f aca="false">1730100/325851/1.9835*1.02</f>
        <v>2.73036127045891</v>
      </c>
      <c r="R19" s="151" t="n">
        <f aca="false">IF(((4.3*1.04)-T19)&gt;=4.2,4.2,(4.3*1.04)-T19)</f>
        <v>3.39032512</v>
      </c>
      <c r="S19" s="151" t="n">
        <f aca="false">IF(((4.3*1.04)-T19)&gt;=4.2,((4.3*1.04)-T19)-4.2,0)</f>
        <v>0</v>
      </c>
      <c r="T19" s="151" t="n">
        <f aca="false">(0.9812*1.06)*1.04</f>
        <v>1.08167488</v>
      </c>
      <c r="U19" s="393" t="n">
        <v>0</v>
      </c>
      <c r="V19" s="155" t="n">
        <v>56.7</v>
      </c>
      <c r="W19" s="155" t="n">
        <v>62.8</v>
      </c>
      <c r="X19" s="280" t="n">
        <f aca="false">M19-N19-O19-P19-Q19-R19-S19-T19-U19+V19+W19-AT19+AR19</f>
        <v>239.107638729541</v>
      </c>
      <c r="Y19" s="280" t="n">
        <f aca="false">X19-AO19</f>
        <v>239.107638729541</v>
      </c>
      <c r="Z19" s="123" t="n">
        <f aca="false">Z18+AP19</f>
        <v>8018.16379855745</v>
      </c>
      <c r="AA19" s="155" t="n">
        <f aca="false">(-AP19)</f>
        <v>60.92832512</v>
      </c>
      <c r="AB19" s="244"/>
      <c r="AC19" s="244" t="n">
        <f aca="false">AC18-(AQ18/1.9835)+AS19</f>
        <v>1639.01996201771</v>
      </c>
      <c r="AD19" s="484" t="n">
        <f aca="false">AD18</f>
        <v>1495.84068565667</v>
      </c>
      <c r="AE19" s="280" t="n">
        <v>153</v>
      </c>
      <c r="AF19" s="157" t="n">
        <v>1.7</v>
      </c>
      <c r="AG19" s="158" t="n">
        <v>1.3</v>
      </c>
      <c r="AH19" s="155" t="n">
        <v>59.6</v>
      </c>
      <c r="AI19" s="123" t="n">
        <f aca="false">AI18-AH19</f>
        <v>7444.15787748927</v>
      </c>
      <c r="AJ19" s="123"/>
      <c r="AK19" s="154" t="n">
        <f aca="false">N19+O19+P19+Q19+R19+S19+T19+U19+X19+AE19+AH19-AR19</f>
        <v>551.1</v>
      </c>
      <c r="AL19" s="155" t="n">
        <f aca="false">IF(L19&lt;0,L19*-1,0)</f>
        <v>36.2108142172926</v>
      </c>
      <c r="AM19" s="155" t="n">
        <f aca="false">AK19+AL19</f>
        <v>587.310814217293</v>
      </c>
      <c r="AN19" s="303"/>
      <c r="AO19" s="241"/>
      <c r="AP19" s="633" t="n">
        <f aca="false">I19-Q19-R19-X19-AF19</f>
        <v>-60.92832512</v>
      </c>
      <c r="AQ19" s="601" t="n">
        <f aca="false">29.837*(Z19*1.9835+AC19*1.9835)/E19</f>
        <v>3.42394576334195</v>
      </c>
      <c r="AR19" s="186" t="n">
        <v>0</v>
      </c>
      <c r="AS19" s="373" t="n">
        <f aca="false">AS18</f>
        <v>7.45</v>
      </c>
      <c r="AV19" s="634" t="n">
        <v>0.01</v>
      </c>
      <c r="AW19" s="241" t="n">
        <v>83</v>
      </c>
      <c r="AX19" s="241" t="n">
        <v>47</v>
      </c>
      <c r="AY19" s="283"/>
      <c r="AZ19" s="282" t="n">
        <f aca="false">SUM(N19,P19:U19)</f>
        <v>7.20236127045891</v>
      </c>
      <c r="BA19" s="58" t="n">
        <v>10.6</v>
      </c>
      <c r="BB19" s="91" t="n">
        <v>18524</v>
      </c>
    </row>
    <row r="20" customFormat="false" ht="12.95" hidden="false" customHeight="true" outlineLevel="0" collapsed="false">
      <c r="A20" s="207" t="n">
        <v>6</v>
      </c>
      <c r="B20" s="122" t="n">
        <v>6909.03</v>
      </c>
      <c r="C20" s="123" t="n">
        <v>318125</v>
      </c>
      <c r="D20" s="241" t="n">
        <f aca="false">C20-C19</f>
        <v>-796</v>
      </c>
      <c r="E20" s="123" t="n">
        <f aca="false">C20-152000</f>
        <v>166125</v>
      </c>
      <c r="F20" s="277" t="n">
        <f aca="false">D20/$D$2</f>
        <v>-401.310814217293</v>
      </c>
      <c r="G20" s="280" t="n">
        <v>158</v>
      </c>
      <c r="H20" s="311" t="n">
        <v>0</v>
      </c>
      <c r="I20" s="280" t="n">
        <f aca="false">G20+H20</f>
        <v>158</v>
      </c>
      <c r="J20" s="156" t="n">
        <f aca="false">IF(L20&gt;0,L20,0)</f>
        <v>0</v>
      </c>
      <c r="K20" s="155" t="n">
        <f aca="false">I20+J20</f>
        <v>158</v>
      </c>
      <c r="L20" s="155" t="n">
        <f aca="false">F20-(I20-AK20)</f>
        <v>-10.7108142172926</v>
      </c>
      <c r="M20" s="279" t="n">
        <v>217</v>
      </c>
      <c r="N20" s="186" t="n">
        <v>0</v>
      </c>
      <c r="O20" s="155" t="n">
        <f aca="false">85.6*1.05</f>
        <v>89.88</v>
      </c>
      <c r="P20" s="186" t="n">
        <v>0</v>
      </c>
      <c r="Q20" s="373" t="n">
        <f aca="false">1571600/325851/1.9835*1.02</f>
        <v>2.48022413308666</v>
      </c>
      <c r="R20" s="151" t="n">
        <f aca="false">IF(((6.4*1.04)-T20)&gt;=4.2,4.2,(6.4*1.04)-T20)</f>
        <v>4.2</v>
      </c>
      <c r="S20" s="151" t="n">
        <f aca="false">IF(((6.4*1.04)-T20)&gt;=4.2,((6.4*1.04)-T20)-4.2,0)</f>
        <v>1.37432512</v>
      </c>
      <c r="T20" s="151" t="n">
        <f aca="false">(0.9812*1.06)*1.04</f>
        <v>1.08167488</v>
      </c>
      <c r="U20" s="393" t="n">
        <v>0</v>
      </c>
      <c r="V20" s="155" t="n">
        <v>59.3</v>
      </c>
      <c r="W20" s="155" t="n">
        <v>64.7</v>
      </c>
      <c r="X20" s="280" t="n">
        <f aca="false">M20-N20-O20-P20-Q20-R20-S20-T20-U20+V20+W20-AT20+AR20</f>
        <v>241.983775866913</v>
      </c>
      <c r="Y20" s="280" t="n">
        <f aca="false">X20-AO20</f>
        <v>241.983775866913</v>
      </c>
      <c r="Z20" s="123" t="n">
        <f aca="false">Z19+AP20</f>
        <v>7925.79979855745</v>
      </c>
      <c r="AA20" s="155" t="n">
        <f aca="false">(-AP20)</f>
        <v>92.364</v>
      </c>
      <c r="AB20" s="244"/>
      <c r="AC20" s="244" t="n">
        <f aca="false">AC19-(AQ19/1.9835)+AS20</f>
        <v>1644.74374786931</v>
      </c>
      <c r="AD20" s="484" t="n">
        <f aca="false">AD19</f>
        <v>1495.84068565667</v>
      </c>
      <c r="AE20" s="280" t="n">
        <v>148</v>
      </c>
      <c r="AF20" s="157" t="n">
        <v>1.7</v>
      </c>
      <c r="AG20" s="158" t="n">
        <v>1.3</v>
      </c>
      <c r="AH20" s="155" t="n">
        <v>59.6</v>
      </c>
      <c r="AI20" s="123" t="n">
        <f aca="false">AI19-AH20</f>
        <v>7384.55787748927</v>
      </c>
      <c r="AJ20" s="123"/>
      <c r="AK20" s="154" t="n">
        <f aca="false">N20+O20+P20+Q20+R20+S20+T20+U20+X20+AE20+AH20-AR20</f>
        <v>548.6</v>
      </c>
      <c r="AL20" s="155" t="n">
        <f aca="false">IF(L20&lt;0,L20*-1,0)</f>
        <v>10.7108142172926</v>
      </c>
      <c r="AM20" s="155" t="n">
        <f aca="false">AK20+AL20</f>
        <v>559.310814217293</v>
      </c>
      <c r="AN20" s="303"/>
      <c r="AO20" s="241"/>
      <c r="AP20" s="633" t="n">
        <f aca="false">I20-Q20-R20-X20-AF20</f>
        <v>-92.364</v>
      </c>
      <c r="AQ20" s="601" t="n">
        <f aca="false">22.435*(Z20*1.9835+AC20*1.9835)/E20</f>
        <v>2.56365681892859</v>
      </c>
      <c r="AR20" s="186" t="n">
        <v>0</v>
      </c>
      <c r="AS20" s="373" t="n">
        <f aca="false">AS19</f>
        <v>7.45</v>
      </c>
      <c r="AV20" s="249" t="n">
        <v>0</v>
      </c>
      <c r="AW20" s="241" t="n">
        <v>82</v>
      </c>
      <c r="AX20" s="241" t="n">
        <v>51</v>
      </c>
      <c r="AY20" s="283"/>
      <c r="AZ20" s="282" t="n">
        <f aca="false">SUM(N20,P20:U20)</f>
        <v>9.13622413308666</v>
      </c>
      <c r="BA20" s="58" t="n">
        <v>10.6</v>
      </c>
      <c r="BB20" s="91" t="n">
        <v>18457</v>
      </c>
    </row>
    <row r="21" customFormat="false" ht="12.95" hidden="false" customHeight="true" outlineLevel="0" collapsed="false">
      <c r="A21" s="207" t="n">
        <v>7</v>
      </c>
      <c r="B21" s="122" t="n">
        <v>6908.8</v>
      </c>
      <c r="C21" s="123" t="n">
        <v>317215</v>
      </c>
      <c r="D21" s="241" t="n">
        <f aca="false">C21-C20</f>
        <v>-910</v>
      </c>
      <c r="E21" s="123" t="n">
        <f aca="false">C21-152000</f>
        <v>165215</v>
      </c>
      <c r="F21" s="277" t="n">
        <f aca="false">D21/$D$2</f>
        <v>-458.784976052433</v>
      </c>
      <c r="G21" s="280" t="n">
        <v>145</v>
      </c>
      <c r="H21" s="311" t="n">
        <v>0</v>
      </c>
      <c r="I21" s="280" t="n">
        <f aca="false">G21+H21</f>
        <v>145</v>
      </c>
      <c r="J21" s="156" t="n">
        <f aca="false">IF(L21&gt;0,L21,0)</f>
        <v>0</v>
      </c>
      <c r="K21" s="155" t="n">
        <f aca="false">I21+J21</f>
        <v>145</v>
      </c>
      <c r="L21" s="155" t="n">
        <f aca="false">F21-(I21-AK21)</f>
        <v>-4.68497605243255</v>
      </c>
      <c r="M21" s="279" t="n">
        <v>239</v>
      </c>
      <c r="N21" s="186" t="n">
        <v>0</v>
      </c>
      <c r="O21" s="155" t="n">
        <f aca="false">94.6*1.05</f>
        <v>99.33</v>
      </c>
      <c r="P21" s="186" t="n">
        <v>0</v>
      </c>
      <c r="Q21" s="373" t="n">
        <f aca="false">1422600/325851/1.9835*1.02</f>
        <v>2.24507944243388</v>
      </c>
      <c r="R21" s="151" t="n">
        <f aca="false">IF(((6.5*1.04)-T21)&gt;=4.2,4.2,(6.5*1.04)-T21)</f>
        <v>4.2</v>
      </c>
      <c r="S21" s="151" t="n">
        <f aca="false">IF(((6.5*1.04)-T21)&gt;=4.2,((6.5*1.04)-T21)-4.2,0)</f>
        <v>1.47832512</v>
      </c>
      <c r="T21" s="151" t="n">
        <f aca="false">(0.9812*1.06)*1.04</f>
        <v>1.08167488</v>
      </c>
      <c r="U21" s="393" t="n">
        <v>0</v>
      </c>
      <c r="V21" s="155" t="n">
        <v>75.4</v>
      </c>
      <c r="W21" s="155" t="n">
        <v>64.1</v>
      </c>
      <c r="X21" s="280" t="n">
        <f aca="false">M21-N21-O21-P21-Q21-R21-S21-T21-U21+V21+W21-AT21+AR21</f>
        <v>270.164920557566</v>
      </c>
      <c r="Y21" s="280" t="n">
        <f aca="false">X21-AO21</f>
        <v>270.164920557566</v>
      </c>
      <c r="Z21" s="123" t="n">
        <f aca="false">Z20+AP21</f>
        <v>7792.48979855745</v>
      </c>
      <c r="AA21" s="155" t="n">
        <f aca="false">(-AP21)</f>
        <v>133.31</v>
      </c>
      <c r="AB21" s="244"/>
      <c r="AC21" s="244" t="n">
        <f aca="false">AC20-(AQ20/1.9835)+AS21</f>
        <v>1650.90125640527</v>
      </c>
      <c r="AD21" s="484" t="n">
        <f aca="false">AD20</f>
        <v>1495.84068565667</v>
      </c>
      <c r="AE21" s="280" t="n">
        <v>161</v>
      </c>
      <c r="AF21" s="157" t="n">
        <v>1.7</v>
      </c>
      <c r="AG21" s="158" t="n">
        <v>1.3</v>
      </c>
      <c r="AH21" s="155" t="n">
        <v>59.6</v>
      </c>
      <c r="AI21" s="123" t="n">
        <f aca="false">AI20-AH21</f>
        <v>7324.95787748927</v>
      </c>
      <c r="AJ21" s="123"/>
      <c r="AK21" s="154" t="n">
        <f aca="false">N21+O21+P21+Q21+R21+S21+T21+U21+X21+AE21+AH21-AR21</f>
        <v>599.1</v>
      </c>
      <c r="AL21" s="155" t="n">
        <f aca="false">IF(L21&lt;0,L21*-1,0)</f>
        <v>4.68497605243255</v>
      </c>
      <c r="AM21" s="155" t="n">
        <f aca="false">AK21+AL21</f>
        <v>603.784976052433</v>
      </c>
      <c r="AN21" s="303"/>
      <c r="AO21" s="241"/>
      <c r="AP21" s="633" t="n">
        <f aca="false">I21-Q21-R21-X21-AF21</f>
        <v>-133.31</v>
      </c>
      <c r="AQ21" s="601" t="n">
        <f aca="false">43.02*(Z21*1.9835+AC21*1.9835)/E21</f>
        <v>4.87731842808733</v>
      </c>
      <c r="AR21" s="186" t="n">
        <v>0</v>
      </c>
      <c r="AS21" s="373" t="n">
        <f aca="false">AS20</f>
        <v>7.45</v>
      </c>
      <c r="AV21" s="249" t="n">
        <v>0</v>
      </c>
      <c r="AW21" s="241" t="n">
        <v>80</v>
      </c>
      <c r="AX21" s="241" t="n">
        <v>50</v>
      </c>
      <c r="AY21" s="283"/>
      <c r="AZ21" s="282" t="n">
        <f aca="false">SUM(N21,P21:U21)</f>
        <v>9.00507944243388</v>
      </c>
      <c r="BA21" s="58" t="n">
        <v>10.6</v>
      </c>
      <c r="BB21" s="91" t="n">
        <v>18394</v>
      </c>
    </row>
    <row r="22" customFormat="false" ht="12.95" hidden="false" customHeight="true" outlineLevel="0" collapsed="false">
      <c r="A22" s="207" t="n">
        <v>8</v>
      </c>
      <c r="B22" s="473" t="n">
        <v>6908.59</v>
      </c>
      <c r="C22" s="123" t="n">
        <v>316386</v>
      </c>
      <c r="D22" s="241" t="n">
        <f aca="false">C22-C21</f>
        <v>-829</v>
      </c>
      <c r="E22" s="123" t="n">
        <f aca="false">C22-152000</f>
        <v>164386</v>
      </c>
      <c r="F22" s="277" t="n">
        <f aca="false">D22/$D$2</f>
        <v>-417.948071590623</v>
      </c>
      <c r="G22" s="280" t="n">
        <v>132</v>
      </c>
      <c r="H22" s="311" t="n">
        <v>0</v>
      </c>
      <c r="I22" s="280" t="n">
        <f aca="false">G22+H22</f>
        <v>132</v>
      </c>
      <c r="J22" s="156" t="n">
        <f aca="false">IF(L22&gt;0,L22,0)</f>
        <v>7.45192840937733</v>
      </c>
      <c r="K22" s="155" t="n">
        <f aca="false">I22+J22</f>
        <v>139.451928409377</v>
      </c>
      <c r="L22" s="155" t="n">
        <f aca="false">F22-(I22-AK22)</f>
        <v>7.45192840937733</v>
      </c>
      <c r="M22" s="279" t="n">
        <v>216</v>
      </c>
      <c r="N22" s="186" t="n">
        <v>0</v>
      </c>
      <c r="O22" s="155" t="n">
        <f aca="false">88.2*1.05</f>
        <v>92.61</v>
      </c>
      <c r="P22" s="186" t="n">
        <v>0</v>
      </c>
      <c r="Q22" s="373" t="n">
        <f aca="false">1624200/325851/1.9835*1.02</f>
        <v>2.56323494334395</v>
      </c>
      <c r="R22" s="151" t="n">
        <f aca="false">IF(((6.4*1.04)-T22)&gt;=4.2,4.2,(6.4*1.04)-T22)</f>
        <v>4.2</v>
      </c>
      <c r="S22" s="151" t="n">
        <f aca="false">IF(((6.4*1.04)-T22)&gt;=4.2,((6.4*1.04)-T22)-4.2,0)</f>
        <v>1.37432512</v>
      </c>
      <c r="T22" s="151" t="n">
        <f aca="false">(0.9812*1.06)*1.04</f>
        <v>1.08167488</v>
      </c>
      <c r="U22" s="393" t="n">
        <v>0</v>
      </c>
      <c r="V22" s="155" t="n">
        <v>87.3</v>
      </c>
      <c r="W22" s="155" t="n">
        <v>63.5</v>
      </c>
      <c r="X22" s="280" t="n">
        <f aca="false">M22-N22-O22-P22-Q22-R22-S22-T22-U22+V22+W22-AT22+AR22</f>
        <v>264.970765056656</v>
      </c>
      <c r="Y22" s="280" t="n">
        <f aca="false">X22-AO22</f>
        <v>264.970765056656</v>
      </c>
      <c r="Z22" s="123" t="n">
        <f aca="false">Z21+AP22</f>
        <v>7651.05579855745</v>
      </c>
      <c r="AA22" s="155" t="n">
        <f aca="false">(-AP22)</f>
        <v>141.434</v>
      </c>
      <c r="AB22" s="244"/>
      <c r="AC22" s="244" t="n">
        <f aca="false">AC21-(AQ21/1.9835)+AS22</f>
        <v>1655.89231089073</v>
      </c>
      <c r="AD22" s="484" t="n">
        <f aca="false">AD21</f>
        <v>1495.84068565667</v>
      </c>
      <c r="AE22" s="280" t="n">
        <v>131</v>
      </c>
      <c r="AF22" s="157" t="n">
        <v>1.7</v>
      </c>
      <c r="AG22" s="158" t="n">
        <v>1.3</v>
      </c>
      <c r="AH22" s="155" t="n">
        <v>59.6</v>
      </c>
      <c r="AI22" s="123" t="n">
        <f aca="false">AI21-AH22</f>
        <v>7265.35787748927</v>
      </c>
      <c r="AJ22" s="123"/>
      <c r="AK22" s="154" t="n">
        <f aca="false">N22+O22+P22+Q22+R22+S22+T22+U22+X22+AE22+AH22-AR22</f>
        <v>557.4</v>
      </c>
      <c r="AL22" s="155" t="n">
        <f aca="false">IF(L22&lt;0,L22*-1,0)</f>
        <v>0</v>
      </c>
      <c r="AM22" s="155" t="n">
        <f aca="false">AK22+AL22</f>
        <v>557.4</v>
      </c>
      <c r="AN22" s="303"/>
      <c r="AO22" s="241"/>
      <c r="AP22" s="633" t="n">
        <f aca="false">I22-Q22-R22-X22-AF22</f>
        <v>-141.434</v>
      </c>
      <c r="AQ22" s="601" t="n">
        <f aca="false">61.524*(Z22*1.9835+AC22*1.9835)/E22</f>
        <v>6.90906427448728</v>
      </c>
      <c r="AR22" s="186" t="n">
        <v>0</v>
      </c>
      <c r="AS22" s="373" t="n">
        <f aca="false">AS21</f>
        <v>7.45</v>
      </c>
      <c r="AV22" s="249" t="n">
        <v>0</v>
      </c>
      <c r="AW22" s="241" t="n">
        <v>84</v>
      </c>
      <c r="AX22" s="241" t="n">
        <v>48</v>
      </c>
      <c r="AY22" s="283"/>
      <c r="AZ22" s="282" t="n">
        <f aca="false">SUM(N22,P22:U22)</f>
        <v>9.21923494334395</v>
      </c>
      <c r="BA22" s="58" t="n">
        <v>10.5</v>
      </c>
      <c r="BB22" s="91" t="n">
        <v>18364</v>
      </c>
    </row>
    <row r="23" customFormat="false" ht="12.95" hidden="false" customHeight="true" outlineLevel="0" collapsed="false">
      <c r="A23" s="207" t="n">
        <v>9</v>
      </c>
      <c r="B23" s="122" t="n">
        <v>6908.35</v>
      </c>
      <c r="C23" s="123" t="n">
        <v>315438</v>
      </c>
      <c r="D23" s="241" t="n">
        <f aca="false">C23-C22</f>
        <v>-948</v>
      </c>
      <c r="E23" s="123" t="n">
        <f aca="false">C23-152000</f>
        <v>163438</v>
      </c>
      <c r="F23" s="277" t="n">
        <f aca="false">D23/$D$2</f>
        <v>-477.943029997479</v>
      </c>
      <c r="G23" s="280" t="n">
        <v>120</v>
      </c>
      <c r="H23" s="311" t="n">
        <v>0</v>
      </c>
      <c r="I23" s="280" t="n">
        <f aca="false">G23+H23</f>
        <v>120</v>
      </c>
      <c r="J23" s="156" t="n">
        <f aca="false">IF(L23&gt;0,L23,0)</f>
        <v>0</v>
      </c>
      <c r="K23" s="155" t="n">
        <f aca="false">I23+J23</f>
        <v>120</v>
      </c>
      <c r="L23" s="155" t="n">
        <f aca="false">F23-(I23-AK23)</f>
        <v>-9.0430299974791</v>
      </c>
      <c r="M23" s="279" t="n">
        <v>248</v>
      </c>
      <c r="N23" s="186" t="n">
        <v>0</v>
      </c>
      <c r="O23" s="155" t="n">
        <f aca="false">84.8*1.05</f>
        <v>89.04</v>
      </c>
      <c r="P23" s="186" t="n">
        <v>0</v>
      </c>
      <c r="Q23" s="373" t="n">
        <f aca="false">1643300/325851/1.9835*1.02</f>
        <v>2.59337765201152</v>
      </c>
      <c r="R23" s="151" t="n">
        <f aca="false">IF(((5.4*1.04)-T23)&gt;=4.2,4.2,(5.4*1.04)-T23)</f>
        <v>4.2</v>
      </c>
      <c r="S23" s="151" t="n">
        <f aca="false">IF(((5.4*1.04)-T23)&gt;=4.2,((5.4*1.04)-T23)-4.2,0)</f>
        <v>0.397382400000001</v>
      </c>
      <c r="T23" s="151" t="n">
        <f aca="false">(0.924*1.06)*1.04</f>
        <v>1.0186176</v>
      </c>
      <c r="U23" s="393" t="n">
        <v>0</v>
      </c>
      <c r="V23" s="155" t="n">
        <v>82.7</v>
      </c>
      <c r="W23" s="155" t="n">
        <v>62</v>
      </c>
      <c r="X23" s="280" t="n">
        <f aca="false">M23-N23-O23-P23-Q23-R23-S23-T23-U23+V23+W23-AT23+AR23</f>
        <v>295.450622347988</v>
      </c>
      <c r="Y23" s="280" t="n">
        <f aca="false">X23-AO23</f>
        <v>295.450622347988</v>
      </c>
      <c r="Z23" s="123" t="n">
        <f aca="false">Z22+AP23</f>
        <v>7467.11179855745</v>
      </c>
      <c r="AA23" s="155" t="n">
        <f aca="false">(-AP23)</f>
        <v>183.944</v>
      </c>
      <c r="AB23" s="244"/>
      <c r="AC23" s="244" t="n">
        <f aca="false">AC22-(AQ22/1.9835)+AS23</f>
        <v>1659.85904178335</v>
      </c>
      <c r="AD23" s="484" t="n">
        <f aca="false">AD22</f>
        <v>1495.84068565667</v>
      </c>
      <c r="AE23" s="280" t="n">
        <v>140</v>
      </c>
      <c r="AF23" s="157" t="n">
        <v>1.7</v>
      </c>
      <c r="AG23" s="158" t="n">
        <v>1.3</v>
      </c>
      <c r="AH23" s="155" t="n">
        <v>56.2</v>
      </c>
      <c r="AI23" s="123" t="n">
        <f aca="false">AI22-AH23</f>
        <v>7209.15787748927</v>
      </c>
      <c r="AJ23" s="123"/>
      <c r="AK23" s="154" t="n">
        <f aca="false">N23+O23+P23+Q23+R23+S23+T23+U23+X23+AE23+AH23-AR23</f>
        <v>588.9</v>
      </c>
      <c r="AL23" s="155" t="n">
        <f aca="false">IF(L23&lt;0,L23*-1,0)</f>
        <v>9.0430299974791</v>
      </c>
      <c r="AM23" s="155" t="n">
        <f aca="false">AK23+AL23</f>
        <v>597.943029997479</v>
      </c>
      <c r="AN23" s="303"/>
      <c r="AO23" s="241"/>
      <c r="AP23" s="633" t="n">
        <f aca="false">I23-Q23-R23-X23-AF23</f>
        <v>-183.944</v>
      </c>
      <c r="AQ23" s="601" t="n">
        <f aca="false">82.385*(Z23*1.9835+AC23*1.9835)/E23</f>
        <v>9.12544337751141</v>
      </c>
      <c r="AR23" s="186" t="n">
        <v>0</v>
      </c>
      <c r="AS23" s="373" t="n">
        <f aca="false">AS22</f>
        <v>7.45</v>
      </c>
      <c r="AV23" s="249" t="n">
        <v>0</v>
      </c>
      <c r="AW23" s="241" t="n">
        <v>84</v>
      </c>
      <c r="AX23" s="241" t="n">
        <v>52</v>
      </c>
      <c r="AY23" s="283"/>
      <c r="AZ23" s="282" t="n">
        <f aca="false">SUM(N23,P23:U23)</f>
        <v>8.20937765201152</v>
      </c>
      <c r="BA23" s="58" t="n">
        <v>10.6</v>
      </c>
      <c r="BB23" s="91" t="n">
        <v>18337</v>
      </c>
    </row>
    <row r="24" customFormat="false" ht="12.95" hidden="false" customHeight="true" outlineLevel="0" collapsed="false">
      <c r="A24" s="207" t="n">
        <v>10</v>
      </c>
      <c r="B24" s="122" t="n">
        <v>6908.11</v>
      </c>
      <c r="C24" s="123" t="n">
        <v>314490</v>
      </c>
      <c r="D24" s="241" t="n">
        <f aca="false">C24-C23</f>
        <v>-948</v>
      </c>
      <c r="E24" s="123" t="n">
        <f aca="false">C24-152000</f>
        <v>162490</v>
      </c>
      <c r="F24" s="277" t="n">
        <f aca="false">D24/$D$2</f>
        <v>-477.943029997479</v>
      </c>
      <c r="G24" s="155" t="n">
        <v>113</v>
      </c>
      <c r="H24" s="278" t="n">
        <v>0</v>
      </c>
      <c r="I24" s="155" t="n">
        <f aca="false">G24+H24</f>
        <v>113</v>
      </c>
      <c r="J24" s="156" t="n">
        <f aca="false">IF(L24&gt;0,L24,0)</f>
        <v>0</v>
      </c>
      <c r="K24" s="155" t="n">
        <f aca="false">I24+J24</f>
        <v>113</v>
      </c>
      <c r="L24" s="155" t="n">
        <f aca="false">F24-(I24-AK24)</f>
        <v>-42.5430299974792</v>
      </c>
      <c r="M24" s="279" t="n">
        <v>220</v>
      </c>
      <c r="N24" s="186" t="n">
        <v>0</v>
      </c>
      <c r="O24" s="155" t="n">
        <f aca="false">67.6*1.05</f>
        <v>70.98</v>
      </c>
      <c r="P24" s="186" t="n">
        <v>0</v>
      </c>
      <c r="Q24" s="373" t="n">
        <f aca="false">1646500/325851/1.9835*1.02</f>
        <v>2.59842773932755</v>
      </c>
      <c r="R24" s="151" t="n">
        <f aca="false">IF(((5.4*1.04)-T24)&gt;=4.2,4.2,(5.4*1.04)-T24)</f>
        <v>4.2</v>
      </c>
      <c r="S24" s="151" t="n">
        <f aca="false">IF(((5.4*1.04)-T24)&gt;=4.2,((5.4*1.04)-T24)-4.2,0)</f>
        <v>0.397382400000001</v>
      </c>
      <c r="T24" s="151" t="n">
        <f aca="false">(0.924*1.06)*1.04</f>
        <v>1.0186176</v>
      </c>
      <c r="U24" s="393" t="n">
        <v>0</v>
      </c>
      <c r="V24" s="155" t="n">
        <v>82.4</v>
      </c>
      <c r="W24" s="155" t="n">
        <v>62.5</v>
      </c>
      <c r="X24" s="280" t="n">
        <f aca="false">M24-N24-O24-P24-Q24-R24-S24-T24-U24+V24+W24-AT24+AR24</f>
        <v>285.705572260672</v>
      </c>
      <c r="Y24" s="280" t="n">
        <f aca="false">X24-AO24</f>
        <v>285.705572260672</v>
      </c>
      <c r="Z24" s="123" t="n">
        <f aca="false">Z23+AP24</f>
        <v>7285.90779855745</v>
      </c>
      <c r="AA24" s="155" t="n">
        <f aca="false">(-AP24)</f>
        <v>181.204</v>
      </c>
      <c r="AB24" s="244"/>
      <c r="AC24" s="244" t="n">
        <f aca="false">AC23-(AQ23/1.9835)+AS24</f>
        <v>1662.70836450707</v>
      </c>
      <c r="AD24" s="484" t="n">
        <f aca="false">AD23</f>
        <v>1495.84068565667</v>
      </c>
      <c r="AE24" s="280" t="n">
        <v>124</v>
      </c>
      <c r="AF24" s="157" t="n">
        <v>1.7</v>
      </c>
      <c r="AG24" s="158" t="n">
        <v>1.3</v>
      </c>
      <c r="AH24" s="155" t="n">
        <v>59.5</v>
      </c>
      <c r="AI24" s="123" t="n">
        <f aca="false">AI23-AH24</f>
        <v>7149.65787748927</v>
      </c>
      <c r="AJ24" s="123"/>
      <c r="AK24" s="154" t="n">
        <f aca="false">N24+O24+P24+Q24+R24+S24+T24+U24+X24+AE24+AH24-AR24</f>
        <v>548.4</v>
      </c>
      <c r="AL24" s="155" t="n">
        <f aca="false">IF(L24&lt;0,L24*-1,0)</f>
        <v>42.5430299974792</v>
      </c>
      <c r="AM24" s="155" t="n">
        <f aca="false">AK24+AL24</f>
        <v>590.943029997479</v>
      </c>
      <c r="AN24" s="303"/>
      <c r="AO24" s="241"/>
      <c r="AP24" s="633" t="n">
        <f aca="false">I24-Q24-R24-X24-AF24</f>
        <v>-181.204</v>
      </c>
      <c r="AQ24" s="601" t="n">
        <f aca="false">41.078*(Z24*1.9835+AC24*1.9835)/E24</f>
        <v>4.48715154033734</v>
      </c>
      <c r="AR24" s="186" t="n">
        <v>0</v>
      </c>
      <c r="AS24" s="373" t="n">
        <f aca="false">AS23</f>
        <v>7.45</v>
      </c>
      <c r="AV24" s="249" t="n">
        <v>0</v>
      </c>
      <c r="AW24" s="241" t="n">
        <v>84</v>
      </c>
      <c r="AX24" s="241" t="n">
        <v>50</v>
      </c>
      <c r="AY24" s="283"/>
      <c r="AZ24" s="282" t="n">
        <f aca="false">SUM(N24,P24:U24)</f>
        <v>8.21442773932755</v>
      </c>
      <c r="BA24" s="58" t="n">
        <v>10.6</v>
      </c>
      <c r="BB24" s="91" t="n">
        <v>18322</v>
      </c>
    </row>
    <row r="25" customFormat="false" ht="12.95" hidden="false" customHeight="true" outlineLevel="0" collapsed="false">
      <c r="A25" s="207" t="n">
        <v>11</v>
      </c>
      <c r="B25" s="122" t="n">
        <v>6907.89</v>
      </c>
      <c r="C25" s="123" t="n">
        <v>313625</v>
      </c>
      <c r="D25" s="241" t="n">
        <f aca="false">C25-C24</f>
        <v>-865</v>
      </c>
      <c r="E25" s="123" t="n">
        <f aca="false">C25-152000</f>
        <v>161625</v>
      </c>
      <c r="F25" s="277" t="n">
        <f aca="false">D25/$D$2</f>
        <v>-436.097806906983</v>
      </c>
      <c r="G25" s="155" t="n">
        <v>107</v>
      </c>
      <c r="H25" s="278" t="n">
        <v>0</v>
      </c>
      <c r="I25" s="155" t="n">
        <f aca="false">G25+H25</f>
        <v>107</v>
      </c>
      <c r="J25" s="156" t="n">
        <f aca="false">IF(L25&gt;0,L25,0)</f>
        <v>0</v>
      </c>
      <c r="K25" s="155" t="n">
        <f aca="false">I25+J25</f>
        <v>107</v>
      </c>
      <c r="L25" s="155" t="n">
        <f aca="false">F25-(I25-AK25)</f>
        <v>-15.3978069069826</v>
      </c>
      <c r="M25" s="279" t="n">
        <v>225</v>
      </c>
      <c r="N25" s="186" t="n">
        <v>0</v>
      </c>
      <c r="O25" s="155" t="n">
        <f aca="false">76.1*1.05</f>
        <v>79.905</v>
      </c>
      <c r="P25" s="186" t="n">
        <v>0</v>
      </c>
      <c r="Q25" s="373" t="n">
        <f aca="false">1659000/325851/1.9835*1.02</f>
        <v>2.61815464290581</v>
      </c>
      <c r="R25" s="151" t="n">
        <f aca="false">IF(((5.4*1.04)-T25)&gt;=4.2,4.2,(5.4*1.04)-T25)</f>
        <v>4.2</v>
      </c>
      <c r="S25" s="151" t="n">
        <f aca="false">IF(((5.4*1.04)-T25)&gt;=4.2,((5.4*1.04)-T25)-4.2,0)</f>
        <v>0.397382400000001</v>
      </c>
      <c r="T25" s="151" t="n">
        <f aca="false">(0.924*1.06)*1.04</f>
        <v>1.0186176</v>
      </c>
      <c r="U25" s="393" t="n">
        <v>0</v>
      </c>
      <c r="V25" s="155" t="n">
        <v>82.5</v>
      </c>
      <c r="W25" s="155" t="n">
        <v>62.6</v>
      </c>
      <c r="X25" s="280" t="n">
        <f aca="false">M25-N25-O25-P25-Q25-R25-S25-T25-U25+V25+W25-AT25+AR25</f>
        <v>281.960845357094</v>
      </c>
      <c r="Y25" s="155" t="n">
        <f aca="false">X25-AO25</f>
        <v>281.960845357094</v>
      </c>
      <c r="Z25" s="123" t="n">
        <f aca="false">Z24+AP25</f>
        <v>7102.42879855745</v>
      </c>
      <c r="AA25" s="155" t="n">
        <f aca="false">(-AP25)</f>
        <v>183.479</v>
      </c>
      <c r="AB25" s="123"/>
      <c r="AC25" s="244" t="n">
        <f aca="false">AC24-(AQ24/1.9835)+AS25</f>
        <v>1667.89612526314</v>
      </c>
      <c r="AD25" s="484" t="n">
        <f aca="false">AD24</f>
        <v>1495.84068565667</v>
      </c>
      <c r="AE25" s="155" t="n">
        <v>122</v>
      </c>
      <c r="AF25" s="157" t="n">
        <v>1.7</v>
      </c>
      <c r="AG25" s="158" t="n">
        <v>1.3</v>
      </c>
      <c r="AH25" s="155" t="n">
        <v>35.6</v>
      </c>
      <c r="AI25" s="123" t="n">
        <f aca="false">AI24-AH25</f>
        <v>7114.05787748927</v>
      </c>
      <c r="AJ25" s="123"/>
      <c r="AK25" s="154" t="n">
        <f aca="false">N25+O25+P25+Q25+R25+S25+T25+U25+X25+AE25+AH25-AR25</f>
        <v>527.7</v>
      </c>
      <c r="AL25" s="155" t="n">
        <f aca="false">IF(L25&lt;0,L25*-1,0)</f>
        <v>15.3978069069826</v>
      </c>
      <c r="AM25" s="155" t="n">
        <f aca="false">AK25+AL25</f>
        <v>543.097806906983</v>
      </c>
      <c r="AN25" s="303"/>
      <c r="AO25" s="241"/>
      <c r="AP25" s="633" t="n">
        <f aca="false">I25-Q25-R25-X25-AF25</f>
        <v>-183.479</v>
      </c>
      <c r="AQ25" s="601" t="n">
        <f aca="false">86.286*(Z25*1.9835+AC25*1.9835)/E25</f>
        <v>9.28709070084052</v>
      </c>
      <c r="AR25" s="186" t="n">
        <v>0</v>
      </c>
      <c r="AS25" s="373" t="n">
        <f aca="false">AS24</f>
        <v>7.45</v>
      </c>
      <c r="AV25" s="249" t="n">
        <v>0</v>
      </c>
      <c r="AW25" s="241" t="n">
        <v>84</v>
      </c>
      <c r="AX25" s="241" t="n">
        <v>50</v>
      </c>
      <c r="AY25" s="283"/>
      <c r="AZ25" s="282" t="n">
        <f aca="false">SUM(N25,P25:U25)</f>
        <v>8.23415464290581</v>
      </c>
      <c r="BA25" s="58" t="n">
        <v>10.5</v>
      </c>
      <c r="BB25" s="91" t="n">
        <v>18293</v>
      </c>
    </row>
    <row r="26" customFormat="false" ht="12.95" hidden="false" customHeight="true" outlineLevel="0" collapsed="false">
      <c r="A26" s="207" t="n">
        <v>12</v>
      </c>
      <c r="B26" s="122" t="n">
        <v>6907.65</v>
      </c>
      <c r="C26" s="123" t="n">
        <v>312685</v>
      </c>
      <c r="D26" s="241" t="n">
        <f aca="false">C26-C25</f>
        <v>-940</v>
      </c>
      <c r="E26" s="123" t="n">
        <f aca="false">C26-152000</f>
        <v>160685</v>
      </c>
      <c r="F26" s="277" t="n">
        <f aca="false">D26/$D$2</f>
        <v>-473.909755482733</v>
      </c>
      <c r="G26" s="155" t="n">
        <v>106</v>
      </c>
      <c r="H26" s="278" t="n">
        <v>0</v>
      </c>
      <c r="I26" s="155" t="n">
        <f aca="false">G26+H26</f>
        <v>106</v>
      </c>
      <c r="J26" s="156" t="n">
        <f aca="false">IF(L26&gt;0,L26,0)</f>
        <v>0</v>
      </c>
      <c r="K26" s="155" t="n">
        <f aca="false">I26+J26</f>
        <v>106</v>
      </c>
      <c r="L26" s="155" t="n">
        <f aca="false">F26-(I26-AK26)</f>
        <v>-58.9097554827325</v>
      </c>
      <c r="M26" s="279" t="n">
        <v>209</v>
      </c>
      <c r="N26" s="186" t="n">
        <v>0</v>
      </c>
      <c r="O26" s="155" t="n">
        <f aca="false">69.1*1.05</f>
        <v>72.555</v>
      </c>
      <c r="P26" s="186" t="n">
        <v>0</v>
      </c>
      <c r="Q26" s="373" t="n">
        <f aca="false">1622600/325851/1.9835*1.02</f>
        <v>2.56070989968593</v>
      </c>
      <c r="R26" s="151" t="n">
        <f aca="false">IF(((5.3*1.04)-T26)&gt;=4.2,4.2,(5.3*1.04)-T26)</f>
        <v>4.2</v>
      </c>
      <c r="S26" s="151" t="n">
        <f aca="false">IF(((5.3*1.04)-T26)&gt;=4.2,((5.3*1.04)-T26)-4.2,0)</f>
        <v>0.2933824</v>
      </c>
      <c r="T26" s="151" t="n">
        <f aca="false">(0.924*1.06)*1.04</f>
        <v>1.0186176</v>
      </c>
      <c r="U26" s="393" t="n">
        <v>0</v>
      </c>
      <c r="V26" s="155" t="n">
        <v>89.8</v>
      </c>
      <c r="W26" s="155" t="n">
        <v>63.2</v>
      </c>
      <c r="X26" s="280" t="n">
        <f aca="false">M26-N26-O26-P26-Q26-R26-S26-T26-U26+V26+W26-AT26+AR26</f>
        <v>281.372290100314</v>
      </c>
      <c r="Y26" s="155" t="n">
        <f aca="false">X26-AO26</f>
        <v>281.372290100314</v>
      </c>
      <c r="Z26" s="123" t="n">
        <f aca="false">Z25+AP26</f>
        <v>6918.59579855745</v>
      </c>
      <c r="AA26" s="155" t="n">
        <f aca="false">(-AP26)</f>
        <v>183.833</v>
      </c>
      <c r="AB26" s="123"/>
      <c r="AC26" s="244" t="n">
        <f aca="false">AC25-(AQ25/1.9835)+AS26</f>
        <v>1670.66395198316</v>
      </c>
      <c r="AD26" s="484" t="n">
        <f aca="false">AD25</f>
        <v>1495.84068565667</v>
      </c>
      <c r="AE26" s="155" t="n">
        <v>124</v>
      </c>
      <c r="AF26" s="157" t="n">
        <v>1.7</v>
      </c>
      <c r="AG26" s="158" t="n">
        <v>1.3</v>
      </c>
      <c r="AH26" s="155" t="n">
        <v>35</v>
      </c>
      <c r="AI26" s="123" t="n">
        <f aca="false">AI25-AH26</f>
        <v>7079.05787748927</v>
      </c>
      <c r="AJ26" s="123"/>
      <c r="AK26" s="154" t="n">
        <f aca="false">N26+O26+P26+Q26+R26+S26+T26+U26+X26+AE26+AH26-AR26</f>
        <v>521</v>
      </c>
      <c r="AL26" s="155" t="n">
        <f aca="false">IF(L26&lt;0,L26*-1,0)</f>
        <v>58.9097554827325</v>
      </c>
      <c r="AM26" s="155" t="n">
        <f aca="false">AK26+AL26</f>
        <v>579.909755482733</v>
      </c>
      <c r="AN26" s="303"/>
      <c r="AO26" s="241"/>
      <c r="AP26" s="633" t="n">
        <f aca="false">I26-Q26-R26-X26-AF26</f>
        <v>-183.833</v>
      </c>
      <c r="AQ26" s="601" t="n">
        <f aca="false">24.325*(Z26*1.9835+AC26*1.9835)/E26</f>
        <v>2.57908379809674</v>
      </c>
      <c r="AR26" s="186" t="n">
        <v>0</v>
      </c>
      <c r="AS26" s="373" t="n">
        <f aca="false">AS25</f>
        <v>7.45</v>
      </c>
      <c r="AV26" s="249" t="n">
        <v>0.05</v>
      </c>
      <c r="AW26" s="241" t="n">
        <v>77</v>
      </c>
      <c r="AX26" s="241" t="n">
        <v>51</v>
      </c>
      <c r="AY26" s="283"/>
      <c r="AZ26" s="282" t="n">
        <f aca="false">SUM(N26,P26:U26)</f>
        <v>8.07270989968593</v>
      </c>
      <c r="BA26" s="58" t="n">
        <v>10.5</v>
      </c>
      <c r="BB26" s="91" t="n">
        <v>18258</v>
      </c>
    </row>
    <row r="27" customFormat="false" ht="12.95" hidden="false" customHeight="true" outlineLevel="0" collapsed="false">
      <c r="A27" s="207" t="n">
        <v>13</v>
      </c>
      <c r="B27" s="122" t="n">
        <v>6907.43</v>
      </c>
      <c r="C27" s="123" t="n">
        <v>311823</v>
      </c>
      <c r="D27" s="241" t="n">
        <f aca="false">C27-C26</f>
        <v>-862</v>
      </c>
      <c r="E27" s="123" t="n">
        <f aca="false">C27-152000</f>
        <v>159823</v>
      </c>
      <c r="F27" s="277" t="n">
        <f aca="false">D27/$D$2</f>
        <v>-434.585328963953</v>
      </c>
      <c r="G27" s="155" t="n">
        <v>118</v>
      </c>
      <c r="H27" s="278" t="n">
        <v>0</v>
      </c>
      <c r="I27" s="155" t="n">
        <f aca="false">G27+H27</f>
        <v>118</v>
      </c>
      <c r="J27" s="156" t="n">
        <f aca="false">IF(L27&gt;0,L27,0)</f>
        <v>20.1146710360475</v>
      </c>
      <c r="K27" s="155" t="n">
        <f aca="false">I27+J27</f>
        <v>138.114671036047</v>
      </c>
      <c r="L27" s="155" t="n">
        <f aca="false">F27-(I27-AK27)</f>
        <v>20.1146710360475</v>
      </c>
      <c r="M27" s="279" t="n">
        <v>217</v>
      </c>
      <c r="N27" s="186" t="n">
        <v>0</v>
      </c>
      <c r="O27" s="155" t="n">
        <f aca="false">73.6*1.05</f>
        <v>77.28</v>
      </c>
      <c r="P27" s="186" t="n">
        <v>0</v>
      </c>
      <c r="Q27" s="373" t="n">
        <f aca="false">1244300/325851/1.9835*1.02</f>
        <v>1.96369488979367</v>
      </c>
      <c r="R27" s="151" t="n">
        <f aca="false">IF(((4.7*1.04)-T27)&gt;=4.2,4.2,(4.7*1.04)-T27)</f>
        <v>3.8693824</v>
      </c>
      <c r="S27" s="151" t="n">
        <f aca="false">IF(((4.7*1.04)-T27)&gt;=4.2,((4.7*1.04)-T27)-4.2,0)</f>
        <v>0</v>
      </c>
      <c r="T27" s="151" t="n">
        <f aca="false">(0.924*1.06)*1.04</f>
        <v>1.0186176</v>
      </c>
      <c r="U27" s="393" t="n">
        <v>0</v>
      </c>
      <c r="V27" s="155" t="n">
        <v>121</v>
      </c>
      <c r="W27" s="155" t="n">
        <v>63.2</v>
      </c>
      <c r="X27" s="280" t="n">
        <f aca="false">M27-N27-O27-P27-Q27-R27-S27-T27-U27+V27+W27-AT27+AR27</f>
        <v>317.068305110206</v>
      </c>
      <c r="Y27" s="155" t="n">
        <f aca="false">X27-AO27</f>
        <v>317.068305110206</v>
      </c>
      <c r="Z27" s="123" t="n">
        <f aca="false">Z26+AP27</f>
        <v>6711.99441615745</v>
      </c>
      <c r="AA27" s="155" t="n">
        <f aca="false">(-AP27)</f>
        <v>206.6013824</v>
      </c>
      <c r="AB27" s="123"/>
      <c r="AC27" s="244" t="n">
        <f aca="false">AC26-(AQ26/1.9835)+AS27</f>
        <v>1676.81368286387</v>
      </c>
      <c r="AD27" s="484" t="n">
        <f aca="false">AD26</f>
        <v>1495.84068565667</v>
      </c>
      <c r="AE27" s="155" t="n">
        <v>134</v>
      </c>
      <c r="AF27" s="157" t="n">
        <v>1.7</v>
      </c>
      <c r="AG27" s="158" t="n">
        <v>1.3</v>
      </c>
      <c r="AH27" s="155" t="n">
        <v>37.5</v>
      </c>
      <c r="AI27" s="123" t="n">
        <f aca="false">AI26-AH27</f>
        <v>7041.55787748927</v>
      </c>
      <c r="AJ27" s="123"/>
      <c r="AK27" s="154" t="n">
        <f aca="false">N27+O27+P27+Q27+R27+S27+T27+U27+X27+AE27+AH27-AR27</f>
        <v>572.7</v>
      </c>
      <c r="AL27" s="155" t="n">
        <f aca="false">IF(L27&lt;0,L27*-1,0)</f>
        <v>0</v>
      </c>
      <c r="AM27" s="155" t="n">
        <f aca="false">AK27+AL27</f>
        <v>572.7</v>
      </c>
      <c r="AN27" s="303"/>
      <c r="AO27" s="241"/>
      <c r="AP27" s="633" t="n">
        <f aca="false">I27-Q27-R27-X27-AF27</f>
        <v>-206.6013824</v>
      </c>
      <c r="AQ27" s="601" t="n">
        <f aca="false">31.866*(Z27*1.9835+AC27*1.9835)/E27</f>
        <v>3.31757490940134</v>
      </c>
      <c r="AR27" s="186" t="n">
        <v>0</v>
      </c>
      <c r="AS27" s="373" t="n">
        <f aca="false">AS26</f>
        <v>7.45</v>
      </c>
      <c r="AV27" s="249" t="n">
        <v>0.06</v>
      </c>
      <c r="AW27" s="241" t="n">
        <v>78</v>
      </c>
      <c r="AX27" s="241" t="n">
        <v>51</v>
      </c>
      <c r="AY27" s="283"/>
      <c r="AZ27" s="282" t="n">
        <f aca="false">SUM(N27,P27:U27)</f>
        <v>6.85169488979367</v>
      </c>
      <c r="BA27" s="58" t="n">
        <v>10.6</v>
      </c>
      <c r="BB27" s="91" t="n">
        <v>18245</v>
      </c>
    </row>
    <row r="28" customFormat="false" ht="12.95" hidden="false" customHeight="true" outlineLevel="0" collapsed="false">
      <c r="A28" s="207" t="n">
        <v>14</v>
      </c>
      <c r="B28" s="122" t="n">
        <v>6907.2</v>
      </c>
      <c r="C28" s="123" t="n">
        <v>310921</v>
      </c>
      <c r="D28" s="241" t="n">
        <f aca="false">C28-C27</f>
        <v>-902</v>
      </c>
      <c r="E28" s="123" t="n">
        <f aca="false">C28-152000</f>
        <v>158921</v>
      </c>
      <c r="F28" s="277" t="n">
        <f aca="false">D28/$D$2</f>
        <v>-454.751701537686</v>
      </c>
      <c r="G28" s="155" t="n">
        <v>114</v>
      </c>
      <c r="H28" s="278" t="n">
        <v>0</v>
      </c>
      <c r="I28" s="155" t="n">
        <f aca="false">G28+H28</f>
        <v>114</v>
      </c>
      <c r="J28" s="156" t="n">
        <f aca="false">IF(L28&gt;0,L28,0)</f>
        <v>17.5482984623141</v>
      </c>
      <c r="K28" s="155" t="n">
        <f aca="false">I28+J28</f>
        <v>131.548298462314</v>
      </c>
      <c r="L28" s="155" t="n">
        <f aca="false">F28-(I28-AK28)</f>
        <v>17.5482984623141</v>
      </c>
      <c r="M28" s="279" t="n">
        <v>225</v>
      </c>
      <c r="N28" s="186" t="n">
        <v>0</v>
      </c>
      <c r="O28" s="155" t="n">
        <f aca="false">96.9*1.05</f>
        <v>101.745</v>
      </c>
      <c r="P28" s="186" t="n">
        <v>0</v>
      </c>
      <c r="Q28" s="373" t="n">
        <f aca="false">1273200/325851/1.9835*1.02</f>
        <v>2.00930349086659</v>
      </c>
      <c r="R28" s="151" t="n">
        <f aca="false">IF(((4.4*1.04)-T28)&gt;=4.2,4.2,(4.4*1.04)-T28)</f>
        <v>3.5573824</v>
      </c>
      <c r="S28" s="151" t="n">
        <f aca="false">IF(((4.4*1.04)-T28)&gt;=4.2,((4.4*1.04)-T28)-4.2,0)</f>
        <v>0</v>
      </c>
      <c r="T28" s="151" t="n">
        <f aca="false">(0.924*1.06)*1.04</f>
        <v>1.0186176</v>
      </c>
      <c r="U28" s="393" t="n">
        <v>0</v>
      </c>
      <c r="V28" s="155" t="n">
        <v>140</v>
      </c>
      <c r="W28" s="155" t="n">
        <v>59.8</v>
      </c>
      <c r="X28" s="280" t="n">
        <f aca="false">M28-N28-O28-P28-Q28-R28-S28-T28-U28+V28+W28-AT28+AR28</f>
        <v>316.469696509133</v>
      </c>
      <c r="Y28" s="155" t="n">
        <f aca="false">X28-AO28</f>
        <v>316.469696509133</v>
      </c>
      <c r="Z28" s="123" t="n">
        <f aca="false">Z27+AP28</f>
        <v>6502.25803375745</v>
      </c>
      <c r="AA28" s="155" t="n">
        <f aca="false">(-AP28)</f>
        <v>209.7363824</v>
      </c>
      <c r="AB28" s="123"/>
      <c r="AC28" s="244" t="n">
        <f aca="false">AC27-(AQ27/1.9835)+AS28</f>
        <v>1682.59109657227</v>
      </c>
      <c r="AD28" s="484" t="n">
        <f aca="false">AD27</f>
        <v>1495.84068565667</v>
      </c>
      <c r="AE28" s="155" t="n">
        <v>122</v>
      </c>
      <c r="AF28" s="157" t="n">
        <v>1.7</v>
      </c>
      <c r="AG28" s="158" t="n">
        <v>1.3</v>
      </c>
      <c r="AH28" s="155" t="n">
        <v>39.5</v>
      </c>
      <c r="AI28" s="123" t="n">
        <f aca="false">AI27-AH28</f>
        <v>7002.05787748927</v>
      </c>
      <c r="AJ28" s="123"/>
      <c r="AK28" s="154" t="n">
        <f aca="false">N28+O28+P28+Q28+R28+S28+T28+U28+X28+AE28+AH28-AR28</f>
        <v>586.3</v>
      </c>
      <c r="AL28" s="155" t="n">
        <f aca="false">IF(L28&lt;0,L28*-1,0)</f>
        <v>0</v>
      </c>
      <c r="AM28" s="155" t="n">
        <f aca="false">AK28+AL28</f>
        <v>586.3</v>
      </c>
      <c r="AN28" s="303"/>
      <c r="AO28" s="241"/>
      <c r="AP28" s="633" t="n">
        <f aca="false">I28-Q28-R28-X28-AF28</f>
        <v>-209.7363824</v>
      </c>
      <c r="AQ28" s="601" t="n">
        <f aca="false">33.915*(Z28*1.9835+AC28*1.9835)/E28</f>
        <v>3.46460250941698</v>
      </c>
      <c r="AR28" s="186" t="n">
        <v>0</v>
      </c>
      <c r="AS28" s="373" t="n">
        <f aca="false">AS27</f>
        <v>7.45</v>
      </c>
      <c r="AV28" s="249" t="n">
        <v>0.04</v>
      </c>
      <c r="AW28" s="241" t="n">
        <v>77</v>
      </c>
      <c r="AX28" s="241" t="n">
        <v>50</v>
      </c>
      <c r="AY28" s="283"/>
      <c r="AZ28" s="282" t="n">
        <f aca="false">SUM(N28,P28:U28)</f>
        <v>6.58530349086659</v>
      </c>
      <c r="BA28" s="58" t="n">
        <v>10.6</v>
      </c>
      <c r="BB28" s="91" t="n">
        <v>18225</v>
      </c>
    </row>
    <row r="29" customFormat="false" ht="12.95" hidden="false" customHeight="true" outlineLevel="0" collapsed="false">
      <c r="A29" s="207" t="n">
        <v>15</v>
      </c>
      <c r="B29" s="122" t="n">
        <v>6906.95</v>
      </c>
      <c r="C29" s="123" t="n">
        <v>309944</v>
      </c>
      <c r="D29" s="241" t="n">
        <f aca="false">C29-C28</f>
        <v>-977</v>
      </c>
      <c r="E29" s="123" t="n">
        <f aca="false">C29-152000</f>
        <v>157944</v>
      </c>
      <c r="F29" s="277" t="n">
        <f aca="false">D29/$D$2</f>
        <v>-492.563650113436</v>
      </c>
      <c r="G29" s="155" t="n">
        <v>120</v>
      </c>
      <c r="H29" s="278" t="n">
        <v>0</v>
      </c>
      <c r="I29" s="155" t="n">
        <f aca="false">G29+H29</f>
        <v>120</v>
      </c>
      <c r="J29" s="156" t="n">
        <f aca="false">IF(L29&gt;0,L29,0)</f>
        <v>0</v>
      </c>
      <c r="K29" s="155" t="n">
        <f aca="false">I29+J29</f>
        <v>120</v>
      </c>
      <c r="L29" s="155" t="n">
        <f aca="false">F29-(I29-AK29)</f>
        <v>-53.4636501134358</v>
      </c>
      <c r="M29" s="279" t="n">
        <v>198</v>
      </c>
      <c r="N29" s="186" t="n">
        <v>8.62</v>
      </c>
      <c r="O29" s="155" t="n">
        <f aca="false">65.3*1.05</f>
        <v>68.565</v>
      </c>
      <c r="P29" s="186" t="n">
        <v>0</v>
      </c>
      <c r="Q29" s="373" t="n">
        <f aca="false">1410700/325851/1.9835*1.02</f>
        <v>2.22629943022738</v>
      </c>
      <c r="R29" s="151" t="n">
        <f aca="false">IF(((4.3*1.04)-T29)&gt;=4.2,4.2,(4.3*1.04)-T29)</f>
        <v>3.4533824</v>
      </c>
      <c r="S29" s="151" t="n">
        <f aca="false">IF(((4.3*1.04)-T29)&gt;=4.2,((4.3*1.04)-T29)-4.2,0)</f>
        <v>0</v>
      </c>
      <c r="T29" s="151" t="n">
        <f aca="false">(0.924*1.06)*1.04</f>
        <v>1.0186176</v>
      </c>
      <c r="U29" s="393" t="n">
        <v>0</v>
      </c>
      <c r="V29" s="155" t="n">
        <v>140</v>
      </c>
      <c r="W29" s="155" t="n">
        <v>57.6</v>
      </c>
      <c r="X29" s="280" t="n">
        <f aca="false">M29-N29-O29-P29-Q29-R29-S29-T29-U29+V29+W29-AT29+AR29</f>
        <v>311.716700569773</v>
      </c>
      <c r="Y29" s="155" t="n">
        <f aca="false">X29-AO29</f>
        <v>311.716700569773</v>
      </c>
      <c r="Z29" s="123" t="n">
        <f aca="false">Z28+AP29</f>
        <v>6303.16165135745</v>
      </c>
      <c r="AA29" s="155" t="n">
        <f aca="false">(-AP29)</f>
        <v>199.0963824</v>
      </c>
      <c r="AB29" s="123"/>
      <c r="AC29" s="244" t="n">
        <f aca="false">AC28-(AQ28/1.9835)+AS29</f>
        <v>1688.29438494665</v>
      </c>
      <c r="AD29" s="484" t="n">
        <f aca="false">AD28</f>
        <v>1495.84068565667</v>
      </c>
      <c r="AE29" s="155" t="n">
        <v>124</v>
      </c>
      <c r="AF29" s="157" t="n">
        <v>1.7</v>
      </c>
      <c r="AG29" s="158" t="n">
        <v>1.3</v>
      </c>
      <c r="AH29" s="155" t="n">
        <v>39.5</v>
      </c>
      <c r="AI29" s="123" t="n">
        <f aca="false">AI28-AH29</f>
        <v>6962.55787748927</v>
      </c>
      <c r="AJ29" s="123"/>
      <c r="AK29" s="154" t="n">
        <f aca="false">N29+O29+P29+Q29+R29+S29+T29+U29+X29+AE29+AH29-AR29</f>
        <v>559.1</v>
      </c>
      <c r="AL29" s="155" t="n">
        <f aca="false">IF(L29&lt;0,L29*-1,0)</f>
        <v>53.4636501134358</v>
      </c>
      <c r="AM29" s="155" t="n">
        <f aca="false">AK29+AL29</f>
        <v>612.563650113436</v>
      </c>
      <c r="AN29" s="303"/>
      <c r="AO29" s="241"/>
      <c r="AP29" s="633" t="n">
        <f aca="false">I29-Q29-R29-X29-AF29</f>
        <v>-199.0963824</v>
      </c>
      <c r="AQ29" s="601" t="n">
        <f aca="false">44.613*(Z29*1.9835+AC29*1.9835)/E29</f>
        <v>4.47730226935391</v>
      </c>
      <c r="AR29" s="186" t="n">
        <v>0</v>
      </c>
      <c r="AS29" s="373" t="n">
        <f aca="false">AS28</f>
        <v>7.45</v>
      </c>
      <c r="AV29" s="249" t="n">
        <v>0</v>
      </c>
      <c r="AW29" s="241" t="n">
        <v>74</v>
      </c>
      <c r="AX29" s="241" t="n">
        <v>42</v>
      </c>
      <c r="AY29" s="283"/>
      <c r="AZ29" s="282" t="n">
        <f aca="false">SUM(N29,P29:U29)</f>
        <v>15.3182994302274</v>
      </c>
      <c r="BA29" s="58" t="n">
        <v>10.6</v>
      </c>
      <c r="BB29" s="91" t="n">
        <v>18205</v>
      </c>
    </row>
    <row r="30" customFormat="false" ht="12.95" hidden="false" customHeight="true" outlineLevel="0" collapsed="false">
      <c r="A30" s="207" t="n">
        <v>16</v>
      </c>
      <c r="B30" s="122" t="n">
        <v>6906.7</v>
      </c>
      <c r="C30" s="123" t="n">
        <v>308972</v>
      </c>
      <c r="D30" s="241" t="n">
        <f aca="false">C30-C29</f>
        <v>-972</v>
      </c>
      <c r="E30" s="123" t="n">
        <f aca="false">C30-152000</f>
        <v>156972</v>
      </c>
      <c r="F30" s="277" t="n">
        <f aca="false">D30/$D$2</f>
        <v>-490.042853541719</v>
      </c>
      <c r="G30" s="155" t="n">
        <v>108</v>
      </c>
      <c r="H30" s="278" t="n">
        <v>0</v>
      </c>
      <c r="I30" s="155" t="n">
        <f aca="false">G30+H30</f>
        <v>108</v>
      </c>
      <c r="J30" s="156" t="n">
        <f aca="false">IF(L30&gt;0,L30,0)</f>
        <v>0</v>
      </c>
      <c r="K30" s="155" t="n">
        <f aca="false">I30+J30</f>
        <v>108</v>
      </c>
      <c r="L30" s="155" t="n">
        <f aca="false">F30-(I30-AK30)</f>
        <v>-5.04285354171918</v>
      </c>
      <c r="M30" s="279" t="n">
        <v>230</v>
      </c>
      <c r="N30" s="186" t="n">
        <v>0.72</v>
      </c>
      <c r="O30" s="155" t="n">
        <f aca="false">106*1.05</f>
        <v>111.3</v>
      </c>
      <c r="P30" s="186" t="n">
        <v>0</v>
      </c>
      <c r="Q30" s="373" t="n">
        <f aca="false">1454500/325851/1.9835*1.02</f>
        <v>2.29542250036558</v>
      </c>
      <c r="R30" s="151" t="n">
        <f aca="false">IF(((4.4*1.04)-T30)&gt;=4.2,4.2,(4.4*1.04)-T30)</f>
        <v>3.64292864</v>
      </c>
      <c r="S30" s="151" t="n">
        <f aca="false">IF(((4.4*1.04)-T30)&gt;=4.2,((4.4*1.04)-T30)-4.2,0)</f>
        <v>0</v>
      </c>
      <c r="T30" s="151" t="n">
        <f aca="false">(0.8464*1.06)*1.04</f>
        <v>0.93307136</v>
      </c>
      <c r="U30" s="393" t="n">
        <v>0</v>
      </c>
      <c r="V30" s="155" t="n">
        <v>135</v>
      </c>
      <c r="W30" s="155" t="n">
        <v>59.6</v>
      </c>
      <c r="X30" s="280" t="n">
        <f aca="false">M30-N30-O30-P30-Q30-R30-S30-T30-U30+V30+W30-AT30+AR30</f>
        <v>305.708577499634</v>
      </c>
      <c r="Y30" s="155" t="n">
        <f aca="false">X30-AO30</f>
        <v>305.708577499634</v>
      </c>
      <c r="Z30" s="123" t="n">
        <f aca="false">Z29+AP30</f>
        <v>6097.81472271745</v>
      </c>
      <c r="AA30" s="155" t="n">
        <f aca="false">(-AP30)</f>
        <v>205.34692864</v>
      </c>
      <c r="AB30" s="123"/>
      <c r="AC30" s="244" t="n">
        <f aca="false">AC29-(AQ29/1.9835)+AS30</f>
        <v>1693.48711130442</v>
      </c>
      <c r="AD30" s="484" t="n">
        <f aca="false">AD29</f>
        <v>1495.84068565667</v>
      </c>
      <c r="AE30" s="155" t="n">
        <v>129</v>
      </c>
      <c r="AF30" s="157" t="n">
        <v>1.7</v>
      </c>
      <c r="AG30" s="158" t="n">
        <v>1.3</v>
      </c>
      <c r="AH30" s="155" t="n">
        <v>39.4</v>
      </c>
      <c r="AI30" s="123" t="n">
        <f aca="false">AI29-AH30</f>
        <v>6923.15787748927</v>
      </c>
      <c r="AJ30" s="123"/>
      <c r="AK30" s="154" t="n">
        <f aca="false">N30+O30+P30+Q30+R30+S30+T30+U30+X30+AE30+AH30-AR30</f>
        <v>593</v>
      </c>
      <c r="AL30" s="155" t="n">
        <f aca="false">IF(L30&lt;0,L30*-1,0)</f>
        <v>5.04285354171918</v>
      </c>
      <c r="AM30" s="155" t="n">
        <f aca="false">AK30+AL30</f>
        <v>598.042853541719</v>
      </c>
      <c r="AN30" s="303"/>
      <c r="AO30" s="241"/>
      <c r="AP30" s="633" t="n">
        <f aca="false">I30-Q30-R30-X30-AF30</f>
        <v>-205.34692864</v>
      </c>
      <c r="AQ30" s="601" t="n">
        <f aca="false">43.02*(Z30*1.9835+AC30*1.9835)/E30</f>
        <v>4.23536114732818</v>
      </c>
      <c r="AR30" s="186" t="n">
        <v>0</v>
      </c>
      <c r="AS30" s="373" t="n">
        <f aca="false">AS29</f>
        <v>7.45</v>
      </c>
      <c r="AV30" s="249" t="n">
        <v>0</v>
      </c>
      <c r="AW30" s="241" t="n">
        <v>78</v>
      </c>
      <c r="AX30" s="241" t="n">
        <v>45</v>
      </c>
      <c r="AY30" s="283"/>
      <c r="AZ30" s="282" t="n">
        <f aca="false">SUM(N30,P30:U30)</f>
        <v>7.59142250036558</v>
      </c>
      <c r="BA30" s="58" t="n">
        <v>10.6</v>
      </c>
      <c r="BB30" s="91" t="n">
        <v>18191</v>
      </c>
    </row>
    <row r="31" customFormat="false" ht="12.95" hidden="false" customHeight="true" outlineLevel="0" collapsed="false">
      <c r="A31" s="207" t="n">
        <v>17</v>
      </c>
      <c r="B31" s="122" t="n">
        <v>6906.43</v>
      </c>
      <c r="C31" s="123" t="n">
        <v>307922</v>
      </c>
      <c r="D31" s="241" t="n">
        <f aca="false">C31-C30</f>
        <v>-1050</v>
      </c>
      <c r="E31" s="123" t="n">
        <f aca="false">C31-152000</f>
        <v>155922</v>
      </c>
      <c r="F31" s="277" t="n">
        <f aca="false">D31/$D$2</f>
        <v>-529.367280060499</v>
      </c>
      <c r="G31" s="155" t="n">
        <v>97</v>
      </c>
      <c r="H31" s="278" t="n">
        <v>0</v>
      </c>
      <c r="I31" s="155" t="n">
        <f aca="false">G31+H31</f>
        <v>97</v>
      </c>
      <c r="J31" s="156" t="n">
        <f aca="false">IF(L31&gt;0,L31,0)</f>
        <v>0</v>
      </c>
      <c r="K31" s="155" t="n">
        <f aca="false">I31+J31</f>
        <v>97</v>
      </c>
      <c r="L31" s="155" t="n">
        <f aca="false">F31-(I31-AK31)</f>
        <v>-34.9672800604991</v>
      </c>
      <c r="M31" s="279" t="n">
        <v>238</v>
      </c>
      <c r="N31" s="186" t="n">
        <v>0.69</v>
      </c>
      <c r="O31" s="155" t="n">
        <f aca="false">110*1.05</f>
        <v>115.5</v>
      </c>
      <c r="P31" s="186" t="n">
        <v>0</v>
      </c>
      <c r="Q31" s="373" t="n">
        <f aca="false">1553200/325851/1.9835*1.02</f>
        <v>2.45118613101947</v>
      </c>
      <c r="R31" s="151" t="n">
        <f aca="false">IF(((5.7*1.04)-T31)&gt;=4.2,4.2,(5.7*1.04)-T31)</f>
        <v>4.2</v>
      </c>
      <c r="S31" s="151" t="n">
        <f aca="false">IF(((5.7*1.04)-T31)&gt;=4.2,((5.7*1.04)-T31)-4.2,0)</f>
        <v>0.79492864</v>
      </c>
      <c r="T31" s="151" t="n">
        <f aca="false">(0.8464*1.06)*1.04</f>
        <v>0.93307136</v>
      </c>
      <c r="U31" s="393" t="n">
        <v>0</v>
      </c>
      <c r="V31" s="155" t="n">
        <v>134</v>
      </c>
      <c r="W31" s="155" t="n">
        <v>60</v>
      </c>
      <c r="X31" s="280" t="n">
        <f aca="false">M31-N31-O31-P31-Q31-R31-S31-T31-U31+V31+W31-AT31+AR31</f>
        <v>307.430813868981</v>
      </c>
      <c r="Y31" s="155" t="n">
        <f aca="false">X31-AO31</f>
        <v>307.430813868981</v>
      </c>
      <c r="Z31" s="123" t="n">
        <f aca="false">Z30+AP31</f>
        <v>5879.03272271745</v>
      </c>
      <c r="AA31" s="155" t="n">
        <f aca="false">(-AP31)</f>
        <v>218.782</v>
      </c>
      <c r="AB31" s="123"/>
      <c r="AC31" s="244" t="n">
        <f aca="false">AC30-(AQ30/1.9835)+AS31</f>
        <v>1698.80181453239</v>
      </c>
      <c r="AD31" s="484" t="n">
        <f aca="false">AD30</f>
        <v>1495.84068565667</v>
      </c>
      <c r="AE31" s="155" t="n">
        <v>120</v>
      </c>
      <c r="AF31" s="157" t="n">
        <v>1.7</v>
      </c>
      <c r="AG31" s="158" t="n">
        <v>1.3</v>
      </c>
      <c r="AH31" s="155" t="n">
        <v>39.4</v>
      </c>
      <c r="AI31" s="123" t="n">
        <f aca="false">AI30-AH31</f>
        <v>6883.75787748927</v>
      </c>
      <c r="AJ31" s="123"/>
      <c r="AK31" s="154" t="n">
        <f aca="false">N31+O31+P31+Q31+R31+S31+T31+U31+X31+AE31+AH31-AR31</f>
        <v>591.4</v>
      </c>
      <c r="AL31" s="155" t="n">
        <f aca="false">IF(L31&lt;0,L31*-1,0)</f>
        <v>34.9672800604991</v>
      </c>
      <c r="AM31" s="155" t="n">
        <f aca="false">AK31+AL31</f>
        <v>626.367280060499</v>
      </c>
      <c r="AN31" s="303"/>
      <c r="AO31" s="241"/>
      <c r="AP31" s="633" t="n">
        <f aca="false">I31-Q31-R31-X31-AF31</f>
        <v>-218.782</v>
      </c>
      <c r="AQ31" s="601" t="n">
        <f aca="false">49.678*(Z31*1.9835+AC31*1.9835)/E31</f>
        <v>4.78888082390336</v>
      </c>
      <c r="AR31" s="186" t="n">
        <v>0</v>
      </c>
      <c r="AS31" s="373" t="n">
        <f aca="false">AS30</f>
        <v>7.45</v>
      </c>
      <c r="AV31" s="249" t="n">
        <v>0</v>
      </c>
      <c r="AW31" s="241" t="n">
        <v>78</v>
      </c>
      <c r="AX31" s="241" t="n">
        <v>46</v>
      </c>
      <c r="AY31" s="283"/>
      <c r="AZ31" s="282" t="n">
        <f aca="false">SUM(N31,P31:U31)</f>
        <v>9.06918613101947</v>
      </c>
      <c r="BA31" s="58" t="n">
        <v>10.6</v>
      </c>
      <c r="BB31" s="91" t="n">
        <v>18180</v>
      </c>
    </row>
    <row r="32" customFormat="false" ht="12.95" hidden="false" customHeight="true" outlineLevel="0" collapsed="false">
      <c r="A32" s="207" t="n">
        <v>18</v>
      </c>
      <c r="B32" s="122" t="n">
        <v>6906.18</v>
      </c>
      <c r="C32" s="123" t="n">
        <v>306951</v>
      </c>
      <c r="D32" s="241" t="n">
        <f aca="false">C32-C31</f>
        <v>-971</v>
      </c>
      <c r="E32" s="123" t="n">
        <f aca="false">C32-152000</f>
        <v>154951</v>
      </c>
      <c r="F32" s="277" t="n">
        <f aca="false">D32/$D$2</f>
        <v>-489.538694227376</v>
      </c>
      <c r="G32" s="155" t="n">
        <v>91</v>
      </c>
      <c r="H32" s="278" t="n">
        <v>0</v>
      </c>
      <c r="I32" s="155" t="n">
        <f aca="false">G32+H32</f>
        <v>91</v>
      </c>
      <c r="J32" s="156" t="n">
        <f aca="false">IF(L32&gt;0,L32,0)</f>
        <v>0</v>
      </c>
      <c r="K32" s="155" t="n">
        <f aca="false">I32+J32</f>
        <v>91</v>
      </c>
      <c r="L32" s="155" t="n">
        <f aca="false">F32-(I32-AK32)</f>
        <v>-4.2386942273759</v>
      </c>
      <c r="M32" s="279" t="n">
        <v>218</v>
      </c>
      <c r="N32" s="186" t="n">
        <v>0.69</v>
      </c>
      <c r="O32" s="155" t="n">
        <f aca="false">103*1.05</f>
        <v>108.15</v>
      </c>
      <c r="P32" s="186" t="n">
        <v>0</v>
      </c>
      <c r="Q32" s="373" t="n">
        <f aca="false">1896900/325851/1.9835*1.02</f>
        <v>2.99359707180713</v>
      </c>
      <c r="R32" s="151" t="n">
        <f aca="false">IF(((5.6*1.04)-T32)&gt;=4.2,4.2,(5.6*1.04)-T32)</f>
        <v>4.2</v>
      </c>
      <c r="S32" s="151" t="n">
        <f aca="false">IF(((5.6*1.04)-T32)&gt;=4.2,((5.6*1.04)-T32)-4.2,0)</f>
        <v>0.690928639999999</v>
      </c>
      <c r="T32" s="151" t="n">
        <f aca="false">(0.8464*1.06)*1.04</f>
        <v>0.93307136</v>
      </c>
      <c r="U32" s="393" t="n">
        <v>0</v>
      </c>
      <c r="V32" s="155" t="n">
        <v>133</v>
      </c>
      <c r="W32" s="155" t="n">
        <v>59.9</v>
      </c>
      <c r="X32" s="280" t="n">
        <f aca="false">M32-N32-O32-P32-Q32-R32-S32-T32-U32+V32+W32-AT32+AR32</f>
        <v>293.242402928193</v>
      </c>
      <c r="Y32" s="155" t="n">
        <f aca="false">X32-AO32</f>
        <v>293.242402928193</v>
      </c>
      <c r="Z32" s="123" t="n">
        <f aca="false">Z31+AP32</f>
        <v>5667.89672271745</v>
      </c>
      <c r="AA32" s="155" t="n">
        <f aca="false">(-AP32)</f>
        <v>211.136</v>
      </c>
      <c r="AB32" s="123"/>
      <c r="AC32" s="244" t="n">
        <f aca="false">AC31-(AQ31/1.9835)+AS32</f>
        <v>1703.83745565974</v>
      </c>
      <c r="AD32" s="484" t="n">
        <f aca="false">AD31</f>
        <v>1495.84068565667</v>
      </c>
      <c r="AE32" s="155" t="n">
        <v>126</v>
      </c>
      <c r="AF32" s="157" t="n">
        <v>1.7</v>
      </c>
      <c r="AG32" s="158" t="n">
        <v>1.3</v>
      </c>
      <c r="AH32" s="155" t="n">
        <v>39.4</v>
      </c>
      <c r="AI32" s="123" t="n">
        <f aca="false">AI31-AH32</f>
        <v>6844.35787748927</v>
      </c>
      <c r="AJ32" s="123"/>
      <c r="AK32" s="154" t="n">
        <f aca="false">N32+O32+P32+Q32+R32+S32+T32+U32+X32+AE32+AH32-AR32</f>
        <v>576.3</v>
      </c>
      <c r="AL32" s="155" t="n">
        <f aca="false">IF(L32&lt;0,L32*-1,0)</f>
        <v>4.2386942273759</v>
      </c>
      <c r="AM32" s="155" t="n">
        <f aca="false">AK32+AL32</f>
        <v>580.538694227376</v>
      </c>
      <c r="AN32" s="303"/>
      <c r="AO32" s="241"/>
      <c r="AP32" s="633" t="n">
        <f aca="false">I32-Q32-R32-X32-AF32</f>
        <v>-211.136</v>
      </c>
      <c r="AQ32" s="601" t="n">
        <f aca="false">42.678*(Z32*1.9835+AC32*1.9835)/E32</f>
        <v>4.02727741772363</v>
      </c>
      <c r="AR32" s="186" t="n">
        <v>0</v>
      </c>
      <c r="AS32" s="373" t="n">
        <f aca="false">AS31</f>
        <v>7.45</v>
      </c>
      <c r="AV32" s="249" t="n">
        <v>0</v>
      </c>
      <c r="AW32" s="241" t="n">
        <v>81</v>
      </c>
      <c r="AX32" s="241" t="n">
        <v>43</v>
      </c>
      <c r="AY32" s="283"/>
      <c r="AZ32" s="282" t="n">
        <f aca="false">SUM(N32,P32:U32)</f>
        <v>9.50759707180713</v>
      </c>
      <c r="BA32" s="58" t="n">
        <v>10.6</v>
      </c>
      <c r="BB32" s="91" t="n">
        <v>18134</v>
      </c>
    </row>
    <row r="33" customFormat="false" ht="12.95" hidden="false" customHeight="true" outlineLevel="0" collapsed="false">
      <c r="A33" s="207" t="n">
        <v>19</v>
      </c>
      <c r="B33" s="122" t="n">
        <v>6905.94</v>
      </c>
      <c r="C33" s="123" t="n">
        <v>306020</v>
      </c>
      <c r="D33" s="241" t="n">
        <f aca="false">C33-C32</f>
        <v>-931</v>
      </c>
      <c r="E33" s="123" t="n">
        <f aca="false">C33-152000</f>
        <v>154020</v>
      </c>
      <c r="F33" s="277" t="n">
        <f aca="false">D33/$D$2</f>
        <v>-469.372321653643</v>
      </c>
      <c r="G33" s="155" t="n">
        <v>87</v>
      </c>
      <c r="H33" s="278" t="n">
        <v>0</v>
      </c>
      <c r="I33" s="155" t="n">
        <f aca="false">G33+H33</f>
        <v>87</v>
      </c>
      <c r="J33" s="156" t="n">
        <f aca="false">IF(L33&gt;0,L33,0)</f>
        <v>0</v>
      </c>
      <c r="K33" s="155" t="n">
        <f aca="false">I33+J33</f>
        <v>87</v>
      </c>
      <c r="L33" s="155" t="n">
        <f aca="false">F33-(I33-AK33)</f>
        <v>-24.1723216536425</v>
      </c>
      <c r="M33" s="279" t="n">
        <v>190</v>
      </c>
      <c r="N33" s="186" t="n">
        <v>0.381</v>
      </c>
      <c r="O33" s="155" t="n">
        <f aca="false">65.3*1.05</f>
        <v>68.565</v>
      </c>
      <c r="P33" s="186" t="n">
        <v>0</v>
      </c>
      <c r="Q33" s="373" t="n">
        <f aca="false">1440300/325851/1.9835*1.02</f>
        <v>2.27301273790068</v>
      </c>
      <c r="R33" s="151" t="n">
        <f aca="false">IF(((5.8*1.04)-T33)&gt;=4.2,4.2,(5.8*1.04)-T33)</f>
        <v>4.2</v>
      </c>
      <c r="S33" s="151" t="n">
        <f aca="false">IF(((5.8*1.04)-T33)&gt;=4.2,((5.8*1.04)-T33)-4.2,0)</f>
        <v>0.898928639999999</v>
      </c>
      <c r="T33" s="151" t="n">
        <f aca="false">(0.8464*1.06)*1.04</f>
        <v>0.93307136</v>
      </c>
      <c r="U33" s="393" t="n">
        <v>0</v>
      </c>
      <c r="V33" s="155" t="n">
        <v>129</v>
      </c>
      <c r="W33" s="155" t="n">
        <v>60.7</v>
      </c>
      <c r="X33" s="280" t="n">
        <f aca="false">M33-N33-O33-P33-Q33-R33-S33-T33-U33+V33+W33-AT33+AR33</f>
        <v>302.448987262099</v>
      </c>
      <c r="Y33" s="155" t="n">
        <f aca="false">X33-AO33</f>
        <v>302.448987262099</v>
      </c>
      <c r="Z33" s="123" t="n">
        <f aca="false">Z32+AP33</f>
        <v>5444.27472271745</v>
      </c>
      <c r="AA33" s="155" t="n">
        <f aca="false">(-AP33)</f>
        <v>223.622</v>
      </c>
      <c r="AB33" s="123"/>
      <c r="AC33" s="244" t="n">
        <f aca="false">AC32-(AQ32/1.9835)+AS33</f>
        <v>1709.25706623815</v>
      </c>
      <c r="AD33" s="484" t="n">
        <f aca="false">AD32</f>
        <v>1495.84068565667</v>
      </c>
      <c r="AE33" s="155" t="n">
        <v>113</v>
      </c>
      <c r="AF33" s="157" t="n">
        <v>1.7</v>
      </c>
      <c r="AG33" s="158" t="n">
        <v>1.3</v>
      </c>
      <c r="AH33" s="155" t="n">
        <v>39.5</v>
      </c>
      <c r="AI33" s="123" t="n">
        <f aca="false">AI32-AH33</f>
        <v>6804.85787748927</v>
      </c>
      <c r="AJ33" s="123"/>
      <c r="AK33" s="154" t="n">
        <f aca="false">N33+O33+P33+Q33+R33+S33+T33+U33+X33+AE33+AH33-AR33</f>
        <v>532.2</v>
      </c>
      <c r="AL33" s="155" t="n">
        <f aca="false">IF(L33&lt;0,L33*-1,0)</f>
        <v>24.1723216536425</v>
      </c>
      <c r="AM33" s="155" t="n">
        <f aca="false">AK33+AL33</f>
        <v>556.372321653643</v>
      </c>
      <c r="AN33" s="303"/>
      <c r="AO33" s="241"/>
      <c r="AP33" s="633" t="n">
        <f aca="false">I33-Q33-R33-X33-AF33</f>
        <v>-223.622</v>
      </c>
      <c r="AQ33" s="601" t="n">
        <f aca="false">50.129*(Z33*1.9835+AC33*1.9835)/E33</f>
        <v>4.6181138818258</v>
      </c>
      <c r="AR33" s="186" t="n">
        <v>0</v>
      </c>
      <c r="AS33" s="373" t="n">
        <f aca="false">AS32</f>
        <v>7.45</v>
      </c>
      <c r="AV33" s="249" t="n">
        <v>0</v>
      </c>
      <c r="AW33" s="241" t="n">
        <v>84</v>
      </c>
      <c r="AX33" s="241" t="n">
        <v>48</v>
      </c>
      <c r="AY33" s="283"/>
      <c r="AZ33" s="282" t="n">
        <f aca="false">SUM(N33,P33:U33)</f>
        <v>8.68601273790068</v>
      </c>
      <c r="BA33" s="58" t="n">
        <v>10.6</v>
      </c>
      <c r="BB33" s="91" t="n">
        <v>18100</v>
      </c>
    </row>
    <row r="34" customFormat="false" ht="12.95" hidden="false" customHeight="true" outlineLevel="0" collapsed="false">
      <c r="A34" s="207" t="n">
        <v>20</v>
      </c>
      <c r="B34" s="122" t="n">
        <v>6905.74</v>
      </c>
      <c r="C34" s="123" t="n">
        <v>305249</v>
      </c>
      <c r="D34" s="241" t="n">
        <f aca="false">C34-C33</f>
        <v>-771</v>
      </c>
      <c r="E34" s="123" t="n">
        <f aca="false">C34-152000</f>
        <v>153249</v>
      </c>
      <c r="F34" s="277" t="n">
        <f aca="false">D34/$D$2</f>
        <v>-388.706831358709</v>
      </c>
      <c r="G34" s="155" t="n">
        <v>82.5</v>
      </c>
      <c r="H34" s="278" t="n">
        <v>0</v>
      </c>
      <c r="I34" s="155" t="n">
        <f aca="false">G34+H34</f>
        <v>82.5</v>
      </c>
      <c r="J34" s="156" t="n">
        <f aca="false">IF(L34&gt;0,L34,0)</f>
        <v>6.99316864129071</v>
      </c>
      <c r="K34" s="155" t="n">
        <f aca="false">I34+J34</f>
        <v>89.4931686412907</v>
      </c>
      <c r="L34" s="155" t="n">
        <f aca="false">F34-(I34-AK34)</f>
        <v>6.99316864129071</v>
      </c>
      <c r="M34" s="279" t="n">
        <v>164</v>
      </c>
      <c r="N34" s="186" t="n">
        <v>0</v>
      </c>
      <c r="O34" s="155" t="n">
        <f aca="false">36.1*1.05</f>
        <v>37.905</v>
      </c>
      <c r="P34" s="186" t="n">
        <v>0</v>
      </c>
      <c r="Q34" s="373" t="n">
        <f aca="false">1432500/325851/1.9835*1.02</f>
        <v>2.26070315006785</v>
      </c>
      <c r="R34" s="151" t="n">
        <f aca="false">IF(((5.7*1.04)-T34)&gt;=4.2,4.2,(5.7*1.04)-T34)</f>
        <v>4.2</v>
      </c>
      <c r="S34" s="151" t="n">
        <f aca="false">IF(((5.7*1.04)-T34)&gt;=4.2,((5.7*1.04)-T34)-4.2,0)</f>
        <v>0.79492864</v>
      </c>
      <c r="T34" s="151" t="n">
        <f aca="false">(0.8464*1.06)*1.04</f>
        <v>0.93307136</v>
      </c>
      <c r="U34" s="393" t="n">
        <v>0</v>
      </c>
      <c r="V34" s="155" t="n">
        <v>125</v>
      </c>
      <c r="W34" s="155" t="n">
        <v>60.6</v>
      </c>
      <c r="X34" s="280" t="n">
        <f aca="false">M34-N34-O34-P34-Q34-R34-S34-T34-U34+V34+W34-AT34+AR34</f>
        <v>303.506296849932</v>
      </c>
      <c r="Y34" s="155" t="n">
        <f aca="false">X34-AO34</f>
        <v>303.506296849932</v>
      </c>
      <c r="Z34" s="123" t="n">
        <f aca="false">Z33+AP34</f>
        <v>5215.10772271745</v>
      </c>
      <c r="AA34" s="155" t="n">
        <f aca="false">(-AP34)</f>
        <v>229.167</v>
      </c>
      <c r="AB34" s="123"/>
      <c r="AC34" s="244" t="n">
        <f aca="false">AC33-(AQ33/1.9835)+AS34</f>
        <v>1714.37880110993</v>
      </c>
      <c r="AD34" s="484" t="n">
        <f aca="false">AD33</f>
        <v>1495.84068565667</v>
      </c>
      <c r="AE34" s="155" t="n">
        <v>89.1</v>
      </c>
      <c r="AF34" s="157" t="n">
        <v>1.7</v>
      </c>
      <c r="AG34" s="158" t="n">
        <v>1.3</v>
      </c>
      <c r="AH34" s="155" t="n">
        <v>39.5</v>
      </c>
      <c r="AI34" s="123" t="n">
        <f aca="false">AI33-AH34</f>
        <v>6765.35787748927</v>
      </c>
      <c r="AJ34" s="123"/>
      <c r="AK34" s="154" t="n">
        <f aca="false">N34+O34+P34+Q34+R34+S34+T34+U34+X34+AE34+AH34-AR34</f>
        <v>478.2</v>
      </c>
      <c r="AL34" s="155" t="n">
        <f aca="false">IF(L34&lt;0,L34*-1,0)</f>
        <v>0</v>
      </c>
      <c r="AM34" s="155" t="n">
        <f aca="false">AK34+AL34</f>
        <v>478.2</v>
      </c>
      <c r="AN34" s="303"/>
      <c r="AO34" s="241"/>
      <c r="AP34" s="633" t="n">
        <f aca="false">I34-Q34-R34-X34-AF34</f>
        <v>-229.167</v>
      </c>
      <c r="AQ34" s="601" t="n">
        <f aca="false">47.194*(Z34*1.9835+AC34*1.9835)/E34</f>
        <v>4.23274785431179</v>
      </c>
      <c r="AR34" s="186" t="n">
        <v>0</v>
      </c>
      <c r="AS34" s="373" t="n">
        <f aca="false">AS33</f>
        <v>7.45</v>
      </c>
      <c r="AV34" s="249" t="n">
        <v>0.01</v>
      </c>
      <c r="AW34" s="241" t="n">
        <v>78</v>
      </c>
      <c r="AX34" s="241" t="n">
        <v>53</v>
      </c>
      <c r="AY34" s="283"/>
      <c r="AZ34" s="282" t="n">
        <f aca="false">SUM(N34,P34:U34)</f>
        <v>8.18870315006785</v>
      </c>
      <c r="BA34" s="58" t="n">
        <v>10.6</v>
      </c>
      <c r="BB34" s="91" t="n">
        <v>18137</v>
      </c>
    </row>
    <row r="35" customFormat="false" ht="12.95" hidden="false" customHeight="true" outlineLevel="0" collapsed="false">
      <c r="A35" s="207" t="n">
        <v>21</v>
      </c>
      <c r="B35" s="122" t="n">
        <v>6905.58</v>
      </c>
      <c r="C35" s="123" t="n">
        <v>304632</v>
      </c>
      <c r="D35" s="241" t="n">
        <f aca="false">C35-C34</f>
        <v>-617</v>
      </c>
      <c r="E35" s="123" t="n">
        <f aca="false">C35-152000</f>
        <v>152632</v>
      </c>
      <c r="F35" s="277" t="n">
        <f aca="false">D35/$D$2</f>
        <v>-311.066296949836</v>
      </c>
      <c r="G35" s="155" t="n">
        <v>88</v>
      </c>
      <c r="H35" s="278" t="n">
        <v>0</v>
      </c>
      <c r="I35" s="155" t="n">
        <f aca="false">G35+H35</f>
        <v>88</v>
      </c>
      <c r="J35" s="156" t="n">
        <f aca="false">IF(L35&gt;0,L35,0)</f>
        <v>26.6337030501639</v>
      </c>
      <c r="K35" s="155" t="n">
        <f aca="false">I35+J35</f>
        <v>114.633703050164</v>
      </c>
      <c r="L35" s="155" t="n">
        <f aca="false">F35-(I35-AK35)</f>
        <v>26.6337030501639</v>
      </c>
      <c r="M35" s="279" t="n">
        <v>136</v>
      </c>
      <c r="N35" s="186" t="n">
        <v>0</v>
      </c>
      <c r="O35" s="155" t="n">
        <f aca="false">27.9*1.05</f>
        <v>29.295</v>
      </c>
      <c r="P35" s="186" t="n">
        <v>0</v>
      </c>
      <c r="Q35" s="373" t="n">
        <f aca="false">1092000/325851/1.9835*1.02</f>
        <v>1.72334229659623</v>
      </c>
      <c r="R35" s="151" t="n">
        <f aca="false">IF(((5.7*1.04)-T35)&gt;=4.2,4.2,(5.7*1.04)-T35)</f>
        <v>4.2</v>
      </c>
      <c r="S35" s="151" t="n">
        <f aca="false">IF(((5.7*1.04)-T35)&gt;=4.2,((5.7*1.04)-T35)-4.2,0)</f>
        <v>0.79492864</v>
      </c>
      <c r="T35" s="151" t="n">
        <f aca="false">(0.8464*1.06)*1.04</f>
        <v>0.93307136</v>
      </c>
      <c r="U35" s="393" t="n">
        <v>0</v>
      </c>
      <c r="V35" s="155" t="n">
        <v>125</v>
      </c>
      <c r="W35" s="155" t="n">
        <v>58.3</v>
      </c>
      <c r="X35" s="280" t="n">
        <f aca="false">M35-N35-O35-P35-Q35-R35-S35-T35-U35+V35+W35-AT35+AR35</f>
        <v>282.353657703404</v>
      </c>
      <c r="Y35" s="155" t="n">
        <f aca="false">X35-AO35</f>
        <v>282.353657703404</v>
      </c>
      <c r="Z35" s="123" t="n">
        <f aca="false">Z34+AP35</f>
        <v>5013.13072271745</v>
      </c>
      <c r="AA35" s="155" t="n">
        <f aca="false">(-AP35)</f>
        <v>201.977</v>
      </c>
      <c r="AB35" s="123"/>
      <c r="AC35" s="244" t="n">
        <f aca="false">AC34-(AQ34/1.9835)+AS35</f>
        <v>1719.69482185391</v>
      </c>
      <c r="AD35" s="484" t="n">
        <f aca="false">AD34</f>
        <v>1495.84068565667</v>
      </c>
      <c r="AE35" s="155" t="n">
        <v>66.9</v>
      </c>
      <c r="AF35" s="157" t="n">
        <v>1.7</v>
      </c>
      <c r="AG35" s="158" t="n">
        <v>1.3</v>
      </c>
      <c r="AH35" s="155" t="n">
        <v>39.5</v>
      </c>
      <c r="AI35" s="123" t="n">
        <f aca="false">AI34-AH35</f>
        <v>6725.85787748927</v>
      </c>
      <c r="AJ35" s="123"/>
      <c r="AK35" s="154" t="n">
        <f aca="false">N35+O35+P35+Q35+R35+S35+T35+U35+X35+AE35+AH35-AR35</f>
        <v>425.7</v>
      </c>
      <c r="AL35" s="155" t="n">
        <f aca="false">IF(L35&lt;0,L35*-1,0)</f>
        <v>0</v>
      </c>
      <c r="AM35" s="155" t="n">
        <f aca="false">AK35+AL35</f>
        <v>425.7</v>
      </c>
      <c r="AN35" s="303"/>
      <c r="AO35" s="241"/>
      <c r="AP35" s="633" t="n">
        <f aca="false">I35-Q35-R35-X35-AF35</f>
        <v>-201.977</v>
      </c>
      <c r="AQ35" s="601" t="n">
        <f aca="false">0*(Z35*1.9835+AC35*1.9835)/E35</f>
        <v>0</v>
      </c>
      <c r="AR35" s="186" t="n">
        <v>0</v>
      </c>
      <c r="AS35" s="373" t="n">
        <f aca="false">AS34</f>
        <v>7.45</v>
      </c>
      <c r="AV35" s="249" t="n">
        <v>0.23</v>
      </c>
      <c r="AW35" s="241" t="n">
        <v>74</v>
      </c>
      <c r="AX35" s="241" t="n">
        <v>52</v>
      </c>
      <c r="AY35" s="283"/>
      <c r="AZ35" s="282" t="n">
        <f aca="false">SUM(N35,P35:U35)</f>
        <v>7.65134229659623</v>
      </c>
      <c r="BA35" s="58" t="n">
        <v>10.6</v>
      </c>
      <c r="BB35" s="91" t="n">
        <v>18132</v>
      </c>
    </row>
    <row r="36" customFormat="false" ht="12.95" hidden="false" customHeight="true" outlineLevel="0" collapsed="false">
      <c r="A36" s="207" t="n">
        <v>22</v>
      </c>
      <c r="B36" s="122" t="n">
        <v>6905.43</v>
      </c>
      <c r="C36" s="123" t="n">
        <v>304054</v>
      </c>
      <c r="D36" s="241" t="n">
        <f aca="false">C36-C35</f>
        <v>-578</v>
      </c>
      <c r="E36" s="123" t="n">
        <f aca="false">C36-152000</f>
        <v>152054</v>
      </c>
      <c r="F36" s="277" t="n">
        <f aca="false">D36/$D$2</f>
        <v>-291.404083690446</v>
      </c>
      <c r="G36" s="155" t="n">
        <v>125</v>
      </c>
      <c r="H36" s="278" t="n">
        <v>0</v>
      </c>
      <c r="I36" s="155" t="n">
        <f aca="false">G36+H36</f>
        <v>125</v>
      </c>
      <c r="J36" s="156" t="n">
        <f aca="false">IF(L36&gt;0,L36,0)</f>
        <v>8.8959163095538</v>
      </c>
      <c r="K36" s="155" t="n">
        <f aca="false">I36+J36</f>
        <v>133.895916309554</v>
      </c>
      <c r="L36" s="155" t="n">
        <f aca="false">F36-(I36-AK36)</f>
        <v>8.8959163095538</v>
      </c>
      <c r="M36" s="279" t="n">
        <v>122</v>
      </c>
      <c r="N36" s="186" t="n">
        <v>0</v>
      </c>
      <c r="O36" s="155" t="n">
        <f aca="false">11.5*1.05</f>
        <v>12.075</v>
      </c>
      <c r="P36" s="186" t="n">
        <v>0</v>
      </c>
      <c r="Q36" s="373" t="n">
        <f aca="false">1315600/325851/1.9835*1.02</f>
        <v>2.07621714780403</v>
      </c>
      <c r="R36" s="151" t="n">
        <f aca="false">IF(((5.7*1.04)-T36)&gt;=4.2,4.2,(5.7*1.04)-T36)</f>
        <v>4.2</v>
      </c>
      <c r="S36" s="151" t="n">
        <f aca="false">IF(((5.7*1.04)-T36)&gt;=4.2,((5.7*1.04)-T36)-4.2,0)</f>
        <v>0.79492864</v>
      </c>
      <c r="T36" s="151" t="n">
        <f aca="false">(0.8464*1.06)*1.04</f>
        <v>0.93307136</v>
      </c>
      <c r="U36" s="393" t="n">
        <v>0</v>
      </c>
      <c r="V36" s="155" t="n">
        <v>125</v>
      </c>
      <c r="W36" s="155" t="n">
        <v>61.4</v>
      </c>
      <c r="X36" s="280" t="n">
        <f aca="false">M36-N36-O36-P36-Q36-R36-S36-T36-U36+V36+W36-AT36+AR36</f>
        <v>288.320782852196</v>
      </c>
      <c r="Y36" s="155" t="n">
        <f aca="false">X36-AO36</f>
        <v>288.320782852196</v>
      </c>
      <c r="Z36" s="123" t="n">
        <f aca="false">Z35+AP36</f>
        <v>4841.83372271745</v>
      </c>
      <c r="AA36" s="155" t="n">
        <f aca="false">(-AP36)</f>
        <v>171.297</v>
      </c>
      <c r="AB36" s="123"/>
      <c r="AC36" s="244" t="n">
        <f aca="false">AC35-(AQ35/1.9835)+AS36</f>
        <v>1727.14482185391</v>
      </c>
      <c r="AD36" s="484" t="n">
        <f aca="false">AD35</f>
        <v>1495.84068565667</v>
      </c>
      <c r="AE36" s="155" t="n">
        <v>77.4</v>
      </c>
      <c r="AF36" s="157" t="n">
        <v>1.7</v>
      </c>
      <c r="AG36" s="158" t="n">
        <v>1.3</v>
      </c>
      <c r="AH36" s="155" t="n">
        <v>39.5</v>
      </c>
      <c r="AI36" s="123" t="n">
        <f aca="false">AI35-AH36</f>
        <v>6686.35787748927</v>
      </c>
      <c r="AJ36" s="123"/>
      <c r="AK36" s="154" t="n">
        <f aca="false">N36+O36+P36+Q36+R36+S36+T36+U36+X36+AE36+AH36-AR36</f>
        <v>425.3</v>
      </c>
      <c r="AL36" s="155" t="n">
        <f aca="false">IF(L36&lt;0,L36*-1,0)</f>
        <v>0</v>
      </c>
      <c r="AM36" s="155" t="n">
        <f aca="false">AK36+AL36</f>
        <v>425.3</v>
      </c>
      <c r="AN36" s="303"/>
      <c r="AO36" s="241"/>
      <c r="AP36" s="633" t="n">
        <f aca="false">I36-Q36-R36-X36-AF36</f>
        <v>-171.297</v>
      </c>
      <c r="AQ36" s="601" t="n">
        <f aca="false">46.368*(Z36*1.9835+AC36*1.9835)/E36</f>
        <v>3.97329272992698</v>
      </c>
      <c r="AR36" s="186" t="n">
        <v>0</v>
      </c>
      <c r="AS36" s="373" t="n">
        <f aca="false">AS35</f>
        <v>7.45</v>
      </c>
      <c r="AV36" s="249" t="n">
        <v>0</v>
      </c>
      <c r="AW36" s="241" t="n">
        <v>82</v>
      </c>
      <c r="AX36" s="241" t="n">
        <v>55</v>
      </c>
      <c r="AY36" s="283"/>
      <c r="AZ36" s="282" t="n">
        <f aca="false">SUM(N36,P36:U36)</f>
        <v>8.00421714780403</v>
      </c>
      <c r="BA36" s="58" t="n">
        <v>10.6</v>
      </c>
      <c r="BB36" s="91" t="n">
        <v>18116</v>
      </c>
    </row>
    <row r="37" customFormat="false" ht="12.95" hidden="false" customHeight="true" outlineLevel="0" collapsed="false">
      <c r="A37" s="207" t="n">
        <v>23</v>
      </c>
      <c r="B37" s="122" t="n">
        <v>6905.33</v>
      </c>
      <c r="C37" s="123" t="n">
        <v>303668</v>
      </c>
      <c r="D37" s="241" t="n">
        <f aca="false">C37-C36</f>
        <v>-386</v>
      </c>
      <c r="E37" s="123" t="n">
        <f aca="false">C37-152000</f>
        <v>151668</v>
      </c>
      <c r="F37" s="277" t="n">
        <f aca="false">D37/$D$2</f>
        <v>-194.605495336526</v>
      </c>
      <c r="G37" s="155" t="n">
        <v>154</v>
      </c>
      <c r="H37" s="278" t="n">
        <v>0</v>
      </c>
      <c r="I37" s="155" t="n">
        <f aca="false">G37+H37</f>
        <v>154</v>
      </c>
      <c r="J37" s="156" t="n">
        <f aca="false">IF(L37&gt;0,L37,0)</f>
        <v>29.7945046634737</v>
      </c>
      <c r="K37" s="155" t="n">
        <f aca="false">I37+J37</f>
        <v>183.794504663474</v>
      </c>
      <c r="L37" s="155" t="n">
        <f aca="false">F37-(I37-AK37)</f>
        <v>29.7945046634737</v>
      </c>
      <c r="M37" s="279" t="n">
        <v>117</v>
      </c>
      <c r="N37" s="186" t="n">
        <v>0</v>
      </c>
      <c r="O37" s="155" t="n">
        <f aca="false">2.2*1.05</f>
        <v>2.31</v>
      </c>
      <c r="P37" s="186" t="n">
        <v>0</v>
      </c>
      <c r="Q37" s="373" t="n">
        <f aca="false">1055500/325851/1.9835*1.02</f>
        <v>1.66573973814773</v>
      </c>
      <c r="R37" s="151" t="n">
        <f aca="false">IF(((4.6*1.04)-T37)&gt;=4.2,4.2,(4.6*1.04)-T37)</f>
        <v>3.91685216</v>
      </c>
      <c r="S37" s="151" t="n">
        <f aca="false">IF(((4.6*1.04)-T37)&gt;=4.2,((4.6*1.04)-T37)-4.2,0)</f>
        <v>0</v>
      </c>
      <c r="T37" s="151" t="n">
        <f aca="false">(0.7866*1.06)*1.04</f>
        <v>0.86714784</v>
      </c>
      <c r="U37" s="393" t="n">
        <v>0</v>
      </c>
      <c r="V37" s="155" t="n">
        <v>123</v>
      </c>
      <c r="W37" s="155" t="n">
        <v>59.5</v>
      </c>
      <c r="X37" s="280" t="n">
        <f aca="false">M37-N37-O37-P37-Q37-R37-S37-T37-U37+V37+W37-AT37+AR37</f>
        <v>290.740260261852</v>
      </c>
      <c r="Y37" s="155" t="n">
        <f aca="false">X37-AO37</f>
        <v>290.740260261852</v>
      </c>
      <c r="Z37" s="123" t="n">
        <f aca="false">Z36+AP37</f>
        <v>4697.81087055745</v>
      </c>
      <c r="AA37" s="155" t="n">
        <f aca="false">(-AP37)</f>
        <v>144.02285216</v>
      </c>
      <c r="AB37" s="123"/>
      <c r="AC37" s="244" t="n">
        <f aca="false">AC36-(AQ36/1.9835)+AS37</f>
        <v>1732.5916493155</v>
      </c>
      <c r="AD37" s="484" t="n">
        <f aca="false">AD36</f>
        <v>1495.84068565667</v>
      </c>
      <c r="AE37" s="155" t="n">
        <v>39.3</v>
      </c>
      <c r="AF37" s="157" t="n">
        <v>1.7</v>
      </c>
      <c r="AG37" s="158" t="n">
        <v>1.3</v>
      </c>
      <c r="AH37" s="155" t="n">
        <v>39.6</v>
      </c>
      <c r="AI37" s="123" t="n">
        <f aca="false">AI36-AH37</f>
        <v>6646.75787748927</v>
      </c>
      <c r="AJ37" s="123"/>
      <c r="AK37" s="154" t="n">
        <f aca="false">N37+O37+P37+Q37+R37+S37+T37+U37+X37+AE37+AH37-AR37</f>
        <v>378.4</v>
      </c>
      <c r="AL37" s="155" t="n">
        <f aca="false">IF(L37&lt;0,L37*-1,0)</f>
        <v>0</v>
      </c>
      <c r="AM37" s="155" t="n">
        <f aca="false">AK37+AL37</f>
        <v>378.4</v>
      </c>
      <c r="AN37" s="303"/>
      <c r="AO37" s="241"/>
      <c r="AP37" s="633" t="n">
        <f aca="false">I37-Q37-R37-X37-AF37</f>
        <v>-144.02285216</v>
      </c>
      <c r="AQ37" s="601" t="n">
        <f aca="false">0*(Z37*1.9835+AC37*1.9835)/E37</f>
        <v>0</v>
      </c>
      <c r="AR37" s="186" t="n">
        <v>0</v>
      </c>
      <c r="AS37" s="373" t="n">
        <f aca="false">AS36</f>
        <v>7.45</v>
      </c>
      <c r="AV37" s="249" t="n">
        <v>0.35</v>
      </c>
      <c r="AW37" s="241" t="n">
        <v>65</v>
      </c>
      <c r="AX37" s="241" t="n">
        <v>36</v>
      </c>
      <c r="AY37" s="283"/>
      <c r="AZ37" s="282" t="n">
        <f aca="false">SUM(N37,P37:U37)</f>
        <v>6.44973973814773</v>
      </c>
      <c r="BA37" s="58" t="n">
        <v>10.6</v>
      </c>
      <c r="BB37" s="91" t="n">
        <v>18051</v>
      </c>
    </row>
    <row r="38" customFormat="false" ht="12.75" hidden="false" customHeight="true" outlineLevel="0" collapsed="false">
      <c r="A38" s="207" t="n">
        <v>24</v>
      </c>
      <c r="B38" s="122" t="n">
        <v>6905.22</v>
      </c>
      <c r="C38" s="123" t="n">
        <v>303244</v>
      </c>
      <c r="D38" s="241" t="n">
        <f aca="false">C38-C37</f>
        <v>-424</v>
      </c>
      <c r="E38" s="123" t="n">
        <f aca="false">C38-152000</f>
        <v>151244</v>
      </c>
      <c r="F38" s="277" t="n">
        <f aca="false">D38/$D$2</f>
        <v>-213.763549281573</v>
      </c>
      <c r="G38" s="155" t="n">
        <v>228</v>
      </c>
      <c r="H38" s="278" t="n">
        <v>0</v>
      </c>
      <c r="I38" s="155" t="n">
        <f aca="false">G38+H38</f>
        <v>228</v>
      </c>
      <c r="J38" s="156" t="n">
        <f aca="false">IF(L38&gt;0,L38,0)</f>
        <v>0</v>
      </c>
      <c r="K38" s="155" t="n">
        <f aca="false">I38+J38</f>
        <v>228</v>
      </c>
      <c r="L38" s="155" t="n">
        <f aca="false">F38-(I38-AK38)</f>
        <v>-108.863549281573</v>
      </c>
      <c r="M38" s="279" t="n">
        <v>93.7</v>
      </c>
      <c r="N38" s="186" t="n">
        <v>0</v>
      </c>
      <c r="O38" s="155" t="n">
        <f aca="false">0.788*1.05</f>
        <v>0.8274</v>
      </c>
      <c r="P38" s="186" t="n">
        <v>0</v>
      </c>
      <c r="Q38" s="373" t="n">
        <f aca="false">1177400/325851/1.9835*1.02</f>
        <v>1.85811650184286</v>
      </c>
      <c r="R38" s="151" t="n">
        <f aca="false">IF(((4.2*1.04)-T38)&gt;=4.2,4.2,(4.2*1.04)-T38)</f>
        <v>3.50085216</v>
      </c>
      <c r="S38" s="151" t="n">
        <f aca="false">IF(((4.2*1.04)-T38)&gt;=4.2,((4.2*1.04)-T38)-4.2,0)</f>
        <v>0</v>
      </c>
      <c r="T38" s="151" t="n">
        <f aca="false">(0.7866*1.06)*1.04</f>
        <v>0.86714784</v>
      </c>
      <c r="U38" s="393" t="n">
        <v>0</v>
      </c>
      <c r="V38" s="155" t="n">
        <v>121</v>
      </c>
      <c r="W38" s="155" t="n">
        <v>59.6</v>
      </c>
      <c r="X38" s="280" t="n">
        <f aca="false">M38-N38-O38-P38-Q38-R38-S38-T38-U38+V38+W38-AT38+AR38</f>
        <v>267.246483498157</v>
      </c>
      <c r="Y38" s="155" t="n">
        <f aca="false">X38-AO38</f>
        <v>267.246483498157</v>
      </c>
      <c r="Z38" s="123" t="n">
        <f aca="false">Z37+AP38</f>
        <v>4651.50541839745</v>
      </c>
      <c r="AA38" s="155" t="n">
        <f aca="false">(-AP38)</f>
        <v>46.30545216</v>
      </c>
      <c r="AB38" s="123"/>
      <c r="AC38" s="244" t="n">
        <f aca="false">AC37-(AQ37/1.9835)+AS38</f>
        <v>1740.0416493155</v>
      </c>
      <c r="AD38" s="484" t="n">
        <f aca="false">AD37</f>
        <v>1495.84068565667</v>
      </c>
      <c r="AE38" s="155" t="n">
        <v>19.1</v>
      </c>
      <c r="AF38" s="157" t="n">
        <v>1.7</v>
      </c>
      <c r="AG38" s="158" t="n">
        <v>1.3</v>
      </c>
      <c r="AH38" s="155" t="n">
        <v>39.5</v>
      </c>
      <c r="AI38" s="123" t="n">
        <f aca="false">AI37-AH38</f>
        <v>6607.25787748927</v>
      </c>
      <c r="AJ38" s="123"/>
      <c r="AK38" s="154" t="n">
        <f aca="false">N38+O38+P38+Q38+R38+S38+T38+U38+X38+AE38+AH38-AR38</f>
        <v>332.9</v>
      </c>
      <c r="AL38" s="155" t="n">
        <f aca="false">IF(L38&lt;0,L38*-1,0)</f>
        <v>108.863549281573</v>
      </c>
      <c r="AM38" s="155" t="n">
        <f aca="false">AK38+AL38</f>
        <v>441.763549281573</v>
      </c>
      <c r="AN38" s="303"/>
      <c r="AO38" s="241"/>
      <c r="AP38" s="633" t="n">
        <f aca="false">I38-Q38-R38-X38-AF38</f>
        <v>-46.30545216</v>
      </c>
      <c r="AQ38" s="601" t="n">
        <f aca="false">11.424*(Z38*1.9835+AC38*1.9835)/E38</f>
        <v>0.957586987563341</v>
      </c>
      <c r="AR38" s="186" t="n">
        <v>0</v>
      </c>
      <c r="AS38" s="373" t="n">
        <f aca="false">AS37</f>
        <v>7.45</v>
      </c>
      <c r="AV38" s="249" t="n">
        <v>0</v>
      </c>
      <c r="AW38" s="241" t="n">
        <v>59</v>
      </c>
      <c r="AX38" s="241" t="n">
        <v>37</v>
      </c>
      <c r="AY38" s="283"/>
      <c r="AZ38" s="282" t="n">
        <f aca="false">SUM(N38,P38:U38)</f>
        <v>6.22611650184286</v>
      </c>
      <c r="BA38" s="58" t="n">
        <v>10.1</v>
      </c>
      <c r="BB38" s="91" t="n">
        <v>18040</v>
      </c>
    </row>
    <row r="39" customFormat="false" ht="12.95" hidden="false" customHeight="true" outlineLevel="0" collapsed="false">
      <c r="A39" s="207" t="n">
        <v>25</v>
      </c>
      <c r="B39" s="122" t="n">
        <v>6905.13</v>
      </c>
      <c r="C39" s="123" t="n">
        <v>302897</v>
      </c>
      <c r="D39" s="241" t="n">
        <f aca="false">C39-C38</f>
        <v>-347</v>
      </c>
      <c r="E39" s="123" t="n">
        <f aca="false">C39-152000</f>
        <v>150897</v>
      </c>
      <c r="F39" s="277" t="n">
        <f aca="false">D39/$D$2</f>
        <v>-174.943282077136</v>
      </c>
      <c r="G39" s="155" t="n">
        <v>166</v>
      </c>
      <c r="H39" s="278" t="n">
        <v>0</v>
      </c>
      <c r="I39" s="155" t="n">
        <f aca="false">G39+H39</f>
        <v>166</v>
      </c>
      <c r="J39" s="156" t="n">
        <f aca="false">IF(L39&gt;0,L39,0)</f>
        <v>9.0567179228637</v>
      </c>
      <c r="K39" s="155" t="n">
        <f aca="false">I39+J39</f>
        <v>175.056717922864</v>
      </c>
      <c r="L39" s="155" t="n">
        <f aca="false">F39-(I39-AK39)</f>
        <v>9.0567179228637</v>
      </c>
      <c r="M39" s="279" t="n">
        <v>91.8</v>
      </c>
      <c r="N39" s="186" t="n">
        <v>0</v>
      </c>
      <c r="O39" s="155" t="n">
        <f aca="false">0.562*1.05</f>
        <v>0.5901</v>
      </c>
      <c r="P39" s="186" t="n">
        <v>0</v>
      </c>
      <c r="Q39" s="373" t="n">
        <f aca="false">1237300/325851/1.9835*1.02</f>
        <v>1.95264782378985</v>
      </c>
      <c r="R39" s="151" t="n">
        <f aca="false">IF(((4.2*1.04)-T39)&gt;=4.2,4.2,(4.2*1.04)-T39)</f>
        <v>3.50085216</v>
      </c>
      <c r="S39" s="151" t="n">
        <f aca="false">IF(((4.2*1.04)-T39)&gt;=4.2,((4.2*1.04)-T39)-4.2,0)</f>
        <v>0</v>
      </c>
      <c r="T39" s="151" t="n">
        <f aca="false">(0.7866*1.06)*1.04</f>
        <v>0.86714784</v>
      </c>
      <c r="U39" s="393" t="n">
        <v>0</v>
      </c>
      <c r="V39" s="155" t="n">
        <v>120</v>
      </c>
      <c r="W39" s="155" t="n">
        <v>59.1</v>
      </c>
      <c r="X39" s="280" t="n">
        <f aca="false">M39-N39-O39-P39-Q39-R39-S39-T39-U39+V39+W39-AT39+AR39</f>
        <v>263.98925217621</v>
      </c>
      <c r="Y39" s="155" t="n">
        <f aca="false">X39-AO39</f>
        <v>263.98925217621</v>
      </c>
      <c r="Z39" s="123" t="n">
        <f aca="false">Z38+AP39</f>
        <v>4546.36266623745</v>
      </c>
      <c r="AA39" s="155" t="n">
        <f aca="false">(-AP39)</f>
        <v>105.14275216</v>
      </c>
      <c r="AB39" s="123"/>
      <c r="AC39" s="244" t="n">
        <f aca="false">AC38-(AQ38/1.9835)+AS39</f>
        <v>1747.00887291643</v>
      </c>
      <c r="AD39" s="484" t="n">
        <f aca="false">AD38</f>
        <v>1495.84068565667</v>
      </c>
      <c r="AE39" s="155" t="n">
        <v>39.6</v>
      </c>
      <c r="AF39" s="157" t="n">
        <v>1.7</v>
      </c>
      <c r="AG39" s="158" t="n">
        <v>1.3</v>
      </c>
      <c r="AH39" s="155" t="n">
        <v>39.5</v>
      </c>
      <c r="AI39" s="123" t="n">
        <f aca="false">AI38-AH39</f>
        <v>6567.75787748927</v>
      </c>
      <c r="AJ39" s="123"/>
      <c r="AK39" s="154" t="n">
        <f aca="false">N39+O39+P39+Q39+R39+S39+T39+U39+X39+AE39+AH39-AR39</f>
        <v>350</v>
      </c>
      <c r="AL39" s="155" t="n">
        <f aca="false">IF(L39&lt;0,L39*-1,0)</f>
        <v>0</v>
      </c>
      <c r="AM39" s="155" t="n">
        <f aca="false">AK39+AL39</f>
        <v>350</v>
      </c>
      <c r="AN39" s="303"/>
      <c r="AO39" s="241"/>
      <c r="AP39" s="633" t="n">
        <f aca="false">I39-Q39-R39-X39-AF39</f>
        <v>-105.14275216</v>
      </c>
      <c r="AQ39" s="601" t="n">
        <f aca="false">39.2*(Z39*1.9835+AC39*1.9835)/E39</f>
        <v>3.2428065233778</v>
      </c>
      <c r="AR39" s="186" t="n">
        <v>0</v>
      </c>
      <c r="AS39" s="373" t="n">
        <f aca="false">AS38</f>
        <v>7.45</v>
      </c>
      <c r="AV39" s="249" t="n">
        <v>0</v>
      </c>
      <c r="AW39" s="241" t="n">
        <v>73</v>
      </c>
      <c r="AX39" s="241" t="n">
        <v>42</v>
      </c>
      <c r="AY39" s="283"/>
      <c r="AZ39" s="282" t="n">
        <f aca="false">SUM(N39,P39:U39)</f>
        <v>6.32064782378985</v>
      </c>
      <c r="BA39" s="58" t="n">
        <v>9.87</v>
      </c>
      <c r="BB39" s="91" t="n">
        <v>18012</v>
      </c>
    </row>
    <row r="40" customFormat="false" ht="12.95" hidden="false" customHeight="true" outlineLevel="0" collapsed="false">
      <c r="A40" s="207" t="n">
        <v>26</v>
      </c>
      <c r="B40" s="122" t="n">
        <v>6905.04</v>
      </c>
      <c r="C40" s="123" t="n">
        <v>302550</v>
      </c>
      <c r="D40" s="241" t="n">
        <f aca="false">C40-C39</f>
        <v>-347</v>
      </c>
      <c r="E40" s="123" t="n">
        <f aca="false">C40-152000</f>
        <v>150550</v>
      </c>
      <c r="F40" s="277" t="n">
        <f aca="false">D40/$D$2</f>
        <v>-174.943282077136</v>
      </c>
      <c r="G40" s="155" t="n">
        <v>151</v>
      </c>
      <c r="H40" s="278" t="n">
        <v>0</v>
      </c>
      <c r="I40" s="155" t="n">
        <f aca="false">G40+H40</f>
        <v>151</v>
      </c>
      <c r="J40" s="156" t="n">
        <f aca="false">IF(L40&gt;0,L40,0)</f>
        <v>22.8567179228637</v>
      </c>
      <c r="K40" s="155" t="n">
        <f aca="false">I40+J40</f>
        <v>173.856717922864</v>
      </c>
      <c r="L40" s="155" t="n">
        <f aca="false">F40-(I40-AK40)</f>
        <v>22.8567179228637</v>
      </c>
      <c r="M40" s="279" t="n">
        <v>101</v>
      </c>
      <c r="N40" s="186" t="n">
        <v>0</v>
      </c>
      <c r="O40" s="155" t="n">
        <f aca="false">8.9*1.05</f>
        <v>9.345</v>
      </c>
      <c r="P40" s="186" t="n">
        <v>0</v>
      </c>
      <c r="Q40" s="373" t="n">
        <f aca="false">1409200/325851/1.9835*1.02</f>
        <v>2.22393220179799</v>
      </c>
      <c r="R40" s="151" t="n">
        <f aca="false">IF(((4.1*1.04)-T40)&gt;=4.2,4.2,(4.1*1.04)-T40)</f>
        <v>3.39685216</v>
      </c>
      <c r="S40" s="151" t="n">
        <f aca="false">IF(((4.1*1.04)-T40)&gt;=4.2,((4.1*1.04)-T40)-4.2,0)</f>
        <v>0</v>
      </c>
      <c r="T40" s="151" t="n">
        <f aca="false">(0.7866*1.06)*1.04</f>
        <v>0.86714784</v>
      </c>
      <c r="U40" s="393" t="n">
        <v>0</v>
      </c>
      <c r="V40" s="155" t="n">
        <v>116</v>
      </c>
      <c r="W40" s="155" t="n">
        <v>59.3</v>
      </c>
      <c r="X40" s="280" t="n">
        <f aca="false">M40-N40-O40-P40-Q40-R40-S40-T40-U40+V40+W40-AT40+AR40</f>
        <v>260.467067798202</v>
      </c>
      <c r="Y40" s="155" t="n">
        <f aca="false">X40-AO40</f>
        <v>260.467067798202</v>
      </c>
      <c r="Z40" s="123" t="n">
        <f aca="false">Z39+AP40</f>
        <v>4429.57481407745</v>
      </c>
      <c r="AA40" s="155" t="n">
        <f aca="false">(-AP40)</f>
        <v>116.78785216</v>
      </c>
      <c r="AB40" s="123"/>
      <c r="AC40" s="244" t="n">
        <f aca="false">AC39-(AQ39/1.9835)+AS40</f>
        <v>1752.82398180306</v>
      </c>
      <c r="AD40" s="484" t="n">
        <f aca="false">AD39</f>
        <v>1495.84068565667</v>
      </c>
      <c r="AE40" s="155" t="n">
        <v>33</v>
      </c>
      <c r="AF40" s="157" t="n">
        <v>1.7</v>
      </c>
      <c r="AG40" s="158" t="n">
        <v>1.3</v>
      </c>
      <c r="AH40" s="155" t="n">
        <v>39.5</v>
      </c>
      <c r="AI40" s="123" t="n">
        <f aca="false">AI39-AH40</f>
        <v>6528.25787748927</v>
      </c>
      <c r="AJ40" s="123"/>
      <c r="AK40" s="154" t="n">
        <f aca="false">N40+O40+P40+Q40+R40+S40+T40+U40+X40+AE40+AH40-AR40</f>
        <v>348.8</v>
      </c>
      <c r="AL40" s="155" t="n">
        <f aca="false">IF(L40&lt;0,L40*-1,0)</f>
        <v>0</v>
      </c>
      <c r="AM40" s="155" t="n">
        <f aca="false">AK40+AL40</f>
        <v>348.8</v>
      </c>
      <c r="AN40" s="303"/>
      <c r="AO40" s="241"/>
      <c r="AP40" s="633" t="n">
        <f aca="false">I40-Q40-R40-X40-AF40</f>
        <v>-116.78785216</v>
      </c>
      <c r="AQ40" s="601" t="n">
        <f aca="false">43.008*(Z40*1.9835+AC40*1.9835)/E40</f>
        <v>3.50314172570003</v>
      </c>
      <c r="AR40" s="186" t="n">
        <v>0</v>
      </c>
      <c r="AS40" s="373" t="n">
        <f aca="false">AS39</f>
        <v>7.45</v>
      </c>
      <c r="AV40" s="249" t="n">
        <v>0</v>
      </c>
      <c r="AW40" s="241" t="n">
        <v>76</v>
      </c>
      <c r="AX40" s="241" t="n">
        <v>45</v>
      </c>
      <c r="AY40" s="283"/>
      <c r="AZ40" s="282" t="n">
        <f aca="false">SUM(N40,P40:U40)</f>
        <v>6.48793220179799</v>
      </c>
      <c r="BA40" s="58" t="n">
        <v>9.84</v>
      </c>
      <c r="BB40" s="91" t="n">
        <v>17987</v>
      </c>
    </row>
    <row r="41" customFormat="false" ht="12.95" hidden="false" customHeight="true" outlineLevel="0" collapsed="false">
      <c r="A41" s="207" t="n">
        <v>27</v>
      </c>
      <c r="B41" s="122" t="n">
        <v>6904.91</v>
      </c>
      <c r="C41" s="123" t="n">
        <v>302051</v>
      </c>
      <c r="D41" s="241" t="n">
        <f aca="false">C41-C40</f>
        <v>-499</v>
      </c>
      <c r="E41" s="123" t="n">
        <f aca="false">C41-152000</f>
        <v>150051</v>
      </c>
      <c r="F41" s="277" t="n">
        <f aca="false">D41/$D$2</f>
        <v>-251.575497857323</v>
      </c>
      <c r="G41" s="155" t="n">
        <v>139</v>
      </c>
      <c r="H41" s="278" t="n">
        <v>0</v>
      </c>
      <c r="I41" s="155" t="n">
        <f aca="false">G41+H41</f>
        <v>139</v>
      </c>
      <c r="J41" s="156" t="n">
        <f aca="false">IF(L41&gt;0,L41,0)</f>
        <v>0</v>
      </c>
      <c r="K41" s="155" t="n">
        <f aca="false">I41+J41</f>
        <v>139</v>
      </c>
      <c r="L41" s="155" t="n">
        <f aca="false">F41-(I41-AK41)</f>
        <v>-4.2754978573229</v>
      </c>
      <c r="M41" s="279" t="n">
        <v>131</v>
      </c>
      <c r="N41" s="186" t="n">
        <v>0</v>
      </c>
      <c r="O41" s="155" t="n">
        <f aca="false">18.9*1.05</f>
        <v>19.845</v>
      </c>
      <c r="P41" s="186" t="n">
        <v>0</v>
      </c>
      <c r="Q41" s="373" t="n">
        <f aca="false">1060800/325851/1.9835*1.02</f>
        <v>1.67410394526491</v>
      </c>
      <c r="R41" s="151" t="n">
        <f aca="false">IF(((4*1.04)-T41)&gt;=4.2,4.2,(4*1.04)-T41)</f>
        <v>3.29285216</v>
      </c>
      <c r="S41" s="151" t="n">
        <f aca="false">IF(((4*1.04)-T41)&gt;=4.2,((4*1.04)-T41)-4.2,0)</f>
        <v>0</v>
      </c>
      <c r="T41" s="151" t="n">
        <f aca="false">(0.7866*1.06)*1.04</f>
        <v>0.86714784</v>
      </c>
      <c r="U41" s="393" t="n">
        <v>0</v>
      </c>
      <c r="V41" s="155" t="n">
        <v>112</v>
      </c>
      <c r="W41" s="155" t="n">
        <v>59.2</v>
      </c>
      <c r="X41" s="280" t="n">
        <f aca="false">M41-N41-O41-P41-Q41-R41-S41-T41-U41+V41+W41-AT41+AR41</f>
        <v>276.520896054735</v>
      </c>
      <c r="Y41" s="155" t="n">
        <f aca="false">X41-AO41</f>
        <v>276.520896054735</v>
      </c>
      <c r="Z41" s="123" t="n">
        <f aca="false">Z40+AP41</f>
        <v>4285.38696191745</v>
      </c>
      <c r="AA41" s="155" t="n">
        <f aca="false">(-AP41)</f>
        <v>144.18785216</v>
      </c>
      <c r="AB41" s="123"/>
      <c r="AC41" s="244" t="n">
        <f aca="false">AC40-(AQ40/1.9835)+AS41</f>
        <v>1758.50784027258</v>
      </c>
      <c r="AD41" s="484" t="n">
        <f aca="false">AD40</f>
        <v>1495.84068565667</v>
      </c>
      <c r="AE41" s="155" t="n">
        <v>44.6</v>
      </c>
      <c r="AF41" s="157" t="n">
        <v>1.7</v>
      </c>
      <c r="AG41" s="158" t="n">
        <v>1.3</v>
      </c>
      <c r="AH41" s="155" t="n">
        <v>39.5</v>
      </c>
      <c r="AI41" s="123" t="n">
        <f aca="false">AI40-AH41</f>
        <v>6488.75787748927</v>
      </c>
      <c r="AJ41" s="123"/>
      <c r="AK41" s="154" t="n">
        <f aca="false">N41+O41+P41+Q41+R41+S41+T41+U41+X41+AE41+AH41-AR41</f>
        <v>386.3</v>
      </c>
      <c r="AL41" s="155" t="n">
        <f aca="false">IF(L41&lt;0,L41*-1,0)</f>
        <v>4.2754978573229</v>
      </c>
      <c r="AM41" s="155" t="n">
        <f aca="false">AK41+AL41</f>
        <v>390.575497857323</v>
      </c>
      <c r="AN41" s="303"/>
      <c r="AO41" s="241"/>
      <c r="AP41" s="633" t="n">
        <f aca="false">I41-Q41-R41-X41-AF41</f>
        <v>-144.18785216</v>
      </c>
      <c r="AQ41" s="601" t="n">
        <f aca="false">31.136*(Z41*1.9835+AC41*1.9835)/E41</f>
        <v>2.48755691352088</v>
      </c>
      <c r="AR41" s="186" t="n">
        <v>0</v>
      </c>
      <c r="AS41" s="373" t="n">
        <f aca="false">AS40</f>
        <v>7.45</v>
      </c>
      <c r="AV41" s="249" t="n">
        <v>0</v>
      </c>
      <c r="AW41" s="241" t="n">
        <v>77</v>
      </c>
      <c r="AX41" s="241" t="n">
        <v>45</v>
      </c>
      <c r="AY41" s="283"/>
      <c r="AZ41" s="282" t="n">
        <f aca="false">SUM(N41,P41:U41)</f>
        <v>5.83410394526491</v>
      </c>
      <c r="BA41" s="58" t="n">
        <v>9.79</v>
      </c>
      <c r="BB41" s="91" t="n">
        <v>17965</v>
      </c>
    </row>
    <row r="42" customFormat="false" ht="12.95" hidden="false" customHeight="true" outlineLevel="0" collapsed="false">
      <c r="A42" s="207" t="n">
        <v>28</v>
      </c>
      <c r="B42" s="122" t="n">
        <v>6904.79</v>
      </c>
      <c r="C42" s="123" t="n">
        <v>301592</v>
      </c>
      <c r="D42" s="241" t="n">
        <f aca="false">C42-C41</f>
        <v>-459</v>
      </c>
      <c r="E42" s="123" t="n">
        <f aca="false">C42-152000</f>
        <v>149592</v>
      </c>
      <c r="F42" s="277" t="n">
        <f aca="false">D42/$D$2</f>
        <v>-231.40912528359</v>
      </c>
      <c r="G42" s="155" t="n">
        <v>130</v>
      </c>
      <c r="H42" s="278" t="n">
        <v>0</v>
      </c>
      <c r="I42" s="155" t="n">
        <f aca="false">G42+H42</f>
        <v>130</v>
      </c>
      <c r="J42" s="156" t="n">
        <f aca="false">IF(L42&gt;0,L42,0)</f>
        <v>0</v>
      </c>
      <c r="K42" s="155" t="n">
        <f aca="false">I42+J42</f>
        <v>130</v>
      </c>
      <c r="L42" s="155" t="n">
        <f aca="false">F42-(I42-AK42)</f>
        <v>-14.1091252835896</v>
      </c>
      <c r="M42" s="279" t="n">
        <v>95.5</v>
      </c>
      <c r="N42" s="186" t="n">
        <v>0</v>
      </c>
      <c r="O42" s="155" t="n">
        <f aca="false">11.2*1.05</f>
        <v>11.76</v>
      </c>
      <c r="P42" s="186" t="n">
        <v>0</v>
      </c>
      <c r="Q42" s="373" t="n">
        <f aca="false">1283900/325851/1.9835*1.02</f>
        <v>2.02618972032958</v>
      </c>
      <c r="R42" s="151" t="n">
        <f aca="false">IF(((4*1.04)-T42)&gt;=4.2,4.2,(4*1.04)-T42)</f>
        <v>3.29285216</v>
      </c>
      <c r="S42" s="151" t="n">
        <f aca="false">IF(((4*1.04)-T42)&gt;=4.2,((4*1.04)-T42)-4.2,0)</f>
        <v>0</v>
      </c>
      <c r="T42" s="151" t="n">
        <f aca="false">(0.7866*1.06)*1.04</f>
        <v>0.86714784</v>
      </c>
      <c r="U42" s="393" t="n">
        <v>0</v>
      </c>
      <c r="V42" s="155" t="n">
        <v>112</v>
      </c>
      <c r="W42" s="155" t="n">
        <v>55.8</v>
      </c>
      <c r="X42" s="280" t="n">
        <f aca="false">M42-N42-O42-P42-Q42-R42-S42-T42-U42+V42+W42-AT42+AR42</f>
        <v>245.35381027967</v>
      </c>
      <c r="Y42" s="155" t="n">
        <f aca="false">X42-AO42</f>
        <v>245.35381027967</v>
      </c>
      <c r="Z42" s="123" t="n">
        <f aca="false">Z41+AP42</f>
        <v>4163.01410975745</v>
      </c>
      <c r="AA42" s="155" t="n">
        <f aca="false">(-AP42)</f>
        <v>122.37285216</v>
      </c>
      <c r="AB42" s="123"/>
      <c r="AC42" s="244" t="n">
        <f aca="false">AC41-(AQ41/1.9835)+AS42</f>
        <v>1764.70371528467</v>
      </c>
      <c r="AD42" s="484" t="n">
        <f aca="false">AD41</f>
        <v>1495.84068565667</v>
      </c>
      <c r="AE42" s="155" t="n">
        <v>44.5</v>
      </c>
      <c r="AF42" s="157" t="n">
        <v>1.7</v>
      </c>
      <c r="AG42" s="158" t="n">
        <v>1.3</v>
      </c>
      <c r="AH42" s="155" t="n">
        <v>39.5</v>
      </c>
      <c r="AI42" s="123" t="n">
        <f aca="false">AI41-AH42</f>
        <v>6449.25787748927</v>
      </c>
      <c r="AJ42" s="123"/>
      <c r="AK42" s="154" t="n">
        <f aca="false">N42+O42+P42+Q42+R42+S42+T42+U42+X42+AE42+AH42-AR42</f>
        <v>347.3</v>
      </c>
      <c r="AL42" s="155" t="n">
        <f aca="false">IF(L42&lt;0,L42*-1,0)</f>
        <v>14.1091252835896</v>
      </c>
      <c r="AM42" s="155" t="n">
        <f aca="false">AK42+AL42</f>
        <v>361.40912528359</v>
      </c>
      <c r="AN42" s="303"/>
      <c r="AO42" s="241"/>
      <c r="AP42" s="633" t="n">
        <f aca="false">I42-Q42-R42-X42-AF42</f>
        <v>-122.37285216</v>
      </c>
      <c r="AQ42" s="601" t="n">
        <f aca="false">51.968*(Z42*1.9835+AC42*1.9835)/E42</f>
        <v>4.08457957514241</v>
      </c>
      <c r="AR42" s="186" t="n">
        <v>0</v>
      </c>
      <c r="AS42" s="373" t="n">
        <f aca="false">AS41</f>
        <v>7.45</v>
      </c>
      <c r="AV42" s="249" t="n">
        <v>0</v>
      </c>
      <c r="AW42" s="241" t="n">
        <v>81</v>
      </c>
      <c r="AX42" s="241" t="n">
        <v>46</v>
      </c>
      <c r="AY42" s="283"/>
      <c r="AZ42" s="282" t="n">
        <f aca="false">SUM(N42,P42:U42)</f>
        <v>6.18618972032958</v>
      </c>
      <c r="BA42" s="474" t="n">
        <v>9.64</v>
      </c>
      <c r="BB42" s="91" t="n">
        <v>17939</v>
      </c>
    </row>
    <row r="43" customFormat="false" ht="12.95" hidden="false" customHeight="true" outlineLevel="0" collapsed="false">
      <c r="A43" s="207" t="n">
        <v>29</v>
      </c>
      <c r="B43" s="122" t="n">
        <v>6904.67</v>
      </c>
      <c r="C43" s="123" t="n">
        <v>301134</v>
      </c>
      <c r="D43" s="241" t="n">
        <f aca="false">C43-C42</f>
        <v>-458</v>
      </c>
      <c r="E43" s="123" t="n">
        <f aca="false">C43-152000</f>
        <v>149134</v>
      </c>
      <c r="F43" s="277" t="n">
        <f aca="false">D43/$D$2</f>
        <v>-230.904965969246</v>
      </c>
      <c r="G43" s="155" t="n">
        <v>124</v>
      </c>
      <c r="H43" s="278" t="n">
        <v>0</v>
      </c>
      <c r="I43" s="155" t="n">
        <f aca="false">G43+H43</f>
        <v>124</v>
      </c>
      <c r="J43" s="156" t="n">
        <f aca="false">IF(L43&gt;0,L43,0)</f>
        <v>3.7950340307537</v>
      </c>
      <c r="K43" s="155" t="n">
        <f aca="false">I43+J43</f>
        <v>127.795034030754</v>
      </c>
      <c r="L43" s="155" t="n">
        <f aca="false">F43-(I43-AK43)</f>
        <v>3.7950340307537</v>
      </c>
      <c r="M43" s="279" t="n">
        <v>108</v>
      </c>
      <c r="N43" s="186" t="n">
        <v>0</v>
      </c>
      <c r="O43" s="155" t="n">
        <f aca="false">8.28*1.05</f>
        <v>8.694</v>
      </c>
      <c r="P43" s="186" t="n">
        <v>0</v>
      </c>
      <c r="Q43" s="373" t="n">
        <f aca="false">1102700/325851/1.9835*1.02</f>
        <v>1.74022852605921</v>
      </c>
      <c r="R43" s="151" t="n">
        <f aca="false">IF(((4*1.04)-T43)&gt;=4.2,4.2,(4*1.04)-T43)</f>
        <v>3.29285216</v>
      </c>
      <c r="S43" s="151" t="n">
        <f aca="false">IF(((4*1.04)-T43)&gt;=4.2,((4*1.04)-T43)-4.2,0)</f>
        <v>0</v>
      </c>
      <c r="T43" s="151" t="n">
        <f aca="false">(0.7866*1.06)*1.04</f>
        <v>0.86714784</v>
      </c>
      <c r="U43" s="393" t="n">
        <v>0</v>
      </c>
      <c r="V43" s="155" t="n">
        <v>111</v>
      </c>
      <c r="W43" s="155" t="n">
        <v>54.3</v>
      </c>
      <c r="X43" s="280" t="n">
        <f aca="false">M43-N43-O43-P43-Q43-R43-S43-T43-U43+V43+W43-AT43+AR43</f>
        <v>258.705771473941</v>
      </c>
      <c r="Y43" s="155" t="n">
        <f aca="false">X43-AO43</f>
        <v>258.705771473941</v>
      </c>
      <c r="Z43" s="123" t="n">
        <f aca="false">Z42+AP43</f>
        <v>4021.57525759745</v>
      </c>
      <c r="AA43" s="155" t="n">
        <f aca="false">(-AP43)</f>
        <v>141.43885216</v>
      </c>
      <c r="AB43" s="123"/>
      <c r="AC43" s="244" t="n">
        <f aca="false">AC42-(AQ42/1.9835)+AS43</f>
        <v>1770.09443644668</v>
      </c>
      <c r="AD43" s="484" t="n">
        <f aca="false">AD42</f>
        <v>1495.84068565667</v>
      </c>
      <c r="AE43" s="155" t="n">
        <v>45.9</v>
      </c>
      <c r="AF43" s="157" t="n">
        <v>1.7</v>
      </c>
      <c r="AG43" s="158" t="n">
        <v>1.3</v>
      </c>
      <c r="AH43" s="155" t="n">
        <v>39.5</v>
      </c>
      <c r="AI43" s="123" t="n">
        <f aca="false">AI42-AH43</f>
        <v>6409.75787748927</v>
      </c>
      <c r="AJ43" s="123"/>
      <c r="AK43" s="154" t="n">
        <f aca="false">N43+O43+P43+Q43+R43+S43+T43+U43+X43+AE43+AH43-AR43</f>
        <v>358.7</v>
      </c>
      <c r="AL43" s="155" t="n">
        <f aca="false">IF(L43&lt;0,L43*-1,0)</f>
        <v>0</v>
      </c>
      <c r="AM43" s="155" t="n">
        <f aca="false">AK43+AL43</f>
        <v>358.7</v>
      </c>
      <c r="AN43" s="303"/>
      <c r="AO43" s="241"/>
      <c r="AP43" s="633" t="n">
        <f aca="false">I43-Q43-R43-X43-AF43</f>
        <v>-141.43885216</v>
      </c>
      <c r="AQ43" s="601" t="n">
        <f aca="false">0*(Z43*1.9835+AC43*1.9835)/E43</f>
        <v>0</v>
      </c>
      <c r="AR43" s="186" t="n">
        <v>0</v>
      </c>
      <c r="AS43" s="373" t="n">
        <f aca="false">AS42</f>
        <v>7.45</v>
      </c>
      <c r="AV43" s="249" t="n">
        <v>0.14</v>
      </c>
      <c r="AW43" s="241" t="n">
        <v>65</v>
      </c>
      <c r="AX43" s="241" t="n">
        <v>51</v>
      </c>
      <c r="AY43" s="283"/>
      <c r="AZ43" s="282" t="n">
        <f aca="false">SUM(N43,P43:U43)</f>
        <v>5.90022852605921</v>
      </c>
      <c r="BA43" s="58" t="n">
        <v>9.69</v>
      </c>
      <c r="BB43" s="91" t="n">
        <v>17870</v>
      </c>
    </row>
    <row r="44" customFormat="false" ht="12.95" hidden="false" customHeight="true" outlineLevel="0" collapsed="false">
      <c r="A44" s="207" t="n">
        <v>30</v>
      </c>
      <c r="B44" s="122" t="n">
        <v>6904.58</v>
      </c>
      <c r="C44" s="123" t="n">
        <v>300789</v>
      </c>
      <c r="D44" s="241" t="n">
        <f aca="false">C44-C43</f>
        <v>-345</v>
      </c>
      <c r="E44" s="123" t="n">
        <f aca="false">C44-152000</f>
        <v>148789</v>
      </c>
      <c r="F44" s="277" t="n">
        <f aca="false">D44/$D$2</f>
        <v>-173.93496344845</v>
      </c>
      <c r="G44" s="155" t="n">
        <v>146</v>
      </c>
      <c r="H44" s="278" t="n">
        <v>0</v>
      </c>
      <c r="I44" s="155" t="n">
        <f aca="false">G44+H44</f>
        <v>146</v>
      </c>
      <c r="J44" s="156" t="n">
        <f aca="false">IF(L44&gt;0,L44,0)</f>
        <v>0</v>
      </c>
      <c r="K44" s="155" t="n">
        <f aca="false">I44+J44</f>
        <v>146</v>
      </c>
      <c r="L44" s="155" t="n">
        <f aca="false">F44-(I44-AK44)</f>
        <v>-4.43496344844971</v>
      </c>
      <c r="M44" s="279" t="n">
        <v>87.6</v>
      </c>
      <c r="N44" s="186" t="n">
        <v>0.458</v>
      </c>
      <c r="O44" s="155" t="n">
        <f aca="false">15.3*1.05</f>
        <v>16.065</v>
      </c>
      <c r="P44" s="186" t="n">
        <v>0</v>
      </c>
      <c r="Q44" s="373" t="n">
        <f aca="false">1168800/325851/1.9835*1.02</f>
        <v>1.84454439218102</v>
      </c>
      <c r="R44" s="151" t="n">
        <f aca="false">IF(((3.9*1.04)-T44)&gt;=4.2,4.2,(3.9*1.04)-T44)</f>
        <v>3.14685072</v>
      </c>
      <c r="S44" s="151" t="n">
        <f aca="false">IF(((3.9*1.04)-T44)&gt;=4.2,((3.9*1.04)-T44)-4.2,0)</f>
        <v>0</v>
      </c>
      <c r="T44" s="151" t="n">
        <f aca="false">(0.8247*1.06)*1.04</f>
        <v>0.90914928</v>
      </c>
      <c r="U44" s="393" t="n">
        <v>0</v>
      </c>
      <c r="V44" s="155" t="n">
        <v>107</v>
      </c>
      <c r="W44" s="155" t="n">
        <v>51.7</v>
      </c>
      <c r="X44" s="280" t="n">
        <f aca="false">M44-N44-O44-P44-Q44-R44-S44-T44-U44+V44+W44-AT44+AR44</f>
        <v>223.876455607819</v>
      </c>
      <c r="Y44" s="155" t="n">
        <f aca="false">X44-AO44</f>
        <v>223.876455607819</v>
      </c>
      <c r="Z44" s="123" t="n">
        <f aca="false">Z43+AP44</f>
        <v>3937.00740687745</v>
      </c>
      <c r="AA44" s="155" t="n">
        <f aca="false">(-AP44)</f>
        <v>84.56785072</v>
      </c>
      <c r="AB44" s="123"/>
      <c r="AC44" s="244" t="n">
        <f aca="false">AC43-(AQ43/1.9835)+AS44</f>
        <v>1777.54443644668</v>
      </c>
      <c r="AD44" s="484" t="n">
        <f aca="false">AD43</f>
        <v>1495.84068565667</v>
      </c>
      <c r="AE44" s="155" t="n">
        <v>29.7</v>
      </c>
      <c r="AF44" s="157" t="n">
        <v>1.7</v>
      </c>
      <c r="AG44" s="158" t="n">
        <v>1.3</v>
      </c>
      <c r="AH44" s="155" t="n">
        <v>39.5</v>
      </c>
      <c r="AI44" s="123" t="n">
        <f aca="false">AI43-AH44</f>
        <v>6370.25787748927</v>
      </c>
      <c r="AJ44" s="123"/>
      <c r="AK44" s="154" t="n">
        <f aca="false">N44+O44+P44+Q44+R44+S44+T44+U44+X44+AE44+AH44-AR44</f>
        <v>315.5</v>
      </c>
      <c r="AL44" s="155" t="n">
        <f aca="false">IF(L44&lt;0,L44*-1,0)</f>
        <v>4.43496344844971</v>
      </c>
      <c r="AM44" s="155" t="n">
        <f aca="false">AK44+AL44</f>
        <v>319.93496344845</v>
      </c>
      <c r="AN44" s="303"/>
      <c r="AO44" s="241"/>
      <c r="AP44" s="633" t="n">
        <f aca="false">I44-Q44-R44-X44-AF44</f>
        <v>-84.56785072</v>
      </c>
      <c r="AQ44" s="601" t="n">
        <f aca="false">15.456*(Z44*1.9835+AC44*1.9835)/E44</f>
        <v>1.17744509816951</v>
      </c>
      <c r="AR44" s="186" t="n">
        <v>0</v>
      </c>
      <c r="AS44" s="373" t="n">
        <f aca="false">AS43</f>
        <v>7.45</v>
      </c>
      <c r="AV44" s="249" t="n">
        <v>0</v>
      </c>
      <c r="AW44" s="514" t="n">
        <v>72</v>
      </c>
      <c r="AX44" s="241" t="n">
        <v>46</v>
      </c>
      <c r="AY44" s="283"/>
      <c r="AZ44" s="282" t="n">
        <f aca="false">SUM(N44,P44:U44)</f>
        <v>6.35854439218102</v>
      </c>
      <c r="BA44" s="58" t="n">
        <v>10.1</v>
      </c>
      <c r="BB44" s="91" t="n">
        <v>17924</v>
      </c>
    </row>
    <row r="45" customFormat="false" ht="3" hidden="false" customHeight="true" outlineLevel="0" collapsed="false">
      <c r="A45" s="261"/>
      <c r="B45" s="286"/>
      <c r="C45" s="263"/>
      <c r="D45" s="264"/>
      <c r="E45" s="263"/>
      <c r="F45" s="265"/>
      <c r="G45" s="264"/>
      <c r="H45" s="266"/>
      <c r="I45" s="264"/>
      <c r="J45" s="264"/>
      <c r="K45" s="264"/>
      <c r="L45" s="264"/>
      <c r="M45" s="267"/>
      <c r="N45" s="264"/>
      <c r="O45" s="264"/>
      <c r="P45" s="268"/>
      <c r="Q45" s="268"/>
      <c r="R45" s="268"/>
      <c r="S45" s="268"/>
      <c r="T45" s="268"/>
      <c r="U45" s="269"/>
      <c r="V45" s="264"/>
      <c r="W45" s="264"/>
      <c r="X45" s="264"/>
      <c r="Y45" s="264"/>
      <c r="Z45" s="263"/>
      <c r="AA45" s="264"/>
      <c r="AB45" s="263"/>
      <c r="AC45" s="263"/>
      <c r="AD45" s="263"/>
      <c r="AE45" s="264"/>
      <c r="AF45" s="138"/>
      <c r="AG45" s="139"/>
      <c r="AH45" s="264"/>
      <c r="AI45" s="264"/>
      <c r="AJ45" s="264"/>
      <c r="AK45" s="264"/>
      <c r="AL45" s="264"/>
      <c r="AM45" s="264"/>
      <c r="AN45" s="309"/>
      <c r="AO45" s="274"/>
      <c r="AP45" s="271"/>
      <c r="AQ45" s="268"/>
      <c r="AR45" s="268"/>
      <c r="AS45" s="268"/>
      <c r="AT45" s="268"/>
      <c r="AU45" s="271"/>
      <c r="AV45" s="276"/>
      <c r="AW45" s="274"/>
      <c r="AX45" s="274"/>
      <c r="AY45" s="274"/>
      <c r="AZ45" s="274"/>
      <c r="BA45" s="274"/>
      <c r="BB45" s="274"/>
    </row>
    <row r="46" customFormat="false" ht="12.95" hidden="false" customHeight="true" outlineLevel="0" collapsed="false">
      <c r="A46" s="209" t="s">
        <v>104</v>
      </c>
      <c r="B46" s="239"/>
      <c r="C46" s="123"/>
      <c r="D46" s="123"/>
      <c r="E46" s="123"/>
      <c r="F46" s="240" t="n">
        <f aca="false">SUM(F15:F44)</f>
        <v>-10767.8346357449</v>
      </c>
      <c r="G46" s="123" t="n">
        <f aca="false">SUM(G15:G44)</f>
        <v>4167.5</v>
      </c>
      <c r="H46" s="123" t="n">
        <f aca="false">SUM(H15:H44)</f>
        <v>0</v>
      </c>
      <c r="I46" s="123" t="n">
        <f aca="false">SUM(I15:I44)</f>
        <v>4167.5</v>
      </c>
      <c r="J46" s="123" t="n">
        <f aca="false">SUM(J15:J44)</f>
        <v>225.436652382153</v>
      </c>
      <c r="K46" s="123" t="n">
        <f aca="false">SUM(K15:K44)</f>
        <v>4392.93665238215</v>
      </c>
      <c r="L46" s="123" t="n">
        <f aca="false">SUM(L15:L44)</f>
        <v>-222.534635744895</v>
      </c>
      <c r="M46" s="242" t="n">
        <f aca="false">SUM(M15:M44)</f>
        <v>5302.6</v>
      </c>
      <c r="N46" s="123" t="n">
        <f aca="false">SUM(N15:N44)</f>
        <v>11.559</v>
      </c>
      <c r="O46" s="123" t="n">
        <f aca="false">SUM(O15:O44)</f>
        <v>1776.4215</v>
      </c>
      <c r="P46" s="186" t="n">
        <f aca="false">SUM(P15:P44)</f>
        <v>0</v>
      </c>
      <c r="Q46" s="241" t="n">
        <f aca="false">SUM(Q15:Q44)</f>
        <v>66.2906024148204</v>
      </c>
      <c r="R46" s="241" t="n">
        <f aca="false">SUM(R15:R44)</f>
        <v>113.17901088</v>
      </c>
      <c r="S46" s="241" t="n">
        <f aca="false">SUM(S15:S44)</f>
        <v>10.4820768</v>
      </c>
      <c r="T46" s="241" t="n">
        <f aca="false">SUM(T15:T44)</f>
        <v>28.90691232</v>
      </c>
      <c r="U46" s="243" t="n">
        <f aca="false">SUM(U15:U44)</f>
        <v>0</v>
      </c>
      <c r="V46" s="123" t="n">
        <f aca="false">SUM(V15:V44)</f>
        <v>3002.4</v>
      </c>
      <c r="W46" s="123" t="n">
        <f aca="false">SUM(W15:W44)</f>
        <v>1813.5</v>
      </c>
      <c r="X46" s="123" t="n">
        <f aca="false">SUM(X15:X44)</f>
        <v>8111.66089758518</v>
      </c>
      <c r="Y46" s="123" t="n">
        <f aca="false">SUM(Y15:Y44)</f>
        <v>8111.66089758518</v>
      </c>
      <c r="Z46" s="123"/>
      <c r="AA46" s="123"/>
      <c r="AB46" s="123"/>
      <c r="AC46" s="123"/>
      <c r="AE46" s="123" t="n">
        <f aca="false">SUM(AE15:AE44)</f>
        <v>3222.1</v>
      </c>
      <c r="AF46" s="242" t="n">
        <f aca="false">SUM(AF15:AF44)</f>
        <v>51</v>
      </c>
      <c r="AG46" s="245" t="n">
        <f aca="false">SUM(AG15:AG44)</f>
        <v>39</v>
      </c>
      <c r="AH46" s="123" t="n">
        <f aca="false">SUM(AH15:AH44)</f>
        <v>1372.2</v>
      </c>
      <c r="AI46" s="123"/>
      <c r="AJ46" s="123" t="n">
        <f aca="false">SUM(AJ15:AJ44)</f>
        <v>0</v>
      </c>
      <c r="AK46" s="123" t="n">
        <f aca="false">SUM(AK15:AK44)</f>
        <v>14712.8</v>
      </c>
      <c r="AL46" s="123" t="n">
        <f aca="false">SUM(AL15:AL44)</f>
        <v>447.971288127048</v>
      </c>
      <c r="AM46" s="561" t="n">
        <f aca="false">SUM(AM15:AM44)</f>
        <v>15160.771288127</v>
      </c>
      <c r="AN46" s="123" t="n">
        <f aca="false">SUM(AN15:AN44)</f>
        <v>0</v>
      </c>
      <c r="AO46" s="123" t="n">
        <f aca="false">SUM(AO15:AO44)</f>
        <v>0</v>
      </c>
      <c r="AP46" s="156"/>
      <c r="AQ46" s="186"/>
      <c r="AR46" s="186" t="n">
        <f aca="false">SUM(AR15:AR44)</f>
        <v>0</v>
      </c>
      <c r="AS46" s="241" t="n">
        <f aca="false">SUM(AS15:AS44)</f>
        <v>223.5</v>
      </c>
      <c r="AT46" s="241" t="n">
        <f aca="false">SUM(AT15:AT44)</f>
        <v>0</v>
      </c>
      <c r="AU46" s="241" t="n">
        <f aca="false">SUM(AU15:AU44)</f>
        <v>0</v>
      </c>
      <c r="AV46" s="249" t="n">
        <f aca="false">SUM(AV15:AV44)</f>
        <v>1.23</v>
      </c>
      <c r="AW46" s="241" t="n">
        <f aca="false">AVERAGE(AW15:AW44)</f>
        <v>77.9333333333333</v>
      </c>
      <c r="AX46" s="241" t="n">
        <f aca="false">AVERAGE(AX15:AX44)</f>
        <v>48.5</v>
      </c>
      <c r="AY46" s="250" t="s">
        <v>130</v>
      </c>
      <c r="AZ46" s="375" t="n">
        <f aca="false">SUM(AZ15:AZ44)</f>
        <v>230.41760241482</v>
      </c>
      <c r="BA46" s="176" t="n">
        <f aca="false">SUM(BA14:BA44)</f>
        <v>312.53</v>
      </c>
      <c r="BB46" s="91"/>
    </row>
    <row r="47" customFormat="false" ht="12.95" hidden="false" customHeight="true" outlineLevel="0" collapsed="false">
      <c r="A47" s="209" t="s">
        <v>106</v>
      </c>
      <c r="B47" s="239"/>
      <c r="C47" s="123"/>
      <c r="D47" s="123" t="n">
        <f aca="false">SUM(D15:D44)</f>
        <v>-21358</v>
      </c>
      <c r="E47" s="123"/>
      <c r="F47" s="240" t="n">
        <f aca="false">F46*$D$2</f>
        <v>-21358</v>
      </c>
      <c r="G47" s="123" t="n">
        <f aca="false">G46*$D$2</f>
        <v>8266.23625</v>
      </c>
      <c r="H47" s="123" t="n">
        <f aca="false">H46*$D$2</f>
        <v>0</v>
      </c>
      <c r="I47" s="123" t="n">
        <f aca="false">I46*$D$2</f>
        <v>8266.23625</v>
      </c>
      <c r="J47" s="123" t="n">
        <f aca="false">J46*$D$2</f>
        <v>447.1536</v>
      </c>
      <c r="K47" s="123" t="n">
        <f aca="false">K46*$D$2</f>
        <v>8713.38985</v>
      </c>
      <c r="L47" s="123" t="n">
        <f aca="false">L46*$D$2</f>
        <v>-441.397449999999</v>
      </c>
      <c r="M47" s="242" t="n">
        <f aca="false">M46*$D$2</f>
        <v>10517.7071</v>
      </c>
      <c r="N47" s="123" t="n">
        <f aca="false">N46*$D$2</f>
        <v>22.9272765</v>
      </c>
      <c r="O47" s="123" t="n">
        <f aca="false">O46*$D$2</f>
        <v>3523.53204525</v>
      </c>
      <c r="P47" s="186" t="n">
        <f aca="false">P46*$D$2</f>
        <v>0</v>
      </c>
      <c r="Q47" s="241" t="n">
        <f aca="false">Q46*$D$2</f>
        <v>131.487409889796</v>
      </c>
      <c r="R47" s="241" t="n">
        <f aca="false">R46*$D$2</f>
        <v>224.49056808048</v>
      </c>
      <c r="S47" s="241" t="n">
        <f aca="false">S46*$D$2</f>
        <v>20.7911993328</v>
      </c>
      <c r="T47" s="241" t="n">
        <f aca="false">T46*$D$2</f>
        <v>57.33686058672</v>
      </c>
      <c r="U47" s="243" t="n">
        <f aca="false">U46*$D$2</f>
        <v>0</v>
      </c>
      <c r="V47" s="123" t="n">
        <f aca="false">V46*$D$2</f>
        <v>5955.2604</v>
      </c>
      <c r="W47" s="123" t="n">
        <f aca="false">W46*$D$2</f>
        <v>3597.07725</v>
      </c>
      <c r="X47" s="123" t="n">
        <f aca="false">X46*$D$2</f>
        <v>16089.4793903602</v>
      </c>
      <c r="Y47" s="123" t="n">
        <f aca="false">Y46*$D$2</f>
        <v>16089.4793903602</v>
      </c>
      <c r="Z47" s="123"/>
      <c r="AA47" s="123"/>
      <c r="AB47" s="123"/>
      <c r="AC47" s="123"/>
      <c r="AE47" s="123" t="n">
        <f aca="false">AE46*$D$2</f>
        <v>6391.03535</v>
      </c>
      <c r="AF47" s="242" t="n">
        <f aca="false">AF46*$D$2</f>
        <v>101.1585</v>
      </c>
      <c r="AG47" s="245" t="n">
        <f aca="false">AG46*$D$2</f>
        <v>77.3565</v>
      </c>
      <c r="AH47" s="123" t="n">
        <f aca="false">AH46*$D$2</f>
        <v>2721.7587</v>
      </c>
      <c r="AI47" s="123"/>
      <c r="AJ47" s="123" t="n">
        <f aca="false">AJ46*$D$2</f>
        <v>0</v>
      </c>
      <c r="AK47" s="123" t="n">
        <f aca="false">AK46*$D$2</f>
        <v>29182.8388</v>
      </c>
      <c r="AL47" s="123" t="n">
        <f aca="false">AL46*$D$2</f>
        <v>888.551049999999</v>
      </c>
      <c r="AM47" s="298" t="n">
        <f aca="false">AM46*$D$2</f>
        <v>30071.38985</v>
      </c>
      <c r="AN47" s="123" t="n">
        <f aca="false">AN46*$D$2</f>
        <v>0</v>
      </c>
      <c r="AO47" s="123" t="n">
        <f aca="false">AO46*$D$2</f>
        <v>0</v>
      </c>
      <c r="AP47" s="156"/>
      <c r="AQ47" s="186" t="n">
        <f aca="false">SUM(AQ15:AQ44)</f>
        <v>104.497040522979</v>
      </c>
      <c r="AR47" s="156" t="n">
        <f aca="false">AR46*$D$2</f>
        <v>0</v>
      </c>
      <c r="AS47" s="241" t="n">
        <f aca="false">AS46*$D$2</f>
        <v>443.31225</v>
      </c>
      <c r="AT47" s="241" t="n">
        <f aca="false">AT46*$D$2</f>
        <v>0</v>
      </c>
      <c r="AU47" s="241" t="n">
        <f aca="false">AU46*$D$2</f>
        <v>0</v>
      </c>
      <c r="AV47" s="249"/>
      <c r="AW47" s="241" t="n">
        <f aca="false">MAX(AW15:AW44)</f>
        <v>86</v>
      </c>
      <c r="AX47" s="241" t="n">
        <f aca="false">MAX(AX15:AX44)</f>
        <v>56</v>
      </c>
      <c r="AY47" s="250" t="s">
        <v>107</v>
      </c>
      <c r="AZ47" s="375" t="n">
        <f aca="false">AZ46*$D$2</f>
        <v>457.033314389796</v>
      </c>
      <c r="BA47" s="176" t="n">
        <f aca="false">BA46*$D$2</f>
        <v>619.903255</v>
      </c>
      <c r="BB47" s="91"/>
    </row>
    <row r="48" customFormat="false" ht="3" hidden="false" customHeight="true" outlineLevel="0" collapsed="false">
      <c r="A48" s="261"/>
      <c r="B48" s="286"/>
      <c r="C48" s="263"/>
      <c r="D48" s="263"/>
      <c r="E48" s="263"/>
      <c r="F48" s="289"/>
      <c r="G48" s="263"/>
      <c r="H48" s="263"/>
      <c r="I48" s="263"/>
      <c r="J48" s="263"/>
      <c r="K48" s="263"/>
      <c r="L48" s="263"/>
      <c r="M48" s="290"/>
      <c r="N48" s="263"/>
      <c r="O48" s="263"/>
      <c r="P48" s="268"/>
      <c r="Q48" s="274"/>
      <c r="R48" s="274"/>
      <c r="S48" s="274"/>
      <c r="T48" s="274"/>
      <c r="U48" s="269"/>
      <c r="V48" s="263"/>
      <c r="W48" s="263"/>
      <c r="X48" s="263"/>
      <c r="Y48" s="263"/>
      <c r="Z48" s="263"/>
      <c r="AA48" s="263"/>
      <c r="AB48" s="263"/>
      <c r="AC48" s="263"/>
      <c r="AD48" s="563"/>
      <c r="AE48" s="263"/>
      <c r="AF48" s="290"/>
      <c r="AG48" s="291"/>
      <c r="AH48" s="263"/>
      <c r="AI48" s="264"/>
      <c r="AJ48" s="263"/>
      <c r="AK48" s="263"/>
      <c r="AL48" s="263"/>
      <c r="AM48" s="263"/>
      <c r="AN48" s="293"/>
      <c r="AO48" s="263"/>
      <c r="AP48" s="271"/>
      <c r="AQ48" s="268"/>
      <c r="AR48" s="268"/>
      <c r="AS48" s="274"/>
      <c r="AT48" s="274"/>
      <c r="AU48" s="271"/>
      <c r="AV48" s="293"/>
      <c r="AW48" s="263"/>
      <c r="AX48" s="263"/>
      <c r="AY48" s="263"/>
      <c r="AZ48" s="263"/>
      <c r="BA48" s="263"/>
      <c r="BB48" s="263"/>
    </row>
    <row r="49" customFormat="false" ht="12.95" hidden="false" customHeight="true" outlineLevel="0" collapsed="false">
      <c r="A49" s="209" t="s">
        <v>108</v>
      </c>
      <c r="B49" s="239"/>
      <c r="C49" s="123"/>
      <c r="D49" s="123"/>
      <c r="E49" s="123"/>
      <c r="F49" s="240" t="n">
        <f aca="false">F12+F46</f>
        <v>18718.4270229393</v>
      </c>
      <c r="G49" s="123" t="n">
        <f aca="false">G12+G46</f>
        <v>123974.5</v>
      </c>
      <c r="H49" s="123" t="n">
        <f aca="false">H12+H46</f>
        <v>4369.598</v>
      </c>
      <c r="I49" s="123" t="n">
        <f aca="false">I12+I46</f>
        <v>128344.098</v>
      </c>
      <c r="J49" s="123" t="n">
        <f aca="false">J12+J46</f>
        <v>6618.91989563902</v>
      </c>
      <c r="K49" s="123" t="n">
        <f aca="false">K12+K46</f>
        <v>134963.007895639</v>
      </c>
      <c r="L49" s="123" t="n">
        <f aca="false">L12+L46</f>
        <v>3396.32602293925</v>
      </c>
      <c r="M49" s="242" t="n">
        <f aca="false">M12+M46</f>
        <v>39518.58</v>
      </c>
      <c r="N49" s="123" t="n">
        <f aca="false">N12+N46</f>
        <v>11.559</v>
      </c>
      <c r="O49" s="123" t="n">
        <f aca="false">O12+O46</f>
        <v>12676.635</v>
      </c>
      <c r="P49" s="186" t="n">
        <f aca="false">P12+P46</f>
        <v>7.06</v>
      </c>
      <c r="Q49" s="241"/>
      <c r="R49" s="241"/>
      <c r="S49" s="241"/>
      <c r="T49" s="241"/>
      <c r="U49" s="243"/>
      <c r="V49" s="123" t="n">
        <f aca="false">V12+V46</f>
        <v>14752.8</v>
      </c>
      <c r="W49" s="123" t="n">
        <f aca="false">W12+W46</f>
        <v>9786.6</v>
      </c>
      <c r="X49" s="123" t="n">
        <f aca="false">X12+X46</f>
        <v>49784.7101769276</v>
      </c>
      <c r="Y49" s="123" t="n">
        <f aca="false">Y12+Y46</f>
        <v>49751.9398214953</v>
      </c>
      <c r="Z49" s="93" t="n">
        <f aca="false">Z44</f>
        <v>3937.00740687745</v>
      </c>
      <c r="AA49" s="123"/>
      <c r="AB49" s="123"/>
      <c r="AC49" s="123"/>
      <c r="AE49" s="123" t="n">
        <f aca="false">AE12+AE46</f>
        <v>25288.873</v>
      </c>
      <c r="AF49" s="242" t="n">
        <f aca="false">AF12+AF46</f>
        <v>311.1</v>
      </c>
      <c r="AG49" s="245" t="n">
        <f aca="false">AG12+AG46</f>
        <v>237.9</v>
      </c>
      <c r="AH49" s="123"/>
      <c r="AI49" s="123"/>
      <c r="AJ49" s="123" t="n">
        <f aca="false">AJ12+AJ46</f>
        <v>0</v>
      </c>
      <c r="AK49" s="123" t="n">
        <f aca="false">AK12+AK46</f>
        <v>113021.987</v>
      </c>
      <c r="AL49" s="123" t="n">
        <f aca="false">AL12+AL46</f>
        <v>3222.59387269977</v>
      </c>
      <c r="AM49" s="123" t="n">
        <f aca="false">AM12+AM46</f>
        <v>116244.5808727</v>
      </c>
      <c r="AN49" s="303"/>
      <c r="AO49" s="241"/>
      <c r="AP49" s="156"/>
      <c r="AQ49" s="186"/>
      <c r="AR49" s="156" t="n">
        <f aca="false">AR12+AR46</f>
        <v>0</v>
      </c>
      <c r="AS49" s="241" t="n">
        <f aca="false">AS12+AS46</f>
        <v>656.79</v>
      </c>
      <c r="AT49" s="241" t="n">
        <f aca="false">AT12+AT46</f>
        <v>172.906</v>
      </c>
      <c r="AU49" s="241" t="n">
        <f aca="false">AU12+AU46</f>
        <v>0</v>
      </c>
      <c r="AV49" s="249" t="s">
        <v>136</v>
      </c>
      <c r="AW49" s="241" t="n">
        <f aca="false">MIN(AW15:AW44)</f>
        <v>59</v>
      </c>
      <c r="AX49" s="241" t="n">
        <f aca="false">MIN(AX15:AX44)</f>
        <v>36</v>
      </c>
      <c r="AY49" s="250" t="s">
        <v>109</v>
      </c>
      <c r="AZ49" s="375" t="n">
        <f aca="false">AZ12+AZ46</f>
        <v>1440.43432307239</v>
      </c>
      <c r="BA49" s="176" t="n">
        <f aca="false">BA12+BA46</f>
        <v>6713.394</v>
      </c>
      <c r="BB49" s="91"/>
    </row>
    <row r="50" customFormat="false" ht="12.95" hidden="false" customHeight="true" outlineLevel="0" collapsed="false">
      <c r="A50" s="209" t="s">
        <v>110</v>
      </c>
      <c r="B50" s="239"/>
      <c r="C50" s="123"/>
      <c r="D50" s="123"/>
      <c r="E50" s="123"/>
      <c r="F50" s="240" t="n">
        <f aca="false">F49*$D$2</f>
        <v>37128</v>
      </c>
      <c r="G50" s="123" t="n">
        <f aca="false">G49*$D$2</f>
        <v>245903.42075</v>
      </c>
      <c r="H50" s="123" t="n">
        <f aca="false">H49*$D$2</f>
        <v>8667.097633</v>
      </c>
      <c r="I50" s="123" t="n">
        <f aca="false">I49*$D$2</f>
        <v>254570.518383</v>
      </c>
      <c r="J50" s="123" t="n">
        <f aca="false">J49*$D$2</f>
        <v>13128.627613</v>
      </c>
      <c r="K50" s="123" t="n">
        <f aca="false">K49*$D$2</f>
        <v>267699.126161</v>
      </c>
      <c r="L50" s="123" t="n">
        <f aca="false">L49*$D$2</f>
        <v>6736.6126665</v>
      </c>
      <c r="M50" s="242" t="n">
        <f aca="false">M49*$D$2</f>
        <v>78385.10343</v>
      </c>
      <c r="N50" s="123" t="n">
        <f aca="false">N49*$D$2</f>
        <v>22.9272765</v>
      </c>
      <c r="O50" s="123" t="n">
        <f aca="false">O49*$D$2</f>
        <v>25144.1055225</v>
      </c>
      <c r="P50" s="186" t="n">
        <f aca="false">P49*$D$2</f>
        <v>14.00351</v>
      </c>
      <c r="Q50" s="241"/>
      <c r="R50" s="241"/>
      <c r="S50" s="241"/>
      <c r="T50" s="241"/>
      <c r="U50" s="243"/>
      <c r="V50" s="123" t="n">
        <f aca="false">V49*$D$2</f>
        <v>29262.1788</v>
      </c>
      <c r="W50" s="123" t="n">
        <f aca="false">W49*$D$2</f>
        <v>19411.7211</v>
      </c>
      <c r="X50" s="123" t="n">
        <f aca="false">X49*$D$2</f>
        <v>98747.9726359359</v>
      </c>
      <c r="Y50" s="123" t="n">
        <f aca="false">Y49*$D$2</f>
        <v>98682.9726359359</v>
      </c>
      <c r="Z50" s="93" t="n">
        <f aca="false">Z49*$D$2</f>
        <v>7809.05419154143</v>
      </c>
      <c r="AA50" s="123"/>
      <c r="AB50" s="123"/>
      <c r="AC50" s="123"/>
      <c r="AE50" s="245" t="n">
        <f aca="false">AE49*$D$2</f>
        <v>50160.4795955</v>
      </c>
      <c r="AF50" s="123" t="n">
        <f aca="false">AF49*$D$2</f>
        <v>617.06685</v>
      </c>
      <c r="AG50" s="245" t="n">
        <f aca="false">AG49*$D$2</f>
        <v>471.87465</v>
      </c>
      <c r="AH50" s="123"/>
      <c r="AI50" s="123"/>
      <c r="AJ50" s="123" t="n">
        <f aca="false">AJ49*$D$2</f>
        <v>0</v>
      </c>
      <c r="AK50" s="123" t="n">
        <f aca="false">AK49*$D$2</f>
        <v>224179.1112145</v>
      </c>
      <c r="AL50" s="123" t="n">
        <f aca="false">AL49*$D$2</f>
        <v>6392.0149465</v>
      </c>
      <c r="AM50" s="123" t="n">
        <f aca="false">AM49*$D$2</f>
        <v>230571.126161</v>
      </c>
      <c r="AN50" s="303"/>
      <c r="AO50" s="241"/>
      <c r="AP50" s="156"/>
      <c r="AQ50" s="186" t="n">
        <f aca="false">AQ12+AQ47</f>
        <v>1178.03188018637</v>
      </c>
      <c r="AR50" s="156" t="n">
        <f aca="false">AR49*$D$2</f>
        <v>0</v>
      </c>
      <c r="AS50" s="156" t="n">
        <f aca="false">AS49*$D$2</f>
        <v>1302.742965</v>
      </c>
      <c r="AT50" s="241" t="n">
        <f aca="false">AT49*$D$2</f>
        <v>342.959051</v>
      </c>
      <c r="AU50" s="241" t="n">
        <f aca="false">AU49*$D$2</f>
        <v>0</v>
      </c>
      <c r="AV50" s="249" t="n">
        <f aca="false">AUG!AV51+AV46</f>
        <v>9.76845679012346</v>
      </c>
      <c r="AW50" s="241"/>
      <c r="AX50" s="241"/>
      <c r="AY50" s="283"/>
      <c r="AZ50" s="375" t="n">
        <f aca="false">AZ49*$D$2</f>
        <v>2857.10147981409</v>
      </c>
      <c r="BA50" s="176" t="n">
        <f aca="false">BA49*$D$2</f>
        <v>13316.016999</v>
      </c>
      <c r="BB50" s="91"/>
    </row>
    <row r="51" customFormat="false" ht="3" hidden="false" customHeight="true" outlineLevel="0" collapsed="false">
      <c r="A51" s="261"/>
      <c r="B51" s="286"/>
      <c r="C51" s="263"/>
      <c r="D51" s="263"/>
      <c r="E51" s="263"/>
      <c r="F51" s="289"/>
      <c r="G51" s="263"/>
      <c r="H51" s="274"/>
      <c r="I51" s="263"/>
      <c r="J51" s="263"/>
      <c r="K51" s="263"/>
      <c r="L51" s="263"/>
      <c r="M51" s="290"/>
      <c r="N51" s="263"/>
      <c r="O51" s="263"/>
      <c r="P51" s="268"/>
      <c r="Q51" s="274"/>
      <c r="R51" s="274"/>
      <c r="S51" s="274"/>
      <c r="T51" s="274"/>
      <c r="U51" s="269"/>
      <c r="V51" s="263"/>
      <c r="W51" s="263"/>
      <c r="X51" s="263"/>
      <c r="Y51" s="263"/>
      <c r="Z51" s="263"/>
      <c r="AA51" s="263"/>
      <c r="AB51" s="263"/>
      <c r="AC51" s="263"/>
      <c r="AD51" s="263"/>
      <c r="AE51" s="291"/>
      <c r="AF51" s="137"/>
      <c r="AG51" s="183"/>
      <c r="AH51" s="263"/>
      <c r="AI51" s="263"/>
      <c r="AJ51" s="263"/>
      <c r="AK51" s="263"/>
      <c r="AL51" s="263"/>
      <c r="AM51" s="263"/>
      <c r="AN51" s="276"/>
      <c r="AO51" s="294"/>
      <c r="AP51" s="271"/>
      <c r="AQ51" s="268"/>
      <c r="AR51" s="268"/>
      <c r="AS51" s="274"/>
      <c r="AT51" s="274"/>
      <c r="AU51" s="271"/>
      <c r="AV51" s="276"/>
      <c r="AW51" s="294"/>
      <c r="AX51" s="294"/>
      <c r="AY51" s="294"/>
      <c r="AZ51" s="294"/>
      <c r="BA51" s="294"/>
      <c r="BB51" s="294"/>
    </row>
    <row r="52" customFormat="false" ht="12.95" hidden="false" customHeight="true" outlineLevel="0" collapsed="false">
      <c r="A52" s="209" t="s">
        <v>111</v>
      </c>
      <c r="B52" s="239"/>
      <c r="C52" s="123"/>
      <c r="D52" s="123"/>
      <c r="E52" s="123"/>
      <c r="F52" s="240" t="n">
        <f aca="false">F13+F46</f>
        <v>29118.7295185279</v>
      </c>
      <c r="G52" s="123" t="n">
        <f aca="false">G13+G46</f>
        <v>140234.379899924</v>
      </c>
      <c r="H52" s="241" t="n">
        <f aca="false">H13+H46</f>
        <v>4658.297</v>
      </c>
      <c r="I52" s="123" t="n">
        <f aca="false">I13+I46</f>
        <v>144892.676899924</v>
      </c>
      <c r="J52" s="123" t="n">
        <f aca="false">J13+J46</f>
        <v>10000.1391267961</v>
      </c>
      <c r="K52" s="123" t="n">
        <f aca="false">K13+K46</f>
        <v>154892.806026721</v>
      </c>
      <c r="L52" s="123" t="n">
        <f aca="false">L13+L46</f>
        <v>6459.54461860348</v>
      </c>
      <c r="M52" s="242" t="n">
        <f aca="false">M13+M46</f>
        <v>40273.58</v>
      </c>
      <c r="N52" s="123" t="n">
        <f aca="false">N13+N46</f>
        <v>11.559</v>
      </c>
      <c r="O52" s="123" t="n">
        <f aca="false">O13+O46</f>
        <v>12678.36855</v>
      </c>
      <c r="P52" s="186"/>
      <c r="Q52" s="241" t="n">
        <f aca="false">Q13+Q46</f>
        <v>695.014952749227</v>
      </c>
      <c r="R52" s="241" t="n">
        <f aca="false">R13+R46</f>
        <v>897.58338032</v>
      </c>
      <c r="S52" s="241" t="n">
        <f aca="false">S13+S46</f>
        <v>122.60516048</v>
      </c>
      <c r="T52" s="241" t="n">
        <f aca="false">T13+T46</f>
        <v>280.9554592</v>
      </c>
      <c r="U52" s="352" t="n">
        <f aca="false">U13+U46</f>
        <v>-15.4916088537026</v>
      </c>
      <c r="V52" s="123" t="n">
        <f aca="false">V13+V46</f>
        <v>17967.61</v>
      </c>
      <c r="W52" s="123" t="n">
        <f aca="false">W13+W46</f>
        <v>9816.685</v>
      </c>
      <c r="X52" s="123" t="n">
        <f aca="false">X13+X46</f>
        <v>53183.5400061045</v>
      </c>
      <c r="Y52" s="123" t="n">
        <f aca="false">Y13+Y46</f>
        <v>52900.6296506722</v>
      </c>
      <c r="Z52" s="123"/>
      <c r="AA52" s="123"/>
      <c r="AB52" s="123"/>
      <c r="AC52" s="123"/>
      <c r="AD52" s="123"/>
      <c r="AE52" s="245"/>
      <c r="AF52" s="123" t="n">
        <f aca="false">AF13+AF46</f>
        <v>311.1</v>
      </c>
      <c r="AG52" s="245" t="n">
        <f aca="false">AG13+AG46</f>
        <v>237.9</v>
      </c>
      <c r="AH52" s="123" t="n">
        <f aca="false">AH13+AH46</f>
        <v>28994.6</v>
      </c>
      <c r="AI52" s="123" t="n">
        <f aca="false">AI44</f>
        <v>6370.25787748927</v>
      </c>
      <c r="AJ52" s="123" t="n">
        <f aca="false">AJ13+AJ46</f>
        <v>14122</v>
      </c>
      <c r="AK52" s="123" t="n">
        <f aca="false">AK13+AK46</f>
        <v>122233.482</v>
      </c>
      <c r="AL52" s="123" t="n">
        <f aca="false">AL13+AL46</f>
        <v>3540.59450819259</v>
      </c>
      <c r="AM52" s="561" t="n">
        <f aca="false">AM13+AM46</f>
        <v>125774.076508193</v>
      </c>
      <c r="AN52" s="123" t="n">
        <f aca="false">AN13+AN46</f>
        <v>3115.79</v>
      </c>
      <c r="AO52" s="123" t="n">
        <f aca="false">AO13+AO46</f>
        <v>282.910355432317</v>
      </c>
      <c r="AP52" s="156"/>
      <c r="AQ52" s="186"/>
      <c r="AR52" s="186"/>
      <c r="AS52" s="241"/>
      <c r="AT52" s="241"/>
      <c r="AV52" s="249" t="n">
        <f aca="false">AV13+AV46</f>
        <v>17.904885361552</v>
      </c>
      <c r="AW52" s="241"/>
      <c r="AX52" s="241"/>
      <c r="AY52" s="283"/>
      <c r="AZ52" s="375" t="n">
        <f aca="false">AZ13+AZ46</f>
        <v>1995.38634389552</v>
      </c>
      <c r="BA52" s="176" t="n">
        <f aca="false">BA13+BA46</f>
        <v>6797.852</v>
      </c>
      <c r="BB52" s="91"/>
    </row>
    <row r="53" customFormat="false" ht="12.95" hidden="false" customHeight="true" outlineLevel="0" collapsed="false">
      <c r="A53" s="209" t="s">
        <v>112</v>
      </c>
      <c r="B53" s="239"/>
      <c r="C53" s="123"/>
      <c r="D53" s="123" t="n">
        <f aca="false">D13+D47</f>
        <v>57621</v>
      </c>
      <c r="E53" s="123" t="n">
        <f aca="false">E44</f>
        <v>148789</v>
      </c>
      <c r="F53" s="240" t="n">
        <f aca="false">F52*$D$2</f>
        <v>57757</v>
      </c>
      <c r="G53" s="123" t="n">
        <f aca="false">G52*$D$2</f>
        <v>278154.8925315</v>
      </c>
      <c r="H53" s="241" t="n">
        <f aca="false">H52*$D$2</f>
        <v>9239.7320995</v>
      </c>
      <c r="I53" s="123" t="n">
        <f aca="false">I52*$D$2</f>
        <v>287394.624631</v>
      </c>
      <c r="J53" s="123" t="n">
        <f aca="false">J52*$D$2</f>
        <v>19835.275958</v>
      </c>
      <c r="K53" s="123" t="n">
        <f aca="false">K52*$D$2</f>
        <v>307229.880754</v>
      </c>
      <c r="L53" s="123" t="n">
        <f aca="false">L52*$D$2</f>
        <v>12812.506751</v>
      </c>
      <c r="M53" s="242" t="n">
        <f aca="false">M52*$D$2</f>
        <v>79882.64593</v>
      </c>
      <c r="N53" s="123" t="n">
        <f aca="false">N52*$D$2</f>
        <v>22.9272765</v>
      </c>
      <c r="O53" s="123" t="n">
        <f aca="false">O52*$D$2</f>
        <v>25147.544018925</v>
      </c>
      <c r="P53" s="186"/>
      <c r="Q53" s="241" t="n">
        <f aca="false">Q52*$D$2</f>
        <v>1378.56215877809</v>
      </c>
      <c r="R53" s="241" t="n">
        <f aca="false">R52*$D$2</f>
        <v>1780.35663486472</v>
      </c>
      <c r="S53" s="241" t="n">
        <f aca="false">S52*$D$2</f>
        <v>243.18733581208</v>
      </c>
      <c r="T53" s="241" t="n">
        <f aca="false">T52*$D$2</f>
        <v>557.2751533232</v>
      </c>
      <c r="U53" s="352" t="n">
        <f aca="false">U52*$D$2</f>
        <v>-30.7276061613192</v>
      </c>
      <c r="V53" s="123" t="n">
        <f aca="false">V52*$D$2</f>
        <v>35638.754435</v>
      </c>
      <c r="W53" s="123" t="n">
        <f aca="false">W52*$D$2</f>
        <v>19471.3946975</v>
      </c>
      <c r="X53" s="123" t="n">
        <f aca="false">X52*$D$2</f>
        <v>105489.551602108</v>
      </c>
      <c r="Y53" s="123" t="n">
        <f aca="false">Y52*$D$2</f>
        <v>104928.398912108</v>
      </c>
      <c r="Z53" s="123"/>
      <c r="AA53" s="123"/>
      <c r="AB53" s="123"/>
      <c r="AC53" s="123"/>
      <c r="AD53" s="123"/>
      <c r="AE53" s="297"/>
      <c r="AF53" s="123" t="n">
        <f aca="false">AF52*$D$2</f>
        <v>617.06685</v>
      </c>
      <c r="AG53" s="297" t="n">
        <f aca="false">AG52*$D$2</f>
        <v>471.87465</v>
      </c>
      <c r="AH53" s="123" t="n">
        <f aca="false">AH52*$D$2</f>
        <v>57510.7891</v>
      </c>
      <c r="AI53" s="123" t="n">
        <f aca="false">AI52*$D$2</f>
        <v>12635.4065</v>
      </c>
      <c r="AJ53" s="123" t="n">
        <f aca="false">AJ52*$D$2</f>
        <v>28010.987</v>
      </c>
      <c r="AK53" s="123" t="n">
        <f aca="false">AK52*$D$2</f>
        <v>242450.111547</v>
      </c>
      <c r="AL53" s="123" t="n">
        <f aca="false">AL52*$D$2</f>
        <v>7022.769207</v>
      </c>
      <c r="AM53" s="240" t="n">
        <f aca="false">AM52*$D$2</f>
        <v>249472.880754</v>
      </c>
      <c r="AN53" s="123" t="n">
        <f aca="false">AN52*$D$2</f>
        <v>6180.169465</v>
      </c>
      <c r="AO53" s="123" t="n">
        <f aca="false">AO52*$D$2</f>
        <v>561.15269</v>
      </c>
      <c r="AP53" s="156"/>
      <c r="AQ53" s="186" t="n">
        <f aca="false">AQ13+AQ47</f>
        <v>1178.03188018637</v>
      </c>
      <c r="AR53" s="186"/>
      <c r="AS53" s="241"/>
      <c r="AT53" s="241"/>
      <c r="AV53" s="249"/>
      <c r="AW53" s="241"/>
      <c r="AX53" s="241"/>
      <c r="AY53" s="283"/>
      <c r="AZ53" s="375" t="n">
        <f aca="false">AZ52*$D$2</f>
        <v>3957.84881311677</v>
      </c>
      <c r="BA53" s="176" t="n">
        <f aca="false">BA52*$D$2</f>
        <v>13483.539442</v>
      </c>
      <c r="BB53" s="91"/>
    </row>
    <row r="54" customFormat="false" ht="3" hidden="false" customHeight="true" outlineLevel="0" collapsed="false">
      <c r="A54" s="261"/>
      <c r="B54" s="286"/>
      <c r="C54" s="263"/>
      <c r="D54" s="264"/>
      <c r="E54" s="263"/>
      <c r="F54" s="265"/>
      <c r="G54" s="264"/>
      <c r="H54" s="266"/>
      <c r="I54" s="264"/>
      <c r="J54" s="264"/>
      <c r="K54" s="264"/>
      <c r="L54" s="264"/>
      <c r="M54" s="267"/>
      <c r="N54" s="264"/>
      <c r="O54" s="264"/>
      <c r="P54" s="268"/>
      <c r="Q54" s="268"/>
      <c r="R54" s="268"/>
      <c r="S54" s="268"/>
      <c r="T54" s="268"/>
      <c r="U54" s="269"/>
      <c r="V54" s="264"/>
      <c r="W54" s="264"/>
      <c r="X54" s="264"/>
      <c r="Y54" s="264"/>
      <c r="Z54" s="263"/>
      <c r="AA54" s="264"/>
      <c r="AB54" s="263"/>
      <c r="AC54" s="263"/>
      <c r="AD54" s="263"/>
      <c r="AE54" s="264"/>
      <c r="AF54" s="132"/>
      <c r="AG54" s="193"/>
      <c r="AH54" s="264"/>
      <c r="AI54" s="263"/>
      <c r="AJ54" s="338"/>
      <c r="AK54" s="264"/>
      <c r="AL54" s="264"/>
      <c r="AM54" s="265"/>
      <c r="AN54" s="264"/>
      <c r="AO54" s="264"/>
      <c r="AP54" s="271"/>
      <c r="AQ54" s="268"/>
      <c r="AR54" s="268"/>
      <c r="AS54" s="268"/>
      <c r="AT54" s="268"/>
      <c r="AU54" s="271"/>
      <c r="AV54" s="286"/>
      <c r="AW54" s="264"/>
      <c r="AX54" s="264"/>
      <c r="AY54" s="264"/>
      <c r="AZ54" s="264"/>
      <c r="BA54" s="264"/>
      <c r="BB54" s="264"/>
    </row>
    <row r="55" customFormat="false" ht="11.1" hidden="false" customHeight="true" outlineLevel="0" collapsed="false">
      <c r="G55" s="210"/>
      <c r="I55" s="201"/>
      <c r="N55" s="2"/>
      <c r="W55" s="58"/>
      <c r="X55" s="1"/>
      <c r="Y55" s="1"/>
      <c r="Z55" s="176"/>
      <c r="AA55" s="1"/>
      <c r="AB55" s="176"/>
      <c r="AE55" s="120"/>
      <c r="AF55" s="120"/>
      <c r="AG55" s="120"/>
      <c r="AH55" s="176"/>
      <c r="AK55" s="58"/>
      <c r="AL55" s="58"/>
      <c r="AM55" s="8"/>
      <c r="AN55" s="204"/>
      <c r="AO55" s="204"/>
      <c r="AP55" s="361"/>
      <c r="AQ55" s="323"/>
      <c r="AR55" s="323"/>
      <c r="AV55" s="203"/>
      <c r="AW55" s="206"/>
      <c r="AX55" s="207"/>
    </row>
    <row r="56" customFormat="false" ht="11.1" hidden="false" customHeight="true" outlineLevel="0" collapsed="false">
      <c r="A56" s="209"/>
      <c r="B56" s="623"/>
      <c r="C56" s="2"/>
      <c r="D56" s="1"/>
      <c r="E56" s="423"/>
      <c r="F56" s="212"/>
      <c r="G56" s="1"/>
      <c r="H56" s="3"/>
      <c r="I56" s="12"/>
      <c r="J56" s="11"/>
      <c r="K56" s="201"/>
      <c r="L56" s="120"/>
      <c r="M56" s="11"/>
      <c r="N56" s="0"/>
      <c r="O56" s="2"/>
      <c r="P56" s="529"/>
      <c r="Q56" s="529"/>
      <c r="R56" s="108"/>
      <c r="S56" s="108"/>
      <c r="T56" s="108"/>
      <c r="U56" s="108"/>
      <c r="V56" s="27"/>
      <c r="W56" s="150"/>
      <c r="X56" s="103"/>
      <c r="Y56" s="103"/>
      <c r="Z56" s="176"/>
      <c r="AA56" s="103"/>
      <c r="AB56" s="176"/>
      <c r="AC56" s="97"/>
      <c r="AD56" s="97"/>
      <c r="AE56" s="2"/>
      <c r="AF56" s="2"/>
      <c r="AG56" s="2"/>
      <c r="AH56" s="11"/>
      <c r="AI56" s="2"/>
      <c r="AJ56" s="121"/>
      <c r="AK56" s="2"/>
      <c r="AL56" s="209"/>
      <c r="AM56" s="8"/>
      <c r="AN56" s="635"/>
      <c r="AO56" s="635"/>
      <c r="AP56" s="361"/>
      <c r="AQ56" s="425"/>
      <c r="AR56" s="425"/>
      <c r="AS56" s="216"/>
      <c r="AV56" s="206"/>
      <c r="AW56" s="206"/>
      <c r="AX56" s="206"/>
    </row>
    <row r="57" customFormat="false" ht="11.1" hidden="false" customHeight="true" outlineLevel="0" collapsed="false">
      <c r="B57" s="176"/>
      <c r="E57" s="423"/>
      <c r="F57" s="254"/>
      <c r="G57" s="1"/>
      <c r="H57" s="3"/>
      <c r="I57" s="1"/>
      <c r="J57" s="1"/>
      <c r="K57" s="424"/>
      <c r="L57" s="484"/>
      <c r="M57" s="4"/>
      <c r="N57" s="4"/>
      <c r="O57" s="103"/>
      <c r="R57" s="108"/>
      <c r="S57" s="108"/>
      <c r="T57" s="108"/>
      <c r="U57" s="108"/>
      <c r="V57" s="27"/>
      <c r="W57" s="27"/>
      <c r="X57" s="103"/>
      <c r="Y57" s="103"/>
      <c r="Z57" s="176"/>
      <c r="AA57" s="103"/>
      <c r="AB57" s="176"/>
      <c r="AE57" s="176"/>
      <c r="AF57" s="176"/>
      <c r="AG57" s="176"/>
      <c r="AH57" s="2"/>
      <c r="AI57" s="27"/>
      <c r="AJ57" s="530"/>
      <c r="AK57" s="27"/>
      <c r="AL57" s="58"/>
      <c r="AM57" s="8"/>
      <c r="AN57" s="204"/>
      <c r="AO57" s="204"/>
      <c r="AP57" s="361"/>
      <c r="AS57" s="216"/>
      <c r="AV57" s="206"/>
      <c r="AW57" s="206"/>
      <c r="AX57" s="207"/>
    </row>
    <row r="58" customFormat="false" ht="11.1" hidden="false" customHeight="true" outlineLevel="0" collapsed="false">
      <c r="D58" s="176"/>
      <c r="E58" s="423"/>
      <c r="F58" s="1"/>
      <c r="G58" s="1"/>
      <c r="H58" s="176"/>
      <c r="I58" s="1"/>
      <c r="J58" s="1"/>
      <c r="K58" s="424"/>
      <c r="L58" s="206"/>
      <c r="M58" s="4"/>
      <c r="N58" s="4"/>
      <c r="O58" s="206"/>
      <c r="W58" s="58"/>
      <c r="X58" s="1"/>
      <c r="Y58" s="1"/>
      <c r="Z58" s="206"/>
      <c r="AA58" s="1"/>
      <c r="AB58" s="206"/>
      <c r="AC58" s="206"/>
      <c r="AD58" s="206"/>
      <c r="AE58" s="176"/>
      <c r="AF58" s="176"/>
      <c r="AG58" s="176"/>
      <c r="AH58" s="2"/>
      <c r="AI58" s="176"/>
      <c r="AJ58" s="254"/>
      <c r="AK58" s="176"/>
      <c r="AL58" s="58"/>
      <c r="AM58" s="423"/>
      <c r="AN58" s="204"/>
      <c r="AO58" s="204"/>
      <c r="AP58" s="361"/>
      <c r="AS58" s="216"/>
      <c r="AV58" s="206"/>
      <c r="AW58" s="206"/>
      <c r="AX58" s="207"/>
    </row>
    <row r="59" customFormat="false" ht="11.1" hidden="false" customHeight="true" outlineLevel="0" collapsed="false">
      <c r="G59" s="302"/>
      <c r="O59" s="206"/>
      <c r="W59" s="58"/>
      <c r="X59" s="1"/>
      <c r="Y59" s="1"/>
      <c r="Z59" s="176"/>
      <c r="AA59" s="1"/>
      <c r="AB59" s="176"/>
      <c r="AH59" s="636"/>
      <c r="AK59" s="58"/>
      <c r="AL59" s="58"/>
      <c r="AM59" s="8"/>
      <c r="AN59" s="204"/>
      <c r="AO59" s="204"/>
      <c r="AP59" s="361"/>
      <c r="AS59" s="216"/>
      <c r="AV59" s="203"/>
      <c r="AW59" s="206"/>
      <c r="AX59" s="207"/>
    </row>
    <row r="60" customFormat="false" ht="11.1" hidden="false" customHeight="true" outlineLevel="0" collapsed="false">
      <c r="W60" s="58"/>
      <c r="X60" s="176"/>
      <c r="Y60" s="176"/>
      <c r="Z60" s="176"/>
      <c r="AA60" s="176"/>
      <c r="AB60" s="176"/>
      <c r="AH60" s="636"/>
      <c r="AK60" s="58"/>
      <c r="AL60" s="58"/>
      <c r="AM60" s="8"/>
      <c r="AN60" s="204"/>
      <c r="AO60" s="204"/>
      <c r="AS60" s="216"/>
      <c r="AV60" s="203"/>
      <c r="AW60" s="206"/>
      <c r="AX60" s="207"/>
    </row>
    <row r="61" customFormat="false" ht="11.1" hidden="false" customHeight="true" outlineLevel="0" collapsed="false">
      <c r="W61" s="58"/>
      <c r="X61" s="176"/>
      <c r="Y61" s="176"/>
      <c r="AA61" s="176"/>
      <c r="AC61" s="58"/>
      <c r="AD61" s="58"/>
      <c r="AH61" s="176"/>
      <c r="AK61" s="58"/>
      <c r="AL61" s="58"/>
      <c r="AM61" s="8"/>
      <c r="AQ61" s="323"/>
      <c r="AR61" s="323"/>
      <c r="AV61" s="203"/>
      <c r="AW61" s="206"/>
      <c r="AX61" s="207"/>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I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637"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16"/>
    <col collapsed="false" customWidth="true" hidden="false" outlineLevel="0" max="22" min="22" style="58" width="5.49"/>
    <col collapsed="false" customWidth="true" hidden="false" outlineLevel="0" max="23" min="23" style="176" width="5.49"/>
    <col collapsed="false" customWidth="true" hidden="false" outlineLevel="0" max="25" min="24" style="58" width="6.32"/>
    <col collapsed="false" customWidth="true" hidden="false" outlineLevel="0" max="26" min="26" style="58" width="5.49"/>
    <col collapsed="false" customWidth="true" hidden="false" outlineLevel="0" max="27" min="27" style="58" width="6.32"/>
    <col collapsed="false" customWidth="true" hidden="false" outlineLevel="0" max="28" min="28" style="58" width="5.49"/>
    <col collapsed="false" customWidth="true" hidden="false" outlineLevel="0" max="29" min="29" style="176" width="5.82"/>
    <col collapsed="false" customWidth="true" hidden="false" outlineLevel="0" max="30" min="30" style="176" width="5.49"/>
    <col collapsed="false" customWidth="true" hidden="false" outlineLevel="0" max="33" min="31" style="58" width="5.49"/>
    <col collapsed="false" customWidth="true" hidden="false" outlineLevel="0" max="34" min="34" style="58" width="6.32"/>
    <col collapsed="false" customWidth="true" hidden="false" outlineLevel="0" max="35" min="35" style="58" width="5.49"/>
    <col collapsed="false" customWidth="true" hidden="false" outlineLevel="0" max="36" min="36" style="204" width="6.32"/>
    <col collapsed="false" customWidth="true" hidden="false" outlineLevel="0" max="37" min="37" style="425" width="6.32"/>
    <col collapsed="false" customWidth="true" hidden="false" outlineLevel="0" max="39" min="38" style="319" width="6.82"/>
    <col collapsed="false" customWidth="true" hidden="false" outlineLevel="0" max="40" min="40" style="204" width="5.49"/>
    <col collapsed="false" customWidth="true" hidden="false" outlineLevel="0" max="41" min="41" style="361" width="5.49"/>
    <col collapsed="false" customWidth="true" hidden="false" outlineLevel="0" max="42" min="42" style="361" width="6.32"/>
    <col collapsed="false" customWidth="true" hidden="false" outlineLevel="0" max="43" min="43" style="425" width="6.32"/>
    <col collapsed="false" customWidth="true" hidden="false" outlineLevel="0" max="44" min="44" style="425" width="5.49"/>
    <col collapsed="false" customWidth="true" hidden="false" outlineLevel="0" max="45" min="45" style="425" width="4.32"/>
    <col collapsed="false" customWidth="true" hidden="false" outlineLevel="0" max="46" min="46" style="204" width="5.49"/>
    <col collapsed="false" customWidth="true" hidden="false" outlineLevel="0" max="47" min="47" style="204" width="5.82"/>
    <col collapsed="false" customWidth="true" hidden="false" outlineLevel="0" max="48" min="48" style="319" width="5.82"/>
    <col collapsed="false" customWidth="true" hidden="false" outlineLevel="0" max="49" min="49" style="451" width="5.32"/>
    <col collapsed="false" customWidth="true" hidden="false" outlineLevel="0" max="50" min="50" style="204" width="3.82"/>
    <col collapsed="false" customWidth="true" hidden="false" outlineLevel="0" max="51" min="51" style="425" width="3.82"/>
    <col collapsed="false" customWidth="true" hidden="false" outlineLevel="0" max="52" min="52" style="208" width="3.82"/>
    <col collapsed="false" customWidth="true" hidden="false" outlineLevel="0" max="53" min="53" style="208" width="5.49"/>
    <col collapsed="false" customWidth="false" hidden="false" outlineLevel="0" max="56" min="54" style="208" width="9.32"/>
    <col collapsed="false" customWidth="true" hidden="true" outlineLevel="0" max="57" min="57" style="58" width="4.66"/>
    <col collapsed="false" customWidth="true" hidden="true" outlineLevel="0" max="58" min="58" style="58" width="6.99"/>
    <col collapsed="false" customWidth="false" hidden="true" outlineLevel="0" max="59" min="59" style="208" width="9.32"/>
    <col collapsed="false" customWidth="true" hidden="true" outlineLevel="0" max="61" min="60" style="58" width="6.32"/>
    <col collapsed="false" customWidth="false" hidden="false" outlineLevel="0" max="257" min="62" style="208" width="9.32"/>
  </cols>
  <sheetData>
    <row r="1" customFormat="false" ht="14.1" hidden="false" customHeight="true" outlineLevel="0" collapsed="false">
      <c r="A1" s="209"/>
      <c r="B1" s="209"/>
      <c r="D1" s="209"/>
      <c r="F1" s="209"/>
      <c r="G1" s="209"/>
      <c r="I1" s="209"/>
      <c r="J1" s="209"/>
      <c r="K1" s="211" t="s">
        <v>0</v>
      </c>
      <c r="L1" s="209"/>
      <c r="M1" s="209"/>
      <c r="N1" s="209"/>
      <c r="O1" s="209"/>
      <c r="Q1" s="209"/>
      <c r="R1" s="209"/>
      <c r="S1" s="209"/>
      <c r="T1" s="209"/>
      <c r="V1" s="209"/>
      <c r="W1" s="209"/>
      <c r="X1" s="176"/>
      <c r="Y1" s="484"/>
      <c r="Z1" s="209"/>
      <c r="AA1" s="176"/>
      <c r="AB1" s="209"/>
      <c r="AC1" s="209"/>
      <c r="AD1" s="209"/>
      <c r="AE1" s="209"/>
      <c r="AF1" s="209"/>
      <c r="AG1" s="209"/>
      <c r="AH1" s="176"/>
      <c r="AI1" s="209"/>
      <c r="AJ1" s="212"/>
      <c r="AK1" s="212"/>
      <c r="AL1" s="212"/>
      <c r="AM1" s="425"/>
      <c r="AN1" s="212"/>
      <c r="AW1" s="319"/>
      <c r="AX1" s="319"/>
      <c r="AY1" s="451"/>
      <c r="BE1" s="209"/>
      <c r="BF1" s="209"/>
      <c r="BH1" s="176"/>
      <c r="BI1" s="176"/>
    </row>
    <row r="2" customFormat="false" ht="14.1" hidden="false" customHeight="true" outlineLevel="0" collapsed="false">
      <c r="A2" s="212" t="s">
        <v>1</v>
      </c>
      <c r="B2" s="209"/>
      <c r="D2" s="213" t="n">
        <v>1.9835</v>
      </c>
      <c r="F2" s="209"/>
      <c r="G2" s="209"/>
      <c r="I2" s="209"/>
      <c r="J2" s="209"/>
      <c r="K2" s="214" t="s">
        <v>152</v>
      </c>
      <c r="L2" s="214"/>
      <c r="M2" s="214"/>
      <c r="N2" s="214"/>
      <c r="O2" s="214"/>
      <c r="P2" s="214"/>
      <c r="Q2" s="214"/>
      <c r="R2" s="214"/>
      <c r="S2" s="214"/>
      <c r="T2" s="214"/>
      <c r="U2" s="214"/>
      <c r="V2" s="214"/>
      <c r="W2" s="215"/>
      <c r="X2" s="97"/>
      <c r="Y2" s="97"/>
      <c r="Z2" s="215"/>
      <c r="AA2" s="97"/>
      <c r="AB2" s="215"/>
      <c r="AC2" s="215"/>
      <c r="AD2" s="215"/>
      <c r="AE2" s="209"/>
      <c r="AF2" s="209"/>
      <c r="AG2" s="209"/>
      <c r="AH2" s="176"/>
      <c r="AI2" s="209"/>
      <c r="AJ2" s="212"/>
      <c r="AK2" s="212"/>
      <c r="AL2" s="212"/>
      <c r="AM2" s="425"/>
      <c r="AN2" s="212"/>
      <c r="AW2" s="319"/>
      <c r="AX2" s="319"/>
      <c r="AY2" s="451"/>
      <c r="BE2" s="212" t="s">
        <v>1</v>
      </c>
      <c r="BF2" s="209"/>
      <c r="BH2" s="176"/>
      <c r="BI2" s="176"/>
    </row>
    <row r="3" customFormat="false" ht="14.1" hidden="false" customHeight="true" outlineLevel="0" collapsed="false">
      <c r="A3" s="217"/>
      <c r="B3" s="217"/>
      <c r="C3" s="218"/>
      <c r="D3" s="219"/>
      <c r="E3" s="218"/>
      <c r="F3" s="217"/>
      <c r="G3" s="217"/>
      <c r="H3" s="638"/>
      <c r="I3" s="217"/>
      <c r="J3" s="217"/>
      <c r="K3" s="217"/>
      <c r="L3" s="217"/>
      <c r="M3" s="217"/>
      <c r="N3" s="217"/>
      <c r="O3" s="217"/>
      <c r="P3" s="221"/>
      <c r="Q3" s="217"/>
      <c r="R3" s="217"/>
      <c r="S3" s="217"/>
      <c r="T3" s="217"/>
      <c r="U3" s="221"/>
      <c r="V3" s="217"/>
      <c r="W3" s="217"/>
      <c r="X3" s="218"/>
      <c r="Y3" s="218"/>
      <c r="Z3" s="217"/>
      <c r="AA3" s="218"/>
      <c r="AB3" s="217"/>
      <c r="AC3" s="217"/>
      <c r="AD3" s="217"/>
      <c r="AE3" s="217"/>
      <c r="AF3" s="217"/>
      <c r="AG3" s="217"/>
      <c r="AH3" s="218"/>
      <c r="AI3" s="217"/>
      <c r="AJ3" s="223"/>
      <c r="AK3" s="223"/>
      <c r="AL3" s="223"/>
      <c r="AM3" s="574"/>
      <c r="AN3" s="223"/>
      <c r="AO3" s="363"/>
      <c r="AP3" s="363"/>
      <c r="AQ3" s="574"/>
      <c r="AW3" s="325"/>
      <c r="AX3" s="325"/>
      <c r="AY3" s="573"/>
      <c r="BB3" s="229"/>
      <c r="BE3" s="217"/>
      <c r="BF3" s="217"/>
      <c r="BH3" s="218"/>
      <c r="BI3" s="218"/>
    </row>
    <row r="4" s="58" customFormat="true" ht="14.1" hidden="false" customHeight="true" outlineLevel="0" collapsed="false">
      <c r="A4" s="209"/>
      <c r="B4" s="429"/>
      <c r="C4" s="430"/>
      <c r="D4" s="431" t="s">
        <v>3</v>
      </c>
      <c r="E4" s="430"/>
      <c r="F4" s="625"/>
      <c r="G4" s="209"/>
      <c r="H4" s="210"/>
      <c r="I4" s="622" t="s">
        <v>4</v>
      </c>
      <c r="J4" s="209"/>
      <c r="K4" s="209"/>
      <c r="L4" s="434"/>
      <c r="M4" s="209"/>
      <c r="N4" s="209"/>
      <c r="O4" s="209"/>
      <c r="P4" s="8"/>
      <c r="Q4" s="8"/>
      <c r="R4" s="8"/>
      <c r="S4" s="8"/>
      <c r="T4" s="8"/>
      <c r="U4" s="8"/>
      <c r="V4" s="439"/>
      <c r="W4" s="209"/>
      <c r="X4" s="439" t="s">
        <v>5</v>
      </c>
      <c r="Y4" s="176"/>
      <c r="Z4" s="209"/>
      <c r="AA4" s="176"/>
      <c r="AB4" s="209"/>
      <c r="AC4" s="209"/>
      <c r="AD4" s="209"/>
      <c r="AE4" s="209"/>
      <c r="AF4" s="209"/>
      <c r="AG4" s="209"/>
      <c r="AH4" s="176"/>
      <c r="AI4" s="209"/>
      <c r="AJ4" s="212"/>
      <c r="AK4" s="212"/>
      <c r="AL4" s="212"/>
      <c r="AM4" s="425"/>
      <c r="AN4" s="639"/>
      <c r="AO4" s="361"/>
      <c r="AP4" s="640" t="s">
        <v>6</v>
      </c>
      <c r="AQ4" s="640"/>
      <c r="AR4" s="641"/>
      <c r="AS4" s="641"/>
      <c r="AT4" s="642"/>
      <c r="AU4" s="643"/>
      <c r="AV4" s="644"/>
      <c r="AW4" s="645"/>
      <c r="AX4" s="646" t="s">
        <v>7</v>
      </c>
      <c r="AY4" s="647"/>
      <c r="AZ4" s="59"/>
      <c r="BA4" s="444"/>
      <c r="BC4" s="59"/>
      <c r="BE4" s="209"/>
      <c r="BF4" s="428"/>
      <c r="BH4" s="176"/>
      <c r="BI4" s="176"/>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48" t="s">
        <v>18</v>
      </c>
      <c r="N5" s="448"/>
      <c r="O5" s="448"/>
      <c r="P5" s="448"/>
      <c r="Q5" s="448"/>
      <c r="R5" s="448"/>
      <c r="S5" s="448"/>
      <c r="T5" s="448"/>
      <c r="U5" s="448"/>
      <c r="V5" s="359" t="s">
        <v>19</v>
      </c>
      <c r="W5" s="359" t="s">
        <v>20</v>
      </c>
      <c r="X5" s="60" t="s">
        <v>17</v>
      </c>
      <c r="Y5" s="60" t="s">
        <v>17</v>
      </c>
      <c r="Z5" s="67" t="s">
        <v>21</v>
      </c>
      <c r="AA5" s="60" t="s">
        <v>21</v>
      </c>
      <c r="AB5" s="67" t="s">
        <v>21</v>
      </c>
      <c r="AC5" s="446" t="s">
        <v>22</v>
      </c>
      <c r="AD5" s="446" t="s">
        <v>21</v>
      </c>
      <c r="AE5" s="359" t="s">
        <v>23</v>
      </c>
      <c r="AF5" s="448" t="s">
        <v>153</v>
      </c>
      <c r="AG5" s="448"/>
      <c r="AH5" s="451" t="s">
        <v>25</v>
      </c>
      <c r="AI5" s="446" t="s">
        <v>133</v>
      </c>
      <c r="AJ5" s="446" t="s">
        <v>27</v>
      </c>
      <c r="AK5" s="359" t="s">
        <v>15</v>
      </c>
      <c r="AL5" s="359" t="s">
        <v>16</v>
      </c>
      <c r="AM5" s="359" t="s">
        <v>17</v>
      </c>
      <c r="AN5" s="498" t="s">
        <v>28</v>
      </c>
      <c r="AO5" s="67" t="s">
        <v>21</v>
      </c>
      <c r="AP5" s="74" t="s">
        <v>29</v>
      </c>
      <c r="AQ5" s="74" t="s">
        <v>29</v>
      </c>
      <c r="AR5" s="69" t="s">
        <v>30</v>
      </c>
      <c r="AS5" s="69" t="s">
        <v>21</v>
      </c>
      <c r="AT5" s="75" t="s">
        <v>31</v>
      </c>
      <c r="AU5" s="447" t="s">
        <v>32</v>
      </c>
      <c r="AV5" s="76" t="s">
        <v>33</v>
      </c>
      <c r="AW5" s="452" t="s">
        <v>34</v>
      </c>
      <c r="AX5" s="451" t="s">
        <v>35</v>
      </c>
      <c r="AY5" s="451" t="s">
        <v>36</v>
      </c>
      <c r="AZ5" s="283"/>
      <c r="BA5" s="328" t="s">
        <v>17</v>
      </c>
      <c r="BB5" s="80" t="s">
        <v>37</v>
      </c>
      <c r="BC5" s="81" t="s">
        <v>37</v>
      </c>
      <c r="BE5" s="359" t="s">
        <v>8</v>
      </c>
      <c r="BF5" s="359" t="s">
        <v>9</v>
      </c>
      <c r="BH5" s="451" t="s">
        <v>25</v>
      </c>
      <c r="BI5" s="451" t="s">
        <v>25</v>
      </c>
    </row>
    <row r="6" customFormat="false" ht="12.95" hidden="false" customHeight="true" outlineLevel="0" collapsed="false">
      <c r="A6" s="454" t="s">
        <v>154</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459" t="s">
        <v>60</v>
      </c>
      <c r="AF6" s="63" t="s">
        <v>61</v>
      </c>
      <c r="AG6" s="63" t="s">
        <v>62</v>
      </c>
      <c r="AH6" s="630" t="s">
        <v>63</v>
      </c>
      <c r="AI6" s="446" t="s">
        <v>64</v>
      </c>
      <c r="AJ6" s="446"/>
      <c r="AK6" s="359" t="s">
        <v>65</v>
      </c>
      <c r="AL6" s="359" t="s">
        <v>65</v>
      </c>
      <c r="AM6" s="359" t="s">
        <v>65</v>
      </c>
      <c r="AN6" s="500" t="s">
        <v>66</v>
      </c>
      <c r="AO6" s="67" t="s">
        <v>67</v>
      </c>
      <c r="AP6" s="74" t="s">
        <v>68</v>
      </c>
      <c r="AQ6" s="74" t="s">
        <v>68</v>
      </c>
      <c r="AR6" s="69" t="s">
        <v>69</v>
      </c>
      <c r="AS6" s="648" t="n">
        <v>0.3</v>
      </c>
      <c r="AT6" s="75" t="s">
        <v>70</v>
      </c>
      <c r="AU6" s="447" t="s">
        <v>71</v>
      </c>
      <c r="AV6" s="76" t="s">
        <v>72</v>
      </c>
      <c r="AW6" s="458"/>
      <c r="AX6" s="451" t="s">
        <v>73</v>
      </c>
      <c r="AY6" s="451" t="s">
        <v>73</v>
      </c>
      <c r="AZ6" s="283"/>
      <c r="BA6" s="328" t="s">
        <v>74</v>
      </c>
      <c r="BB6" s="80" t="s">
        <v>75</v>
      </c>
      <c r="BC6" s="81" t="s">
        <v>76</v>
      </c>
      <c r="BE6" s="454" t="s">
        <v>154</v>
      </c>
      <c r="BF6" s="359" t="s">
        <v>39</v>
      </c>
      <c r="BH6" s="630" t="s">
        <v>63</v>
      </c>
      <c r="BI6" s="630" t="s">
        <v>63</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459"/>
      <c r="AF7" s="90" t="n">
        <v>1.7</v>
      </c>
      <c r="AG7" s="90" t="n">
        <v>1.3</v>
      </c>
      <c r="AH7" s="630"/>
      <c r="AI7" s="93"/>
      <c r="AJ7" s="446"/>
      <c r="AK7" s="359"/>
      <c r="AL7" s="359"/>
      <c r="AM7" s="359"/>
      <c r="AN7" s="500"/>
      <c r="AO7" s="67" t="s">
        <v>42</v>
      </c>
      <c r="AP7" s="74" t="s">
        <v>86</v>
      </c>
      <c r="AQ7" s="74" t="s">
        <v>87</v>
      </c>
      <c r="AR7" s="69" t="s">
        <v>88</v>
      </c>
      <c r="AS7" s="69" t="s">
        <v>155</v>
      </c>
      <c r="AT7" s="75" t="s">
        <v>89</v>
      </c>
      <c r="AU7" s="447" t="s">
        <v>90</v>
      </c>
      <c r="AV7" s="76" t="s">
        <v>81</v>
      </c>
      <c r="AW7" s="458"/>
      <c r="AX7" s="451"/>
      <c r="AY7" s="451"/>
      <c r="AZ7" s="283"/>
      <c r="BA7" s="328" t="s">
        <v>91</v>
      </c>
      <c r="BB7" s="8"/>
      <c r="BC7" s="91"/>
      <c r="BE7" s="359"/>
      <c r="BF7" s="359" t="s">
        <v>156</v>
      </c>
      <c r="BH7" s="630" t="s">
        <v>157</v>
      </c>
      <c r="BI7" s="630" t="s">
        <v>158</v>
      </c>
    </row>
    <row r="8" customFormat="false" ht="12.95" hidden="false" customHeight="true" outlineLevel="0" collapsed="false">
      <c r="A8" s="359"/>
      <c r="B8" s="445"/>
      <c r="C8" s="446"/>
      <c r="D8" s="359"/>
      <c r="E8" s="446"/>
      <c r="F8" s="359"/>
      <c r="G8" s="445"/>
      <c r="H8" s="447"/>
      <c r="I8" s="359"/>
      <c r="J8" s="359"/>
      <c r="K8" s="359"/>
      <c r="L8" s="359"/>
      <c r="M8" s="455"/>
      <c r="N8" s="63"/>
      <c r="O8" s="446"/>
      <c r="P8" s="80"/>
      <c r="Q8" s="63" t="s">
        <v>62</v>
      </c>
      <c r="R8" s="63" t="s">
        <v>62</v>
      </c>
      <c r="S8" s="63"/>
      <c r="T8" s="63"/>
      <c r="U8" s="457"/>
      <c r="V8" s="359"/>
      <c r="W8" s="359"/>
      <c r="X8" s="72" t="s">
        <v>92</v>
      </c>
      <c r="Y8" s="62" t="s">
        <v>81</v>
      </c>
      <c r="Z8" s="67"/>
      <c r="AA8" s="62" t="s">
        <v>93</v>
      </c>
      <c r="AB8" s="67" t="s">
        <v>94</v>
      </c>
      <c r="AC8" s="446"/>
      <c r="AD8" s="446"/>
      <c r="AE8" s="649"/>
      <c r="AF8" s="215"/>
      <c r="AG8" s="215"/>
      <c r="AH8" s="630"/>
      <c r="AI8" s="446"/>
      <c r="AJ8" s="446"/>
      <c r="AK8" s="359"/>
      <c r="AL8" s="359"/>
      <c r="AM8" s="359"/>
      <c r="AN8" s="500"/>
      <c r="AO8" s="67"/>
      <c r="AP8" s="74"/>
      <c r="AQ8" s="74"/>
      <c r="AR8" s="69"/>
      <c r="AS8" s="69" t="s">
        <v>159</v>
      </c>
      <c r="AT8" s="199"/>
      <c r="AU8" s="216"/>
      <c r="AV8" s="76"/>
      <c r="AW8" s="458"/>
      <c r="AX8" s="451"/>
      <c r="AY8" s="451"/>
      <c r="AZ8" s="283"/>
      <c r="BA8" s="328"/>
      <c r="BB8" s="8"/>
      <c r="BC8" s="91"/>
      <c r="BE8" s="359"/>
      <c r="BF8" s="359"/>
      <c r="BH8" s="630"/>
      <c r="BI8" s="630"/>
    </row>
    <row r="9" customFormat="false" ht="12.95" hidden="false" customHeight="true" outlineLevel="0" collapsed="false">
      <c r="A9" s="359"/>
      <c r="B9" s="445"/>
      <c r="C9" s="446"/>
      <c r="D9" s="359"/>
      <c r="E9" s="446"/>
      <c r="F9" s="359"/>
      <c r="G9" s="445"/>
      <c r="H9" s="447"/>
      <c r="I9" s="359"/>
      <c r="J9" s="359"/>
      <c r="K9" s="359"/>
      <c r="L9" s="359"/>
      <c r="M9" s="455"/>
      <c r="N9" s="80"/>
      <c r="O9" s="446"/>
      <c r="P9" s="80"/>
      <c r="Q9" s="63"/>
      <c r="R9" s="92" t="n">
        <v>4.2</v>
      </c>
      <c r="S9" s="63"/>
      <c r="T9" s="63"/>
      <c r="U9" s="457"/>
      <c r="V9" s="359"/>
      <c r="W9" s="359"/>
      <c r="X9" s="72"/>
      <c r="Y9" s="62" t="s">
        <v>92</v>
      </c>
      <c r="Z9" s="67"/>
      <c r="AA9" s="62" t="s">
        <v>92</v>
      </c>
      <c r="AB9" s="67" t="s">
        <v>95</v>
      </c>
      <c r="AC9" s="446"/>
      <c r="AD9" s="446"/>
      <c r="AE9" s="359"/>
      <c r="AF9" s="460"/>
      <c r="AG9" s="461"/>
      <c r="AH9" s="451"/>
      <c r="AI9" s="446"/>
      <c r="AJ9" s="446"/>
      <c r="AK9" s="359"/>
      <c r="AL9" s="359"/>
      <c r="AM9" s="359"/>
      <c r="AN9" s="500"/>
      <c r="AO9" s="67"/>
      <c r="AP9" s="74"/>
      <c r="AQ9" s="74"/>
      <c r="AR9" s="69"/>
      <c r="AS9" s="69"/>
      <c r="AT9" s="75"/>
      <c r="AU9" s="216"/>
      <c r="AV9" s="76"/>
      <c r="AW9" s="458"/>
      <c r="AX9" s="451"/>
      <c r="AY9" s="451"/>
      <c r="AZ9" s="283"/>
      <c r="BA9" s="328"/>
      <c r="BB9" s="8"/>
      <c r="BC9" s="94" t="s">
        <v>96</v>
      </c>
      <c r="BE9" s="359"/>
      <c r="BF9" s="359"/>
      <c r="BH9" s="451"/>
      <c r="BI9" s="451"/>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69" t="s">
        <v>42</v>
      </c>
      <c r="AS10" s="69" t="s">
        <v>42</v>
      </c>
      <c r="AT10" s="67" t="s">
        <v>42</v>
      </c>
      <c r="AU10" s="67" t="s">
        <v>42</v>
      </c>
      <c r="AV10" s="67" t="s">
        <v>42</v>
      </c>
      <c r="AW10" s="458"/>
      <c r="AX10" s="451"/>
      <c r="AY10" s="451"/>
      <c r="AZ10" s="283"/>
      <c r="BA10" s="328" t="s">
        <v>100</v>
      </c>
      <c r="BB10" s="80" t="s">
        <v>42</v>
      </c>
      <c r="BC10" s="81" t="s">
        <v>98</v>
      </c>
      <c r="BE10" s="359"/>
      <c r="BF10" s="359"/>
      <c r="BH10" s="447" t="s">
        <v>42</v>
      </c>
      <c r="BI10" s="447" t="s">
        <v>42</v>
      </c>
    </row>
    <row r="11" customFormat="false" ht="12.95" hidden="false" customHeight="true" outlineLevel="0" collapsed="false">
      <c r="A11" s="359"/>
      <c r="B11" s="445"/>
      <c r="C11" s="446"/>
      <c r="D11" s="359"/>
      <c r="E11" s="446"/>
      <c r="F11" s="359"/>
      <c r="G11" s="445"/>
      <c r="H11" s="447"/>
      <c r="I11" s="359"/>
      <c r="J11" s="359"/>
      <c r="K11" s="359"/>
      <c r="L11" s="359"/>
      <c r="M11" s="455"/>
      <c r="N11" s="80" t="n">
        <v>1.03</v>
      </c>
      <c r="O11" s="466" t="n">
        <v>1.05</v>
      </c>
      <c r="P11" s="80" t="n">
        <v>1.02</v>
      </c>
      <c r="Q11" s="650" t="n">
        <v>1.02</v>
      </c>
      <c r="R11" s="651" t="n">
        <v>1.04</v>
      </c>
      <c r="S11" s="63"/>
      <c r="T11" s="650" t="n">
        <v>1.04</v>
      </c>
      <c r="U11" s="457"/>
      <c r="V11" s="359"/>
      <c r="W11" s="359"/>
      <c r="X11" s="63" t="s">
        <v>42</v>
      </c>
      <c r="Y11" s="63" t="s">
        <v>42</v>
      </c>
      <c r="Z11" s="63" t="s">
        <v>42</v>
      </c>
      <c r="AA11" s="62" t="s">
        <v>42</v>
      </c>
      <c r="AB11" s="97" t="s">
        <v>101</v>
      </c>
      <c r="AC11" s="446"/>
      <c r="AD11" s="446"/>
      <c r="AE11" s="359"/>
      <c r="AF11" s="460"/>
      <c r="AG11" s="461"/>
      <c r="AH11" s="451"/>
      <c r="AI11" s="446"/>
      <c r="AJ11" s="446"/>
      <c r="AK11" s="359"/>
      <c r="AL11" s="359"/>
      <c r="AM11" s="359"/>
      <c r="AN11" s="500"/>
      <c r="AO11" s="67"/>
      <c r="AP11" s="74"/>
      <c r="AQ11" s="74"/>
      <c r="AR11" s="69"/>
      <c r="AS11" s="69"/>
      <c r="AT11" s="100"/>
      <c r="AU11" s="361"/>
      <c r="AV11" s="204"/>
      <c r="AW11" s="458"/>
      <c r="AX11" s="451"/>
      <c r="AY11" s="451"/>
      <c r="AZ11" s="283"/>
      <c r="BA11" s="328" t="s">
        <v>42</v>
      </c>
      <c r="BB11" s="8"/>
      <c r="BC11" s="91"/>
      <c r="BE11" s="359"/>
      <c r="BF11" s="359"/>
      <c r="BH11" s="451"/>
      <c r="BI11" s="451"/>
    </row>
    <row r="12" customFormat="false" ht="12.95" hidden="false" customHeight="true" outlineLevel="0" collapsed="false">
      <c r="A12" s="212" t="s">
        <v>102</v>
      </c>
      <c r="B12" s="239"/>
      <c r="C12" s="123"/>
      <c r="D12" s="123"/>
      <c r="E12" s="123"/>
      <c r="F12" s="240" t="n">
        <f aca="false">SEP!F49</f>
        <v>18718.4270229393</v>
      </c>
      <c r="G12" s="123" t="n">
        <f aca="false">SEP!G49</f>
        <v>123974.5</v>
      </c>
      <c r="H12" s="652" t="n">
        <f aca="false">SEP!H49</f>
        <v>4369.598</v>
      </c>
      <c r="I12" s="123" t="n">
        <f aca="false">SEP!I49</f>
        <v>128344.098</v>
      </c>
      <c r="J12" s="123" t="n">
        <f aca="false">SEP!J49</f>
        <v>6618.91989563902</v>
      </c>
      <c r="K12" s="123" t="n">
        <f aca="false">SEP!K49</f>
        <v>134963.007895639</v>
      </c>
      <c r="L12" s="123" t="n">
        <f aca="false">SEP!L49</f>
        <v>3396.32602293925</v>
      </c>
      <c r="M12" s="242" t="n">
        <f aca="false">SEP!M49</f>
        <v>39518.58</v>
      </c>
      <c r="N12" s="123" t="n">
        <f aca="false">SEP!N49</f>
        <v>11.559</v>
      </c>
      <c r="O12" s="123" t="n">
        <f aca="false">SEP!O49</f>
        <v>12676.635</v>
      </c>
      <c r="P12" s="186" t="n">
        <f aca="false">SEP!P49</f>
        <v>7.06</v>
      </c>
      <c r="Q12" s="123"/>
      <c r="R12" s="123"/>
      <c r="S12" s="123"/>
      <c r="T12" s="123"/>
      <c r="U12" s="243"/>
      <c r="V12" s="123" t="n">
        <f aca="false">SEP!V49</f>
        <v>14752.8</v>
      </c>
      <c r="W12" s="123" t="n">
        <f aca="false">SEP!W49</f>
        <v>9786.6</v>
      </c>
      <c r="X12" s="123" t="n">
        <f aca="false">SEP!X49</f>
        <v>49784.7101769276</v>
      </c>
      <c r="Y12" s="123" t="n">
        <f aca="false">SEP!Y49</f>
        <v>49751.9398214953</v>
      </c>
      <c r="Z12" s="123" t="n">
        <f aca="false">SEP!Z44</f>
        <v>3937.00740687745</v>
      </c>
      <c r="AA12" s="123"/>
      <c r="AB12" s="123" t="n">
        <f aca="false">SEP!AB12</f>
        <v>0</v>
      </c>
      <c r="AC12" s="123" t="n">
        <f aca="false">SEP!AC44</f>
        <v>1777.54443644668</v>
      </c>
      <c r="AD12" s="123" t="n">
        <f aca="false">SEP!AD44</f>
        <v>1495.84068565667</v>
      </c>
      <c r="AE12" s="123" t="n">
        <f aca="false">SEP!AE49</f>
        <v>25288.873</v>
      </c>
      <c r="AF12" s="242" t="n">
        <f aca="false">SEP!AF49</f>
        <v>311.1</v>
      </c>
      <c r="AG12" s="245" t="n">
        <f aca="false">SEP!AG49</f>
        <v>237.9</v>
      </c>
      <c r="AH12" s="123"/>
      <c r="AI12" s="123"/>
      <c r="AJ12" s="123"/>
      <c r="AK12" s="123" t="n">
        <f aca="false">SEP!AK49</f>
        <v>113021.987</v>
      </c>
      <c r="AL12" s="123" t="n">
        <f aca="false">SEP!AL49</f>
        <v>3222.59387269977</v>
      </c>
      <c r="AM12" s="123" t="n">
        <f aca="false">SEP!AM49</f>
        <v>116244.5808727</v>
      </c>
      <c r="AN12" s="303"/>
      <c r="AO12" s="156"/>
      <c r="AP12" s="156"/>
      <c r="AQ12" s="156" t="n">
        <f aca="false">SEP!AQ50</f>
        <v>1178.03188018637</v>
      </c>
      <c r="AR12" s="156" t="n">
        <f aca="false">SEP!AR49</f>
        <v>0</v>
      </c>
      <c r="AS12" s="156"/>
      <c r="AT12" s="241" t="n">
        <f aca="false">SEP!AS49</f>
        <v>656.79</v>
      </c>
      <c r="AU12" s="241" t="n">
        <f aca="false">SEP!AT49</f>
        <v>172.906</v>
      </c>
      <c r="AV12" s="241"/>
      <c r="AW12" s="355"/>
      <c r="AX12" s="241"/>
      <c r="AY12" s="241"/>
      <c r="AZ12" s="283"/>
      <c r="BA12" s="468" t="n">
        <f aca="false">SEP!AZ49</f>
        <v>1440.43432307239</v>
      </c>
      <c r="BB12" s="120" t="n">
        <f aca="false">SEP!BA49</f>
        <v>6713.394</v>
      </c>
      <c r="BC12" s="91"/>
      <c r="BE12" s="212" t="s">
        <v>102</v>
      </c>
      <c r="BF12" s="155"/>
      <c r="BH12" s="123"/>
      <c r="BI12" s="123"/>
    </row>
    <row r="13" s="260" customFormat="true" ht="12.95" hidden="false" customHeight="true" outlineLevel="0" collapsed="false">
      <c r="A13" s="176" t="s">
        <v>103</v>
      </c>
      <c r="B13" s="122" t="n">
        <f aca="false">SEP!B44</f>
        <v>6904.58</v>
      </c>
      <c r="C13" s="123" t="n">
        <f aca="false">SEP!C44</f>
        <v>300789</v>
      </c>
      <c r="D13" s="123" t="n">
        <f aca="false">SEP!D53</f>
        <v>57621</v>
      </c>
      <c r="E13" s="123" t="n">
        <f aca="false">SEP!E53</f>
        <v>148789</v>
      </c>
      <c r="F13" s="240" t="n">
        <f aca="false">SEP!F52</f>
        <v>29118.7295185279</v>
      </c>
      <c r="G13" s="123" t="n">
        <f aca="false">SEP!G52</f>
        <v>140234.379899924</v>
      </c>
      <c r="H13" s="652" t="n">
        <f aca="false">SEP!H52</f>
        <v>4658.297</v>
      </c>
      <c r="I13" s="123" t="n">
        <f aca="false">SEP!I52</f>
        <v>144892.676899924</v>
      </c>
      <c r="J13" s="123" t="n">
        <f aca="false">SEP!J52</f>
        <v>10000.1391267961</v>
      </c>
      <c r="K13" s="123" t="n">
        <f aca="false">SEP!K52</f>
        <v>154892.806026721</v>
      </c>
      <c r="L13" s="123" t="n">
        <f aca="false">SEP!L52</f>
        <v>6459.54461860348</v>
      </c>
      <c r="M13" s="242" t="n">
        <f aca="false">SEP!M52</f>
        <v>40273.58</v>
      </c>
      <c r="N13" s="123" t="n">
        <f aca="false">SEP!N52</f>
        <v>11.559</v>
      </c>
      <c r="O13" s="123" t="n">
        <f aca="false">SEP!O52</f>
        <v>12678.36855</v>
      </c>
      <c r="P13" s="186"/>
      <c r="Q13" s="123" t="n">
        <f aca="false">SEP!Q52</f>
        <v>695.014952749227</v>
      </c>
      <c r="R13" s="241" t="n">
        <f aca="false">SEP!R52</f>
        <v>897.58338032</v>
      </c>
      <c r="S13" s="123" t="n">
        <f aca="false">SEP!S52</f>
        <v>122.60516048</v>
      </c>
      <c r="T13" s="123" t="n">
        <f aca="false">SEP!T52</f>
        <v>280.9554592</v>
      </c>
      <c r="U13" s="352" t="n">
        <f aca="false">SEP!U52</f>
        <v>-15.4916088537026</v>
      </c>
      <c r="V13" s="123" t="n">
        <f aca="false">SEP!V52</f>
        <v>17967.61</v>
      </c>
      <c r="W13" s="123" t="n">
        <f aca="false">SEP!W52</f>
        <v>9816.685</v>
      </c>
      <c r="X13" s="123" t="n">
        <f aca="false">SEP!X52</f>
        <v>53183.5400061045</v>
      </c>
      <c r="Y13" s="123" t="n">
        <f aca="false">SEP!Y52</f>
        <v>52900.6296506722</v>
      </c>
      <c r="Z13" s="123"/>
      <c r="AA13" s="123"/>
      <c r="AB13" s="123"/>
      <c r="AC13" s="123"/>
      <c r="AD13" s="123"/>
      <c r="AE13" s="123" t="n">
        <f aca="false">SEP!AE52</f>
        <v>0</v>
      </c>
      <c r="AF13" s="296" t="n">
        <f aca="false">AF12</f>
        <v>311.1</v>
      </c>
      <c r="AG13" s="297" t="n">
        <f aca="false">AG12</f>
        <v>237.9</v>
      </c>
      <c r="AH13" s="123" t="n">
        <f aca="false">SEP!AH52</f>
        <v>28994.6</v>
      </c>
      <c r="AI13" s="123" t="n">
        <f aca="false">SEP!AI52</f>
        <v>6370.25787748927</v>
      </c>
      <c r="AJ13" s="123" t="n">
        <f aca="false">SEP!AJ52</f>
        <v>14122</v>
      </c>
      <c r="AK13" s="123" t="n">
        <f aca="false">SEP!AK52</f>
        <v>122233.482</v>
      </c>
      <c r="AL13" s="123" t="n">
        <f aca="false">SEP!AL52</f>
        <v>3540.59450819259</v>
      </c>
      <c r="AM13" s="123" t="n">
        <f aca="false">SEP!AM52</f>
        <v>125774.076508193</v>
      </c>
      <c r="AN13" s="303" t="n">
        <f aca="false">SEP!AN52</f>
        <v>3115.79</v>
      </c>
      <c r="AO13" s="156" t="n">
        <f aca="false">SEP!AO52</f>
        <v>282.910355432317</v>
      </c>
      <c r="AP13" s="156"/>
      <c r="AQ13" s="156" t="n">
        <f aca="false">SEP!AQ53</f>
        <v>1178.03188018637</v>
      </c>
      <c r="AR13" s="186"/>
      <c r="AS13" s="186"/>
      <c r="AT13" s="241" t="n">
        <f aca="false">SEP!AS52</f>
        <v>0</v>
      </c>
      <c r="AU13" s="241" t="n">
        <f aca="false">SEP!AT52</f>
        <v>0</v>
      </c>
      <c r="AV13" s="241" t="n">
        <f aca="false">SEP!AU49</f>
        <v>0</v>
      </c>
      <c r="AW13" s="355" t="n">
        <f aca="false">SEP!AV52</f>
        <v>17.904885361552</v>
      </c>
      <c r="AX13" s="241"/>
      <c r="AY13" s="241"/>
      <c r="AZ13" s="336"/>
      <c r="BA13" s="375" t="n">
        <f aca="false">SEP!AZ52</f>
        <v>1995.38634389552</v>
      </c>
      <c r="BB13" s="120" t="n">
        <f aca="false">SEP!BA52</f>
        <v>6797.852</v>
      </c>
      <c r="BC13" s="124"/>
      <c r="BE13" s="176" t="s">
        <v>103</v>
      </c>
      <c r="BF13" s="373"/>
      <c r="BH13" s="123" t="n">
        <f aca="false">SEP!BH52</f>
        <v>0</v>
      </c>
      <c r="BI13" s="123" t="n">
        <f aca="false">SEP!BI52</f>
        <v>0</v>
      </c>
    </row>
    <row r="14" customFormat="false" ht="3" hidden="false" customHeight="true" outlineLevel="0" collapsed="false">
      <c r="A14" s="261"/>
      <c r="B14" s="262"/>
      <c r="C14" s="263"/>
      <c r="D14" s="264"/>
      <c r="E14" s="263"/>
      <c r="F14" s="265"/>
      <c r="G14" s="264"/>
      <c r="H14" s="653"/>
      <c r="I14" s="264"/>
      <c r="J14" s="264"/>
      <c r="K14" s="264"/>
      <c r="L14" s="264"/>
      <c r="M14" s="267"/>
      <c r="N14" s="264"/>
      <c r="O14" s="264"/>
      <c r="P14" s="268"/>
      <c r="Q14" s="264"/>
      <c r="R14" s="264"/>
      <c r="S14" s="264"/>
      <c r="T14" s="264"/>
      <c r="U14" s="269"/>
      <c r="V14" s="264"/>
      <c r="W14" s="264"/>
      <c r="X14" s="264"/>
      <c r="Y14" s="264"/>
      <c r="Z14" s="263"/>
      <c r="AA14" s="264"/>
      <c r="AB14" s="263"/>
      <c r="AC14" s="263"/>
      <c r="AD14" s="263"/>
      <c r="AE14" s="264"/>
      <c r="AF14" s="267"/>
      <c r="AG14" s="272"/>
      <c r="AH14" s="264"/>
      <c r="AI14" s="263"/>
      <c r="AJ14" s="263"/>
      <c r="AK14" s="264"/>
      <c r="AL14" s="264"/>
      <c r="AM14" s="264"/>
      <c r="AN14" s="309"/>
      <c r="AO14" s="271"/>
      <c r="AP14" s="271"/>
      <c r="AQ14" s="268"/>
      <c r="AR14" s="268"/>
      <c r="AS14" s="268"/>
      <c r="AT14" s="268"/>
      <c r="AU14" s="268"/>
      <c r="AV14" s="274" t="s">
        <v>151</v>
      </c>
      <c r="AW14" s="556"/>
      <c r="AX14" s="274"/>
      <c r="AY14" s="274"/>
      <c r="AZ14" s="274"/>
      <c r="BA14" s="274"/>
      <c r="BB14" s="274"/>
      <c r="BC14" s="274"/>
      <c r="BE14" s="261"/>
      <c r="BF14" s="472"/>
      <c r="BH14" s="264"/>
      <c r="BI14" s="264"/>
    </row>
    <row r="15" customFormat="false" ht="12.95" hidden="false" customHeight="true" outlineLevel="0" collapsed="false">
      <c r="A15" s="207" t="n">
        <v>1</v>
      </c>
      <c r="B15" s="122" t="n">
        <v>6904.48</v>
      </c>
      <c r="C15" s="123" t="n">
        <v>300407</v>
      </c>
      <c r="D15" s="241" t="n">
        <f aca="false">C15-C13</f>
        <v>-382</v>
      </c>
      <c r="E15" s="123" t="n">
        <f aca="false">C15-152000</f>
        <v>148407</v>
      </c>
      <c r="F15" s="277" t="n">
        <f aca="false">D15/$D$2</f>
        <v>-192.588858079153</v>
      </c>
      <c r="G15" s="155" t="n">
        <v>147</v>
      </c>
      <c r="H15" s="654" t="n">
        <v>0</v>
      </c>
      <c r="I15" s="155" t="n">
        <f aca="false">G15+H15</f>
        <v>147</v>
      </c>
      <c r="J15" s="156" t="n">
        <f aca="false">IF(L15&gt;0,L15,0)</f>
        <v>0</v>
      </c>
      <c r="K15" s="155" t="n">
        <f aca="false">I15+J15</f>
        <v>147</v>
      </c>
      <c r="L15" s="155" t="n">
        <f aca="false">F15-(I15-AK15)</f>
        <v>-26.488858079153</v>
      </c>
      <c r="M15" s="279" t="n">
        <v>78.8</v>
      </c>
      <c r="N15" s="186" t="n">
        <v>0.78</v>
      </c>
      <c r="O15" s="155" t="n">
        <f aca="false">2.98*1.05</f>
        <v>3.129</v>
      </c>
      <c r="P15" s="186" t="n">
        <v>0</v>
      </c>
      <c r="Q15" s="373" t="n">
        <f aca="false">1126000/325851/1.9835*1.02</f>
        <v>1.77699947432908</v>
      </c>
      <c r="R15" s="151" t="n">
        <f aca="false">IF(((4.1*1.04)-T15)&gt;=4.2,4.2,(4.1*1.04)-T15)</f>
        <v>3.46542144</v>
      </c>
      <c r="S15" s="151" t="n">
        <f aca="false">IF(((4.1*1.04)-T15)&gt;=4.2,((4.1*1.04)-T15)-4.2,0)</f>
        <v>0</v>
      </c>
      <c r="T15" s="151" t="n">
        <f aca="false">(0.7244*1.06)*1.04</f>
        <v>0.79857856</v>
      </c>
      <c r="U15" s="393" t="n">
        <v>0</v>
      </c>
      <c r="V15" s="155" t="n">
        <v>104</v>
      </c>
      <c r="W15" s="155" t="n">
        <v>50.5</v>
      </c>
      <c r="X15" s="155" t="n">
        <f aca="false">M15-N15-O15-P15-Q15-R15-S15-T15-U15+V15+W15-AU15+AR15</f>
        <v>223.350000525671</v>
      </c>
      <c r="Y15" s="155" t="n">
        <f aca="false">X15-AO15</f>
        <v>223.350000525671</v>
      </c>
      <c r="Z15" s="123" t="n">
        <f aca="false">Z12+AP15</f>
        <v>3853.71498543745</v>
      </c>
      <c r="AA15" s="155" t="n">
        <f aca="false">(-AP15)</f>
        <v>83.29242144</v>
      </c>
      <c r="AB15" s="123"/>
      <c r="AC15" s="244" t="n">
        <f aca="false">AC12-(SEP!AQ44/1.9835)+AS15</f>
        <v>1776.95081653331</v>
      </c>
      <c r="AD15" s="244" t="n">
        <f aca="false">AD12</f>
        <v>1495.84068565667</v>
      </c>
      <c r="AE15" s="155" t="n">
        <v>40.3</v>
      </c>
      <c r="AF15" s="157" t="n">
        <v>1.7</v>
      </c>
      <c r="AG15" s="158" t="n">
        <v>1.3</v>
      </c>
      <c r="AH15" s="155" t="n">
        <v>39.5</v>
      </c>
      <c r="AI15" s="123" t="n">
        <f aca="false">AI13-AH15</f>
        <v>6330.75787748927</v>
      </c>
      <c r="AJ15" s="123"/>
      <c r="AK15" s="154" t="n">
        <f aca="false">N15+O15+P15+Q15+R15+S15+T15+U15+X15+AE15+AH15</f>
        <v>313.1</v>
      </c>
      <c r="AL15" s="155" t="n">
        <f aca="false">IF(L15&lt;0,L15*-1,0)</f>
        <v>26.488858079153</v>
      </c>
      <c r="AM15" s="155" t="n">
        <f aca="false">AK15+AL15</f>
        <v>339.588858079153</v>
      </c>
      <c r="AN15" s="159"/>
      <c r="AO15" s="156"/>
      <c r="AP15" s="633" t="n">
        <f aca="false">I15-Q15-R15-X15-AF15</f>
        <v>-83.29242144</v>
      </c>
      <c r="AQ15" s="601" t="n">
        <f aca="false">26.219*(Z15*1.9835+AC15*1.9835)/E15</f>
        <v>1.97312088569826</v>
      </c>
      <c r="AR15" s="186" t="n">
        <v>0</v>
      </c>
      <c r="AS15" s="186"/>
      <c r="AT15" s="373" t="n">
        <f aca="false">SEP!AS44</f>
        <v>7.45</v>
      </c>
      <c r="AU15" s="58"/>
      <c r="AV15" s="120"/>
      <c r="AW15" s="355" t="n">
        <v>0</v>
      </c>
      <c r="AX15" s="241" t="n">
        <v>73</v>
      </c>
      <c r="AY15" s="241" t="n">
        <v>44</v>
      </c>
      <c r="AZ15" s="283"/>
      <c r="BA15" s="282" t="n">
        <f aca="false">SUM(N15,P15:U15)</f>
        <v>6.82099947432908</v>
      </c>
      <c r="BB15" s="58" t="n">
        <v>10.1</v>
      </c>
      <c r="BC15" s="91" t="n">
        <v>17826</v>
      </c>
      <c r="BE15" s="207" t="n">
        <v>1</v>
      </c>
      <c r="BF15" s="373"/>
      <c r="BH15" s="155" t="n">
        <f aca="false">MIN(AH15,25)</f>
        <v>25</v>
      </c>
      <c r="BI15" s="155" t="n">
        <f aca="false">AH15-BH15</f>
        <v>14.5</v>
      </c>
    </row>
    <row r="16" customFormat="false" ht="12.95" hidden="false" customHeight="true" outlineLevel="0" collapsed="false">
      <c r="A16" s="207" t="n">
        <f aca="false">A15+1</f>
        <v>2</v>
      </c>
      <c r="B16" s="122" t="n">
        <v>6904.4</v>
      </c>
      <c r="C16" s="123" t="n">
        <v>300101</v>
      </c>
      <c r="D16" s="241" t="n">
        <f aca="false">C16-C15</f>
        <v>-306</v>
      </c>
      <c r="E16" s="123" t="n">
        <f aca="false">C16-152000</f>
        <v>148101</v>
      </c>
      <c r="F16" s="277" t="n">
        <f aca="false">D16/$D$2</f>
        <v>-154.27275018906</v>
      </c>
      <c r="G16" s="155" t="n">
        <v>134</v>
      </c>
      <c r="H16" s="654" t="n">
        <v>0</v>
      </c>
      <c r="I16" s="155" t="n">
        <f aca="false">G16+H16</f>
        <v>134</v>
      </c>
      <c r="J16" s="156" t="n">
        <f aca="false">IF(L16&gt;0,L16,0)</f>
        <v>6.52724981094028</v>
      </c>
      <c r="K16" s="155" t="n">
        <f aca="false">I16+J16</f>
        <v>140.52724981094</v>
      </c>
      <c r="L16" s="155" t="n">
        <f aca="false">F16-(I16-AK16)</f>
        <v>6.52724981094028</v>
      </c>
      <c r="M16" s="279" t="n">
        <v>81.2</v>
      </c>
      <c r="N16" s="186" t="n">
        <v>0.73</v>
      </c>
      <c r="O16" s="155" t="n">
        <f aca="false">8.2*1.05</f>
        <v>8.61</v>
      </c>
      <c r="P16" s="186" t="n">
        <v>0</v>
      </c>
      <c r="Q16" s="373" t="n">
        <f aca="false">1362000/325851/1.9835*1.02</f>
        <v>2.1494434138865</v>
      </c>
      <c r="R16" s="151" t="n">
        <f aca="false">IF(((3.8*1.04)-T16)&gt;=4.2,4.2,(3.8*1.04)-T16)</f>
        <v>3.15342144</v>
      </c>
      <c r="S16" s="151" t="n">
        <f aca="false">IF(((3.8*1.04)-T16)&gt;=4.2,((3.8*1.04)-T16)-4.2,0)</f>
        <v>0</v>
      </c>
      <c r="T16" s="151" t="n">
        <f aca="false">(0.7244*1.06)*1.04</f>
        <v>0.79857856</v>
      </c>
      <c r="U16" s="393" t="n">
        <v>0</v>
      </c>
      <c r="V16" s="155" t="n">
        <v>103</v>
      </c>
      <c r="W16" s="155" t="n">
        <v>50.2</v>
      </c>
      <c r="X16" s="155" t="n">
        <f aca="false">M16-N16-O16-P16-Q16-R16-S16-T16-U16+V16+W16-AU16+AR16</f>
        <v>218.958556586113</v>
      </c>
      <c r="Y16" s="155" t="n">
        <f aca="false">X16-AO16</f>
        <v>218.958556586113</v>
      </c>
      <c r="Z16" s="123" t="n">
        <f aca="false">Z15+AP16</f>
        <v>3761.75356399745</v>
      </c>
      <c r="AA16" s="155" t="n">
        <f aca="false">(-AP16)</f>
        <v>91.96142144</v>
      </c>
      <c r="AB16" s="123"/>
      <c r="AC16" s="244" t="n">
        <f aca="false">AC15-(AQ15/1.9835)+AS16</f>
        <v>1775.95604926046</v>
      </c>
      <c r="AD16" s="244" t="n">
        <f aca="false">AD15</f>
        <v>1495.84068565667</v>
      </c>
      <c r="AE16" s="155" t="n">
        <v>20.9</v>
      </c>
      <c r="AF16" s="157" t="n">
        <v>1.7</v>
      </c>
      <c r="AG16" s="158" t="n">
        <v>1.3</v>
      </c>
      <c r="AH16" s="155" t="n">
        <v>39.5</v>
      </c>
      <c r="AI16" s="123" t="n">
        <f aca="false">AI15-AH16</f>
        <v>6291.25787748927</v>
      </c>
      <c r="AJ16" s="123"/>
      <c r="AK16" s="154" t="n">
        <f aca="false">N16+O16+P16+Q16+R16+S16+T16+U16+X16+AE16+AH16</f>
        <v>294.8</v>
      </c>
      <c r="AL16" s="155" t="n">
        <f aca="false">IF(L16&lt;0,L16*-1,0)</f>
        <v>0</v>
      </c>
      <c r="AM16" s="155" t="n">
        <f aca="false">AK16+AL16</f>
        <v>294.8</v>
      </c>
      <c r="AN16" s="284"/>
      <c r="AO16" s="156"/>
      <c r="AP16" s="633" t="n">
        <f aca="false">I16-Q16-R16-X16-AF16</f>
        <v>-91.96142144</v>
      </c>
      <c r="AQ16" s="601" t="n">
        <f aca="false">39.772*(Z16*1.9835+AC16*1.9835)/E16</f>
        <v>2.94972699708849</v>
      </c>
      <c r="AR16" s="186" t="n">
        <v>0</v>
      </c>
      <c r="AS16" s="186"/>
      <c r="AT16" s="373" t="n">
        <f aca="false">AT15</f>
        <v>7.45</v>
      </c>
      <c r="AU16" s="58"/>
      <c r="AV16" s="120"/>
      <c r="AW16" s="355" t="n">
        <v>0</v>
      </c>
      <c r="AX16" s="241" t="n">
        <v>75</v>
      </c>
      <c r="AY16" s="241" t="n">
        <v>45</v>
      </c>
      <c r="AZ16" s="283"/>
      <c r="BA16" s="282" t="n">
        <f aca="false">SUM(N16,P16:U16)</f>
        <v>6.8314434138865</v>
      </c>
      <c r="BB16" s="58" t="n">
        <v>10.1</v>
      </c>
      <c r="BC16" s="91" t="n">
        <v>17802</v>
      </c>
      <c r="BE16" s="207" t="n">
        <f aca="false">BE15+1</f>
        <v>2</v>
      </c>
      <c r="BF16" s="373"/>
      <c r="BH16" s="155" t="n">
        <f aca="false">MIN(AH16,25)</f>
        <v>25</v>
      </c>
      <c r="BI16" s="155" t="n">
        <f aca="false">AH16-BH16</f>
        <v>14.5</v>
      </c>
    </row>
    <row r="17" customFormat="false" ht="12.95" hidden="false" customHeight="true" outlineLevel="0" collapsed="false">
      <c r="A17" s="207" t="n">
        <f aca="false">A16+1</f>
        <v>3</v>
      </c>
      <c r="B17" s="122" t="n">
        <v>6904.27</v>
      </c>
      <c r="C17" s="123" t="n">
        <v>299604</v>
      </c>
      <c r="D17" s="241" t="n">
        <f aca="false">C17-C16</f>
        <v>-497</v>
      </c>
      <c r="E17" s="123" t="n">
        <f aca="false">C17-152000</f>
        <v>147604</v>
      </c>
      <c r="F17" s="277" t="n">
        <f aca="false">D17/$D$2</f>
        <v>-250.567179228636</v>
      </c>
      <c r="G17" s="155" t="n">
        <v>125</v>
      </c>
      <c r="H17" s="654" t="n">
        <v>0</v>
      </c>
      <c r="I17" s="155" t="n">
        <f aca="false">G17+H17</f>
        <v>125</v>
      </c>
      <c r="J17" s="156" t="n">
        <f aca="false">IF(L17&gt;0,L17,0)</f>
        <v>0</v>
      </c>
      <c r="K17" s="155" t="n">
        <f aca="false">I17+J17</f>
        <v>125</v>
      </c>
      <c r="L17" s="155" t="n">
        <f aca="false">F17-(I17-AK17)</f>
        <v>-92.3671792286362</v>
      </c>
      <c r="M17" s="279" t="n">
        <v>85.1</v>
      </c>
      <c r="N17" s="186" t="n">
        <v>0.69</v>
      </c>
      <c r="O17" s="155" t="n">
        <f aca="false">3.76*1.05</f>
        <v>3.948</v>
      </c>
      <c r="P17" s="186" t="n">
        <v>0</v>
      </c>
      <c r="Q17" s="373" t="n">
        <f aca="false">1067900/325851/1.9835*1.02</f>
        <v>1.68530882649736</v>
      </c>
      <c r="R17" s="151" t="n">
        <f aca="false">IF(((4.5*1.04)-T17)&gt;=4.2,4.2,(4.5*1.04)-T17)</f>
        <v>3.88142144</v>
      </c>
      <c r="S17" s="151" t="n">
        <f aca="false">IF(((4.5*1.04)-T17)&gt;=4.2,((4.5*1.04)-T17)-4.2,0)</f>
        <v>0</v>
      </c>
      <c r="T17" s="151" t="n">
        <f aca="false">(0.7244*1.06)*1.04</f>
        <v>0.79857856</v>
      </c>
      <c r="U17" s="393" t="n">
        <v>0</v>
      </c>
      <c r="V17" s="155" t="n">
        <v>103</v>
      </c>
      <c r="W17" s="155" t="n">
        <v>47.7</v>
      </c>
      <c r="X17" s="155" t="n">
        <f aca="false">M17-N17-O17-P17-Q17-R17-S17-T17-U17+V17+W17-AU17+AR17</f>
        <v>224.796691173503</v>
      </c>
      <c r="Y17" s="155" t="n">
        <f aca="false">X17-AO17</f>
        <v>224.796691173503</v>
      </c>
      <c r="Z17" s="123" t="n">
        <f aca="false">Z16+AP17</f>
        <v>3654.69014255745</v>
      </c>
      <c r="AA17" s="155" t="n">
        <f aca="false">(-AP17)</f>
        <v>107.06342144</v>
      </c>
      <c r="AB17" s="123"/>
      <c r="AC17" s="244" t="n">
        <f aca="false">AC16-(AQ16/1.9835)+AS17</f>
        <v>1774.46891692011</v>
      </c>
      <c r="AD17" s="244" t="n">
        <f aca="false">AD16</f>
        <v>1495.84068565667</v>
      </c>
      <c r="AE17" s="155" t="n">
        <v>11.2</v>
      </c>
      <c r="AF17" s="157" t="n">
        <v>1.7</v>
      </c>
      <c r="AG17" s="158" t="n">
        <v>1.3</v>
      </c>
      <c r="AH17" s="155" t="n">
        <v>36.2</v>
      </c>
      <c r="AI17" s="123" t="n">
        <f aca="false">AI16-AH17</f>
        <v>6255.05787748927</v>
      </c>
      <c r="AJ17" s="123"/>
      <c r="AK17" s="154" t="n">
        <f aca="false">N17+O17+P17+Q17+R17+S17+T17+U17+X17+AE17+AH17</f>
        <v>283.2</v>
      </c>
      <c r="AL17" s="155" t="n">
        <f aca="false">IF(L17&lt;0,L17*-1,0)</f>
        <v>92.3671792286362</v>
      </c>
      <c r="AM17" s="155" t="n">
        <f aca="false">AK17+AL17</f>
        <v>375.567179228636</v>
      </c>
      <c r="AN17" s="303"/>
      <c r="AO17" s="156"/>
      <c r="AP17" s="633" t="n">
        <f aca="false">I17-Q17-R17-X17-AF17</f>
        <v>-107.06342144</v>
      </c>
      <c r="AQ17" s="601" t="n">
        <f aca="false">34.662*(Z17*1.9835+AC17*1.9835)/E17</f>
        <v>2.52883364747872</v>
      </c>
      <c r="AR17" s="186" t="n">
        <v>0</v>
      </c>
      <c r="AS17" s="186"/>
      <c r="AT17" s="373" t="n">
        <f aca="false">AT16</f>
        <v>7.45</v>
      </c>
      <c r="AU17" s="58"/>
      <c r="AV17" s="120"/>
      <c r="AW17" s="355" t="n">
        <v>0</v>
      </c>
      <c r="AX17" s="241" t="n">
        <v>66</v>
      </c>
      <c r="AY17" s="241" t="n">
        <v>33</v>
      </c>
      <c r="AZ17" s="283"/>
      <c r="BA17" s="282" t="n">
        <f aca="false">SUM(N17,P17:U17)</f>
        <v>7.05530882649736</v>
      </c>
      <c r="BB17" s="58" t="n">
        <v>10.1</v>
      </c>
      <c r="BC17" s="91" t="n">
        <v>17772</v>
      </c>
      <c r="BE17" s="207" t="n">
        <f aca="false">BE16+1</f>
        <v>3</v>
      </c>
      <c r="BF17" s="373"/>
      <c r="BH17" s="155" t="n">
        <f aca="false">MIN(AH17,25)</f>
        <v>25</v>
      </c>
      <c r="BI17" s="155" t="n">
        <f aca="false">AH17-BH17</f>
        <v>11.2</v>
      </c>
    </row>
    <row r="18" customFormat="false" ht="12.95" hidden="false" customHeight="true" outlineLevel="0" collapsed="false">
      <c r="A18" s="207" t="n">
        <f aca="false">A17+1</f>
        <v>4</v>
      </c>
      <c r="B18" s="122" t="n">
        <v>6904.2</v>
      </c>
      <c r="C18" s="123" t="n">
        <v>299336</v>
      </c>
      <c r="D18" s="241" t="n">
        <f aca="false">C18-C17</f>
        <v>-268</v>
      </c>
      <c r="E18" s="123" t="n">
        <f aca="false">C18-152000</f>
        <v>147336</v>
      </c>
      <c r="F18" s="277" t="n">
        <f aca="false">D18/$D$2</f>
        <v>-135.114696244013</v>
      </c>
      <c r="G18" s="155" t="n">
        <v>122</v>
      </c>
      <c r="H18" s="654" t="n">
        <v>0</v>
      </c>
      <c r="I18" s="155" t="n">
        <f aca="false">G18+H18</f>
        <v>122</v>
      </c>
      <c r="J18" s="156" t="n">
        <f aca="false">IF(L18&gt;0,L18,0)</f>
        <v>0</v>
      </c>
      <c r="K18" s="155" t="n">
        <f aca="false">I18+J18</f>
        <v>122</v>
      </c>
      <c r="L18" s="155" t="n">
        <f aca="false">F18-(I18-AK18)</f>
        <v>-14.5146962440131</v>
      </c>
      <c r="M18" s="279" t="n">
        <v>76.2</v>
      </c>
      <c r="N18" s="186" t="n">
        <v>0</v>
      </c>
      <c r="O18" s="155" t="n">
        <f aca="false">2.61*1.05</f>
        <v>2.7405</v>
      </c>
      <c r="P18" s="186" t="n">
        <v>0</v>
      </c>
      <c r="Q18" s="373" t="n">
        <f aca="false">1274400/325851/1.9835*1.02</f>
        <v>2.0111972736101</v>
      </c>
      <c r="R18" s="151" t="n">
        <f aca="false">IF(((4*1.04)-T18)&gt;=4.2,4.2,(4*1.04)-T18)</f>
        <v>3.36142144</v>
      </c>
      <c r="S18" s="151" t="n">
        <f aca="false">IF(((4*1.04)-T18)&gt;=4.2,((4*1.04)-T18)-4.2,0)</f>
        <v>0</v>
      </c>
      <c r="T18" s="151" t="n">
        <f aca="false">(0.7244*1.06)*1.04</f>
        <v>0.79857856</v>
      </c>
      <c r="U18" s="393" t="n">
        <v>0</v>
      </c>
      <c r="V18" s="155" t="n">
        <v>85.6</v>
      </c>
      <c r="W18" s="155" t="n">
        <v>45.4</v>
      </c>
      <c r="X18" s="155" t="n">
        <f aca="false">M18-N18-O18-P18-Q18-R18-S18-T18-U18+V18+W18-AU18+AR18</f>
        <v>198.28830272639</v>
      </c>
      <c r="Y18" s="155" t="n">
        <f aca="false">X18-AO18</f>
        <v>198.28830272639</v>
      </c>
      <c r="Z18" s="123" t="n">
        <f aca="false">Z17+AP18</f>
        <v>3571.32922111745</v>
      </c>
      <c r="AA18" s="155" t="n">
        <f aca="false">(-AP18)</f>
        <v>83.36092144</v>
      </c>
      <c r="AB18" s="123"/>
      <c r="AC18" s="244" t="n">
        <f aca="false">AC17-(AQ17/1.9835)+AS18</f>
        <v>1773.19398188231</v>
      </c>
      <c r="AD18" s="244" t="n">
        <f aca="false">AD17</f>
        <v>1495.84068565667</v>
      </c>
      <c r="AE18" s="155" t="n">
        <v>0</v>
      </c>
      <c r="AF18" s="157" t="n">
        <v>1.7</v>
      </c>
      <c r="AG18" s="158" t="n">
        <v>1.3</v>
      </c>
      <c r="AH18" s="155" t="n">
        <v>35.4</v>
      </c>
      <c r="AI18" s="123" t="n">
        <f aca="false">AI17-AH18</f>
        <v>6219.65787748927</v>
      </c>
      <c r="AJ18" s="123"/>
      <c r="AK18" s="154" t="n">
        <f aca="false">N18+O18+P18+Q18+R18+S18+T18+U18+X18+AE18+AH18</f>
        <v>242.6</v>
      </c>
      <c r="AL18" s="155" t="n">
        <f aca="false">IF(L18&lt;0,L18*-1,0)</f>
        <v>14.5146962440131</v>
      </c>
      <c r="AM18" s="155" t="n">
        <f aca="false">AK18+AL18</f>
        <v>257.114696244013</v>
      </c>
      <c r="AN18" s="284"/>
      <c r="AO18" s="156"/>
      <c r="AP18" s="633" t="n">
        <f aca="false">I18-Q18-R18-X18-AF18</f>
        <v>-83.36092144</v>
      </c>
      <c r="AQ18" s="601" t="n">
        <f aca="false">31.996*(Z18*1.9835+AC18*1.9835)/E18</f>
        <v>2.30212014235291</v>
      </c>
      <c r="AR18" s="186" t="n">
        <v>0</v>
      </c>
      <c r="AS18" s="186"/>
      <c r="AT18" s="373" t="n">
        <f aca="false">AT17</f>
        <v>7.45</v>
      </c>
      <c r="AU18" s="58"/>
      <c r="AV18" s="120"/>
      <c r="AW18" s="355" t="n">
        <v>0</v>
      </c>
      <c r="AX18" s="241" t="n">
        <v>59</v>
      </c>
      <c r="AY18" s="241" t="n">
        <v>30</v>
      </c>
      <c r="AZ18" s="283"/>
      <c r="BA18" s="282" t="n">
        <f aca="false">SUM(N18,P18:U18)</f>
        <v>6.1711972736101</v>
      </c>
      <c r="BB18" s="58" t="n">
        <v>10.1</v>
      </c>
      <c r="BC18" s="91" t="n">
        <v>17753</v>
      </c>
      <c r="BE18" s="207" t="n">
        <f aca="false">BE17+1</f>
        <v>4</v>
      </c>
      <c r="BF18" s="373"/>
      <c r="BH18" s="155" t="n">
        <f aca="false">MIN(AH18,25)</f>
        <v>25</v>
      </c>
      <c r="BI18" s="155" t="n">
        <f aca="false">AH18-BH18</f>
        <v>10.4</v>
      </c>
    </row>
    <row r="19" customFormat="false" ht="12.95" hidden="false" customHeight="true" outlineLevel="0" collapsed="false">
      <c r="A19" s="207" t="n">
        <f aca="false">A18+1</f>
        <v>5</v>
      </c>
      <c r="B19" s="122" t="n">
        <v>6904.11</v>
      </c>
      <c r="C19" s="123" t="n">
        <v>298992</v>
      </c>
      <c r="D19" s="241" t="n">
        <f aca="false">C19-C18</f>
        <v>-344</v>
      </c>
      <c r="E19" s="123" t="n">
        <f aca="false">C19-152000</f>
        <v>146992</v>
      </c>
      <c r="F19" s="277" t="n">
        <f aca="false">D19/$D$2</f>
        <v>-173.430804134106</v>
      </c>
      <c r="G19" s="155" t="n">
        <v>112</v>
      </c>
      <c r="H19" s="654" t="n">
        <v>0</v>
      </c>
      <c r="I19" s="155" t="n">
        <f aca="false">G19+H19</f>
        <v>112</v>
      </c>
      <c r="J19" s="156" t="n">
        <f aca="false">IF(L19&gt;0,L19,0)</f>
        <v>0</v>
      </c>
      <c r="K19" s="155" t="n">
        <f aca="false">I19+J19</f>
        <v>112</v>
      </c>
      <c r="L19" s="155" t="n">
        <f aca="false">F19-(I19-AK19)</f>
        <v>-57.5308041341064</v>
      </c>
      <c r="M19" s="279" t="n">
        <v>76.1</v>
      </c>
      <c r="N19" s="186" t="n">
        <v>0</v>
      </c>
      <c r="O19" s="155" t="n">
        <f aca="false">3.37*1.05</f>
        <v>3.5385</v>
      </c>
      <c r="P19" s="186" t="n">
        <v>0</v>
      </c>
      <c r="Q19" s="373" t="n">
        <f aca="false">997700/325851/1.9835*1.02</f>
        <v>1.57452253600188</v>
      </c>
      <c r="R19" s="151" t="n">
        <f aca="false">IF(((4*1.04)-T19)&gt;=4.2,4.2,(4*1.04)-T19)</f>
        <v>3.36142144</v>
      </c>
      <c r="S19" s="151" t="n">
        <f aca="false">IF(((4*1.04)-T19)&gt;=4.2,((4*1.04)-T19)-4.2,0)</f>
        <v>0</v>
      </c>
      <c r="T19" s="151" t="n">
        <f aca="false">(0.7244*1.06)*1.04</f>
        <v>0.79857856</v>
      </c>
      <c r="U19" s="393" t="n">
        <v>0</v>
      </c>
      <c r="V19" s="155" t="n">
        <v>73.3</v>
      </c>
      <c r="W19" s="155" t="n">
        <v>43.1</v>
      </c>
      <c r="X19" s="155" t="n">
        <f aca="false">M19-N19-O19-P19-Q19-R19-S19-T19-U19+V19+W19-AU19+AR19</f>
        <v>183.226977463998</v>
      </c>
      <c r="Y19" s="155" t="n">
        <f aca="false">X19-AO19</f>
        <v>183.226977463998</v>
      </c>
      <c r="Z19" s="123" t="n">
        <f aca="false">Z18+AP19</f>
        <v>3493.46629967745</v>
      </c>
      <c r="AA19" s="155" t="n">
        <f aca="false">(-AP19)</f>
        <v>77.86292144</v>
      </c>
      <c r="AB19" s="123"/>
      <c r="AC19" s="244" t="n">
        <f aca="false">AC18-(AQ18/1.9835)+AS19</f>
        <v>1772.03334656981</v>
      </c>
      <c r="AD19" s="244" t="n">
        <f aca="false">AD18</f>
        <v>1495.84068565667</v>
      </c>
      <c r="AE19" s="155" t="n">
        <v>0</v>
      </c>
      <c r="AF19" s="157" t="n">
        <v>1.7</v>
      </c>
      <c r="AG19" s="158" t="n">
        <v>1.3</v>
      </c>
      <c r="AH19" s="155" t="n">
        <v>35.4</v>
      </c>
      <c r="AI19" s="123" t="n">
        <f aca="false">AI18-AH19</f>
        <v>6184.25787748927</v>
      </c>
      <c r="AJ19" s="123"/>
      <c r="AK19" s="154" t="n">
        <f aca="false">N19+O19+P19+Q19+R19+S19+T19+U19+X19+AE19+AH19</f>
        <v>227.9</v>
      </c>
      <c r="AL19" s="155" t="n">
        <f aca="false">IF(L19&lt;0,L19*-1,0)</f>
        <v>57.5308041341064</v>
      </c>
      <c r="AM19" s="155" t="n">
        <f aca="false">AK19+AL19</f>
        <v>285.430804134106</v>
      </c>
      <c r="AN19" s="284"/>
      <c r="AO19" s="156"/>
      <c r="AP19" s="633" t="n">
        <f aca="false">I19-Q19-R19-X19-AF19</f>
        <v>-77.86292144</v>
      </c>
      <c r="AQ19" s="601" t="n">
        <f aca="false">31.996*(Z19*1.9835+AC19*1.9835)/E19</f>
        <v>2.27338914411949</v>
      </c>
      <c r="AR19" s="186" t="n">
        <v>0</v>
      </c>
      <c r="AS19" s="186"/>
      <c r="AT19" s="373" t="n">
        <f aca="false">AT18</f>
        <v>7.45</v>
      </c>
      <c r="AU19" s="58"/>
      <c r="AV19" s="120"/>
      <c r="AW19" s="355" t="n">
        <v>0</v>
      </c>
      <c r="AX19" s="241" t="n">
        <v>66</v>
      </c>
      <c r="AY19" s="241" t="n">
        <v>36</v>
      </c>
      <c r="AZ19" s="283"/>
      <c r="BA19" s="282" t="n">
        <f aca="false">SUM(N19,P19:U19)</f>
        <v>5.73452253600188</v>
      </c>
      <c r="BB19" s="58" t="n">
        <v>10.2</v>
      </c>
      <c r="BC19" s="91" t="n">
        <v>17735</v>
      </c>
      <c r="BE19" s="207" t="n">
        <f aca="false">BE18+1</f>
        <v>5</v>
      </c>
      <c r="BF19" s="373"/>
      <c r="BH19" s="155" t="n">
        <f aca="false">MIN(AH19,25)</f>
        <v>25</v>
      </c>
      <c r="BI19" s="155" t="n">
        <f aca="false">AH19-BH19</f>
        <v>10.4</v>
      </c>
    </row>
    <row r="20" s="664" customFormat="true" ht="12.95" hidden="false" customHeight="true" outlineLevel="0" collapsed="false">
      <c r="A20" s="548" t="n">
        <f aca="false">A19+1</f>
        <v>6</v>
      </c>
      <c r="B20" s="473" t="n">
        <v>6904.04</v>
      </c>
      <c r="C20" s="244" t="n">
        <v>298724</v>
      </c>
      <c r="D20" s="514" t="n">
        <f aca="false">C20-C19</f>
        <v>-268</v>
      </c>
      <c r="E20" s="244" t="n">
        <f aca="false">C20-152000</f>
        <v>146724</v>
      </c>
      <c r="F20" s="655" t="n">
        <f aca="false">D20/$D$2</f>
        <v>-135.114696244013</v>
      </c>
      <c r="G20" s="280" t="n">
        <v>109</v>
      </c>
      <c r="H20" s="656" t="n">
        <v>0</v>
      </c>
      <c r="I20" s="280" t="n">
        <f aca="false">G20+H20</f>
        <v>109</v>
      </c>
      <c r="J20" s="312" t="n">
        <f aca="false">IF(L20&gt;0,L20,0)</f>
        <v>0</v>
      </c>
      <c r="K20" s="280" t="n">
        <f aca="false">I20+J20</f>
        <v>109</v>
      </c>
      <c r="L20" s="280" t="n">
        <f aca="false">F20-(I20-AK20)</f>
        <v>-2.01469624401309</v>
      </c>
      <c r="M20" s="374" t="n">
        <v>96.1</v>
      </c>
      <c r="N20" s="601" t="n">
        <v>0</v>
      </c>
      <c r="O20" s="280" t="n">
        <f aca="false">8.87*1.05</f>
        <v>9.3135</v>
      </c>
      <c r="P20" s="601" t="n">
        <v>0</v>
      </c>
      <c r="Q20" s="511" t="n">
        <f aca="false">1227700/325851/1.9835*1.02</f>
        <v>1.93749756184175</v>
      </c>
      <c r="R20" s="151" t="n">
        <f aca="false">IF(((4*1.04)-T20)&gt;=4.2,4.2,(4*1.04)-T20)</f>
        <v>3.36142144</v>
      </c>
      <c r="S20" s="512" t="n">
        <f aca="false">IF(((4*1.04)-T20)&gt;=4.2,((4*1.04)-T20)-4.2,0)</f>
        <v>0</v>
      </c>
      <c r="T20" s="151" t="n">
        <f aca="false">(0.7244*1.06)*1.04</f>
        <v>0.79857856</v>
      </c>
      <c r="U20" s="657" t="n">
        <v>0</v>
      </c>
      <c r="V20" s="280" t="n">
        <v>73.3</v>
      </c>
      <c r="W20" s="280" t="n">
        <v>37.3</v>
      </c>
      <c r="X20" s="280" t="n">
        <f aca="false">M20-N20-O20-P20-Q20-R20-S20-T20-U20+V20+W20-AU20+AR20</f>
        <v>191.289002438158</v>
      </c>
      <c r="Y20" s="280" t="n">
        <f aca="false">X20-AO20</f>
        <v>191.289002438158</v>
      </c>
      <c r="Z20" s="244" t="n">
        <f aca="false">Z19+AP20</f>
        <v>3404.17837823745</v>
      </c>
      <c r="AA20" s="280" t="n">
        <f aca="false">(-AP20)</f>
        <v>89.28792144</v>
      </c>
      <c r="AB20" s="244"/>
      <c r="AC20" s="244" t="n">
        <f aca="false">AC19-(AQ19/1.9835)+AS20</f>
        <v>1770.88719625767</v>
      </c>
      <c r="AD20" s="244" t="n">
        <f aca="false">AD19</f>
        <v>1495.84068565667</v>
      </c>
      <c r="AE20" s="280" t="n">
        <v>0</v>
      </c>
      <c r="AF20" s="658" t="n">
        <v>1.7</v>
      </c>
      <c r="AG20" s="659" t="n">
        <v>1.3</v>
      </c>
      <c r="AH20" s="280" t="n">
        <v>35.4</v>
      </c>
      <c r="AI20" s="244" t="n">
        <f aca="false">AI19-AH20</f>
        <v>6148.85787748927</v>
      </c>
      <c r="AJ20" s="244"/>
      <c r="AK20" s="163" t="n">
        <f aca="false">N20+O20+P20+Q20+R20+S20+T20+U20+X20+AE20+AH20</f>
        <v>242.1</v>
      </c>
      <c r="AL20" s="280" t="n">
        <f aca="false">IF(L20&lt;0,L20*-1,0)</f>
        <v>2.01469624401309</v>
      </c>
      <c r="AM20" s="280" t="n">
        <f aca="false">AK20+AL20</f>
        <v>244.114696244013</v>
      </c>
      <c r="AN20" s="159"/>
      <c r="AO20" s="312"/>
      <c r="AP20" s="633" t="n">
        <f aca="false">I20-Q20-R20-X20-AF20</f>
        <v>-89.28792144</v>
      </c>
      <c r="AQ20" s="601" t="n">
        <f aca="false">36.662*(Z20*1.9835+AC20*1.9835)/E20</f>
        <v>2.56485641061967</v>
      </c>
      <c r="AR20" s="601" t="n">
        <v>0</v>
      </c>
      <c r="AS20" s="601"/>
      <c r="AT20" s="373" t="n">
        <f aca="false">AT19</f>
        <v>7.45</v>
      </c>
      <c r="AU20" s="474"/>
      <c r="AV20" s="585"/>
      <c r="AW20" s="660" t="n">
        <v>0.01</v>
      </c>
      <c r="AX20" s="514" t="n">
        <v>66</v>
      </c>
      <c r="AY20" s="514" t="n">
        <v>34</v>
      </c>
      <c r="AZ20" s="661"/>
      <c r="BA20" s="662" t="n">
        <f aca="false">SUM(N20,P20:U20)</f>
        <v>6.09749756184175</v>
      </c>
      <c r="BB20" s="474" t="n">
        <v>10.5</v>
      </c>
      <c r="BC20" s="663" t="n">
        <v>17720</v>
      </c>
      <c r="BE20" s="548" t="n">
        <f aca="false">BE19+1</f>
        <v>6</v>
      </c>
      <c r="BF20" s="511"/>
      <c r="BH20" s="155" t="n">
        <f aca="false">MIN(AH20,25)</f>
        <v>25</v>
      </c>
      <c r="BI20" s="155" t="n">
        <f aca="false">AH20-BH20</f>
        <v>10.4</v>
      </c>
    </row>
    <row r="21" s="664" customFormat="true" ht="12.95" hidden="false" customHeight="true" outlineLevel="0" collapsed="false">
      <c r="A21" s="548" t="n">
        <f aca="false">A20+1</f>
        <v>7</v>
      </c>
      <c r="B21" s="473" t="n">
        <v>6903.95</v>
      </c>
      <c r="C21" s="244" t="n">
        <v>298381</v>
      </c>
      <c r="D21" s="514" t="n">
        <f aca="false">C21-C20</f>
        <v>-343</v>
      </c>
      <c r="E21" s="244" t="n">
        <f aca="false">C21-152000</f>
        <v>146381</v>
      </c>
      <c r="F21" s="655" t="n">
        <f aca="false">D21/$D$2</f>
        <v>-172.926644819763</v>
      </c>
      <c r="G21" s="280" t="n">
        <v>108</v>
      </c>
      <c r="H21" s="656" t="n">
        <v>0</v>
      </c>
      <c r="I21" s="280" t="n">
        <f aca="false">G21+H21</f>
        <v>108</v>
      </c>
      <c r="J21" s="312" t="n">
        <f aca="false">IF(L21&gt;0,L21,0)</f>
        <v>0</v>
      </c>
      <c r="K21" s="280" t="n">
        <f aca="false">I21+J21</f>
        <v>108</v>
      </c>
      <c r="L21" s="280" t="n">
        <f aca="false">F21-(I21-AK21)</f>
        <v>-49.6266448197631</v>
      </c>
      <c r="M21" s="374" t="n">
        <v>89.8</v>
      </c>
      <c r="N21" s="601" t="n">
        <v>0</v>
      </c>
      <c r="O21" s="280" t="n">
        <f aca="false">2.57*1.05</f>
        <v>2.6985</v>
      </c>
      <c r="P21" s="601" t="n">
        <v>0</v>
      </c>
      <c r="Q21" s="511" t="n">
        <f aca="false">1177100/325851/1.9835*1.02</f>
        <v>1.85764305615698</v>
      </c>
      <c r="R21" s="151" t="n">
        <f aca="false">IF(((4*1.04)-T21)&gt;=4.2,4.2,(4*1.04)-T21)</f>
        <v>3.4059584</v>
      </c>
      <c r="S21" s="512" t="n">
        <f aca="false">IF(((4*1.04)-T21)&gt;=4.2,((4*1.04)-T21)-4.2,0)</f>
        <v>0</v>
      </c>
      <c r="T21" s="512" t="n">
        <f aca="false">(0.684*1.06)*1.04</f>
        <v>0.7540416</v>
      </c>
      <c r="U21" s="657" t="n">
        <v>0</v>
      </c>
      <c r="V21" s="665" t="n">
        <v>73.3</v>
      </c>
      <c r="W21" s="280" t="n">
        <v>32.8</v>
      </c>
      <c r="X21" s="280" t="n">
        <f aca="false">M21-N21-O21-P21-Q21-R21-S21-T21-U21+V21+W21-AU21+AR21</f>
        <v>187.183856943843</v>
      </c>
      <c r="Y21" s="280" t="n">
        <f aca="false">X21-AO21</f>
        <v>187.183856943843</v>
      </c>
      <c r="Z21" s="244" t="n">
        <f aca="false">Z20+AP21</f>
        <v>3318.03091983745</v>
      </c>
      <c r="AA21" s="280" t="n">
        <f aca="false">(-AP21)</f>
        <v>86.1474584</v>
      </c>
      <c r="AB21" s="244"/>
      <c r="AC21" s="244" t="n">
        <f aca="false">AC20-(AQ20/1.9835)+AS21</f>
        <v>1769.5941000083</v>
      </c>
      <c r="AD21" s="244" t="n">
        <f aca="false">AD20</f>
        <v>1495.84068565667</v>
      </c>
      <c r="AE21" s="280" t="n">
        <v>0</v>
      </c>
      <c r="AF21" s="658" t="n">
        <v>1.7</v>
      </c>
      <c r="AG21" s="659" t="n">
        <v>1.3</v>
      </c>
      <c r="AH21" s="280" t="n">
        <v>35.4</v>
      </c>
      <c r="AI21" s="244" t="n">
        <f aca="false">AI20-AH21</f>
        <v>6113.45787748927</v>
      </c>
      <c r="AJ21" s="244"/>
      <c r="AK21" s="163" t="n">
        <f aca="false">N21+O21+P21+Q21+R21+S21+T21+U21+X21+AE21+AH21</f>
        <v>231.3</v>
      </c>
      <c r="AL21" s="280" t="n">
        <f aca="false">IF(L21&lt;0,L21*-1,0)</f>
        <v>49.6266448197631</v>
      </c>
      <c r="AM21" s="280" t="n">
        <f aca="false">AK21+AL21</f>
        <v>280.926644819763</v>
      </c>
      <c r="AN21" s="159"/>
      <c r="AO21" s="312"/>
      <c r="AP21" s="633" t="n">
        <f aca="false">I21-Q21-R21-X21-AF21</f>
        <v>-86.1474584</v>
      </c>
      <c r="AQ21" s="601" t="n">
        <f aca="false">30.218*(Z21*1.9835+AC21*1.9835)/E21</f>
        <v>2.08318723828487</v>
      </c>
      <c r="AR21" s="601" t="n">
        <v>0</v>
      </c>
      <c r="AS21" s="601"/>
      <c r="AT21" s="373" t="n">
        <f aca="false">AT20</f>
        <v>7.45</v>
      </c>
      <c r="AU21" s="474"/>
      <c r="AV21" s="585"/>
      <c r="AW21" s="660" t="n">
        <v>0</v>
      </c>
      <c r="AX21" s="514" t="n">
        <v>69</v>
      </c>
      <c r="AY21" s="514" t="n">
        <v>31</v>
      </c>
      <c r="AZ21" s="661"/>
      <c r="BA21" s="662" t="n">
        <f aca="false">SUM(N21,P21:U21)</f>
        <v>6.01764305615698</v>
      </c>
      <c r="BB21" s="474" t="n">
        <v>10.3</v>
      </c>
      <c r="BC21" s="663" t="n">
        <v>17694</v>
      </c>
      <c r="BE21" s="548" t="n">
        <f aca="false">BE20+1</f>
        <v>7</v>
      </c>
      <c r="BF21" s="511"/>
      <c r="BH21" s="155" t="n">
        <f aca="false">MIN(AH21,25)</f>
        <v>25</v>
      </c>
      <c r="BI21" s="155" t="n">
        <f aca="false">AH21-BH21</f>
        <v>10.4</v>
      </c>
    </row>
    <row r="22" s="664" customFormat="true" ht="12.95" hidden="false" customHeight="true" outlineLevel="0" collapsed="false">
      <c r="A22" s="548" t="n">
        <f aca="false">A21+1</f>
        <v>8</v>
      </c>
      <c r="B22" s="473" t="n">
        <v>6903.83</v>
      </c>
      <c r="C22" s="244" t="n">
        <v>297926</v>
      </c>
      <c r="D22" s="514" t="n">
        <f aca="false">C22-C21</f>
        <v>-455</v>
      </c>
      <c r="E22" s="244" t="n">
        <f aca="false">C22-152000</f>
        <v>145926</v>
      </c>
      <c r="F22" s="655" t="n">
        <f aca="false">D22/$D$2</f>
        <v>-229.392488026216</v>
      </c>
      <c r="G22" s="280" t="n">
        <v>102</v>
      </c>
      <c r="H22" s="656" t="n">
        <v>0</v>
      </c>
      <c r="I22" s="280" t="n">
        <f aca="false">G22+H22</f>
        <v>102</v>
      </c>
      <c r="J22" s="312" t="n">
        <f aca="false">IF(L22&gt;0,L22,0)</f>
        <v>0</v>
      </c>
      <c r="K22" s="280" t="n">
        <f aca="false">I22+J22</f>
        <v>102</v>
      </c>
      <c r="L22" s="280" t="n">
        <f aca="false">F22-(I22-AK22)</f>
        <v>-97.1924880262163</v>
      </c>
      <c r="M22" s="374" t="n">
        <v>101</v>
      </c>
      <c r="N22" s="601" t="n">
        <v>0</v>
      </c>
      <c r="O22" s="280" t="n">
        <f aca="false">0*1.05</f>
        <v>0</v>
      </c>
      <c r="P22" s="601" t="n">
        <v>0</v>
      </c>
      <c r="Q22" s="511" t="n">
        <f aca="false">1252000/325851/1.9835*1.02</f>
        <v>1.97584666239787</v>
      </c>
      <c r="R22" s="151" t="n">
        <f aca="false">IF(((3.9*1.04)-T22)&gt;=4.2,4.2,(3.9*1.04)-T22)</f>
        <v>3.3019584</v>
      </c>
      <c r="S22" s="512" t="n">
        <f aca="false">IF(((3.9*1.04)-T22)&gt;=4.2,((3.9*1.04)-T22)-4.2,0)</f>
        <v>0</v>
      </c>
      <c r="T22" s="512" t="n">
        <f aca="false">(0.684*1.06)*1.04</f>
        <v>0.7540416</v>
      </c>
      <c r="U22" s="657" t="n">
        <v>0</v>
      </c>
      <c r="V22" s="280" t="n">
        <v>65.4</v>
      </c>
      <c r="W22" s="280" t="n">
        <v>32.4</v>
      </c>
      <c r="X22" s="280" t="n">
        <f aca="false">M22-N22-O22-P22-Q22-R22-S22-T22-U22+V22+W22-AU22+AR22</f>
        <v>192.768153337602</v>
      </c>
      <c r="Y22" s="280" t="n">
        <f aca="false">X22-AO22</f>
        <v>192.768153337602</v>
      </c>
      <c r="Z22" s="244" t="n">
        <f aca="false">Z21+AP22</f>
        <v>3220.28496143745</v>
      </c>
      <c r="AA22" s="280" t="n">
        <f aca="false">(-AP22)</f>
        <v>97.7459584</v>
      </c>
      <c r="AB22" s="244"/>
      <c r="AC22" s="244" t="n">
        <f aca="false">AC21-(AQ21/1.9835)+AS22</f>
        <v>1768.5438417586</v>
      </c>
      <c r="AD22" s="244" t="n">
        <f aca="false">AD21</f>
        <v>1495.84068565667</v>
      </c>
      <c r="AE22" s="280" t="n">
        <v>0</v>
      </c>
      <c r="AF22" s="658" t="n">
        <v>1.7</v>
      </c>
      <c r="AG22" s="659" t="n">
        <v>1.3</v>
      </c>
      <c r="AH22" s="280" t="n">
        <v>35.4</v>
      </c>
      <c r="AI22" s="244" t="n">
        <f aca="false">AI21-AH22</f>
        <v>6078.05787748927</v>
      </c>
      <c r="AJ22" s="244"/>
      <c r="AK22" s="163" t="n">
        <f aca="false">N22+O22+P22+Q22+R22+S22+T22+U22+X22+AE22+AH22</f>
        <v>234.2</v>
      </c>
      <c r="AL22" s="280" t="n">
        <f aca="false">IF(L22&lt;0,L22*-1,0)</f>
        <v>97.1924880262163</v>
      </c>
      <c r="AM22" s="280" t="n">
        <f aca="false">AK22+AL22</f>
        <v>331.392488026216</v>
      </c>
      <c r="AN22" s="159"/>
      <c r="AO22" s="312"/>
      <c r="AP22" s="633" t="n">
        <f aca="false">I22-Q22-R22-X22-AF22</f>
        <v>-97.7459584</v>
      </c>
      <c r="AQ22" s="601" t="n">
        <f aca="false">27.107*(Z22*1.9835+AC22*1.9835)/E22</f>
        <v>1.83814422191655</v>
      </c>
      <c r="AR22" s="601" t="n">
        <v>0</v>
      </c>
      <c r="AS22" s="601"/>
      <c r="AT22" s="373" t="n">
        <f aca="false">AT21</f>
        <v>7.45</v>
      </c>
      <c r="AU22" s="474"/>
      <c r="AV22" s="585"/>
      <c r="AW22" s="660" t="n">
        <v>0</v>
      </c>
      <c r="AX22" s="514" t="n">
        <v>73</v>
      </c>
      <c r="AY22" s="514" t="n">
        <v>40</v>
      </c>
      <c r="AZ22" s="661"/>
      <c r="BA22" s="662" t="n">
        <f aca="false">SUM(N22,P22:U22)</f>
        <v>6.03184666239787</v>
      </c>
      <c r="BB22" s="474" t="n">
        <v>10.1</v>
      </c>
      <c r="BC22" s="663" t="n">
        <v>17693</v>
      </c>
      <c r="BE22" s="548" t="n">
        <f aca="false">BE21+1</f>
        <v>8</v>
      </c>
      <c r="BF22" s="511"/>
      <c r="BH22" s="155" t="n">
        <f aca="false">MIN(AH22,25)</f>
        <v>25</v>
      </c>
      <c r="BI22" s="155" t="n">
        <f aca="false">AH22-BH22</f>
        <v>10.4</v>
      </c>
    </row>
    <row r="23" s="664" customFormat="true" ht="12.95" hidden="false" customHeight="true" outlineLevel="0" collapsed="false">
      <c r="A23" s="548" t="n">
        <f aca="false">A22+1</f>
        <v>9</v>
      </c>
      <c r="B23" s="473" t="n">
        <v>6903.75</v>
      </c>
      <c r="C23" s="244" t="n">
        <v>297623</v>
      </c>
      <c r="D23" s="514" t="n">
        <f aca="false">C23-C22</f>
        <v>-303</v>
      </c>
      <c r="E23" s="244" t="n">
        <f aca="false">C23-152000</f>
        <v>145623</v>
      </c>
      <c r="F23" s="655" t="n">
        <f aca="false">D23/$D$2</f>
        <v>-152.76027224603</v>
      </c>
      <c r="G23" s="280" t="n">
        <v>104</v>
      </c>
      <c r="H23" s="656" t="n">
        <v>0</v>
      </c>
      <c r="I23" s="280" t="n">
        <f aca="false">G23+H23</f>
        <v>104</v>
      </c>
      <c r="J23" s="312" t="n">
        <f aca="false">IF(L23&gt;0,L23,0)</f>
        <v>0</v>
      </c>
      <c r="K23" s="280" t="n">
        <f aca="false">I23+J23</f>
        <v>104</v>
      </c>
      <c r="L23" s="280" t="n">
        <f aca="false">F23-(I23-AK23)</f>
        <v>-2.16027224602973</v>
      </c>
      <c r="M23" s="374" t="n">
        <v>120</v>
      </c>
      <c r="N23" s="601" t="n">
        <v>0</v>
      </c>
      <c r="O23" s="280" t="n">
        <f aca="false">0*1.05</f>
        <v>0</v>
      </c>
      <c r="P23" s="601" t="n">
        <v>0</v>
      </c>
      <c r="Q23" s="511" t="n">
        <f aca="false">1276300/325851/1.9835*1.02</f>
        <v>2.014195762954</v>
      </c>
      <c r="R23" s="151" t="n">
        <f aca="false">IF(((3.4*1.04)-T23)&gt;=4.2,4.2,(3.4*1.04)-T23)</f>
        <v>2.7819584</v>
      </c>
      <c r="S23" s="512" t="n">
        <f aca="false">IF(((3.4*1.04)-T23)&gt;=4.2,((3.4*1.04)-T23)-4.2,0)</f>
        <v>0</v>
      </c>
      <c r="T23" s="512" t="n">
        <f aca="false">(0.684*1.06)*1.04</f>
        <v>0.7540416</v>
      </c>
      <c r="U23" s="657" t="n">
        <v>0</v>
      </c>
      <c r="V23" s="280" t="n">
        <v>67</v>
      </c>
      <c r="W23" s="280" t="n">
        <v>32.2</v>
      </c>
      <c r="X23" s="280" t="n">
        <f aca="false">M23-N23-O23-P23-Q23-R23-S23-T23-U23+V23+W23-AU23+AR23</f>
        <v>213.649804237046</v>
      </c>
      <c r="Y23" s="280" t="n">
        <f aca="false">X23-AO23</f>
        <v>213.649804237046</v>
      </c>
      <c r="Z23" s="244" t="n">
        <f aca="false">Z22+AP23</f>
        <v>3104.13900303745</v>
      </c>
      <c r="AA23" s="280" t="n">
        <f aca="false">(-AP23)</f>
        <v>116.1459584</v>
      </c>
      <c r="AB23" s="244"/>
      <c r="AC23" s="244" t="n">
        <f aca="false">AC22-(AQ22/1.9835)+AS23</f>
        <v>1767.61712422802</v>
      </c>
      <c r="AD23" s="244" t="n">
        <f aca="false">AD22</f>
        <v>1495.84068565667</v>
      </c>
      <c r="AE23" s="280" t="n">
        <v>0</v>
      </c>
      <c r="AF23" s="658" t="n">
        <v>1.7</v>
      </c>
      <c r="AG23" s="659" t="n">
        <v>1.3</v>
      </c>
      <c r="AH23" s="280" t="n">
        <v>35.4</v>
      </c>
      <c r="AI23" s="244" t="n">
        <f aca="false">AI22-AH23</f>
        <v>6042.65787748927</v>
      </c>
      <c r="AJ23" s="244"/>
      <c r="AK23" s="163" t="n">
        <f aca="false">N23+O23+P23+Q23+R23+S23+T23+U23+X23+AE23+AH23</f>
        <v>254.6</v>
      </c>
      <c r="AL23" s="280" t="n">
        <f aca="false">IF(L23&lt;0,L23*-1,0)</f>
        <v>2.16027224602973</v>
      </c>
      <c r="AM23" s="280" t="n">
        <f aca="false">AK23+AL23</f>
        <v>256.76027224603</v>
      </c>
      <c r="AN23" s="159"/>
      <c r="AO23" s="312"/>
      <c r="AP23" s="633" t="n">
        <f aca="false">I23-Q23-R23-X23-AF23</f>
        <v>-116.1459584</v>
      </c>
      <c r="AQ23" s="601" t="n">
        <f aca="false">18.664*(Z23*1.9835+AC23*1.9835)/E23</f>
        <v>1.23848997884014</v>
      </c>
      <c r="AR23" s="601" t="n">
        <v>0</v>
      </c>
      <c r="AS23" s="601"/>
      <c r="AT23" s="373" t="n">
        <f aca="false">AT22</f>
        <v>7.45</v>
      </c>
      <c r="AU23" s="474"/>
      <c r="AV23" s="585"/>
      <c r="AW23" s="660" t="n">
        <v>0</v>
      </c>
      <c r="AX23" s="666" t="n">
        <v>67</v>
      </c>
      <c r="AY23" s="514" t="n">
        <v>43</v>
      </c>
      <c r="AZ23" s="661"/>
      <c r="BA23" s="662" t="n">
        <f aca="false">SUM(N23,P23:U23)</f>
        <v>5.550195762954</v>
      </c>
      <c r="BB23" s="474" t="n">
        <v>10.5</v>
      </c>
      <c r="BC23" s="663" t="n">
        <v>17662</v>
      </c>
      <c r="BE23" s="548" t="n">
        <f aca="false">BE22+1</f>
        <v>9</v>
      </c>
      <c r="BF23" s="511"/>
      <c r="BH23" s="155" t="n">
        <f aca="false">MIN(AH23,25)</f>
        <v>25</v>
      </c>
      <c r="BI23" s="155" t="n">
        <f aca="false">AH23-BH23</f>
        <v>10.4</v>
      </c>
    </row>
    <row r="24" customFormat="false" ht="12.95" hidden="false" customHeight="true" outlineLevel="0" collapsed="false">
      <c r="A24" s="207" t="n">
        <f aca="false">A23+1</f>
        <v>10</v>
      </c>
      <c r="B24" s="122" t="n">
        <v>6903.6</v>
      </c>
      <c r="C24" s="123" t="n">
        <v>297054</v>
      </c>
      <c r="D24" s="241" t="n">
        <f aca="false">C24-C23</f>
        <v>-569</v>
      </c>
      <c r="E24" s="123" t="n">
        <f aca="false">C24-152000</f>
        <v>145054</v>
      </c>
      <c r="F24" s="277" t="n">
        <f aca="false">D24/$D$2</f>
        <v>-286.866649861356</v>
      </c>
      <c r="G24" s="155" t="n">
        <v>104</v>
      </c>
      <c r="H24" s="654" t="n">
        <v>0</v>
      </c>
      <c r="I24" s="155" t="n">
        <f aca="false">G24+H24</f>
        <v>104</v>
      </c>
      <c r="J24" s="156" t="n">
        <f aca="false">IF(L24&gt;0,L24,0)</f>
        <v>0</v>
      </c>
      <c r="K24" s="155" t="n">
        <f aca="false">I24+J24</f>
        <v>104</v>
      </c>
      <c r="L24" s="155" t="n">
        <f aca="false">F24-(I24-AK24)</f>
        <v>-157.066649861356</v>
      </c>
      <c r="M24" s="279" t="n">
        <v>99.2</v>
      </c>
      <c r="N24" s="186" t="n">
        <v>0</v>
      </c>
      <c r="O24" s="280" t="n">
        <f aca="false">0*1.05</f>
        <v>0</v>
      </c>
      <c r="P24" s="186" t="n">
        <v>0</v>
      </c>
      <c r="Q24" s="373" t="n">
        <f aca="false">1228900/325851/1.9835*1.02</f>
        <v>1.93939134458526</v>
      </c>
      <c r="R24" s="151" t="n">
        <f aca="false">IF(((3.4*1.04)-T24)&gt;=4.2,4.2,(3.4*1.04)-T24)</f>
        <v>2.7819584</v>
      </c>
      <c r="S24" s="151" t="n">
        <f aca="false">IF(((3.4*1.04)-T24)&gt;=4.2,((3.4*1.04)-T24)-4.2,0)</f>
        <v>0</v>
      </c>
      <c r="T24" s="512" t="n">
        <f aca="false">(0.684*1.06)*1.04</f>
        <v>0.7540416</v>
      </c>
      <c r="U24" s="393" t="n">
        <v>0</v>
      </c>
      <c r="V24" s="155" t="n">
        <v>67</v>
      </c>
      <c r="W24" s="155" t="n">
        <v>32.2</v>
      </c>
      <c r="X24" s="155" t="n">
        <f aca="false">M24-N24-O24-P24-Q24-R24-S24-T24-U24+V24+W24-AU24+AR24</f>
        <v>192.924608655415</v>
      </c>
      <c r="Y24" s="155" t="n">
        <f aca="false">X24-AO24</f>
        <v>192.924608655415</v>
      </c>
      <c r="Z24" s="123" t="n">
        <f aca="false">Z23+AP24</f>
        <v>3008.79304463745</v>
      </c>
      <c r="AA24" s="155" t="n">
        <f aca="false">(-AP24)</f>
        <v>95.3459584</v>
      </c>
      <c r="AB24" s="123"/>
      <c r="AC24" s="244" t="n">
        <f aca="false">AC23-(AQ23/1.9835)+AS24</f>
        <v>1766.99272796946</v>
      </c>
      <c r="AD24" s="244" t="n">
        <f aca="false">AD23</f>
        <v>1495.84068565667</v>
      </c>
      <c r="AE24" s="155" t="n">
        <v>0</v>
      </c>
      <c r="AF24" s="157" t="n">
        <v>1.7</v>
      </c>
      <c r="AG24" s="158" t="n">
        <v>1.3</v>
      </c>
      <c r="AH24" s="155" t="n">
        <v>35.4</v>
      </c>
      <c r="AI24" s="123" t="n">
        <f aca="false">AI23-AH24</f>
        <v>6007.25787748927</v>
      </c>
      <c r="AJ24" s="123"/>
      <c r="AK24" s="154" t="n">
        <f aca="false">N24+O24+P24+Q24+R24+S24+T24+U24+X24+AE24+AH24</f>
        <v>233.8</v>
      </c>
      <c r="AL24" s="155" t="n">
        <f aca="false">IF(L24&lt;0,L24*-1,0)</f>
        <v>157.066649861356</v>
      </c>
      <c r="AM24" s="155" t="n">
        <f aca="false">AK24+AL24</f>
        <v>390.866649861356</v>
      </c>
      <c r="AN24" s="284"/>
      <c r="AO24" s="156"/>
      <c r="AP24" s="633" t="n">
        <f aca="false">I24-Q24-R24-X24-AF24</f>
        <v>-95.3459584</v>
      </c>
      <c r="AQ24" s="601" t="n">
        <f aca="false">31.329*(Z24*1.9835+AC24*1.9835)/E24</f>
        <v>2.04594458039247</v>
      </c>
      <c r="AR24" s="186" t="n">
        <v>0</v>
      </c>
      <c r="AS24" s="186"/>
      <c r="AT24" s="373" t="n">
        <f aca="false">AT23</f>
        <v>7.45</v>
      </c>
      <c r="AU24" s="58"/>
      <c r="AV24" s="120"/>
      <c r="AW24" s="355" t="n">
        <v>0</v>
      </c>
      <c r="AX24" s="241" t="n">
        <v>73</v>
      </c>
      <c r="AY24" s="241" t="n">
        <v>41</v>
      </c>
      <c r="AZ24" s="283"/>
      <c r="BA24" s="282" t="n">
        <f aca="false">SUM(N24,P24:U24)</f>
        <v>5.47539134458526</v>
      </c>
      <c r="BB24" s="58" t="n">
        <v>10.6</v>
      </c>
      <c r="BC24" s="91" t="n">
        <v>17652</v>
      </c>
      <c r="BE24" s="207" t="n">
        <f aca="false">BE23+1</f>
        <v>10</v>
      </c>
      <c r="BF24" s="373" t="n">
        <v>6903.41</v>
      </c>
      <c r="BG24" s="667" t="n">
        <f aca="false">B24-BF24</f>
        <v>0.190000000000509</v>
      </c>
      <c r="BH24" s="155" t="n">
        <f aca="false">MIN(AH24,25)</f>
        <v>25</v>
      </c>
      <c r="BI24" s="155" t="n">
        <f aca="false">AH24-BH24</f>
        <v>10.4</v>
      </c>
    </row>
    <row r="25" customFormat="false" ht="12.75" hidden="false" customHeight="true" outlineLevel="0" collapsed="false">
      <c r="A25" s="207" t="n">
        <f aca="false">A24+1</f>
        <v>11</v>
      </c>
      <c r="B25" s="122" t="n">
        <v>6903.52</v>
      </c>
      <c r="C25" s="123" t="n">
        <v>296750</v>
      </c>
      <c r="D25" s="241" t="n">
        <f aca="false">C25-C24</f>
        <v>-304</v>
      </c>
      <c r="E25" s="123" t="n">
        <f aca="false">C25-152000</f>
        <v>144750</v>
      </c>
      <c r="F25" s="277" t="n">
        <f aca="false">D25/$D$2</f>
        <v>-153.264431560373</v>
      </c>
      <c r="G25" s="155" t="n">
        <v>96</v>
      </c>
      <c r="H25" s="654" t="n">
        <v>0</v>
      </c>
      <c r="I25" s="155" t="n">
        <f aca="false">G25+H25</f>
        <v>96</v>
      </c>
      <c r="J25" s="156" t="n">
        <f aca="false">IF(L25&gt;0,L25,0)</f>
        <v>0</v>
      </c>
      <c r="K25" s="155" t="n">
        <f aca="false">I25+J25</f>
        <v>96</v>
      </c>
      <c r="L25" s="155" t="n">
        <f aca="false">F25-(I25-AK25)</f>
        <v>-2.96443156037304</v>
      </c>
      <c r="M25" s="279" t="n">
        <v>112</v>
      </c>
      <c r="N25" s="186" t="n">
        <v>0</v>
      </c>
      <c r="O25" s="155" t="n">
        <f aca="false">6.22*1.05</f>
        <v>6.531</v>
      </c>
      <c r="P25" s="186" t="n">
        <v>0</v>
      </c>
      <c r="Q25" s="373" t="n">
        <f aca="false">1014500/325851/1.9835*1.02</f>
        <v>1.60103549441106</v>
      </c>
      <c r="R25" s="151" t="n">
        <f aca="false">IF(((3.4*1.04)-T25)&gt;=4.2,4.2,(3.4*1.04)-T25)</f>
        <v>2.7819584</v>
      </c>
      <c r="S25" s="151" t="n">
        <f aca="false">IF(((3.4*1.04)-T25)&gt;=4.2,((3.4*1.04)-T25)-4.2,0)</f>
        <v>0</v>
      </c>
      <c r="T25" s="512" t="n">
        <f aca="false">(0.684*1.06)*1.04</f>
        <v>0.7540416</v>
      </c>
      <c r="U25" s="393" t="n">
        <v>0</v>
      </c>
      <c r="V25" s="155" t="n">
        <v>67</v>
      </c>
      <c r="W25" s="155" t="n">
        <v>31.9</v>
      </c>
      <c r="X25" s="155" t="n">
        <f aca="false">M25-N25-O25-P25-Q25-R25-S25-T25-U25+V25+W25-AU25+AR25</f>
        <v>199.231964505589</v>
      </c>
      <c r="Y25" s="155" t="n">
        <f aca="false">X25-AO25</f>
        <v>199.231964505589</v>
      </c>
      <c r="Z25" s="123" t="n">
        <f aca="false">Z24+AP25</f>
        <v>2899.47808623745</v>
      </c>
      <c r="AA25" s="155" t="n">
        <f aca="false">(-AP25)</f>
        <v>109.3149584</v>
      </c>
      <c r="AB25" s="123"/>
      <c r="AC25" s="244" t="n">
        <f aca="false">AC24-(AQ24/1.9835)+AS25</f>
        <v>1765.96124595263</v>
      </c>
      <c r="AD25" s="244" t="n">
        <f aca="false">AD24</f>
        <v>1495.84068565667</v>
      </c>
      <c r="AE25" s="155" t="n">
        <v>0</v>
      </c>
      <c r="AF25" s="157" t="n">
        <v>1.7</v>
      </c>
      <c r="AG25" s="158" t="n">
        <v>1.3</v>
      </c>
      <c r="AH25" s="155" t="n">
        <v>35.4</v>
      </c>
      <c r="AI25" s="123" t="n">
        <f aca="false">AI24-AH25</f>
        <v>5971.85787748927</v>
      </c>
      <c r="AJ25" s="123"/>
      <c r="AK25" s="154" t="n">
        <f aca="false">N25+O25+P25+Q25+R25+S25+T25+U25+X25+AE25+AH25</f>
        <v>246.3</v>
      </c>
      <c r="AL25" s="155" t="n">
        <f aca="false">IF(L25&lt;0,L25*-1,0)</f>
        <v>2.96443156037304</v>
      </c>
      <c r="AM25" s="155" t="n">
        <f aca="false">AK25+AL25</f>
        <v>249.264431560373</v>
      </c>
      <c r="AN25" s="284"/>
      <c r="AO25" s="156"/>
      <c r="AP25" s="633" t="n">
        <f aca="false">I25-Q25-R25-X25-AF25</f>
        <v>-109.3149584</v>
      </c>
      <c r="AQ25" s="186" t="n">
        <f aca="false">18.664*(Z25*1.9835+AC25*1.9835)/E25</f>
        <v>1.19319357068744</v>
      </c>
      <c r="AR25" s="186" t="n">
        <v>0</v>
      </c>
      <c r="AS25" s="186"/>
      <c r="AT25" s="373" t="n">
        <f aca="false">AT24</f>
        <v>7.45</v>
      </c>
      <c r="AU25" s="58"/>
      <c r="AV25" s="120"/>
      <c r="AW25" s="355" t="n">
        <v>0</v>
      </c>
      <c r="AX25" s="241" t="n">
        <v>70</v>
      </c>
      <c r="AY25" s="241" t="n">
        <v>49</v>
      </c>
      <c r="AZ25" s="283"/>
      <c r="BA25" s="282" t="n">
        <f aca="false">SUM(N25,P25:U25)</f>
        <v>5.13703549441106</v>
      </c>
      <c r="BB25" s="58" t="n">
        <v>10.6</v>
      </c>
      <c r="BC25" s="91" t="n">
        <v>17676</v>
      </c>
      <c r="BE25" s="207" t="n">
        <f aca="false">BE24+1</f>
        <v>11</v>
      </c>
      <c r="BF25" s="373" t="n">
        <v>6903.45</v>
      </c>
      <c r="BG25" s="667" t="n">
        <f aca="false">B25-BF25</f>
        <v>0.0700000000006185</v>
      </c>
      <c r="BH25" s="155" t="n">
        <f aca="false">MIN(AH25,25)</f>
        <v>25</v>
      </c>
      <c r="BI25" s="155" t="n">
        <f aca="false">AH25-BH25</f>
        <v>10.4</v>
      </c>
    </row>
    <row r="26" customFormat="false" ht="12.95" hidden="false" customHeight="true" outlineLevel="0" collapsed="false">
      <c r="A26" s="207" t="n">
        <f aca="false">A25+1</f>
        <v>12</v>
      </c>
      <c r="B26" s="122" t="n">
        <v>6903.43</v>
      </c>
      <c r="C26" s="123" t="n">
        <v>296409</v>
      </c>
      <c r="D26" s="241" t="n">
        <f aca="false">C26-C25</f>
        <v>-341</v>
      </c>
      <c r="E26" s="123" t="n">
        <f aca="false">C26-152000</f>
        <v>144409</v>
      </c>
      <c r="F26" s="277" t="n">
        <f aca="false">D26/$D$2</f>
        <v>-171.918326191076</v>
      </c>
      <c r="G26" s="155" t="n">
        <v>94</v>
      </c>
      <c r="H26" s="654" t="n">
        <v>0</v>
      </c>
      <c r="I26" s="155" t="n">
        <f aca="false">G26+H26</f>
        <v>94</v>
      </c>
      <c r="J26" s="156" t="n">
        <f aca="false">IF(L26&gt;0,L26,0)</f>
        <v>0</v>
      </c>
      <c r="K26" s="155" t="n">
        <f aca="false">I26+J26</f>
        <v>94</v>
      </c>
      <c r="L26" s="155" t="n">
        <f aca="false">F26-(I26-AK26)</f>
        <v>-26.6183261910763</v>
      </c>
      <c r="M26" s="279" t="n">
        <v>106</v>
      </c>
      <c r="N26" s="186" t="n">
        <v>0</v>
      </c>
      <c r="O26" s="155" t="n">
        <f aca="false">6.75*1.05</f>
        <v>7.0875</v>
      </c>
      <c r="P26" s="186" t="n">
        <v>0</v>
      </c>
      <c r="Q26" s="373" t="n">
        <f aca="false">1218900/325851/1.9835*1.02</f>
        <v>1.92360982172266</v>
      </c>
      <c r="R26" s="151" t="n">
        <f aca="false">IF(((3.4*1.04)-T26)&gt;=4.2,4.2,(3.4*1.04)-T26)</f>
        <v>2.7819584</v>
      </c>
      <c r="S26" s="151" t="n">
        <f aca="false">IF(((3.4*1.04)-T26)&gt;=4.2,((3.4*1.04)-T26)-4.2,0)</f>
        <v>0</v>
      </c>
      <c r="T26" s="512" t="n">
        <f aca="false">(0.684*1.06)*1.04</f>
        <v>0.7540416</v>
      </c>
      <c r="U26" s="393" t="n">
        <v>0</v>
      </c>
      <c r="V26" s="155" t="n">
        <v>67</v>
      </c>
      <c r="W26" s="155" t="n">
        <v>31.9</v>
      </c>
      <c r="X26" s="155" t="n">
        <f aca="false">M26-N26-O26-P26-Q26-R26-S26-T26-U26+V26+W26-AU26+AR26</f>
        <v>192.352890178277</v>
      </c>
      <c r="Y26" s="155" t="n">
        <f aca="false">X26-AO26</f>
        <v>192.352890178277</v>
      </c>
      <c r="Z26" s="123" t="n">
        <f aca="false">Z25+AP26</f>
        <v>2794.71962783745</v>
      </c>
      <c r="AA26" s="155" t="n">
        <f aca="false">(-AP26)</f>
        <v>104.7584584</v>
      </c>
      <c r="AB26" s="123"/>
      <c r="AC26" s="244" t="n">
        <f aca="false">AC25-(AQ25/1.9835)+AS26</f>
        <v>1765.35968630015</v>
      </c>
      <c r="AD26" s="244" t="n">
        <f aca="false">AD25</f>
        <v>1495.84068565667</v>
      </c>
      <c r="AE26" s="155" t="n">
        <v>0</v>
      </c>
      <c r="AF26" s="157" t="n">
        <v>1.7</v>
      </c>
      <c r="AG26" s="158" t="n">
        <v>1.3</v>
      </c>
      <c r="AH26" s="155" t="n">
        <v>34.4</v>
      </c>
      <c r="AI26" s="123" t="n">
        <f aca="false">AI25-AH26</f>
        <v>5937.45787748927</v>
      </c>
      <c r="AJ26" s="123"/>
      <c r="AK26" s="154" t="n">
        <f aca="false">N26+O26+P26+Q26+R26+S26+T26+U26+X26+AE26+AH26</f>
        <v>239.3</v>
      </c>
      <c r="AL26" s="155" t="n">
        <f aca="false">IF(L26&lt;0,L26*-1,0)</f>
        <v>26.6183261910763</v>
      </c>
      <c r="AM26" s="155" t="n">
        <f aca="false">AK26+AL26</f>
        <v>265.918326191076</v>
      </c>
      <c r="AN26" s="284"/>
      <c r="AO26" s="156"/>
      <c r="AP26" s="633" t="n">
        <f aca="false">I26-Q26-R26-X26-AF26</f>
        <v>-104.7584584</v>
      </c>
      <c r="AQ26" s="186" t="n">
        <f aca="false">27.989*(Z26*1.9835+AC26*1.9835)/E26</f>
        <v>1.7530638039046</v>
      </c>
      <c r="AR26" s="186" t="n">
        <v>0</v>
      </c>
      <c r="AS26" s="186"/>
      <c r="AT26" s="373" t="n">
        <f aca="false">AT25</f>
        <v>7.45</v>
      </c>
      <c r="AU26" s="58"/>
      <c r="AV26" s="120"/>
      <c r="AW26" s="355" t="n">
        <v>0</v>
      </c>
      <c r="AX26" s="241" t="n">
        <v>70</v>
      </c>
      <c r="AY26" s="241" t="n">
        <v>41</v>
      </c>
      <c r="AZ26" s="283"/>
      <c r="BA26" s="282" t="n">
        <f aca="false">SUM(N26,P26:U26)</f>
        <v>5.45960982172266</v>
      </c>
      <c r="BB26" s="8" t="n">
        <v>10.6</v>
      </c>
      <c r="BC26" s="91" t="n">
        <v>17676</v>
      </c>
      <c r="BE26" s="207" t="n">
        <f aca="false">BE25+1</f>
        <v>12</v>
      </c>
      <c r="BF26" s="373" t="n">
        <v>6903.36</v>
      </c>
      <c r="BG26" s="667" t="n">
        <f aca="false">B26-BF26</f>
        <v>0.0700000000006185</v>
      </c>
      <c r="BH26" s="155" t="n">
        <f aca="false">MIN(AH26,25)</f>
        <v>25</v>
      </c>
      <c r="BI26" s="155" t="n">
        <f aca="false">AH26-BH26</f>
        <v>9.4</v>
      </c>
    </row>
    <row r="27" customFormat="false" ht="12.95" hidden="false" customHeight="true" outlineLevel="0" collapsed="false">
      <c r="A27" s="207" t="n">
        <f aca="false">A26+1</f>
        <v>13</v>
      </c>
      <c r="B27" s="122" t="n">
        <v>6903.34</v>
      </c>
      <c r="C27" s="123" t="n">
        <v>296067</v>
      </c>
      <c r="D27" s="241" t="n">
        <f aca="false">C27-C26</f>
        <v>-342</v>
      </c>
      <c r="E27" s="123" t="n">
        <f aca="false">C27-152000</f>
        <v>144067</v>
      </c>
      <c r="F27" s="277" t="n">
        <f aca="false">D27/$D$2</f>
        <v>-172.42248550542</v>
      </c>
      <c r="G27" s="155" t="n">
        <v>91</v>
      </c>
      <c r="H27" s="654" t="n">
        <v>0</v>
      </c>
      <c r="I27" s="155" t="n">
        <f aca="false">G27+H27</f>
        <v>91</v>
      </c>
      <c r="J27" s="156" t="n">
        <f aca="false">IF(L27&gt;0,L27,0)</f>
        <v>0</v>
      </c>
      <c r="K27" s="155" t="n">
        <f aca="false">I27+J27</f>
        <v>91</v>
      </c>
      <c r="L27" s="155" t="n">
        <f aca="false">F27-(I27-AK27)</f>
        <v>-37.6224855054197</v>
      </c>
      <c r="M27" s="279" t="n">
        <v>91</v>
      </c>
      <c r="N27" s="186" t="n">
        <v>0</v>
      </c>
      <c r="O27" s="155" t="n">
        <f aca="false">4.12*1.05</f>
        <v>4.326</v>
      </c>
      <c r="P27" s="186" t="n">
        <v>0</v>
      </c>
      <c r="Q27" s="373" t="n">
        <f aca="false">1225900/325851/1.9835*1.02</f>
        <v>1.93465688772648</v>
      </c>
      <c r="R27" s="151" t="n">
        <f aca="false">IF(((3.4*1.04)-T27)&gt;=4.2,4.2,(3.4*1.04)-T27)</f>
        <v>2.7819584</v>
      </c>
      <c r="S27" s="151" t="n">
        <f aca="false">IF(((3.4*1.04)-T27)&gt;=4.2,((3.4*1.04)-T27)-4.2,0)</f>
        <v>0</v>
      </c>
      <c r="T27" s="512" t="n">
        <f aca="false">(0.684*1.06)*1.04</f>
        <v>0.7540416</v>
      </c>
      <c r="U27" s="393" t="n">
        <v>0</v>
      </c>
      <c r="V27" s="155" t="n">
        <v>67</v>
      </c>
      <c r="W27" s="155" t="n">
        <v>31.4</v>
      </c>
      <c r="X27" s="155" t="n">
        <f aca="false">M27-N27-O27-P27-Q27-R27-S27-T27-U27+V27+W27-AU27+AR27</f>
        <v>179.603343112274</v>
      </c>
      <c r="Y27" s="155" t="n">
        <f aca="false">X27-AO27</f>
        <v>179.603343112274</v>
      </c>
      <c r="Z27" s="123" t="n">
        <f aca="false">Z26+AP27</f>
        <v>2699.69966943745</v>
      </c>
      <c r="AA27" s="155" t="n">
        <f aca="false">(-AP27)</f>
        <v>95.0199584</v>
      </c>
      <c r="AB27" s="123"/>
      <c r="AC27" s="244" t="n">
        <f aca="false">AC26-(AQ26/1.9835)+AS27</f>
        <v>1764.47586285477</v>
      </c>
      <c r="AD27" s="244" t="n">
        <f aca="false">AD26</f>
        <v>1495.84068565667</v>
      </c>
      <c r="AE27" s="155" t="n">
        <v>0</v>
      </c>
      <c r="AF27" s="157" t="n">
        <v>1.7</v>
      </c>
      <c r="AG27" s="158" t="n">
        <v>1.3</v>
      </c>
      <c r="AH27" s="155" t="n">
        <v>36.4</v>
      </c>
      <c r="AI27" s="123" t="n">
        <f aca="false">AI26-AH27</f>
        <v>5901.05787748927</v>
      </c>
      <c r="AJ27" s="123"/>
      <c r="AK27" s="154" t="n">
        <f aca="false">N27+O27+P27+Q27+R27+S27+T27+U27+X27+AE27+AH27</f>
        <v>225.8</v>
      </c>
      <c r="AL27" s="155" t="n">
        <f aca="false">IF(L27&lt;0,L27*-1,0)</f>
        <v>37.6224855054197</v>
      </c>
      <c r="AM27" s="155" t="n">
        <f aca="false">AK27+AL27</f>
        <v>263.42248550542</v>
      </c>
      <c r="AN27" s="284"/>
      <c r="AO27" s="156"/>
      <c r="AP27" s="633" t="n">
        <f aca="false">I27-Q27-R27-X27-AF27</f>
        <v>-95.0199584</v>
      </c>
      <c r="AQ27" s="186" t="n">
        <f aca="false">37.024*(Z27*1.9835+AC27*1.9835)/E27</f>
        <v>2.27558096468448</v>
      </c>
      <c r="AR27" s="186" t="n">
        <v>0</v>
      </c>
      <c r="AS27" s="186"/>
      <c r="AT27" s="373" t="n">
        <f aca="false">AT26</f>
        <v>7.45</v>
      </c>
      <c r="AU27" s="58"/>
      <c r="AV27" s="120"/>
      <c r="AW27" s="355" t="n">
        <v>0</v>
      </c>
      <c r="AX27" s="241" t="n">
        <v>71</v>
      </c>
      <c r="AY27" s="241" t="n">
        <v>43</v>
      </c>
      <c r="AZ27" s="283"/>
      <c r="BA27" s="282" t="n">
        <f aca="false">SUM(N27,P27:U27)</f>
        <v>5.47065688772648</v>
      </c>
      <c r="BB27" s="58" t="n">
        <v>10.6</v>
      </c>
      <c r="BC27" s="91" t="n">
        <v>17687</v>
      </c>
      <c r="BE27" s="207" t="n">
        <f aca="false">BE26+1</f>
        <v>13</v>
      </c>
      <c r="BF27" s="373" t="n">
        <v>6903.29</v>
      </c>
      <c r="BG27" s="667" t="n">
        <f aca="false">B27-BF27</f>
        <v>0.0500000000001819</v>
      </c>
      <c r="BH27" s="155" t="n">
        <f aca="false">MIN(AH27,25)</f>
        <v>25</v>
      </c>
      <c r="BI27" s="155" t="n">
        <f aca="false">AH27-BH27</f>
        <v>11.4</v>
      </c>
    </row>
    <row r="28" customFormat="false" ht="12.95" hidden="false" customHeight="true" outlineLevel="0" collapsed="false">
      <c r="A28" s="207" t="n">
        <f aca="false">A27+1</f>
        <v>14</v>
      </c>
      <c r="B28" s="122" t="n">
        <v>6903.27</v>
      </c>
      <c r="C28" s="123" t="n">
        <v>295802</v>
      </c>
      <c r="D28" s="241" t="n">
        <f aca="false">C28-C27</f>
        <v>-265</v>
      </c>
      <c r="E28" s="123" t="n">
        <f aca="false">C28-152000</f>
        <v>143802</v>
      </c>
      <c r="F28" s="277" t="n">
        <f aca="false">D28/$D$2</f>
        <v>-133.602218300983</v>
      </c>
      <c r="G28" s="155" t="n">
        <v>89</v>
      </c>
      <c r="H28" s="654" t="n">
        <v>0</v>
      </c>
      <c r="I28" s="155" t="n">
        <f aca="false">G28+H28</f>
        <v>89</v>
      </c>
      <c r="J28" s="156" t="n">
        <f aca="false">IF(L28&gt;0,L28,0)</f>
        <v>0</v>
      </c>
      <c r="K28" s="155" t="n">
        <f aca="false">I28+J28</f>
        <v>89</v>
      </c>
      <c r="L28" s="155" t="n">
        <f aca="false">F28-(I28-AK28)</f>
        <v>-15.9022183009831</v>
      </c>
      <c r="M28" s="279" t="n">
        <v>73.2</v>
      </c>
      <c r="N28" s="186" t="n">
        <v>0</v>
      </c>
      <c r="O28" s="155" t="n">
        <f aca="false">3.25*1.05</f>
        <v>3.4125</v>
      </c>
      <c r="P28" s="186" t="n">
        <v>0</v>
      </c>
      <c r="Q28" s="373" t="n">
        <f aca="false">1167700/325851/1.9835*1.02</f>
        <v>1.84280842466613</v>
      </c>
      <c r="R28" s="151" t="n">
        <f aca="false">IF(((3.6*1.04)-T28)&gt;=4.2,4.2,(3.6*1.04)-T28)</f>
        <v>3.04607056</v>
      </c>
      <c r="S28" s="151" t="n">
        <f aca="false">IF(((3.6*1.04)-T28)&gt;=4.2,((3.6*1.04)-T28)-4.2,0)</f>
        <v>0</v>
      </c>
      <c r="T28" s="151" t="n">
        <f aca="false">(0.6331*1.06)*1.04</f>
        <v>0.69792944</v>
      </c>
      <c r="U28" s="393" t="n">
        <v>0</v>
      </c>
      <c r="V28" s="155" t="n">
        <v>67</v>
      </c>
      <c r="W28" s="155" t="n">
        <v>31.4</v>
      </c>
      <c r="X28" s="155" t="n">
        <f aca="false">M28-N28-O28-P28-Q28-R28-S28-T28-U28+V28+W28-AU28+AR28</f>
        <v>162.600691575334</v>
      </c>
      <c r="Y28" s="155" t="n">
        <f aca="false">X28-AO28</f>
        <v>162.600691575334</v>
      </c>
      <c r="Z28" s="123" t="n">
        <f aca="false">Z27+AP28</f>
        <v>2619.51009887745</v>
      </c>
      <c r="AA28" s="155" t="n">
        <f aca="false">(-AP28)</f>
        <v>80.18957056</v>
      </c>
      <c r="AB28" s="123"/>
      <c r="AC28" s="244" t="n">
        <f aca="false">AC27-(AQ27/1.9835)+AS28</f>
        <v>1763.32860751589</v>
      </c>
      <c r="AD28" s="244" t="n">
        <f aca="false">AD27</f>
        <v>1495.84068565667</v>
      </c>
      <c r="AE28" s="155" t="n">
        <v>0</v>
      </c>
      <c r="AF28" s="157" t="n">
        <v>1.7</v>
      </c>
      <c r="AG28" s="158" t="n">
        <v>1.3</v>
      </c>
      <c r="AH28" s="155" t="n">
        <v>35.1</v>
      </c>
      <c r="AI28" s="123" t="n">
        <f aca="false">AI27-AH28</f>
        <v>5865.95787748927</v>
      </c>
      <c r="AJ28" s="123"/>
      <c r="AK28" s="154" t="n">
        <f aca="false">N28+O28+P28+Q28+R28+S28+T28+U28+X28+AE28+AH28</f>
        <v>206.7</v>
      </c>
      <c r="AL28" s="155" t="n">
        <f aca="false">IF(L28&lt;0,L28*-1,0)</f>
        <v>15.9022183009831</v>
      </c>
      <c r="AM28" s="155" t="n">
        <f aca="false">AK28+AL28</f>
        <v>222.602218300983</v>
      </c>
      <c r="AN28" s="284"/>
      <c r="AO28" s="156"/>
      <c r="AP28" s="633" t="n">
        <f aca="false">I28-Q28-R28-X28-AF28</f>
        <v>-80.18957056</v>
      </c>
      <c r="AQ28" s="186" t="n">
        <f aca="false">28.65*(Z28*1.9835+AC28*1.9835)/E28</f>
        <v>1.7319980281836</v>
      </c>
      <c r="AR28" s="186" t="n">
        <v>0</v>
      </c>
      <c r="AS28" s="186"/>
      <c r="AT28" s="373" t="n">
        <f aca="false">AT27</f>
        <v>7.45</v>
      </c>
      <c r="AU28" s="58"/>
      <c r="AV28" s="120"/>
      <c r="AW28" s="355" t="n">
        <v>0</v>
      </c>
      <c r="AX28" s="248" t="n">
        <v>71</v>
      </c>
      <c r="AY28" s="241" t="n">
        <v>45</v>
      </c>
      <c r="AZ28" s="283"/>
      <c r="BA28" s="282" t="n">
        <f aca="false">SUM(N28,P28:U28)</f>
        <v>5.58680842466613</v>
      </c>
      <c r="BB28" s="58" t="n">
        <v>10.7</v>
      </c>
      <c r="BC28" s="91" t="n">
        <v>17652</v>
      </c>
      <c r="BE28" s="207" t="n">
        <f aca="false">BE27+1</f>
        <v>14</v>
      </c>
      <c r="BF28" s="373" t="n">
        <v>6903.27</v>
      </c>
      <c r="BG28" s="667" t="n">
        <f aca="false">B28-BF28</f>
        <v>0</v>
      </c>
      <c r="BH28" s="155" t="n">
        <f aca="false">MIN(AH28,25)</f>
        <v>25</v>
      </c>
      <c r="BI28" s="155" t="n">
        <f aca="false">AH28-BH28</f>
        <v>10.1</v>
      </c>
    </row>
    <row r="29" customFormat="false" ht="12.95" hidden="false" customHeight="true" outlineLevel="0" collapsed="false">
      <c r="A29" s="207" t="n">
        <f aca="false">A28+1</f>
        <v>15</v>
      </c>
      <c r="B29" s="122" t="n">
        <v>6903.21</v>
      </c>
      <c r="C29" s="123" t="n">
        <v>295574</v>
      </c>
      <c r="D29" s="241" t="n">
        <f aca="false">C29-C28</f>
        <v>-228</v>
      </c>
      <c r="E29" s="123" t="n">
        <f aca="false">C29-152000</f>
        <v>143574</v>
      </c>
      <c r="F29" s="277" t="n">
        <f aca="false">D29/$D$2</f>
        <v>-114.94832367028</v>
      </c>
      <c r="G29" s="155" t="n">
        <v>86</v>
      </c>
      <c r="H29" s="654" t="n">
        <v>0</v>
      </c>
      <c r="I29" s="155" t="n">
        <f aca="false">G29+H29</f>
        <v>86</v>
      </c>
      <c r="J29" s="156" t="n">
        <f aca="false">IF(L29&gt;0,L29,0)</f>
        <v>5.5516763297202</v>
      </c>
      <c r="K29" s="155" t="n">
        <f aca="false">I29+J29</f>
        <v>91.5516763297202</v>
      </c>
      <c r="L29" s="155" t="n">
        <f aca="false">F29-(I29-AK29)</f>
        <v>5.5516763297202</v>
      </c>
      <c r="M29" s="279" t="n">
        <v>73.7</v>
      </c>
      <c r="N29" s="186" t="n">
        <v>0</v>
      </c>
      <c r="O29" s="155" t="n">
        <f aca="false">2.51*1.05</f>
        <v>2.6355</v>
      </c>
      <c r="P29" s="186" t="n">
        <v>0</v>
      </c>
      <c r="Q29" s="373" t="n">
        <f aca="false">1121100/325851/1.9835*1.02</f>
        <v>1.7692665281264</v>
      </c>
      <c r="R29" s="151" t="n">
        <f aca="false">IF(((3.3*1.04)-T29)&gt;=4.2,4.2,(3.3*1.04)-T29)</f>
        <v>2.73407056</v>
      </c>
      <c r="S29" s="151" t="n">
        <f aca="false">IF(((3.3*1.04)-T29)&gt;=4.2,((3.3*1.04)-T29)-4.2,0)</f>
        <v>0</v>
      </c>
      <c r="T29" s="151" t="n">
        <f aca="false">(0.6331*1.06)*1.04</f>
        <v>0.69792944</v>
      </c>
      <c r="U29" s="393" t="n">
        <v>0</v>
      </c>
      <c r="V29" s="155" t="n">
        <v>67</v>
      </c>
      <c r="W29" s="155" t="n">
        <v>31</v>
      </c>
      <c r="X29" s="155" t="n">
        <f aca="false">M29-N29-O29-P29-Q29-R29-S29-T29-U29+V29+W29-AU29+AR29</f>
        <v>163.863233471874</v>
      </c>
      <c r="Y29" s="155" t="n">
        <f aca="false">X29-AO29</f>
        <v>163.863233471874</v>
      </c>
      <c r="Z29" s="123" t="n">
        <v>0</v>
      </c>
      <c r="AA29" s="155" t="n">
        <f aca="false">(-AP29)</f>
        <v>84.06657056</v>
      </c>
      <c r="AB29" s="123"/>
      <c r="AC29" s="244" t="n">
        <v>0</v>
      </c>
      <c r="AD29" s="244" t="n">
        <v>0</v>
      </c>
      <c r="AE29" s="155" t="n">
        <v>0</v>
      </c>
      <c r="AF29" s="157" t="n">
        <v>1.7</v>
      </c>
      <c r="AG29" s="158" t="n">
        <v>1.3</v>
      </c>
      <c r="AH29" s="155" t="n">
        <v>34.8</v>
      </c>
      <c r="AI29" s="123" t="n">
        <f aca="false">AI28-AH29</f>
        <v>5831.15787748927</v>
      </c>
      <c r="AJ29" s="123"/>
      <c r="AK29" s="154" t="n">
        <f aca="false">N29+O29+P29+Q29+R29+S29+T29+U29+X29+AE29+AH29</f>
        <v>206.5</v>
      </c>
      <c r="AL29" s="155" t="n">
        <f aca="false">IF(L29&lt;0,L29*-1,0)</f>
        <v>0</v>
      </c>
      <c r="AM29" s="155" t="n">
        <f aca="false">AK29+AL29</f>
        <v>206.5</v>
      </c>
      <c r="AN29" s="284"/>
      <c r="AO29" s="156"/>
      <c r="AP29" s="633" t="n">
        <f aca="false">I29-Q29-R29-X29-AF29</f>
        <v>-84.06657056</v>
      </c>
      <c r="AQ29" s="186" t="n">
        <f aca="false">39.008*(Z29*1.9835+AC29*1.9835)/E29</f>
        <v>0</v>
      </c>
      <c r="AR29" s="186" t="n">
        <v>0</v>
      </c>
      <c r="AS29" s="186"/>
      <c r="AT29" s="373" t="n">
        <f aca="false">AT28</f>
        <v>7.45</v>
      </c>
      <c r="AU29" s="58"/>
      <c r="AV29" s="120"/>
      <c r="AW29" s="355" t="n">
        <v>0</v>
      </c>
      <c r="AX29" s="248" t="n">
        <v>73</v>
      </c>
      <c r="AY29" s="241" t="n">
        <v>43</v>
      </c>
      <c r="AZ29" s="283"/>
      <c r="BA29" s="282" t="n">
        <f aca="false">SUM(N29,P29:U29)</f>
        <v>5.2012665281264</v>
      </c>
      <c r="BB29" s="58" t="n">
        <v>6.6</v>
      </c>
      <c r="BC29" s="91" t="n">
        <v>17618</v>
      </c>
      <c r="BE29" s="207" t="n">
        <f aca="false">BE28+1</f>
        <v>15</v>
      </c>
      <c r="BF29" s="373" t="n">
        <v>6903.21</v>
      </c>
      <c r="BG29" s="667" t="n">
        <f aca="false">B29-BF29</f>
        <v>0</v>
      </c>
      <c r="BH29" s="155" t="n">
        <f aca="false">MIN(AH29,25)</f>
        <v>25</v>
      </c>
      <c r="BI29" s="155" t="n">
        <f aca="false">AH29-BH29</f>
        <v>9.8</v>
      </c>
    </row>
    <row r="30" customFormat="false" ht="12.95" hidden="false" customHeight="true" outlineLevel="0" collapsed="false">
      <c r="A30" s="207" t="n">
        <f aca="false">A29+1</f>
        <v>16</v>
      </c>
      <c r="B30" s="122" t="n">
        <v>6903.21</v>
      </c>
      <c r="C30" s="123" t="n">
        <v>295574</v>
      </c>
      <c r="D30" s="241" t="n">
        <f aca="false">C30-C29</f>
        <v>0</v>
      </c>
      <c r="E30" s="123" t="n">
        <f aca="false">C30-152000</f>
        <v>143574</v>
      </c>
      <c r="F30" s="277" t="n">
        <f aca="false">D30/$D$2</f>
        <v>0</v>
      </c>
      <c r="G30" s="155" t="n">
        <v>80</v>
      </c>
      <c r="H30" s="654" t="n">
        <v>0</v>
      </c>
      <c r="I30" s="155" t="n">
        <f aca="false">G30+H30</f>
        <v>80</v>
      </c>
      <c r="J30" s="156" t="n">
        <f aca="false">IF(L30&gt;0,L30,0)</f>
        <v>0</v>
      </c>
      <c r="K30" s="155" t="n">
        <f aca="false">I30+J30</f>
        <v>80</v>
      </c>
      <c r="L30" s="155" t="n">
        <f aca="false">F30-(I30-AK30)</f>
        <v>-26.501</v>
      </c>
      <c r="M30" s="279" t="n">
        <v>9.11</v>
      </c>
      <c r="N30" s="186" t="n">
        <v>0</v>
      </c>
      <c r="O30" s="155" t="n">
        <f aca="false">0.167*1.05</f>
        <v>0.17535</v>
      </c>
      <c r="P30" s="186" t="n">
        <v>0</v>
      </c>
      <c r="Q30" s="373" t="n">
        <f aca="false">1432500/325851/1.9835*1.02</f>
        <v>2.26070315006785</v>
      </c>
      <c r="R30" s="151" t="n">
        <f aca="false">IF(((3.4*1.04)-T30)&gt;=4.2,4.2,(3.4*1.04)-T30)</f>
        <v>2.83807056</v>
      </c>
      <c r="S30" s="151" t="n">
        <f aca="false">IF(((3.4*1.04)-T30)&gt;=4.2,((3.4*1.04)-T30)-4.2,0)</f>
        <v>0</v>
      </c>
      <c r="T30" s="151" t="n">
        <f aca="false">(0.6331*1.06)*1.04</f>
        <v>0.69792944</v>
      </c>
      <c r="U30" s="393" t="n">
        <v>0</v>
      </c>
      <c r="V30" s="155" t="n">
        <v>9.26</v>
      </c>
      <c r="W30" s="155" t="n">
        <v>0.329</v>
      </c>
      <c r="X30" s="155" t="n">
        <f aca="false">M30-N30-O30-P30-Q30-R30-S30-T30-U30+V30+W30-AU30+AR30</f>
        <v>12.7269468499321</v>
      </c>
      <c r="Y30" s="155" t="n">
        <f aca="false">X30-AO30</f>
        <v>12.7269468499321</v>
      </c>
      <c r="Z30" s="123"/>
      <c r="AA30" s="155"/>
      <c r="AB30" s="123"/>
      <c r="AC30" s="244"/>
      <c r="AD30" s="244"/>
      <c r="AE30" s="155" t="n">
        <v>0</v>
      </c>
      <c r="AF30" s="157" t="n">
        <v>1.7</v>
      </c>
      <c r="AG30" s="158" t="n">
        <v>1.3</v>
      </c>
      <c r="AH30" s="155" t="n">
        <v>34.8</v>
      </c>
      <c r="AI30" s="123" t="n">
        <f aca="false">AI29-AH30</f>
        <v>5796.35787748927</v>
      </c>
      <c r="AJ30" s="123"/>
      <c r="AK30" s="154" t="n">
        <f aca="false">N30+O30+P30+Q30+R30+S30+T30+U30+X30+AE30+AH30</f>
        <v>53.499</v>
      </c>
      <c r="AL30" s="155" t="n">
        <f aca="false">IF(L30&lt;0,L30*-1,0)</f>
        <v>26.501</v>
      </c>
      <c r="AM30" s="155" t="n">
        <f aca="false">AK30+AL30</f>
        <v>80</v>
      </c>
      <c r="AN30" s="284"/>
      <c r="AO30" s="156"/>
      <c r="AP30" s="633" t="n">
        <f aca="false">I30-Q30-R30-X30-AF30</f>
        <v>60.47427944</v>
      </c>
      <c r="AQ30" s="186" t="n">
        <f aca="false">40.551*(Z30*1.9835+AC30*1.9835)/E30</f>
        <v>0</v>
      </c>
      <c r="AR30" s="186" t="n">
        <v>0</v>
      </c>
      <c r="AS30" s="156"/>
      <c r="AT30" s="123" t="n">
        <v>0</v>
      </c>
      <c r="AU30" s="58"/>
      <c r="AV30" s="120"/>
      <c r="AW30" s="355" t="n">
        <v>0</v>
      </c>
      <c r="AX30" s="248" t="n">
        <v>75</v>
      </c>
      <c r="AY30" s="241" t="n">
        <v>45</v>
      </c>
      <c r="AZ30" s="283"/>
      <c r="BA30" s="282" t="n">
        <f aca="false">SUM(N30,P30:U30)</f>
        <v>5.79670315006785</v>
      </c>
      <c r="BB30" s="58" t="n">
        <v>1.13</v>
      </c>
      <c r="BC30" s="91" t="n">
        <v>17606</v>
      </c>
      <c r="BE30" s="207" t="n">
        <f aca="false">BE29+1</f>
        <v>16</v>
      </c>
      <c r="BF30" s="373" t="n">
        <v>6903.21</v>
      </c>
      <c r="BG30" s="667" t="n">
        <f aca="false">B30-BF30</f>
        <v>0</v>
      </c>
      <c r="BH30" s="155" t="n">
        <f aca="false">MIN(AH30,25)</f>
        <v>25</v>
      </c>
      <c r="BI30" s="155" t="n">
        <f aca="false">AH30-BH30</f>
        <v>9.8</v>
      </c>
    </row>
    <row r="31" customFormat="false" ht="12.95" hidden="false" customHeight="true" outlineLevel="0" collapsed="false">
      <c r="A31" s="207" t="n">
        <f aca="false">A30+1</f>
        <v>17</v>
      </c>
      <c r="B31" s="122" t="n">
        <v>6903.19</v>
      </c>
      <c r="C31" s="123" t="n">
        <v>295498</v>
      </c>
      <c r="D31" s="241" t="n">
        <f aca="false">C31-C30</f>
        <v>-76</v>
      </c>
      <c r="E31" s="123" t="n">
        <f aca="false">C31-152000</f>
        <v>143498</v>
      </c>
      <c r="F31" s="277" t="n">
        <f aca="false">D31/$D$2</f>
        <v>-38.3161078900933</v>
      </c>
      <c r="G31" s="155" t="n">
        <v>73</v>
      </c>
      <c r="H31" s="654" t="n">
        <v>0</v>
      </c>
      <c r="I31" s="155" t="n">
        <f aca="false">G31+H31</f>
        <v>73</v>
      </c>
      <c r="J31" s="156" t="n">
        <f aca="false">IF(L31&gt;0,L31,0)</f>
        <v>0</v>
      </c>
      <c r="K31" s="155" t="n">
        <f aca="false">I31+J31</f>
        <v>73</v>
      </c>
      <c r="L31" s="155" t="n">
        <f aca="false">F31-(I31-AK31)</f>
        <v>-64.1361078900933</v>
      </c>
      <c r="M31" s="279" t="n">
        <v>8.54</v>
      </c>
      <c r="N31" s="186" t="n">
        <v>0</v>
      </c>
      <c r="O31" s="155" t="n">
        <f aca="false">7.03*1.05</f>
        <v>7.3815</v>
      </c>
      <c r="P31" s="186" t="n">
        <v>0</v>
      </c>
      <c r="Q31" s="373" t="n">
        <f aca="false">1236400/325851/1.9835*1.02</f>
        <v>1.95122748673221</v>
      </c>
      <c r="R31" s="151" t="n">
        <f aca="false">IF(((3.4*1.04)-T31)&gt;=4.2,4.2,(3.4*1.04)-T31)</f>
        <v>2.83807056</v>
      </c>
      <c r="S31" s="151" t="n">
        <f aca="false">IF(((3.4*1.04)-T31)&gt;=4.2,((3.4*1.04)-T31)-4.2,0)</f>
        <v>0</v>
      </c>
      <c r="T31" s="151" t="n">
        <f aca="false">(0.6331*1.06)*1.04</f>
        <v>0.69792944</v>
      </c>
      <c r="U31" s="393" t="n">
        <v>0</v>
      </c>
      <c r="V31" s="155" t="n">
        <v>3.84</v>
      </c>
      <c r="W31" s="155" t="n">
        <v>0</v>
      </c>
      <c r="X31" s="155" t="n">
        <f aca="false">M31-N31-O31-P31-Q31-R31-S31-T31-U31+V31+W31-AU31+AR31</f>
        <v>-0.488727486732214</v>
      </c>
      <c r="Y31" s="155" t="n">
        <f aca="false">X31-AO31</f>
        <v>-0.488727486732214</v>
      </c>
      <c r="Z31" s="123"/>
      <c r="AA31" s="155"/>
      <c r="AB31" s="123"/>
      <c r="AC31" s="244"/>
      <c r="AD31" s="244"/>
      <c r="AE31" s="155" t="n">
        <v>0</v>
      </c>
      <c r="AF31" s="157" t="n">
        <v>1.7</v>
      </c>
      <c r="AG31" s="158" t="n">
        <v>1.3</v>
      </c>
      <c r="AH31" s="155" t="n">
        <v>34.8</v>
      </c>
      <c r="AI31" s="123" t="n">
        <f aca="false">AI30-AH31</f>
        <v>5761.55787748927</v>
      </c>
      <c r="AJ31" s="123"/>
      <c r="AK31" s="154" t="n">
        <f aca="false">N31+O31+P31+Q31+R31+S31+T31+U31+X31+AE31+AH31</f>
        <v>47.18</v>
      </c>
      <c r="AL31" s="155" t="n">
        <f aca="false">IF(L31&lt;0,L31*-1,0)</f>
        <v>64.1361078900933</v>
      </c>
      <c r="AM31" s="155" t="n">
        <f aca="false">AK31+AL31</f>
        <v>111.316107890093</v>
      </c>
      <c r="AN31" s="284"/>
      <c r="AO31" s="156"/>
      <c r="AP31" s="633" t="n">
        <f aca="false">I31-Q31-R31-X31-AF31</f>
        <v>66.99942944</v>
      </c>
      <c r="AQ31" s="186" t="n">
        <f aca="false">28.65*(Z31*1.9835+AC31*1.9835)/E31</f>
        <v>0</v>
      </c>
      <c r="AR31" s="186" t="n">
        <v>0</v>
      </c>
      <c r="AS31" s="156"/>
      <c r="AT31" s="123" t="n">
        <v>0</v>
      </c>
      <c r="AU31" s="58"/>
      <c r="AV31" s="120"/>
      <c r="AW31" s="355" t="n">
        <v>0</v>
      </c>
      <c r="AX31" s="248" t="n">
        <v>73</v>
      </c>
      <c r="AY31" s="241" t="n">
        <v>45</v>
      </c>
      <c r="AZ31" s="283"/>
      <c r="BA31" s="282" t="n">
        <f aca="false">SUM(N31,P31:U31)</f>
        <v>5.48722748673221</v>
      </c>
      <c r="BB31" s="58" t="n">
        <v>1.28</v>
      </c>
      <c r="BC31" s="91" t="n">
        <v>17577</v>
      </c>
      <c r="BE31" s="207" t="n">
        <f aca="false">BE30+1</f>
        <v>17</v>
      </c>
      <c r="BF31" s="373" t="n">
        <v>6903.13</v>
      </c>
      <c r="BG31" s="667" t="n">
        <f aca="false">B31-BF31</f>
        <v>0.0599999999994907</v>
      </c>
      <c r="BH31" s="155" t="n">
        <f aca="false">MIN(AH31,25)</f>
        <v>25</v>
      </c>
      <c r="BI31" s="155" t="n">
        <f aca="false">AH31-BH31</f>
        <v>9.8</v>
      </c>
    </row>
    <row r="32" customFormat="false" ht="12.95" hidden="false" customHeight="true" outlineLevel="0" collapsed="false">
      <c r="A32" s="207" t="n">
        <f aca="false">A31+1</f>
        <v>18</v>
      </c>
      <c r="B32" s="122" t="n">
        <v>6903.24</v>
      </c>
      <c r="C32" s="123" t="n">
        <v>295688</v>
      </c>
      <c r="D32" s="241" t="n">
        <f aca="false">C32-C31</f>
        <v>190</v>
      </c>
      <c r="E32" s="123" t="n">
        <f aca="false">C32-152000</f>
        <v>143688</v>
      </c>
      <c r="F32" s="277" t="n">
        <f aca="false">D32/$D$2</f>
        <v>95.7902697252332</v>
      </c>
      <c r="G32" s="155" t="n">
        <v>71</v>
      </c>
      <c r="H32" s="654" t="n">
        <v>0</v>
      </c>
      <c r="I32" s="155" t="n">
        <f aca="false">G32+H32</f>
        <v>71</v>
      </c>
      <c r="J32" s="156" t="n">
        <f aca="false">IF(L32&gt;0,L32,0)</f>
        <v>70.2802697252332</v>
      </c>
      <c r="K32" s="155" t="n">
        <f aca="false">I32+J32</f>
        <v>141.280269725233</v>
      </c>
      <c r="L32" s="155" t="n">
        <f aca="false">F32-(I32-AK32)</f>
        <v>70.2802697252332</v>
      </c>
      <c r="M32" s="279" t="n">
        <v>8.22</v>
      </c>
      <c r="N32" s="186" t="n">
        <v>0</v>
      </c>
      <c r="O32" s="155" t="n">
        <f aca="false">10.4*1.05</f>
        <v>10.92</v>
      </c>
      <c r="P32" s="186" t="n">
        <v>0</v>
      </c>
      <c r="Q32" s="373" t="n">
        <f aca="false">1061600/325851/1.9835*1.02</f>
        <v>1.67536646709392</v>
      </c>
      <c r="R32" s="151" t="n">
        <f aca="false">IF(((3.5*1.04)-T32)&gt;=4.2,4.2,(3.5*1.04)-T32)</f>
        <v>2.94207056</v>
      </c>
      <c r="S32" s="151" t="n">
        <f aca="false">IF(((3.5*1.04)-T32)&gt;=4.2,((3.5*1.04)-T32)-4.2,0)</f>
        <v>0</v>
      </c>
      <c r="T32" s="151" t="n">
        <f aca="false">(0.6331*1.06)*1.04</f>
        <v>0.69792944</v>
      </c>
      <c r="U32" s="393" t="n">
        <v>0</v>
      </c>
      <c r="V32" s="155" t="n">
        <v>2.47</v>
      </c>
      <c r="W32" s="155" t="n">
        <v>0</v>
      </c>
      <c r="X32" s="155" t="n">
        <f aca="false">M32-N32-O32-P32-Q32-R32-S32-T32-U32+V32+W32-AU32+AR32</f>
        <v>-5.54536646709392</v>
      </c>
      <c r="Y32" s="155" t="n">
        <f aca="false">X32-AO32</f>
        <v>-5.54536646709392</v>
      </c>
      <c r="Z32" s="123"/>
      <c r="AA32" s="155"/>
      <c r="AB32" s="123"/>
      <c r="AC32" s="244"/>
      <c r="AD32" s="244"/>
      <c r="AE32" s="155" t="n">
        <v>0</v>
      </c>
      <c r="AF32" s="157" t="n">
        <v>1.7</v>
      </c>
      <c r="AG32" s="158" t="n">
        <v>1.3</v>
      </c>
      <c r="AH32" s="155" t="n">
        <v>34.8</v>
      </c>
      <c r="AI32" s="123" t="n">
        <f aca="false">AI31-AH32</f>
        <v>5726.75787748927</v>
      </c>
      <c r="AJ32" s="123"/>
      <c r="AK32" s="154" t="n">
        <f aca="false">N32+O32+P32+Q32+R32+S32+T32+U32+X32+AE32+AH32</f>
        <v>45.49</v>
      </c>
      <c r="AL32" s="155" t="n">
        <f aca="false">IF(L32&lt;0,L32*-1,0)</f>
        <v>0</v>
      </c>
      <c r="AM32" s="155" t="n">
        <f aca="false">AK32+AL32</f>
        <v>45.49</v>
      </c>
      <c r="AN32" s="284"/>
      <c r="AO32" s="156"/>
      <c r="AP32" s="633" t="n">
        <f aca="false">I32-Q32-R32-X32-AF32</f>
        <v>70.22792944</v>
      </c>
      <c r="AQ32" s="186" t="n">
        <f aca="false">21.818*(Z32*1.9835+AC32*1.9835)/E32</f>
        <v>0</v>
      </c>
      <c r="AR32" s="186" t="n">
        <v>0</v>
      </c>
      <c r="AS32" s="156"/>
      <c r="AT32" s="123" t="n">
        <v>0</v>
      </c>
      <c r="AU32" s="58"/>
      <c r="AV32" s="120"/>
      <c r="AW32" s="355" t="n">
        <v>0</v>
      </c>
      <c r="AX32" s="248" t="n">
        <v>69</v>
      </c>
      <c r="AY32" s="241" t="n">
        <v>39</v>
      </c>
      <c r="AZ32" s="283"/>
      <c r="BA32" s="282" t="n">
        <f aca="false">SUM(N32,P32:U32)</f>
        <v>5.31536646709392</v>
      </c>
      <c r="BB32" s="58" t="n">
        <v>0.821</v>
      </c>
      <c r="BC32" s="91" t="n">
        <v>17570</v>
      </c>
      <c r="BE32" s="207" t="n">
        <f aca="false">BE31+1</f>
        <v>18</v>
      </c>
      <c r="BF32" s="373" t="n">
        <v>6903.24</v>
      </c>
      <c r="BG32" s="667" t="n">
        <f aca="false">B32-BF32</f>
        <v>0</v>
      </c>
      <c r="BH32" s="155" t="n">
        <f aca="false">MIN(AH32,25)</f>
        <v>25</v>
      </c>
      <c r="BI32" s="155" t="n">
        <f aca="false">AH32-BH32</f>
        <v>9.8</v>
      </c>
    </row>
    <row r="33" customFormat="false" ht="12.95" hidden="false" customHeight="true" outlineLevel="0" collapsed="false">
      <c r="A33" s="207" t="n">
        <f aca="false">A32+1</f>
        <v>19</v>
      </c>
      <c r="B33" s="122" t="n">
        <v>6903.23</v>
      </c>
      <c r="C33" s="123" t="n">
        <v>295650</v>
      </c>
      <c r="D33" s="241" t="n">
        <f aca="false">C33-C32</f>
        <v>-38</v>
      </c>
      <c r="E33" s="123" t="n">
        <f aca="false">C33-152000</f>
        <v>143650</v>
      </c>
      <c r="F33" s="277" t="n">
        <f aca="false">D33/$D$2</f>
        <v>-19.1580539450466</v>
      </c>
      <c r="G33" s="155" t="n">
        <v>70</v>
      </c>
      <c r="H33" s="654" t="n">
        <v>0</v>
      </c>
      <c r="I33" s="155" t="n">
        <f aca="false">G33+H33</f>
        <v>70</v>
      </c>
      <c r="J33" s="156" t="n">
        <f aca="false">IF(L33&gt;0,L33,0)</f>
        <v>0</v>
      </c>
      <c r="K33" s="155" t="n">
        <f aca="false">I33+J33</f>
        <v>70</v>
      </c>
      <c r="L33" s="155" t="n">
        <f aca="false">F33-(I33-AK33)</f>
        <v>-12.3540539450466</v>
      </c>
      <c r="M33" s="279" t="n">
        <v>42</v>
      </c>
      <c r="N33" s="186" t="n">
        <v>0</v>
      </c>
      <c r="O33" s="155" t="n">
        <f aca="false">46.8*1.05</f>
        <v>49.14</v>
      </c>
      <c r="P33" s="186" t="n">
        <v>0</v>
      </c>
      <c r="Q33" s="373" t="n">
        <f aca="false">1204100/325851/1.9835*1.02</f>
        <v>1.90025316788601</v>
      </c>
      <c r="R33" s="151" t="n">
        <f aca="false">IF(((3.4*1.04)-T33)&gt;=4.2,4.2,(3.4*1.04)-T33)</f>
        <v>2.83807056</v>
      </c>
      <c r="S33" s="151" t="n">
        <f aca="false">IF(((3.4*1.04)-T33)&gt;=4.2,((3.4*1.04)-T33)-4.2,0)</f>
        <v>0</v>
      </c>
      <c r="T33" s="151" t="n">
        <f aca="false">(0.6331*1.06)*1.04</f>
        <v>0.69792944</v>
      </c>
      <c r="U33" s="393" t="n">
        <v>0</v>
      </c>
      <c r="V33" s="155" t="n">
        <v>0</v>
      </c>
      <c r="W33" s="155" t="n">
        <v>0.004</v>
      </c>
      <c r="X33" s="155" t="n">
        <f aca="false">M33-N33-O33-P33-Q33-R33-S33-T33-U33+V33+W33-AU33+AR33</f>
        <v>-12.572253167886</v>
      </c>
      <c r="Y33" s="155" t="n">
        <f aca="false">X33-AO33</f>
        <v>-12.572253167886</v>
      </c>
      <c r="Z33" s="123"/>
      <c r="AA33" s="155"/>
      <c r="AB33" s="123"/>
      <c r="AC33" s="244"/>
      <c r="AD33" s="244"/>
      <c r="AE33" s="155" t="n">
        <v>0</v>
      </c>
      <c r="AF33" s="157" t="n">
        <v>1.7</v>
      </c>
      <c r="AG33" s="158" t="n">
        <v>1.3</v>
      </c>
      <c r="AH33" s="155" t="n">
        <v>34.8</v>
      </c>
      <c r="AI33" s="123" t="n">
        <f aca="false">AI32-AH33</f>
        <v>5691.95787748927</v>
      </c>
      <c r="AJ33" s="123"/>
      <c r="AK33" s="154" t="n">
        <f aca="false">N33+O33+P33+Q33+R33+S33+T33+U33+X33+AE33+AH33</f>
        <v>76.804</v>
      </c>
      <c r="AL33" s="155" t="n">
        <f aca="false">IF(L33&lt;0,L33*-1,0)</f>
        <v>12.3540539450466</v>
      </c>
      <c r="AM33" s="155" t="n">
        <f aca="false">AK33+AL33</f>
        <v>89.1580539450466</v>
      </c>
      <c r="AN33" s="284"/>
      <c r="AO33" s="156"/>
      <c r="AP33" s="633" t="n">
        <f aca="false">I33-Q33-R33-X33-AF33</f>
        <v>76.13392944</v>
      </c>
      <c r="AQ33" s="186" t="n">
        <f aca="false">39.449*(Z33*1.9835+AC33*1.9835)/E33</f>
        <v>0</v>
      </c>
      <c r="AR33" s="186" t="n">
        <v>0</v>
      </c>
      <c r="AS33" s="186"/>
      <c r="AT33" s="123" t="n">
        <v>0</v>
      </c>
      <c r="AU33" s="58"/>
      <c r="AV33" s="120"/>
      <c r="AW33" s="355" t="n">
        <v>0</v>
      </c>
      <c r="AX33" s="248" t="n">
        <v>63</v>
      </c>
      <c r="AY33" s="241" t="n">
        <v>37</v>
      </c>
      <c r="AZ33" s="283"/>
      <c r="BA33" s="282" t="n">
        <f aca="false">SUM(N33,P33:U33)</f>
        <v>5.43625316788601</v>
      </c>
      <c r="BB33" s="58" t="n">
        <v>0.757</v>
      </c>
      <c r="BC33" s="91" t="n">
        <v>17544</v>
      </c>
      <c r="BE33" s="207" t="n">
        <f aca="false">BE32+1</f>
        <v>19</v>
      </c>
      <c r="BF33" s="373" t="n">
        <v>6903.15</v>
      </c>
      <c r="BG33" s="667" t="n">
        <f aca="false">B33-BF33</f>
        <v>0.0799999999999272</v>
      </c>
      <c r="BH33" s="155" t="n">
        <f aca="false">MIN(AH33,25)</f>
        <v>25</v>
      </c>
      <c r="BI33" s="155" t="n">
        <f aca="false">AH33-BH33</f>
        <v>9.8</v>
      </c>
    </row>
    <row r="34" customFormat="false" ht="12.95" hidden="false" customHeight="true" outlineLevel="0" collapsed="false">
      <c r="A34" s="207" t="n">
        <f aca="false">A33+1</f>
        <v>20</v>
      </c>
      <c r="B34" s="122" t="n">
        <v>6903.13</v>
      </c>
      <c r="C34" s="123" t="n">
        <v>295271</v>
      </c>
      <c r="D34" s="241" t="n">
        <f aca="false">C34-C33</f>
        <v>-379</v>
      </c>
      <c r="E34" s="123" t="n">
        <f aca="false">C34-152000</f>
        <v>143271</v>
      </c>
      <c r="F34" s="277" t="n">
        <f aca="false">D34/$D$2</f>
        <v>-191.076380136123</v>
      </c>
      <c r="G34" s="155" t="n">
        <v>67</v>
      </c>
      <c r="H34" s="654" t="n">
        <v>0</v>
      </c>
      <c r="I34" s="155" t="n">
        <f aca="false">G34+H34</f>
        <v>67</v>
      </c>
      <c r="J34" s="156" t="n">
        <f aca="false">IF(L34&gt;0,L34,0)</f>
        <v>0</v>
      </c>
      <c r="K34" s="155" t="n">
        <f aca="false">I34+J34</f>
        <v>67</v>
      </c>
      <c r="L34" s="155" t="n">
        <f aca="false">F34-(I34-AK34)</f>
        <v>-165.576380136123</v>
      </c>
      <c r="M34" s="279" t="n">
        <v>57.7</v>
      </c>
      <c r="N34" s="186" t="n">
        <v>0</v>
      </c>
      <c r="O34" s="155" t="n">
        <f aca="false">57.1*1.05</f>
        <v>59.955</v>
      </c>
      <c r="P34" s="186" t="n">
        <v>0</v>
      </c>
      <c r="Q34" s="373" t="n">
        <f aca="false">1116000/325851/1.9835*1.02</f>
        <v>1.76121795146647</v>
      </c>
      <c r="R34" s="151" t="n">
        <f aca="false">IF(((3.4*1.04)-T34)&gt;=4.2,4.2,(3.4*1.04)-T34)</f>
        <v>2.83807056</v>
      </c>
      <c r="S34" s="151" t="n">
        <f aca="false">IF(((3.4*1.04)-T34)&gt;=4.2,((3.4*1.04)-T34)-4.2,0)</f>
        <v>0</v>
      </c>
      <c r="T34" s="151" t="n">
        <f aca="false">(0.6331*1.06)*1.04</f>
        <v>0.69792944</v>
      </c>
      <c r="U34" s="393" t="n">
        <v>0</v>
      </c>
      <c r="V34" s="155" t="n">
        <v>0</v>
      </c>
      <c r="W34" s="155" t="n">
        <v>0</v>
      </c>
      <c r="X34" s="155" t="n">
        <f aca="false">M34-N34-O34-P34-Q34-R34-S34-T34-U34+V34+W34-AU34+AR34</f>
        <v>-7.55221795146648</v>
      </c>
      <c r="Y34" s="155" t="n">
        <f aca="false">X34-AO34</f>
        <v>-7.55221795146648</v>
      </c>
      <c r="Z34" s="123"/>
      <c r="AA34" s="155"/>
      <c r="AB34" s="123"/>
      <c r="AC34" s="244"/>
      <c r="AD34" s="244"/>
      <c r="AE34" s="155" t="n">
        <v>0</v>
      </c>
      <c r="AF34" s="157" t="n">
        <v>1.7</v>
      </c>
      <c r="AG34" s="158" t="n">
        <v>1.3</v>
      </c>
      <c r="AH34" s="155" t="n">
        <v>34.8</v>
      </c>
      <c r="AI34" s="123" t="n">
        <f aca="false">AI33-AH34</f>
        <v>5657.15787748927</v>
      </c>
      <c r="AJ34" s="123"/>
      <c r="AK34" s="154" t="n">
        <f aca="false">N34+O34+P34+Q34+R34+S34+T34+U34+X34+AE34+AH34</f>
        <v>92.5</v>
      </c>
      <c r="AL34" s="155" t="n">
        <f aca="false">IF(L34&lt;0,L34*-1,0)</f>
        <v>165.576380136123</v>
      </c>
      <c r="AM34" s="155" t="n">
        <f aca="false">AK34+AL34</f>
        <v>258.076380136123</v>
      </c>
      <c r="AN34" s="284"/>
      <c r="AO34" s="156"/>
      <c r="AP34" s="633" t="n">
        <f aca="false">I34-Q34-R34-X34-AF34</f>
        <v>68.25292944</v>
      </c>
      <c r="AQ34" s="186" t="n">
        <f aca="false">11.901*(Z34*1.9835+AC34*1.9835)/E34</f>
        <v>0</v>
      </c>
      <c r="AR34" s="186" t="n">
        <v>0</v>
      </c>
      <c r="AS34" s="186"/>
      <c r="AT34" s="123" t="n">
        <v>0</v>
      </c>
      <c r="AU34" s="58"/>
      <c r="AV34" s="120"/>
      <c r="AW34" s="355" t="n">
        <v>0</v>
      </c>
      <c r="AX34" s="248" t="n">
        <v>68</v>
      </c>
      <c r="AY34" s="241" t="n">
        <v>31</v>
      </c>
      <c r="AZ34" s="283"/>
      <c r="BA34" s="282" t="n">
        <f aca="false">SUM(N34,P34:U34)</f>
        <v>5.29721795146647</v>
      </c>
      <c r="BB34" s="58" t="n">
        <v>0.5</v>
      </c>
      <c r="BC34" s="91" t="n">
        <v>17546</v>
      </c>
      <c r="BE34" s="207" t="n">
        <f aca="false">BE33+1</f>
        <v>20</v>
      </c>
      <c r="BF34" s="373" t="n">
        <v>6903.07</v>
      </c>
      <c r="BG34" s="667" t="n">
        <f aca="false">B34-BF34</f>
        <v>0.0600000000004002</v>
      </c>
      <c r="BH34" s="155" t="n">
        <f aca="false">MIN(AH34,25)</f>
        <v>25</v>
      </c>
      <c r="BI34" s="155" t="n">
        <f aca="false">AH34-BH34</f>
        <v>9.8</v>
      </c>
    </row>
    <row r="35" customFormat="false" ht="12.95" hidden="false" customHeight="true" outlineLevel="0" collapsed="false">
      <c r="A35" s="207" t="n">
        <f aca="false">A34+1</f>
        <v>21</v>
      </c>
      <c r="B35" s="122" t="n">
        <v>6903.11</v>
      </c>
      <c r="C35" s="123" t="n">
        <v>295195</v>
      </c>
      <c r="D35" s="241" t="n">
        <f aca="false">C35-C34</f>
        <v>-76</v>
      </c>
      <c r="E35" s="123" t="n">
        <f aca="false">C35-152000</f>
        <v>143195</v>
      </c>
      <c r="F35" s="277" t="n">
        <f aca="false">D35/$D$2</f>
        <v>-38.3161078900933</v>
      </c>
      <c r="G35" s="155" t="n">
        <v>64</v>
      </c>
      <c r="H35" s="654" t="n">
        <v>0</v>
      </c>
      <c r="I35" s="155" t="n">
        <f aca="false">G35+H35</f>
        <v>64</v>
      </c>
      <c r="J35" s="156" t="n">
        <f aca="false">IF(L35&gt;0,L35,0)</f>
        <v>1.38389210990672</v>
      </c>
      <c r="K35" s="155" t="n">
        <f aca="false">I35+J35</f>
        <v>65.3838921099067</v>
      </c>
      <c r="L35" s="155" t="n">
        <f aca="false">F35-(I35-AK35)</f>
        <v>1.38389210990672</v>
      </c>
      <c r="M35" s="279" t="n">
        <v>67.1</v>
      </c>
      <c r="N35" s="186" t="n">
        <v>0</v>
      </c>
      <c r="O35" s="155" t="n">
        <f aca="false">62*1.05</f>
        <v>65.1</v>
      </c>
      <c r="P35" s="186" t="n">
        <v>0</v>
      </c>
      <c r="Q35" s="373" t="n">
        <f aca="false">1160500/325851/1.9835*1.02</f>
        <v>1.83144572820506</v>
      </c>
      <c r="R35" s="151" t="n">
        <f aca="false">IF(((2.8*1.04)-T35)&gt;=4.2,4.2,(2.8*1.04)-T35)</f>
        <v>2.26941104</v>
      </c>
      <c r="S35" s="151" t="n">
        <f aca="false">IF(((2.8*1.04)-T35)&gt;=4.2,((2.8*1.04)-T35)-4.2,0)</f>
        <v>0</v>
      </c>
      <c r="T35" s="151" t="n">
        <f aca="false">(0.5829*1.06)*1.04</f>
        <v>0.64258896</v>
      </c>
      <c r="U35" s="393" t="n">
        <v>0</v>
      </c>
      <c r="V35" s="155" t="n">
        <v>0</v>
      </c>
      <c r="W35" s="155" t="n">
        <v>0</v>
      </c>
      <c r="X35" s="155" t="n">
        <f aca="false">M35-N35-O35-P35-Q35-R35-S35-T35-U35+V35+W35-AU35+AR35</f>
        <v>-2.74344572820507</v>
      </c>
      <c r="Y35" s="155" t="n">
        <f aca="false">X35-AO35</f>
        <v>-2.74344572820507</v>
      </c>
      <c r="Z35" s="123"/>
      <c r="AA35" s="155"/>
      <c r="AB35" s="123"/>
      <c r="AC35" s="244"/>
      <c r="AD35" s="244"/>
      <c r="AE35" s="155" t="n">
        <v>0</v>
      </c>
      <c r="AF35" s="157" t="n">
        <v>1.7</v>
      </c>
      <c r="AG35" s="158" t="n">
        <v>1.3</v>
      </c>
      <c r="AH35" s="155" t="n">
        <v>36.6</v>
      </c>
      <c r="AI35" s="123" t="n">
        <f aca="false">AI34-AH35</f>
        <v>5620.55787748927</v>
      </c>
      <c r="AJ35" s="123"/>
      <c r="AK35" s="154" t="n">
        <f aca="false">N35+O35+P35+Q35+R35+S35+T35+U35+X35+AE35+AH35</f>
        <v>103.7</v>
      </c>
      <c r="AL35" s="155" t="n">
        <f aca="false">IF(L35&lt;0,L35*-1,0)</f>
        <v>0</v>
      </c>
      <c r="AM35" s="155" t="n">
        <f aca="false">AK35+AL35</f>
        <v>103.7</v>
      </c>
      <c r="AN35" s="284"/>
      <c r="AO35" s="112"/>
      <c r="AP35" s="633" t="n">
        <f aca="false">I35-Q35-R35-X35-AF35</f>
        <v>60.94258896</v>
      </c>
      <c r="AQ35" s="186" t="n">
        <f aca="false">32.396*(Z35*1.9835+AC35*1.9835)/E35</f>
        <v>0</v>
      </c>
      <c r="AR35" s="186" t="n">
        <v>0</v>
      </c>
      <c r="AS35" s="186"/>
      <c r="AT35" s="123" t="n">
        <v>0</v>
      </c>
      <c r="AU35" s="58"/>
      <c r="AV35" s="120"/>
      <c r="AW35" s="355" t="n">
        <v>0</v>
      </c>
      <c r="AX35" s="241" t="n">
        <v>73</v>
      </c>
      <c r="AY35" s="241" t="n">
        <v>31</v>
      </c>
      <c r="AZ35" s="283"/>
      <c r="BA35" s="282" t="n">
        <f aca="false">SUM(N35,P35:U35)</f>
        <v>4.74344572820506</v>
      </c>
      <c r="BB35" s="58" t="n">
        <v>0.5</v>
      </c>
      <c r="BC35" s="91" t="n">
        <v>17523</v>
      </c>
      <c r="BE35" s="207" t="n">
        <f aca="false">BE34+1</f>
        <v>21</v>
      </c>
      <c r="BF35" s="373" t="n">
        <v>6903.02</v>
      </c>
      <c r="BG35" s="667" t="n">
        <f aca="false">B35-BF35</f>
        <v>0.089999999999236</v>
      </c>
      <c r="BH35" s="155" t="n">
        <f aca="false">MIN(AH35,25)</f>
        <v>25</v>
      </c>
      <c r="BI35" s="155" t="n">
        <f aca="false">AH35-BH35</f>
        <v>11.6</v>
      </c>
    </row>
    <row r="36" customFormat="false" ht="12.95" hidden="false" customHeight="true" outlineLevel="0" collapsed="false">
      <c r="A36" s="207" t="n">
        <f aca="false">A35+1</f>
        <v>22</v>
      </c>
      <c r="B36" s="122" t="n">
        <v>6903.09</v>
      </c>
      <c r="C36" s="123" t="n">
        <v>295119</v>
      </c>
      <c r="D36" s="241" t="n">
        <f aca="false">C36-C35</f>
        <v>-76</v>
      </c>
      <c r="E36" s="123" t="n">
        <f aca="false">C36-152000</f>
        <v>143119</v>
      </c>
      <c r="F36" s="277" t="n">
        <f aca="false">D36/$D$2</f>
        <v>-38.3161078900933</v>
      </c>
      <c r="G36" s="155" t="n">
        <v>64</v>
      </c>
      <c r="H36" s="654" t="n">
        <v>0</v>
      </c>
      <c r="I36" s="155" t="n">
        <f aca="false">G36+H36</f>
        <v>64</v>
      </c>
      <c r="J36" s="156" t="n">
        <f aca="false">IF(L36&gt;0,L36,0)</f>
        <v>0</v>
      </c>
      <c r="K36" s="155" t="n">
        <f aca="false">I36+J36</f>
        <v>64</v>
      </c>
      <c r="L36" s="155" t="n">
        <f aca="false">F36-(I36-AK36)</f>
        <v>-12.6161078900933</v>
      </c>
      <c r="M36" s="279" t="n">
        <v>54.3</v>
      </c>
      <c r="N36" s="186" t="n">
        <v>0</v>
      </c>
      <c r="O36" s="155" t="n">
        <f aca="false">47.4*1.05</f>
        <v>49.77</v>
      </c>
      <c r="P36" s="186" t="n">
        <v>0</v>
      </c>
      <c r="Q36" s="373" t="n">
        <f aca="false">1223100/325851/1.9835*1.02</f>
        <v>1.93023806132495</v>
      </c>
      <c r="R36" s="151" t="n">
        <f aca="false">IF(((3.3*1.04)-T36)&gt;=4.2,4.2,(3.3*1.04)-T36)</f>
        <v>2.78941104</v>
      </c>
      <c r="S36" s="151" t="n">
        <f aca="false">IF(((3.3*1.04)-T36)&gt;=4.2,((3.3*1.04)-T36)-4.2,0)</f>
        <v>0</v>
      </c>
      <c r="T36" s="151" t="n">
        <f aca="false">(0.5829*1.06)*1.04</f>
        <v>0.64258896</v>
      </c>
      <c r="U36" s="393" t="n">
        <v>0</v>
      </c>
      <c r="V36" s="155" t="n">
        <v>0</v>
      </c>
      <c r="W36" s="155" t="n">
        <v>0</v>
      </c>
      <c r="X36" s="155" t="n">
        <f aca="false">M36-N36-O36-P36-Q36-R36-S36-T36-U36+V36+W36-AU36+AR36</f>
        <v>-0.832238061324957</v>
      </c>
      <c r="Y36" s="155" t="n">
        <f aca="false">X36-AO36</f>
        <v>-0.832238061324957</v>
      </c>
      <c r="Z36" s="123"/>
      <c r="AA36" s="155"/>
      <c r="AB36" s="123"/>
      <c r="AC36" s="244"/>
      <c r="AD36" s="244"/>
      <c r="AE36" s="155" t="n">
        <v>0</v>
      </c>
      <c r="AF36" s="157" t="n">
        <v>1.7</v>
      </c>
      <c r="AG36" s="158" t="n">
        <v>1.3</v>
      </c>
      <c r="AH36" s="155" t="n">
        <v>35.4</v>
      </c>
      <c r="AI36" s="123" t="n">
        <f aca="false">AI35-AH36</f>
        <v>5585.15787748927</v>
      </c>
      <c r="AJ36" s="123"/>
      <c r="AK36" s="154" t="n">
        <f aca="false">N36+O36+P36+Q36+R36+S36+T36+U36+X36+AE36+AH36</f>
        <v>89.7</v>
      </c>
      <c r="AL36" s="155" t="n">
        <f aca="false">IF(L36&lt;0,L36*-1,0)</f>
        <v>12.6161078900933</v>
      </c>
      <c r="AM36" s="155" t="n">
        <f aca="false">AK36+AL36</f>
        <v>102.316107890093</v>
      </c>
      <c r="AN36" s="284"/>
      <c r="AO36" s="112"/>
      <c r="AP36" s="633" t="n">
        <f aca="false">I36-Q36-R36-X36-AF36</f>
        <v>58.41258896</v>
      </c>
      <c r="AQ36" s="186" t="n">
        <f aca="false">34.159*(Z36*1.9835+AC36*1.9835)/E36</f>
        <v>0</v>
      </c>
      <c r="AR36" s="186" t="n">
        <v>0</v>
      </c>
      <c r="AS36" s="186"/>
      <c r="AT36" s="123" t="n">
        <v>0</v>
      </c>
      <c r="AU36" s="58"/>
      <c r="AV36" s="120"/>
      <c r="AW36" s="355" t="n">
        <v>0</v>
      </c>
      <c r="AX36" s="241" t="n">
        <v>75</v>
      </c>
      <c r="AY36" s="241" t="n">
        <v>42</v>
      </c>
      <c r="AZ36" s="283"/>
      <c r="BA36" s="282" t="n">
        <f aca="false">SUM(N36,P36:U36)</f>
        <v>5.36223806132495</v>
      </c>
      <c r="BB36" s="58" t="n">
        <v>0.5</v>
      </c>
      <c r="BC36" s="91" t="n">
        <v>17514</v>
      </c>
      <c r="BE36" s="207" t="n">
        <f aca="false">BE35+1</f>
        <v>22</v>
      </c>
      <c r="BF36" s="373" t="n">
        <v>6903.02</v>
      </c>
      <c r="BG36" s="667" t="n">
        <f aca="false">B36-BF36</f>
        <v>0.069999999999709</v>
      </c>
      <c r="BH36" s="155" t="n">
        <f aca="false">MIN(AH36,25)</f>
        <v>25</v>
      </c>
      <c r="BI36" s="155" t="n">
        <f aca="false">AH36-BH36</f>
        <v>10.4</v>
      </c>
    </row>
    <row r="37" customFormat="false" ht="12.95" hidden="false" customHeight="true" outlineLevel="0" collapsed="false">
      <c r="A37" s="207" t="n">
        <f aca="false">A36+1</f>
        <v>23</v>
      </c>
      <c r="B37" s="122" t="n">
        <v>6903.08</v>
      </c>
      <c r="C37" s="123" t="n">
        <v>295081</v>
      </c>
      <c r="D37" s="241" t="n">
        <f aca="false">C37-C36</f>
        <v>-38</v>
      </c>
      <c r="E37" s="123" t="n">
        <f aca="false">C37-152000</f>
        <v>143081</v>
      </c>
      <c r="F37" s="277" t="n">
        <f aca="false">D37/$D$2</f>
        <v>-19.1580539450466</v>
      </c>
      <c r="G37" s="155" t="n">
        <v>64</v>
      </c>
      <c r="H37" s="654" t="n">
        <v>0</v>
      </c>
      <c r="I37" s="155" t="n">
        <f aca="false">G37+H37</f>
        <v>64</v>
      </c>
      <c r="J37" s="156" t="n">
        <f aca="false">IF(L37&gt;0,L37,0)</f>
        <v>0</v>
      </c>
      <c r="K37" s="155" t="n">
        <f aca="false">I37+J37</f>
        <v>64</v>
      </c>
      <c r="L37" s="155" t="n">
        <f aca="false">F37-(I37-AK37)</f>
        <v>-13.0580539450466</v>
      </c>
      <c r="M37" s="279" t="n">
        <v>34.7</v>
      </c>
      <c r="N37" s="186" t="n">
        <v>0</v>
      </c>
      <c r="O37" s="155" t="n">
        <f aca="false">30.4*1.05</f>
        <v>31.92</v>
      </c>
      <c r="P37" s="186" t="n">
        <v>0</v>
      </c>
      <c r="Q37" s="373" t="n">
        <f aca="false">1231500/325851/1.9835*1.02</f>
        <v>1.94349454052954</v>
      </c>
      <c r="R37" s="151" t="n">
        <f aca="false">IF(((3.5*1.04)-T37)&gt;=4.2,4.2,(3.5*1.04)-T37)</f>
        <v>2.99741104</v>
      </c>
      <c r="S37" s="151" t="n">
        <f aca="false">IF(((3.5*1.04)-T37)&gt;=4.2,((3.5*1.04)-T37)-4.2,0)</f>
        <v>0</v>
      </c>
      <c r="T37" s="151" t="n">
        <f aca="false">(0.5829*1.06)*1.04</f>
        <v>0.64258896</v>
      </c>
      <c r="U37" s="393" t="n">
        <v>0</v>
      </c>
      <c r="V37" s="155" t="n">
        <v>0</v>
      </c>
      <c r="W37" s="155" t="n">
        <v>0</v>
      </c>
      <c r="X37" s="155" t="n">
        <f aca="false">M37-N37-O37-P37-Q37-R37-S37-T37-U37+V37+W37-AU37+AR37</f>
        <v>-2.80349454052953</v>
      </c>
      <c r="Y37" s="155" t="n">
        <f aca="false">X37-AO37</f>
        <v>-2.80349454052953</v>
      </c>
      <c r="Z37" s="123"/>
      <c r="AA37" s="155"/>
      <c r="AB37" s="123"/>
      <c r="AC37" s="244"/>
      <c r="AD37" s="244"/>
      <c r="AE37" s="155" t="n">
        <v>0</v>
      </c>
      <c r="AF37" s="157" t="n">
        <v>1.7</v>
      </c>
      <c r="AG37" s="158" t="n">
        <v>1.3</v>
      </c>
      <c r="AH37" s="155" t="n">
        <v>35.4</v>
      </c>
      <c r="AI37" s="123" t="n">
        <f aca="false">AI36-AH37</f>
        <v>5549.75787748927</v>
      </c>
      <c r="AJ37" s="123"/>
      <c r="AK37" s="154" t="n">
        <f aca="false">N37+O37+P37+Q37+R37+S37+T37+U37+X37+AE37+AH37</f>
        <v>70.1</v>
      </c>
      <c r="AL37" s="155" t="n">
        <f aca="false">IF(L37&lt;0,L37*-1,0)</f>
        <v>13.0580539450466</v>
      </c>
      <c r="AM37" s="155" t="n">
        <f aca="false">AK37+AL37</f>
        <v>83.1580539450466</v>
      </c>
      <c r="AN37" s="284"/>
      <c r="AO37" s="112"/>
      <c r="AP37" s="633" t="n">
        <f aca="false">I37-Q37-R37-X37-AF37</f>
        <v>60.16258896</v>
      </c>
      <c r="AQ37" s="186" t="n">
        <f aca="false">23.361*(Z37*1.9835+AC37*1.9835)/E37</f>
        <v>0</v>
      </c>
      <c r="AR37" s="186" t="n">
        <v>0</v>
      </c>
      <c r="AS37" s="186"/>
      <c r="AT37" s="123" t="n">
        <v>0</v>
      </c>
      <c r="AU37" s="58"/>
      <c r="AV37" s="120"/>
      <c r="AW37" s="355" t="n">
        <v>0</v>
      </c>
      <c r="AX37" s="241" t="n">
        <v>75</v>
      </c>
      <c r="AY37" s="248" t="n">
        <v>43</v>
      </c>
      <c r="AZ37" s="283"/>
      <c r="BA37" s="282" t="n">
        <f aca="false">SUM(N37,P37:U37)</f>
        <v>5.58349454052954</v>
      </c>
      <c r="BB37" s="58" t="n">
        <v>0.5</v>
      </c>
      <c r="BC37" s="91" t="n">
        <v>17502</v>
      </c>
      <c r="BE37" s="207" t="n">
        <f aca="false">BE36+1</f>
        <v>23</v>
      </c>
      <c r="BF37" s="373" t="n">
        <v>6903.01</v>
      </c>
      <c r="BG37" s="667" t="n">
        <f aca="false">B37-BF37</f>
        <v>0.069999999999709</v>
      </c>
      <c r="BH37" s="155" t="n">
        <f aca="false">MIN(AH37,25)</f>
        <v>25</v>
      </c>
      <c r="BI37" s="155" t="n">
        <f aca="false">AH37-BH37</f>
        <v>10.4</v>
      </c>
    </row>
    <row r="38" customFormat="false" ht="12.95" hidden="false" customHeight="true" outlineLevel="0" collapsed="false">
      <c r="A38" s="207" t="n">
        <f aca="false">A37+1</f>
        <v>24</v>
      </c>
      <c r="B38" s="122" t="n">
        <v>6903.08</v>
      </c>
      <c r="C38" s="123" t="n">
        <v>295081</v>
      </c>
      <c r="D38" s="241" t="n">
        <f aca="false">C38-C37</f>
        <v>0</v>
      </c>
      <c r="E38" s="123" t="n">
        <f aca="false">C38-152000</f>
        <v>143081</v>
      </c>
      <c r="F38" s="277" t="n">
        <f aca="false">D38/$D$2</f>
        <v>0</v>
      </c>
      <c r="G38" s="155" t="n">
        <v>64</v>
      </c>
      <c r="H38" s="654" t="n">
        <v>0</v>
      </c>
      <c r="I38" s="155" t="n">
        <f aca="false">G38+H38</f>
        <v>64</v>
      </c>
      <c r="J38" s="156" t="n">
        <f aca="false">IF(L38&gt;0,L38,0)</f>
        <v>0</v>
      </c>
      <c r="K38" s="155" t="n">
        <f aca="false">I38+J38</f>
        <v>64</v>
      </c>
      <c r="L38" s="155" t="n">
        <f aca="false">F38-(I38-AK38)</f>
        <v>-15.9</v>
      </c>
      <c r="M38" s="279" t="n">
        <v>12.7</v>
      </c>
      <c r="N38" s="186" t="n">
        <v>0</v>
      </c>
      <c r="O38" s="155" t="n">
        <f aca="false">16.7*1.05</f>
        <v>17.535</v>
      </c>
      <c r="P38" s="186" t="n">
        <v>0</v>
      </c>
      <c r="Q38" s="373" t="n">
        <f aca="false">1377000/325851/1.9835*1.02</f>
        <v>2.17311569818041</v>
      </c>
      <c r="R38" s="151" t="n">
        <f aca="false">IF(((3.4*1.04)-T38)&gt;=4.2,4.2,(3.4*1.04)-T38)</f>
        <v>2.89341104</v>
      </c>
      <c r="S38" s="151" t="n">
        <f aca="false">IF(((3.4*1.04)-T38)&gt;=4.2,((3.4*1.04)-T38)-4.2,0)</f>
        <v>0</v>
      </c>
      <c r="T38" s="151" t="n">
        <f aca="false">(0.5829*1.06)*1.04</f>
        <v>0.64258896</v>
      </c>
      <c r="U38" s="393" t="n">
        <v>0</v>
      </c>
      <c r="V38" s="155" t="n">
        <v>0</v>
      </c>
      <c r="W38" s="155" t="n">
        <v>0</v>
      </c>
      <c r="X38" s="155" t="n">
        <f aca="false">M38-N38-O38-P38-Q38-R38-S38-T38-U38+V38+W38-AU38+AR38</f>
        <v>-10.5441156981804</v>
      </c>
      <c r="Y38" s="155" t="n">
        <f aca="false">X38-AO38</f>
        <v>-10.5441156981804</v>
      </c>
      <c r="Z38" s="123"/>
      <c r="AA38" s="155"/>
      <c r="AB38" s="123"/>
      <c r="AC38" s="244"/>
      <c r="AD38" s="244"/>
      <c r="AE38" s="155" t="n">
        <v>0</v>
      </c>
      <c r="AF38" s="157" t="n">
        <v>1.7</v>
      </c>
      <c r="AG38" s="158" t="n">
        <v>1.3</v>
      </c>
      <c r="AH38" s="155" t="n">
        <v>35.4</v>
      </c>
      <c r="AI38" s="123" t="n">
        <f aca="false">AI37-AH38</f>
        <v>5514.35787748927</v>
      </c>
      <c r="AJ38" s="123"/>
      <c r="AK38" s="154" t="n">
        <f aca="false">N38+O38+P38+Q38+R38+S38+T38+U38+X38+AE38+AH38</f>
        <v>48.1</v>
      </c>
      <c r="AL38" s="155" t="n">
        <f aca="false">IF(L38&lt;0,L38*-1,0)</f>
        <v>15.9</v>
      </c>
      <c r="AM38" s="155" t="n">
        <f aca="false">AK38+AL38</f>
        <v>64</v>
      </c>
      <c r="AN38" s="284"/>
      <c r="AO38" s="112"/>
      <c r="AP38" s="633" t="n">
        <f aca="false">I38-Q38-R38-X38-AF38</f>
        <v>67.77758896</v>
      </c>
      <c r="AQ38" s="186" t="n">
        <f aca="false">26.666*(Z38*1.9835+AC38*1.9835)/E38</f>
        <v>0</v>
      </c>
      <c r="AR38" s="186" t="n">
        <v>0</v>
      </c>
      <c r="AS38" s="186"/>
      <c r="AT38" s="123" t="n">
        <v>0</v>
      </c>
      <c r="AU38" s="58"/>
      <c r="AV38" s="120"/>
      <c r="AW38" s="355" t="n">
        <v>0</v>
      </c>
      <c r="AX38" s="241" t="n">
        <v>75</v>
      </c>
      <c r="AY38" s="248" t="n">
        <v>44</v>
      </c>
      <c r="AZ38" s="283"/>
      <c r="BA38" s="282" t="n">
        <f aca="false">SUM(N38,P38:U38)</f>
        <v>5.70911569818041</v>
      </c>
      <c r="BB38" s="58" t="n">
        <v>0.5</v>
      </c>
      <c r="BC38" s="91" t="n">
        <v>17488</v>
      </c>
      <c r="BE38" s="207" t="n">
        <f aca="false">BE37+1</f>
        <v>24</v>
      </c>
      <c r="BF38" s="373" t="n">
        <v>6902.97</v>
      </c>
      <c r="BG38" s="667" t="n">
        <f aca="false">B38-BF38</f>
        <v>0.109999999999673</v>
      </c>
      <c r="BH38" s="155" t="n">
        <f aca="false">MIN(AH38,25)</f>
        <v>25</v>
      </c>
      <c r="BI38" s="155" t="n">
        <f aca="false">AH38-BH38</f>
        <v>10.4</v>
      </c>
    </row>
    <row r="39" customFormat="false" ht="12.95" hidden="false" customHeight="true" outlineLevel="0" collapsed="false">
      <c r="A39" s="207" t="n">
        <v>25</v>
      </c>
      <c r="B39" s="122" t="n">
        <v>6903.08</v>
      </c>
      <c r="C39" s="123" t="n">
        <v>295081</v>
      </c>
      <c r="D39" s="241" t="n">
        <f aca="false">C39-C38</f>
        <v>0</v>
      </c>
      <c r="E39" s="123" t="n">
        <f aca="false">C39-152000</f>
        <v>143081</v>
      </c>
      <c r="F39" s="277" t="n">
        <f aca="false">D39/$D$2</f>
        <v>0</v>
      </c>
      <c r="G39" s="155" t="n">
        <v>67</v>
      </c>
      <c r="H39" s="654" t="n">
        <v>0</v>
      </c>
      <c r="I39" s="155" t="n">
        <f aca="false">G39+H39</f>
        <v>67</v>
      </c>
      <c r="J39" s="156" t="n">
        <f aca="false">IF(L39&gt;0,L39,0)</f>
        <v>0</v>
      </c>
      <c r="K39" s="155" t="n">
        <f aca="false">I39+J39</f>
        <v>67</v>
      </c>
      <c r="L39" s="155" t="n">
        <f aca="false">F39-(I39-AK39)</f>
        <v>-8.20000000000001</v>
      </c>
      <c r="M39" s="279" t="n">
        <v>23.4</v>
      </c>
      <c r="N39" s="186" t="n">
        <v>0</v>
      </c>
      <c r="O39" s="155" t="n">
        <f aca="false">31.7*1.05</f>
        <v>33.285</v>
      </c>
      <c r="P39" s="186" t="n">
        <v>0</v>
      </c>
      <c r="Q39" s="373" t="n">
        <f aca="false">934000/325851/1.9835*1.02</f>
        <v>1.4739942353671</v>
      </c>
      <c r="R39" s="151" t="n">
        <f aca="false">IF(((3.3*1.04)-T39)&gt;=4.2,4.2,(3.3*1.04)-T39)</f>
        <v>2.78941104</v>
      </c>
      <c r="S39" s="151" t="n">
        <f aca="false">IF(((3.3*1.04)-T39)&gt;=4.2,((3.3*1.04)-T39)-4.2,0)</f>
        <v>0</v>
      </c>
      <c r="T39" s="151" t="n">
        <f aca="false">(0.5829*1.06)*1.04</f>
        <v>0.64258896</v>
      </c>
      <c r="U39" s="393" t="n">
        <v>0</v>
      </c>
      <c r="V39" s="155" t="n">
        <v>0</v>
      </c>
      <c r="W39" s="155" t="n">
        <v>0</v>
      </c>
      <c r="X39" s="155" t="n">
        <f aca="false">M39-N39-O39-P39-Q39-R39-S39-T39-U39+V39+W39-AU39+AR39</f>
        <v>-14.7909942353671</v>
      </c>
      <c r="Y39" s="155" t="n">
        <f aca="false">X39-AO39</f>
        <v>-14.7909942353671</v>
      </c>
      <c r="Z39" s="123"/>
      <c r="AA39" s="155"/>
      <c r="AB39" s="123"/>
      <c r="AC39" s="244"/>
      <c r="AD39" s="244"/>
      <c r="AE39" s="155" t="n">
        <v>0</v>
      </c>
      <c r="AF39" s="157" t="n">
        <v>1.7</v>
      </c>
      <c r="AG39" s="158" t="n">
        <v>1.3</v>
      </c>
      <c r="AH39" s="155" t="n">
        <v>35.4</v>
      </c>
      <c r="AI39" s="123" t="n">
        <f aca="false">AI38-AH39</f>
        <v>5478.95787748927</v>
      </c>
      <c r="AJ39" s="123"/>
      <c r="AK39" s="154" t="n">
        <f aca="false">N39+O39+P39+Q39+R39+S39+T39+U39+X39+AE39+AH39</f>
        <v>58.8</v>
      </c>
      <c r="AL39" s="155" t="n">
        <f aca="false">IF(L39&lt;0,L39*-1,0)</f>
        <v>8.20000000000001</v>
      </c>
      <c r="AM39" s="155" t="n">
        <f aca="false">AK39+AL39</f>
        <v>67</v>
      </c>
      <c r="AN39" s="284"/>
      <c r="AO39" s="156"/>
      <c r="AP39" s="633" t="n">
        <f aca="false">I39-Q39-R39-X39-AF39</f>
        <v>75.82758896</v>
      </c>
      <c r="AQ39" s="186" t="n">
        <f aca="false">5.73*(Z39*1.9835+AC39*1.9835)/E39</f>
        <v>0</v>
      </c>
      <c r="AR39" s="186" t="n">
        <v>0</v>
      </c>
      <c r="AS39" s="186"/>
      <c r="AT39" s="123" t="n">
        <v>0</v>
      </c>
      <c r="AU39" s="58"/>
      <c r="AV39" s="120"/>
      <c r="AW39" s="355" t="n">
        <v>0.02</v>
      </c>
      <c r="AX39" s="241" t="n">
        <v>65</v>
      </c>
      <c r="AY39" s="248" t="n">
        <v>43</v>
      </c>
      <c r="AZ39" s="283"/>
      <c r="BA39" s="282" t="n">
        <f aca="false">SUM(N39,P39:U39)</f>
        <v>4.9059942353671</v>
      </c>
      <c r="BB39" s="58" t="n">
        <v>0.5</v>
      </c>
      <c r="BC39" s="91" t="n">
        <v>17515</v>
      </c>
      <c r="BE39" s="207" t="n">
        <v>25</v>
      </c>
      <c r="BF39" s="373" t="n">
        <v>6903.04</v>
      </c>
      <c r="BG39" s="667" t="n">
        <f aca="false">B39-BF39</f>
        <v>0.0399999999999636</v>
      </c>
      <c r="BH39" s="155" t="n">
        <f aca="false">MIN(AH39,25)</f>
        <v>25</v>
      </c>
      <c r="BI39" s="155" t="n">
        <f aca="false">AH39-BH39</f>
        <v>10.4</v>
      </c>
    </row>
    <row r="40" customFormat="false" ht="12.95" hidden="false" customHeight="true" outlineLevel="0" collapsed="false">
      <c r="A40" s="207" t="n">
        <v>26</v>
      </c>
      <c r="B40" s="122" t="n">
        <v>6903.07</v>
      </c>
      <c r="C40" s="123" t="n">
        <v>295043</v>
      </c>
      <c r="D40" s="241" t="n">
        <f aca="false">C40-C39</f>
        <v>-38</v>
      </c>
      <c r="E40" s="123" t="n">
        <f aca="false">C40-152000</f>
        <v>143043</v>
      </c>
      <c r="F40" s="277" t="n">
        <f aca="false">D40/$D$2</f>
        <v>-19.1580539450466</v>
      </c>
      <c r="G40" s="155" t="n">
        <v>77</v>
      </c>
      <c r="H40" s="654" t="n">
        <v>0</v>
      </c>
      <c r="I40" s="155" t="n">
        <f aca="false">G40+H40</f>
        <v>77</v>
      </c>
      <c r="J40" s="156" t="n">
        <f aca="false">IF(L40&gt;0,L40,0)</f>
        <v>0</v>
      </c>
      <c r="K40" s="155" t="n">
        <f aca="false">I40+J40</f>
        <v>77</v>
      </c>
      <c r="L40" s="155" t="n">
        <f aca="false">F40-(I40-AK40)</f>
        <v>-23.8580539450466</v>
      </c>
      <c r="M40" s="279" t="n">
        <v>36.7</v>
      </c>
      <c r="N40" s="186" t="n">
        <v>0</v>
      </c>
      <c r="O40" s="155" t="n">
        <f aca="false">38*1.05</f>
        <v>39.9</v>
      </c>
      <c r="P40" s="186" t="n">
        <v>0</v>
      </c>
      <c r="Q40" s="373" t="n">
        <f aca="false">1114100/325851/1.9835*1.02</f>
        <v>1.75821946212258</v>
      </c>
      <c r="R40" s="151" t="n">
        <f aca="false">IF(((3.4*1.04)-T40)&gt;=4.2,4.2,(3.4*1.04)-T40)</f>
        <v>2.89341104</v>
      </c>
      <c r="S40" s="151" t="n">
        <f aca="false">IF(((3.4*1.04)-T40)&gt;=4.2,((3.4*1.04)-T40)-4.2,0)</f>
        <v>0</v>
      </c>
      <c r="T40" s="151" t="n">
        <f aca="false">(0.5829*1.06)*1.04</f>
        <v>0.64258896</v>
      </c>
      <c r="U40" s="393" t="n">
        <v>0</v>
      </c>
      <c r="V40" s="155" t="n">
        <v>0</v>
      </c>
      <c r="W40" s="155" t="n">
        <v>0</v>
      </c>
      <c r="X40" s="155" t="n">
        <f aca="false">M40-N40-O40-P40-Q40-R40-S40-T40-U40+V40+W40-AU40+AR40</f>
        <v>-8.49421946212258</v>
      </c>
      <c r="Y40" s="155" t="n">
        <f aca="false">X40-AO40</f>
        <v>-8.49421946212258</v>
      </c>
      <c r="Z40" s="123"/>
      <c r="AA40" s="155"/>
      <c r="AB40" s="123"/>
      <c r="AC40" s="244"/>
      <c r="AD40" s="244"/>
      <c r="AE40" s="155" t="n">
        <v>0</v>
      </c>
      <c r="AF40" s="157" t="n">
        <v>1.7</v>
      </c>
      <c r="AG40" s="158" t="n">
        <v>1.3</v>
      </c>
      <c r="AH40" s="155" t="n">
        <v>35.6</v>
      </c>
      <c r="AI40" s="123" t="n">
        <f aca="false">AI39-AH40</f>
        <v>5443.35787748927</v>
      </c>
      <c r="AJ40" s="123"/>
      <c r="AK40" s="154" t="n">
        <f aca="false">N40+O40+P40+Q40+R40+S40+T40+U40+X40+AE40+AH40</f>
        <v>72.3</v>
      </c>
      <c r="AL40" s="155" t="n">
        <f aca="false">IF(L40&lt;0,L40*-1,0)</f>
        <v>23.8580539450466</v>
      </c>
      <c r="AM40" s="155" t="n">
        <f aca="false">AK40+AL40</f>
        <v>96.1580539450466</v>
      </c>
      <c r="AN40" s="284"/>
      <c r="AO40" s="156"/>
      <c r="AP40" s="633" t="n">
        <f aca="false">I40-Q40-R40-X40-AF40</f>
        <v>79.14258896</v>
      </c>
      <c r="AQ40" s="186" t="n">
        <f aca="false">12.341*(Z40*1.9835+AC40*1.9835)/E40</f>
        <v>0</v>
      </c>
      <c r="AR40" s="186" t="n">
        <v>0</v>
      </c>
      <c r="AS40" s="186"/>
      <c r="AT40" s="123" t="n">
        <v>0</v>
      </c>
      <c r="AU40" s="58"/>
      <c r="AV40" s="120"/>
      <c r="AW40" s="355" t="n">
        <v>0</v>
      </c>
      <c r="AX40" s="241" t="n">
        <v>71</v>
      </c>
      <c r="AY40" s="248" t="n">
        <v>39</v>
      </c>
      <c r="AZ40" s="283"/>
      <c r="BA40" s="282" t="n">
        <f aca="false">SUM(N40,P40:U40)</f>
        <v>5.29421946212258</v>
      </c>
      <c r="BB40" s="58" t="n">
        <v>0.5</v>
      </c>
      <c r="BC40" s="91" t="n">
        <v>17658</v>
      </c>
      <c r="BE40" s="207" t="n">
        <v>26</v>
      </c>
      <c r="BF40" s="373" t="n">
        <v>6902.99</v>
      </c>
      <c r="BG40" s="667" t="n">
        <f aca="false">B40-BF40</f>
        <v>0.0799999999999272</v>
      </c>
      <c r="BH40" s="155" t="n">
        <f aca="false">MIN(AH40,25)</f>
        <v>25</v>
      </c>
      <c r="BI40" s="155" t="n">
        <f aca="false">AH40-BH40</f>
        <v>10.6</v>
      </c>
    </row>
    <row r="41" customFormat="false" ht="12.95" hidden="false" customHeight="true" outlineLevel="0" collapsed="false">
      <c r="A41" s="207" t="n">
        <v>27</v>
      </c>
      <c r="B41" s="122" t="n">
        <v>6903.06</v>
      </c>
      <c r="C41" s="123" t="n">
        <v>295005</v>
      </c>
      <c r="D41" s="241" t="n">
        <f aca="false">C41-C40</f>
        <v>-38</v>
      </c>
      <c r="E41" s="123" t="n">
        <f aca="false">C41-152000</f>
        <v>143005</v>
      </c>
      <c r="F41" s="277" t="n">
        <f aca="false">D41/$D$2</f>
        <v>-19.1580539450466</v>
      </c>
      <c r="G41" s="155" t="n">
        <v>71</v>
      </c>
      <c r="H41" s="654" t="n">
        <v>0</v>
      </c>
      <c r="I41" s="155" t="n">
        <f aca="false">G41+H41</f>
        <v>71</v>
      </c>
      <c r="J41" s="156" t="n">
        <f aca="false">IF(L41&gt;0,L41,0)</f>
        <v>0</v>
      </c>
      <c r="K41" s="155" t="n">
        <f aca="false">I41+J41</f>
        <v>71</v>
      </c>
      <c r="L41" s="155" t="n">
        <f aca="false">F41-(I41-AK41)</f>
        <v>-13.3580539450466</v>
      </c>
      <c r="M41" s="279" t="n">
        <v>41.4</v>
      </c>
      <c r="N41" s="186" t="n">
        <v>0</v>
      </c>
      <c r="O41" s="155" t="n">
        <f aca="false">36.9*1.05</f>
        <v>38.745</v>
      </c>
      <c r="P41" s="186" t="n">
        <v>0</v>
      </c>
      <c r="Q41" s="373" t="n">
        <f aca="false">1090200/325851/1.9835*1.02</f>
        <v>1.72050162248096</v>
      </c>
      <c r="R41" s="151" t="n">
        <f aca="false">IF(((3.5*1.04)-T41)&gt;=4.2,4.2,(3.5*1.04)-T41)</f>
        <v>2.99741104</v>
      </c>
      <c r="S41" s="151" t="n">
        <f aca="false">IF(((3.5*1.04)-T41)&gt;=4.2,((3.5*1.04)-T41)-4.2,0)</f>
        <v>0</v>
      </c>
      <c r="T41" s="151" t="n">
        <f aca="false">(0.5829*1.06)*1.04</f>
        <v>0.64258896</v>
      </c>
      <c r="U41" s="393" t="n">
        <v>0</v>
      </c>
      <c r="V41" s="155" t="n">
        <v>0</v>
      </c>
      <c r="W41" s="155" t="n">
        <v>0</v>
      </c>
      <c r="X41" s="155" t="n">
        <f aca="false">M41-N41-O41-P41-Q41-R41-S41-T41-U41+V41+W41-AU41+AR41</f>
        <v>-2.70550162248096</v>
      </c>
      <c r="Y41" s="155" t="n">
        <f aca="false">X41-AO41</f>
        <v>-2.70550162248096</v>
      </c>
      <c r="Z41" s="123"/>
      <c r="AA41" s="155"/>
      <c r="AB41" s="123"/>
      <c r="AC41" s="244"/>
      <c r="AD41" s="244"/>
      <c r="AE41" s="155" t="n">
        <v>0</v>
      </c>
      <c r="AF41" s="157" t="n">
        <v>1.7</v>
      </c>
      <c r="AG41" s="158" t="n">
        <v>1.3</v>
      </c>
      <c r="AH41" s="155" t="n">
        <v>35.4</v>
      </c>
      <c r="AI41" s="123" t="n">
        <f aca="false">AI40-AH41</f>
        <v>5407.95787748927</v>
      </c>
      <c r="AJ41" s="123"/>
      <c r="AK41" s="154" t="n">
        <f aca="false">N41+O41+P41+Q41+R41+S41+T41+U41+X41+AE41+AH41</f>
        <v>76.8</v>
      </c>
      <c r="AL41" s="155" t="n">
        <f aca="false">IF(L41&lt;0,L41*-1,0)</f>
        <v>13.3580539450466</v>
      </c>
      <c r="AM41" s="155" t="n">
        <f aca="false">AK41+AL41</f>
        <v>90.1580539450466</v>
      </c>
      <c r="AN41" s="284"/>
      <c r="AO41" s="156"/>
      <c r="AP41" s="633" t="n">
        <f aca="false">I41-Q41-R41-X41-AF41</f>
        <v>67.28758896</v>
      </c>
      <c r="AQ41" s="186" t="n">
        <f aca="false">33.498*(Z41*1.9835+AC41*1.9835)/E41</f>
        <v>0</v>
      </c>
      <c r="AR41" s="186" t="n">
        <v>0</v>
      </c>
      <c r="AS41" s="186"/>
      <c r="AT41" s="123" t="n">
        <v>0</v>
      </c>
      <c r="AU41" s="58"/>
      <c r="AV41" s="120"/>
      <c r="AW41" s="355" t="n">
        <v>0</v>
      </c>
      <c r="AX41" s="241" t="n">
        <v>75</v>
      </c>
      <c r="AY41" s="248" t="n">
        <v>39</v>
      </c>
      <c r="AZ41" s="283"/>
      <c r="BA41" s="282" t="n">
        <f aca="false">SUM(N41,P41:U41)</f>
        <v>5.36050162248096</v>
      </c>
      <c r="BB41" s="58" t="n">
        <v>0.5</v>
      </c>
      <c r="BC41" s="91" t="n">
        <v>17633</v>
      </c>
      <c r="BE41" s="207" t="n">
        <v>27</v>
      </c>
      <c r="BF41" s="373" t="n">
        <v>6902.96</v>
      </c>
      <c r="BG41" s="667" t="n">
        <f aca="false">B41-BF41</f>
        <v>0.100000000000364</v>
      </c>
      <c r="BH41" s="155" t="n">
        <f aca="false">MIN(AH41,25)</f>
        <v>25</v>
      </c>
      <c r="BI41" s="155" t="n">
        <f aca="false">AH41-BH41</f>
        <v>10.4</v>
      </c>
    </row>
    <row r="42" customFormat="false" ht="12.95" hidden="false" customHeight="true" outlineLevel="0" collapsed="false">
      <c r="A42" s="207" t="n">
        <v>28</v>
      </c>
      <c r="B42" s="122" t="n">
        <v>6903.08</v>
      </c>
      <c r="C42" s="123" t="n">
        <v>295081</v>
      </c>
      <c r="D42" s="241" t="n">
        <f aca="false">C42-C41</f>
        <v>76</v>
      </c>
      <c r="E42" s="123" t="n">
        <f aca="false">C42-152000</f>
        <v>143081</v>
      </c>
      <c r="F42" s="277" t="n">
        <f aca="false">D42/$D$2</f>
        <v>38.3161078900933</v>
      </c>
      <c r="G42" s="155" t="n">
        <v>67</v>
      </c>
      <c r="H42" s="654" t="n">
        <v>0</v>
      </c>
      <c r="I42" s="155" t="n">
        <f aca="false">G42+H42</f>
        <v>67</v>
      </c>
      <c r="J42" s="156" t="n">
        <f aca="false">IF(L42&gt;0,L42,0)</f>
        <v>32.4161078900933</v>
      </c>
      <c r="K42" s="155" t="n">
        <f aca="false">I42+J42</f>
        <v>99.4161078900933</v>
      </c>
      <c r="L42" s="155" t="n">
        <f aca="false">F42-(I42-AK42)</f>
        <v>32.4161078900933</v>
      </c>
      <c r="M42" s="279" t="n">
        <v>25.7</v>
      </c>
      <c r="N42" s="186" t="n">
        <v>0</v>
      </c>
      <c r="O42" s="155" t="n">
        <f aca="false">24.9*1.05</f>
        <v>26.145</v>
      </c>
      <c r="P42" s="186" t="n">
        <v>0</v>
      </c>
      <c r="Q42" s="373" t="n">
        <f aca="false">1086100/325851/1.9835*1.02</f>
        <v>1.71403119810729</v>
      </c>
      <c r="R42" s="151" t="n">
        <f aca="false">IF(((3.1*1.04)-T42)&gt;=4.2,4.2,(3.1*1.04)-T42)</f>
        <v>2.59585248</v>
      </c>
      <c r="S42" s="151" t="n">
        <f aca="false">IF(((3.1*1.04)-T42)&gt;=4.2,((3.1*1.04)-T42)-4.2,0)</f>
        <v>0</v>
      </c>
      <c r="T42" s="151" t="n">
        <f aca="false">(0.5698*1.06)*1.04</f>
        <v>0.62814752</v>
      </c>
      <c r="U42" s="393" t="n">
        <v>0</v>
      </c>
      <c r="V42" s="155" t="n">
        <v>0</v>
      </c>
      <c r="W42" s="155" t="n">
        <v>0</v>
      </c>
      <c r="X42" s="155" t="n">
        <f aca="false">M42-N42-O42-P42-Q42-R42-S42-T42-U42+V42+W42-AU42+AR42</f>
        <v>-5.38303119810729</v>
      </c>
      <c r="Y42" s="155" t="n">
        <f aca="false">X42-AO42</f>
        <v>-5.38303119810729</v>
      </c>
      <c r="Z42" s="123"/>
      <c r="AA42" s="155"/>
      <c r="AB42" s="123"/>
      <c r="AC42" s="244"/>
      <c r="AD42" s="244"/>
      <c r="AE42" s="155" t="n">
        <v>0</v>
      </c>
      <c r="AF42" s="157" t="n">
        <v>1.7</v>
      </c>
      <c r="AG42" s="158" t="n">
        <v>1.3</v>
      </c>
      <c r="AH42" s="155" t="n">
        <v>35.4</v>
      </c>
      <c r="AI42" s="123" t="n">
        <f aca="false">AI41-AH42</f>
        <v>5372.55787748927</v>
      </c>
      <c r="AJ42" s="123"/>
      <c r="AK42" s="154" t="n">
        <f aca="false">N42+O42+P42+Q42+R42+S42+T42+U42+X42+AE42+AH42</f>
        <v>61.1</v>
      </c>
      <c r="AL42" s="155" t="n">
        <f aca="false">IF(L42&lt;0,L42*-1,0)</f>
        <v>0</v>
      </c>
      <c r="AM42" s="155" t="n">
        <f aca="false">AK42+AL42</f>
        <v>61.1</v>
      </c>
      <c r="AN42" s="284"/>
      <c r="AO42" s="156"/>
      <c r="AP42" s="633" t="n">
        <f aca="false">I42-Q42-R42-X42-AF42</f>
        <v>66.37314752</v>
      </c>
      <c r="AQ42" s="186" t="n">
        <f aca="false">21.598*(Z42*1.9835+AC42*1.9835)/E42</f>
        <v>0</v>
      </c>
      <c r="AR42" s="186" t="n">
        <v>0</v>
      </c>
      <c r="AS42" s="186"/>
      <c r="AT42" s="123" t="n">
        <v>0</v>
      </c>
      <c r="AU42" s="58"/>
      <c r="AV42" s="120"/>
      <c r="AW42" s="355" t="n">
        <v>0</v>
      </c>
      <c r="AX42" s="241" t="n">
        <v>76</v>
      </c>
      <c r="AY42" s="248" t="n">
        <v>47</v>
      </c>
      <c r="AZ42" s="283"/>
      <c r="BA42" s="282" t="n">
        <f aca="false">SUM(N42,P42:U42)</f>
        <v>4.93803119810729</v>
      </c>
      <c r="BB42" s="58" t="n">
        <v>0.5</v>
      </c>
      <c r="BC42" s="91" t="n">
        <v>17618</v>
      </c>
      <c r="BE42" s="207" t="n">
        <v>28</v>
      </c>
      <c r="BF42" s="373" t="n">
        <v>6902.95</v>
      </c>
      <c r="BG42" s="667" t="n">
        <f aca="false">B42-BF42</f>
        <v>0.130000000000109</v>
      </c>
      <c r="BH42" s="155" t="n">
        <f aca="false">MIN(AH42,25)</f>
        <v>25</v>
      </c>
      <c r="BI42" s="155" t="n">
        <f aca="false">AH42-BH42</f>
        <v>10.4</v>
      </c>
    </row>
    <row r="43" customFormat="false" ht="12.95" hidden="false" customHeight="true" outlineLevel="0" collapsed="false">
      <c r="A43" s="207" t="n">
        <v>29</v>
      </c>
      <c r="B43" s="122" t="n">
        <v>6903.07</v>
      </c>
      <c r="C43" s="123" t="n">
        <v>295043</v>
      </c>
      <c r="D43" s="241" t="n">
        <f aca="false">C43-C42</f>
        <v>-38</v>
      </c>
      <c r="E43" s="123" t="n">
        <f aca="false">C43-152000</f>
        <v>143043</v>
      </c>
      <c r="F43" s="277" t="n">
        <f aca="false">D43/$D$2</f>
        <v>-19.1580539450466</v>
      </c>
      <c r="G43" s="155" t="n">
        <v>64</v>
      </c>
      <c r="H43" s="654" t="n">
        <v>0</v>
      </c>
      <c r="I43" s="155" t="n">
        <f aca="false">G43+H43</f>
        <v>64</v>
      </c>
      <c r="J43" s="156" t="n">
        <f aca="false">IF(L43&gt;0,L43,0)</f>
        <v>0</v>
      </c>
      <c r="K43" s="155" t="n">
        <f aca="false">I43+J43</f>
        <v>64</v>
      </c>
      <c r="L43" s="155" t="n">
        <f aca="false">F43-(I43-AK43)</f>
        <v>-37.8540539450466</v>
      </c>
      <c r="M43" s="279" t="n">
        <v>9.9</v>
      </c>
      <c r="N43" s="186" t="n">
        <v>0</v>
      </c>
      <c r="O43" s="155" t="n">
        <f aca="false">13.3*1.05</f>
        <v>13.965</v>
      </c>
      <c r="P43" s="186" t="n">
        <v>0</v>
      </c>
      <c r="Q43" s="373" t="n">
        <f aca="false">1072000/325851/1.9835*1.02</f>
        <v>1.69177925087102</v>
      </c>
      <c r="R43" s="151" t="n">
        <f aca="false">IF(((2.4*1.04)-T43)&gt;=4.2,4.2,(2.4*1.04)-T43)</f>
        <v>1.86785248</v>
      </c>
      <c r="S43" s="151" t="n">
        <f aca="false">IF(((2.4*1.04)-T43)&gt;=4.2,((2.4*1.04)-T43)-4.2,0)</f>
        <v>0</v>
      </c>
      <c r="T43" s="151" t="n">
        <f aca="false">(0.5698*1.06)*1.04</f>
        <v>0.62814752</v>
      </c>
      <c r="U43" s="393" t="n">
        <v>0</v>
      </c>
      <c r="V43" s="155" t="n">
        <v>0</v>
      </c>
      <c r="W43" s="155" t="n">
        <v>0.004</v>
      </c>
      <c r="X43" s="155" t="n">
        <f aca="false">M43-N43-O43-P43-Q43-R43-S43-T43-U43+V43+W43-AU43+AR43</f>
        <v>-8.24877925087102</v>
      </c>
      <c r="Y43" s="155" t="n">
        <f aca="false">X43-AO43</f>
        <v>-8.24877925087102</v>
      </c>
      <c r="Z43" s="123"/>
      <c r="AA43" s="155"/>
      <c r="AB43" s="123"/>
      <c r="AC43" s="244"/>
      <c r="AD43" s="244"/>
      <c r="AE43" s="155" t="n">
        <v>0</v>
      </c>
      <c r="AF43" s="157" t="n">
        <v>1.7</v>
      </c>
      <c r="AG43" s="158" t="n">
        <v>1.3</v>
      </c>
      <c r="AH43" s="155" t="n">
        <v>35.4</v>
      </c>
      <c r="AI43" s="123" t="n">
        <f aca="false">AI42-AH43</f>
        <v>5337.15787748927</v>
      </c>
      <c r="AJ43" s="123"/>
      <c r="AK43" s="154" t="n">
        <f aca="false">N43+O43+P43+Q43+R43+S43+T43+U43+X43+AE43+AH43</f>
        <v>45.304</v>
      </c>
      <c r="AL43" s="155" t="n">
        <f aca="false">IF(L43&lt;0,L43*-1,0)</f>
        <v>37.8540539450466</v>
      </c>
      <c r="AM43" s="155" t="n">
        <f aca="false">AK43+AL43</f>
        <v>83.1580539450466</v>
      </c>
      <c r="AN43" s="284"/>
      <c r="AO43" s="156"/>
      <c r="AP43" s="633" t="n">
        <f aca="false">I43-Q43-R43-X43-AF43</f>
        <v>66.98914752</v>
      </c>
      <c r="AQ43" s="186" t="n">
        <f aca="false">30.413*(Z43*1.9835+AC43*1.9835)/E43</f>
        <v>0</v>
      </c>
      <c r="AR43" s="186" t="n">
        <v>0</v>
      </c>
      <c r="AS43" s="186"/>
      <c r="AT43" s="123" t="n">
        <v>0</v>
      </c>
      <c r="AU43" s="58"/>
      <c r="AV43" s="120"/>
      <c r="AW43" s="355" t="n">
        <v>0</v>
      </c>
      <c r="AX43" s="241" t="n">
        <v>71</v>
      </c>
      <c r="AY43" s="248" t="n">
        <v>43</v>
      </c>
      <c r="AZ43" s="283"/>
      <c r="BA43" s="282" t="n">
        <f aca="false">SUM(N43,P43:U43)</f>
        <v>4.18777925087102</v>
      </c>
      <c r="BB43" s="58" t="n">
        <v>0.5</v>
      </c>
      <c r="BC43" s="91" t="n">
        <v>17606</v>
      </c>
      <c r="BE43" s="207" t="n">
        <v>29</v>
      </c>
      <c r="BF43" s="373" t="n">
        <v>6902.99</v>
      </c>
      <c r="BG43" s="667" t="n">
        <f aca="false">B43-BF43</f>
        <v>0.0799999999999272</v>
      </c>
      <c r="BH43" s="155" t="n">
        <f aca="false">MIN(AH43,25)</f>
        <v>25</v>
      </c>
      <c r="BI43" s="155" t="n">
        <f aca="false">AH43-BH43</f>
        <v>10.4</v>
      </c>
    </row>
    <row r="44" customFormat="false" ht="12.95" hidden="false" customHeight="true" outlineLevel="0" collapsed="false">
      <c r="A44" s="207" t="n">
        <v>30</v>
      </c>
      <c r="B44" s="122" t="n">
        <v>6903.07</v>
      </c>
      <c r="C44" s="123" t="n">
        <v>295043</v>
      </c>
      <c r="D44" s="241" t="n">
        <f aca="false">C44-C43</f>
        <v>0</v>
      </c>
      <c r="E44" s="123" t="n">
        <f aca="false">C44-152000</f>
        <v>143043</v>
      </c>
      <c r="F44" s="277" t="n">
        <f aca="false">D44/$D$2</f>
        <v>0</v>
      </c>
      <c r="G44" s="155" t="n">
        <v>64</v>
      </c>
      <c r="H44" s="654" t="n">
        <v>0</v>
      </c>
      <c r="I44" s="155" t="n">
        <f aca="false">G44+H44</f>
        <v>64</v>
      </c>
      <c r="J44" s="156" t="n">
        <f aca="false">IF(L44&gt;0,L44,0)</f>
        <v>0</v>
      </c>
      <c r="K44" s="155" t="n">
        <f aca="false">I44+J44</f>
        <v>64</v>
      </c>
      <c r="L44" s="155" t="n">
        <f aca="false">F44-(I44-AK44)</f>
        <v>-20.03</v>
      </c>
      <c r="M44" s="279" t="n">
        <v>8.57</v>
      </c>
      <c r="N44" s="186" t="n">
        <v>0</v>
      </c>
      <c r="O44" s="155" t="n">
        <f aca="false">3.65*1.05</f>
        <v>3.8325</v>
      </c>
      <c r="P44" s="186" t="n">
        <v>0</v>
      </c>
      <c r="Q44" s="373" t="n">
        <f aca="false">1269100/325851/1.9835*1.02</f>
        <v>2.00283306649292</v>
      </c>
      <c r="R44" s="151" t="n">
        <f aca="false">IF(((2.5*1.04)-T44)&gt;=4.2,4.2,(2.5*1.04)-T44)</f>
        <v>1.97185248</v>
      </c>
      <c r="S44" s="151" t="n">
        <f aca="false">IF(((2.5*1.04)-T44)&gt;=4.2,((2.5*1.04)-T44)-4.2,0)</f>
        <v>0</v>
      </c>
      <c r="T44" s="151" t="n">
        <f aca="false">(0.5698*1.06)*1.04</f>
        <v>0.62814752</v>
      </c>
      <c r="U44" s="393" t="n">
        <v>0</v>
      </c>
      <c r="V44" s="155" t="n">
        <v>0</v>
      </c>
      <c r="W44" s="155" t="n">
        <v>0</v>
      </c>
      <c r="X44" s="155" t="n">
        <f aca="false">M44-N44-O44-P44-Q44-R44-S44-T44-U44+V44+W44-AU44+AR44</f>
        <v>0.134666933507077</v>
      </c>
      <c r="Y44" s="155" t="n">
        <f aca="false">X44-AO44</f>
        <v>0.134666933507077</v>
      </c>
      <c r="Z44" s="123"/>
      <c r="AA44" s="155"/>
      <c r="AB44" s="123"/>
      <c r="AC44" s="244"/>
      <c r="AD44" s="244"/>
      <c r="AE44" s="155" t="n">
        <v>0</v>
      </c>
      <c r="AF44" s="157" t="n">
        <v>1.7</v>
      </c>
      <c r="AG44" s="158" t="n">
        <v>1.3</v>
      </c>
      <c r="AH44" s="155" t="n">
        <v>35.4</v>
      </c>
      <c r="AI44" s="123" t="n">
        <f aca="false">AI43-AH44</f>
        <v>5301.75787748927</v>
      </c>
      <c r="AJ44" s="123"/>
      <c r="AK44" s="154" t="n">
        <f aca="false">N44+O44+P44+Q44+R44+S44+T44+U44+X44+AE44+AH44</f>
        <v>43.97</v>
      </c>
      <c r="AL44" s="155" t="n">
        <f aca="false">IF(L44&lt;0,L44*-1,0)</f>
        <v>20.03</v>
      </c>
      <c r="AM44" s="155" t="n">
        <f aca="false">AK44+AL44</f>
        <v>64</v>
      </c>
      <c r="AN44" s="284"/>
      <c r="AO44" s="156"/>
      <c r="AP44" s="633" t="n">
        <f aca="false">I44-Q44-R44-X44-AF44</f>
        <v>58.19064752</v>
      </c>
      <c r="AQ44" s="186" t="n">
        <f aca="false">32.176*(Z44*1.9835+AC44*1.9835)/E44</f>
        <v>0</v>
      </c>
      <c r="AR44" s="186" t="n">
        <v>0</v>
      </c>
      <c r="AS44" s="186"/>
      <c r="AT44" s="123" t="n">
        <v>0</v>
      </c>
      <c r="AU44" s="58"/>
      <c r="AV44" s="120"/>
      <c r="AW44" s="355" t="n">
        <v>0</v>
      </c>
      <c r="AX44" s="241" t="n">
        <v>74</v>
      </c>
      <c r="AY44" s="248" t="n">
        <v>46</v>
      </c>
      <c r="AZ44" s="283"/>
      <c r="BA44" s="282" t="n">
        <f aca="false">SUM(N44,P44:U44)</f>
        <v>4.60283306649292</v>
      </c>
      <c r="BB44" s="58" t="n">
        <v>0.5</v>
      </c>
      <c r="BC44" s="91" t="n">
        <v>17500</v>
      </c>
      <c r="BE44" s="207" t="n">
        <v>30</v>
      </c>
      <c r="BF44" s="373" t="n">
        <v>6902.95</v>
      </c>
      <c r="BG44" s="667" t="n">
        <f aca="false">B44-BF44</f>
        <v>0.119999999999891</v>
      </c>
      <c r="BH44" s="155" t="n">
        <f aca="false">MIN(AH44,25)</f>
        <v>25</v>
      </c>
      <c r="BI44" s="155" t="n">
        <f aca="false">AH44-BH44</f>
        <v>10.4</v>
      </c>
    </row>
    <row r="45" customFormat="false" ht="12.95" hidden="false" customHeight="true" outlineLevel="0" collapsed="false">
      <c r="A45" s="207" t="n">
        <v>31</v>
      </c>
      <c r="B45" s="122" t="n">
        <v>6903.08</v>
      </c>
      <c r="C45" s="123" t="n">
        <v>295081</v>
      </c>
      <c r="D45" s="241" t="n">
        <f aca="false">C45-C44</f>
        <v>38</v>
      </c>
      <c r="E45" s="123" t="n">
        <f aca="false">C45-152000</f>
        <v>143081</v>
      </c>
      <c r="F45" s="277" t="n">
        <f aca="false">D45/$D$2</f>
        <v>19.1580539450466</v>
      </c>
      <c r="G45" s="155" t="n">
        <v>62</v>
      </c>
      <c r="H45" s="654" t="n">
        <v>0</v>
      </c>
      <c r="I45" s="155" t="n">
        <f aca="false">G45+H45</f>
        <v>62</v>
      </c>
      <c r="J45" s="156" t="n">
        <f aca="false">IF(L45&gt;0,L45,0)</f>
        <v>0</v>
      </c>
      <c r="K45" s="155" t="n">
        <f aca="false">I45+J45</f>
        <v>62</v>
      </c>
      <c r="L45" s="155" t="n">
        <f aca="false">F45-(I45-AK45)</f>
        <v>-2.19194605495337</v>
      </c>
      <c r="M45" s="279" t="n">
        <v>5.25</v>
      </c>
      <c r="N45" s="186" t="n">
        <v>0</v>
      </c>
      <c r="O45" s="155" t="n">
        <f aca="false">4.85*1.05</f>
        <v>5.0925</v>
      </c>
      <c r="P45" s="186" t="n">
        <v>0</v>
      </c>
      <c r="Q45" s="373" t="n">
        <f aca="false">1122600/325851/1.9835*1.02</f>
        <v>1.77163375655579</v>
      </c>
      <c r="R45" s="151" t="n">
        <f aca="false">IF(((2.6*1.04)-T45)&gt;=4.2,4.2,(2.6*1.04)-T45)</f>
        <v>2.07585248</v>
      </c>
      <c r="S45" s="151" t="n">
        <f aca="false">IF(((2.6*1.04)-T45)&gt;=4.2,((2.6*1.04)-T45)-3.2,0)</f>
        <v>0</v>
      </c>
      <c r="T45" s="151" t="n">
        <f aca="false">(0.5698*1.06)*1.04</f>
        <v>0.62814752</v>
      </c>
      <c r="U45" s="393" t="n">
        <v>0</v>
      </c>
      <c r="V45" s="155" t="n">
        <v>0</v>
      </c>
      <c r="W45" s="155" t="n">
        <v>0</v>
      </c>
      <c r="X45" s="155" t="n">
        <f aca="false">M45-N45-O45-P45-Q45-R45-S45-T45-U45+V45+W45-AU45+AR45</f>
        <v>-4.31813375655579</v>
      </c>
      <c r="Y45" s="155" t="n">
        <f aca="false">X45-AO45</f>
        <v>-4.31813375655579</v>
      </c>
      <c r="Z45" s="123"/>
      <c r="AA45" s="155"/>
      <c r="AB45" s="123"/>
      <c r="AC45" s="244"/>
      <c r="AD45" s="244"/>
      <c r="AE45" s="155" t="n">
        <v>0</v>
      </c>
      <c r="AF45" s="157" t="n">
        <v>1.7</v>
      </c>
      <c r="AG45" s="158" t="n">
        <v>1.3</v>
      </c>
      <c r="AH45" s="155" t="n">
        <v>35.4</v>
      </c>
      <c r="AI45" s="123" t="n">
        <f aca="false">AI44-AH45</f>
        <v>5266.35787748928</v>
      </c>
      <c r="AJ45" s="123"/>
      <c r="AK45" s="154" t="n">
        <f aca="false">N45+O45+P45+Q45+R45+S45+T45+U45+X45+AE45+AH45</f>
        <v>40.65</v>
      </c>
      <c r="AL45" s="155" t="n">
        <f aca="false">IF(L45&lt;0,L45*-1,0)</f>
        <v>2.19194605495337</v>
      </c>
      <c r="AM45" s="277" t="n">
        <f aca="false">AK45+AL45</f>
        <v>42.8419460549534</v>
      </c>
      <c r="AN45" s="284"/>
      <c r="AO45" s="156"/>
      <c r="AP45" s="633" t="n">
        <f aca="false">I45-Q45-R45-X45-AF45</f>
        <v>60.77064752</v>
      </c>
      <c r="AQ45" s="186" t="n">
        <f aca="false">32.617*(Z45*1.9835+AC45*1.9835)/E45</f>
        <v>0</v>
      </c>
      <c r="AR45" s="186" t="n">
        <v>0</v>
      </c>
      <c r="AS45" s="186"/>
      <c r="AT45" s="123" t="n">
        <v>0</v>
      </c>
      <c r="AU45" s="58"/>
      <c r="AV45" s="120"/>
      <c r="AW45" s="355" t="n">
        <v>0</v>
      </c>
      <c r="AX45" s="241" t="n">
        <v>70</v>
      </c>
      <c r="AY45" s="248" t="n">
        <v>45</v>
      </c>
      <c r="AZ45" s="283"/>
      <c r="BA45" s="282" t="n">
        <f aca="false">SUM(N45,P45:U45)</f>
        <v>4.47563375655579</v>
      </c>
      <c r="BB45" s="58" t="n">
        <v>0.5</v>
      </c>
      <c r="BC45" s="91" t="n">
        <v>17471</v>
      </c>
      <c r="BE45" s="207" t="n">
        <v>31</v>
      </c>
      <c r="BF45" s="373" t="n">
        <v>6902.96</v>
      </c>
      <c r="BG45" s="667" t="n">
        <f aca="false">B45-BF45</f>
        <v>0.119999999999891</v>
      </c>
      <c r="BH45" s="155" t="n">
        <f aca="false">MIN(AH45,25)</f>
        <v>25</v>
      </c>
      <c r="BI45" s="155" t="n">
        <f aca="false">AH45-BH45</f>
        <v>10.4</v>
      </c>
    </row>
    <row r="46" customFormat="false" ht="3" hidden="false" customHeight="true" outlineLevel="0" collapsed="false">
      <c r="A46" s="261"/>
      <c r="B46" s="286"/>
      <c r="C46" s="263"/>
      <c r="D46" s="264"/>
      <c r="E46" s="263"/>
      <c r="F46" s="265"/>
      <c r="G46" s="264"/>
      <c r="H46" s="653"/>
      <c r="I46" s="264"/>
      <c r="J46" s="264"/>
      <c r="K46" s="264"/>
      <c r="L46" s="264"/>
      <c r="M46" s="267" t="n">
        <v>0</v>
      </c>
      <c r="N46" s="264"/>
      <c r="O46" s="264"/>
      <c r="P46" s="268"/>
      <c r="Q46" s="264"/>
      <c r="R46" s="264"/>
      <c r="S46" s="264"/>
      <c r="T46" s="264"/>
      <c r="U46" s="269"/>
      <c r="V46" s="264"/>
      <c r="W46" s="264" t="n">
        <v>0</v>
      </c>
      <c r="X46" s="264"/>
      <c r="Y46" s="264"/>
      <c r="Z46" s="263"/>
      <c r="AA46" s="264"/>
      <c r="AB46" s="263"/>
      <c r="AC46" s="263"/>
      <c r="AD46" s="263"/>
      <c r="AE46" s="264"/>
      <c r="AF46" s="267"/>
      <c r="AG46" s="272"/>
      <c r="AH46" s="264"/>
      <c r="AI46" s="264"/>
      <c r="AJ46" s="264"/>
      <c r="AK46" s="264"/>
      <c r="AL46" s="264"/>
      <c r="AM46" s="265"/>
      <c r="AN46" s="274"/>
      <c r="AO46" s="271"/>
      <c r="AP46" s="271"/>
      <c r="AQ46" s="268"/>
      <c r="AR46" s="268"/>
      <c r="AS46" s="268"/>
      <c r="AT46" s="274"/>
      <c r="AU46" s="274"/>
      <c r="AV46" s="274"/>
      <c r="AW46" s="556"/>
      <c r="AX46" s="274"/>
      <c r="AY46" s="274"/>
      <c r="AZ46" s="274"/>
      <c r="BA46" s="274"/>
      <c r="BB46" s="274"/>
      <c r="BC46" s="274"/>
      <c r="BE46" s="261"/>
      <c r="BF46" s="264"/>
      <c r="BH46" s="264"/>
      <c r="BI46" s="264"/>
    </row>
    <row r="47" customFormat="false" ht="12.95" hidden="false" customHeight="true" outlineLevel="0" collapsed="false">
      <c r="A47" s="209" t="s">
        <v>104</v>
      </c>
      <c r="B47" s="239"/>
      <c r="C47" s="123"/>
      <c r="D47" s="123"/>
      <c r="E47" s="123"/>
      <c r="F47" s="240" t="n">
        <f aca="false">SUM(F15:F45)</f>
        <v>-2877.74136627174</v>
      </c>
      <c r="G47" s="123" t="n">
        <f aca="false">SUM(G15:G45)</f>
        <v>2712</v>
      </c>
      <c r="H47" s="241" t="n">
        <f aca="false">SUM(H15:H45)</f>
        <v>0</v>
      </c>
      <c r="I47" s="123" t="n">
        <f aca="false">SUM(I15:I45)</f>
        <v>2712</v>
      </c>
      <c r="J47" s="123" t="n">
        <f aca="false">SUM(J15:J45)</f>
        <v>116.159195865894</v>
      </c>
      <c r="K47" s="123" t="n">
        <f aca="false">SUM(K15:K45)</f>
        <v>2828.15919586589</v>
      </c>
      <c r="L47" s="123" t="n">
        <f aca="false">SUM(L15:L45)</f>
        <v>-881.544366271742</v>
      </c>
      <c r="M47" s="242" t="n">
        <f aca="false">SUM(M15:M45)</f>
        <v>1804.69</v>
      </c>
      <c r="N47" s="123" t="n">
        <f aca="false">SUM(N15:N45)</f>
        <v>2.2</v>
      </c>
      <c r="O47" s="123" t="n">
        <f aca="false">SUM(O15:O45)</f>
        <v>510.83235</v>
      </c>
      <c r="P47" s="186" t="n">
        <f aca="false">SUM(P15:P45)</f>
        <v>0</v>
      </c>
      <c r="Q47" s="123" t="n">
        <f aca="false">SUM(Q15:Q45)</f>
        <v>57.5534779123976</v>
      </c>
      <c r="R47" s="123" t="n">
        <f aca="false">SUM(R15:R45)</f>
        <v>89.41801856</v>
      </c>
      <c r="S47" s="123" t="n">
        <f aca="false">SUM(S15:S45)</f>
        <v>0</v>
      </c>
      <c r="T47" s="123" t="n">
        <f aca="false">SUM(T15:T45)</f>
        <v>21.96598144</v>
      </c>
      <c r="U47" s="243" t="n">
        <f aca="false">SUM(U15:U45)</f>
        <v>0</v>
      </c>
      <c r="V47" s="123" t="n">
        <f aca="false">SUM(V15:V45)</f>
        <v>1165.47</v>
      </c>
      <c r="W47" s="123" t="n">
        <f aca="false">SUM(W15:W45)</f>
        <v>561.737</v>
      </c>
      <c r="X47" s="123" t="n">
        <f aca="false">SUM(X15:X45)</f>
        <v>2849.9271720876</v>
      </c>
      <c r="Y47" s="123" t="n">
        <f aca="false">SUM(Y15:Y45)</f>
        <v>2849.9271720876</v>
      </c>
      <c r="Z47" s="123"/>
      <c r="AA47" s="123"/>
      <c r="AB47" s="123"/>
      <c r="AC47" s="123"/>
      <c r="AE47" s="123" t="n">
        <f aca="false">SUM(AE15:AE45)</f>
        <v>72.4</v>
      </c>
      <c r="AF47" s="242" t="n">
        <f aca="false">SUM(AF15:AF45)</f>
        <v>52.7</v>
      </c>
      <c r="AG47" s="245" t="n">
        <f aca="false">SUM(AG15:AG45)</f>
        <v>40.3</v>
      </c>
      <c r="AH47" s="123" t="n">
        <f aca="false">SUM(AH15:AH45)</f>
        <v>1103.9</v>
      </c>
      <c r="AI47" s="123"/>
      <c r="AJ47" s="123" t="n">
        <f aca="false">SUM(AJ15:AJ45)</f>
        <v>0</v>
      </c>
      <c r="AK47" s="123" t="n">
        <f aca="false">SUM(AK15:AK45)</f>
        <v>4708.197</v>
      </c>
      <c r="AL47" s="123" t="n">
        <f aca="false">SUM(AL15:AL45)</f>
        <v>997.703562137635</v>
      </c>
      <c r="AM47" s="240" t="n">
        <f aca="false">SUM(AM15:AM45)</f>
        <v>5705.90056213764</v>
      </c>
      <c r="AN47" s="241" t="n">
        <f aca="false">SUM(AN15:AN45)</f>
        <v>0</v>
      </c>
      <c r="AO47" s="156" t="n">
        <f aca="false">SUM(AO15:AO45)</f>
        <v>0</v>
      </c>
      <c r="AP47" s="156"/>
      <c r="AQ47" s="186"/>
      <c r="AR47" s="241" t="n">
        <f aca="false">SUM(AR15:AR45)</f>
        <v>0</v>
      </c>
      <c r="AS47" s="156" t="n">
        <f aca="false">SUM(AS15:AS45)</f>
        <v>0</v>
      </c>
      <c r="AT47" s="241" t="n">
        <f aca="false">SUM(AT15:AT45)</f>
        <v>111.75</v>
      </c>
      <c r="AU47" s="58"/>
      <c r="AV47" s="241" t="n">
        <f aca="false">SUM(AV15:AV45)</f>
        <v>0</v>
      </c>
      <c r="AW47" s="355" t="n">
        <f aca="false">SUM(AW15:AW45)</f>
        <v>0.03</v>
      </c>
      <c r="AX47" s="241" t="n">
        <f aca="false">AVERAGE(AX15:AX45)</f>
        <v>70.6451612903226</v>
      </c>
      <c r="AY47" s="241" t="n">
        <f aca="false">AVERAGE(AY15:AY45)</f>
        <v>40.5483870967742</v>
      </c>
      <c r="AZ47" s="250" t="s">
        <v>130</v>
      </c>
      <c r="BA47" s="375" t="n">
        <f aca="false">SUM(BA15:BA45)</f>
        <v>171.137477912398</v>
      </c>
      <c r="BB47" s="176" t="n">
        <f aca="false">SUM(BB15:BB45)</f>
        <v>161.688</v>
      </c>
      <c r="BC47" s="283"/>
      <c r="BE47" s="209" t="s">
        <v>104</v>
      </c>
      <c r="BF47" s="155"/>
      <c r="BH47" s="123" t="n">
        <f aca="false">SUM(BH15:BH45)</f>
        <v>775</v>
      </c>
      <c r="BI47" s="123" t="n">
        <f aca="false">SUM(BI15:BI45)</f>
        <v>328.9</v>
      </c>
    </row>
    <row r="48" customFormat="false" ht="12.95" hidden="false" customHeight="true" outlineLevel="0" collapsed="false">
      <c r="A48" s="209" t="s">
        <v>106</v>
      </c>
      <c r="B48" s="239"/>
      <c r="C48" s="123"/>
      <c r="D48" s="123" t="n">
        <f aca="false">SUM(D15:D45)</f>
        <v>-5708</v>
      </c>
      <c r="E48" s="123"/>
      <c r="F48" s="240" t="n">
        <f aca="false">F47*$D$2</f>
        <v>-5708</v>
      </c>
      <c r="G48" s="123" t="n">
        <f aca="false">G47*$D$2</f>
        <v>5379.252</v>
      </c>
      <c r="H48" s="241" t="n">
        <f aca="false">H47*$D$2</f>
        <v>0</v>
      </c>
      <c r="I48" s="123" t="n">
        <f aca="false">I47*$D$2</f>
        <v>5379.252</v>
      </c>
      <c r="J48" s="123" t="n">
        <f aca="false">J47*$D$2</f>
        <v>230.401765</v>
      </c>
      <c r="K48" s="123" t="n">
        <f aca="false">K47*$D$2</f>
        <v>5609.653765</v>
      </c>
      <c r="L48" s="123" t="n">
        <f aca="false">L47*$D$2</f>
        <v>-1748.5432505</v>
      </c>
      <c r="M48" s="242" t="n">
        <f aca="false">M47*$D$2</f>
        <v>3579.602615</v>
      </c>
      <c r="N48" s="123" t="n">
        <f aca="false">N47*$D$2</f>
        <v>4.3637</v>
      </c>
      <c r="O48" s="123" t="n">
        <f aca="false">O47*$D$2</f>
        <v>1013.235966225</v>
      </c>
      <c r="P48" s="186" t="n">
        <f aca="false">P47*$D$2</f>
        <v>0</v>
      </c>
      <c r="Q48" s="123" t="n">
        <f aca="false">Q47*$D$2</f>
        <v>114.157323439241</v>
      </c>
      <c r="R48" s="123" t="n">
        <f aca="false">R47*$D$2</f>
        <v>177.36063981376</v>
      </c>
      <c r="S48" s="123" t="n">
        <f aca="false">S47*$D$2</f>
        <v>0</v>
      </c>
      <c r="T48" s="123" t="n">
        <f aca="false">T47*$D$2</f>
        <v>43.56952418624</v>
      </c>
      <c r="U48" s="243" t="n">
        <f aca="false">U47*$D$2</f>
        <v>0</v>
      </c>
      <c r="V48" s="123" t="n">
        <f aca="false">V47*$D$2</f>
        <v>2311.709745</v>
      </c>
      <c r="W48" s="123" t="n">
        <f aca="false">W47*$D$2</f>
        <v>1114.2053395</v>
      </c>
      <c r="X48" s="123" t="n">
        <f aca="false">X47*$D$2</f>
        <v>5652.83054583576</v>
      </c>
      <c r="Y48" s="123" t="n">
        <f aca="false">Y47*$D$2</f>
        <v>5652.83054583576</v>
      </c>
      <c r="Z48" s="123"/>
      <c r="AA48" s="123"/>
      <c r="AB48" s="123"/>
      <c r="AC48" s="123"/>
      <c r="AE48" s="123" t="n">
        <f aca="false">AE47*$D$2</f>
        <v>143.6054</v>
      </c>
      <c r="AF48" s="242" t="n">
        <f aca="false">AF47*$D$2</f>
        <v>104.53045</v>
      </c>
      <c r="AG48" s="245" t="n">
        <f aca="false">AG47*$D$2</f>
        <v>79.93505</v>
      </c>
      <c r="AH48" s="123" t="n">
        <f aca="false">AH47*$D$2</f>
        <v>2189.58565</v>
      </c>
      <c r="AI48" s="123"/>
      <c r="AJ48" s="123" t="n">
        <f aca="false">AJ47*$D$2</f>
        <v>0</v>
      </c>
      <c r="AK48" s="123" t="n">
        <f aca="false">AK47*$D$2</f>
        <v>9338.7087495</v>
      </c>
      <c r="AL48" s="123" t="n">
        <f aca="false">AL47*$D$2</f>
        <v>1978.9450155</v>
      </c>
      <c r="AM48" s="240" t="n">
        <f aca="false">AM47*$D$2</f>
        <v>11317.653765</v>
      </c>
      <c r="AN48" s="241" t="n">
        <f aca="false">AN47*$D$2</f>
        <v>0</v>
      </c>
      <c r="AO48" s="123" t="n">
        <f aca="false">AO47*$D$2</f>
        <v>0</v>
      </c>
      <c r="AP48" s="156"/>
      <c r="AQ48" s="186" t="n">
        <f aca="false">SUM(AQ15:AQ45)</f>
        <v>28.7516496142517</v>
      </c>
      <c r="AR48" s="241" t="n">
        <f aca="false">AR47*$D$2</f>
        <v>0</v>
      </c>
      <c r="AS48" s="155" t="n">
        <f aca="false">AS47*$D$2</f>
        <v>0</v>
      </c>
      <c r="AT48" s="241" t="n">
        <f aca="false">AT47*$D$2</f>
        <v>221.656125</v>
      </c>
      <c r="AU48" s="58"/>
      <c r="AV48" s="241" t="n">
        <f aca="false">AV47*$D$2</f>
        <v>0</v>
      </c>
      <c r="AW48" s="355"/>
      <c r="AX48" s="241" t="n">
        <f aca="false">MAX(AX15:AX45)</f>
        <v>76</v>
      </c>
      <c r="AY48" s="241" t="n">
        <f aca="false">MAX(AY15:AY45)</f>
        <v>49</v>
      </c>
      <c r="AZ48" s="250" t="s">
        <v>107</v>
      </c>
      <c r="BA48" s="375" t="n">
        <f aca="false">BA47*$D$2</f>
        <v>339.451187439241</v>
      </c>
      <c r="BB48" s="176" t="n">
        <f aca="false">BB47*$D$2</f>
        <v>320.708148</v>
      </c>
      <c r="BC48" s="283"/>
      <c r="BE48" s="209" t="s">
        <v>106</v>
      </c>
      <c r="BF48" s="155"/>
      <c r="BH48" s="123" t="n">
        <f aca="false">BH47*$D$2</f>
        <v>1537.2125</v>
      </c>
      <c r="BI48" s="123" t="n">
        <f aca="false">BI47*$D$2</f>
        <v>652.37315</v>
      </c>
    </row>
    <row r="49" customFormat="false" ht="3" hidden="false" customHeight="true" outlineLevel="0" collapsed="false">
      <c r="A49" s="261"/>
      <c r="B49" s="286"/>
      <c r="C49" s="263"/>
      <c r="D49" s="263"/>
      <c r="E49" s="263"/>
      <c r="F49" s="289"/>
      <c r="G49" s="263"/>
      <c r="H49" s="274"/>
      <c r="I49" s="263"/>
      <c r="J49" s="263"/>
      <c r="K49" s="263"/>
      <c r="L49" s="263"/>
      <c r="M49" s="290"/>
      <c r="N49" s="263"/>
      <c r="O49" s="263"/>
      <c r="P49" s="268"/>
      <c r="Q49" s="263"/>
      <c r="R49" s="263"/>
      <c r="S49" s="263"/>
      <c r="T49" s="263"/>
      <c r="U49" s="269"/>
      <c r="V49" s="263"/>
      <c r="W49" s="263"/>
      <c r="X49" s="263"/>
      <c r="Y49" s="263"/>
      <c r="Z49" s="263"/>
      <c r="AA49" s="263"/>
      <c r="AB49" s="263"/>
      <c r="AC49" s="263"/>
      <c r="AD49" s="563"/>
      <c r="AE49" s="263"/>
      <c r="AF49" s="290"/>
      <c r="AG49" s="291"/>
      <c r="AH49" s="263"/>
      <c r="AI49" s="264"/>
      <c r="AJ49" s="263"/>
      <c r="AK49" s="263"/>
      <c r="AL49" s="263"/>
      <c r="AM49" s="289"/>
      <c r="AN49" s="263"/>
      <c r="AO49" s="271"/>
      <c r="AP49" s="271"/>
      <c r="AQ49" s="268"/>
      <c r="AR49" s="268"/>
      <c r="AS49" s="268"/>
      <c r="AT49" s="274"/>
      <c r="AU49" s="274"/>
      <c r="AV49" s="274"/>
      <c r="AW49" s="293"/>
      <c r="AX49" s="263"/>
      <c r="AY49" s="263"/>
      <c r="AZ49" s="263"/>
      <c r="BA49" s="263"/>
      <c r="BB49" s="263"/>
      <c r="BC49" s="263"/>
      <c r="BE49" s="261"/>
      <c r="BF49" s="264"/>
      <c r="BH49" s="263"/>
      <c r="BI49" s="263"/>
    </row>
    <row r="50" customFormat="false" ht="12.95" hidden="false" customHeight="true" outlineLevel="0" collapsed="false">
      <c r="A50" s="209" t="s">
        <v>108</v>
      </c>
      <c r="B50" s="239"/>
      <c r="C50" s="123"/>
      <c r="D50" s="123"/>
      <c r="E50" s="123"/>
      <c r="F50" s="240" t="n">
        <f aca="false">F12+F47</f>
        <v>15840.6856566675</v>
      </c>
      <c r="G50" s="123" t="n">
        <f aca="false">G12+G47</f>
        <v>126686.5</v>
      </c>
      <c r="H50" s="241" t="n">
        <f aca="false">H12+H47</f>
        <v>4369.598</v>
      </c>
      <c r="I50" s="123" t="n">
        <f aca="false">I12+I47</f>
        <v>131056.098</v>
      </c>
      <c r="J50" s="123" t="n">
        <f aca="false">J12+J47</f>
        <v>6735.07909150491</v>
      </c>
      <c r="K50" s="123" t="n">
        <f aca="false">K12+K47</f>
        <v>137791.167091505</v>
      </c>
      <c r="L50" s="123" t="n">
        <f aca="false">L12+L47</f>
        <v>2514.78165666751</v>
      </c>
      <c r="M50" s="242" t="n">
        <f aca="false">M12+M47</f>
        <v>41323.27</v>
      </c>
      <c r="N50" s="123" t="n">
        <f aca="false">N12+N47</f>
        <v>13.759</v>
      </c>
      <c r="O50" s="123" t="n">
        <f aca="false">O12+O47</f>
        <v>13187.46735</v>
      </c>
      <c r="P50" s="186" t="n">
        <f aca="false">P12+P47</f>
        <v>7.06</v>
      </c>
      <c r="Q50" s="123"/>
      <c r="R50" s="123"/>
      <c r="S50" s="123"/>
      <c r="T50" s="123"/>
      <c r="U50" s="243"/>
      <c r="V50" s="123" t="n">
        <f aca="false">V12+V47</f>
        <v>15918.27</v>
      </c>
      <c r="W50" s="123" t="n">
        <f aca="false">W12+W47</f>
        <v>10348.337</v>
      </c>
      <c r="X50" s="123" t="n">
        <f aca="false">X12+X47</f>
        <v>52634.6373490152</v>
      </c>
      <c r="Y50" s="123" t="n">
        <f aca="false">Y12+Y47</f>
        <v>52601.8669935829</v>
      </c>
      <c r="Z50" s="93"/>
      <c r="AA50" s="123"/>
      <c r="AB50" s="123"/>
      <c r="AC50" s="123"/>
      <c r="AE50" s="123" t="n">
        <f aca="false">AE12+AE47</f>
        <v>25361.273</v>
      </c>
      <c r="AF50" s="242" t="n">
        <f aca="false">AF12+AF47</f>
        <v>363.8</v>
      </c>
      <c r="AG50" s="245" t="n">
        <f aca="false">AG12+AG47</f>
        <v>278.2</v>
      </c>
      <c r="AH50" s="123"/>
      <c r="AI50" s="123"/>
      <c r="AJ50" s="123" t="n">
        <f aca="false">AJ12+AJ47</f>
        <v>0</v>
      </c>
      <c r="AK50" s="123" t="n">
        <f aca="false">AK12+AK47</f>
        <v>117730.184</v>
      </c>
      <c r="AL50" s="123" t="n">
        <f aca="false">AL12+AL47</f>
        <v>4220.29743483741</v>
      </c>
      <c r="AM50" s="240" t="n">
        <f aca="false">AM12+AM47</f>
        <v>121950.481434837</v>
      </c>
      <c r="AN50" s="241"/>
      <c r="AO50" s="156"/>
      <c r="AP50" s="156"/>
      <c r="AQ50" s="186"/>
      <c r="AR50" s="241" t="n">
        <f aca="false">AR12+AR47</f>
        <v>0</v>
      </c>
      <c r="AS50" s="156" t="n">
        <f aca="false">AS47</f>
        <v>0</v>
      </c>
      <c r="AT50" s="241" t="n">
        <f aca="false">AT12+AT47</f>
        <v>768.54</v>
      </c>
      <c r="AU50" s="241" t="n">
        <f aca="false">AU12+AU47</f>
        <v>172.906</v>
      </c>
      <c r="AV50" s="241" t="n">
        <f aca="false">AV13+AV47</f>
        <v>0</v>
      </c>
      <c r="AW50" s="355"/>
      <c r="AX50" s="241" t="n">
        <f aca="false">MIN(AX15:AX45)</f>
        <v>59</v>
      </c>
      <c r="AY50" s="241" t="n">
        <f aca="false">MIN(AY15:AY45)</f>
        <v>30</v>
      </c>
      <c r="AZ50" s="250" t="s">
        <v>109</v>
      </c>
      <c r="BA50" s="375" t="n">
        <f aca="false">BA12+BA47</f>
        <v>1611.57180098479</v>
      </c>
      <c r="BB50" s="176" t="n">
        <f aca="false">BB12+BB47</f>
        <v>6875.082</v>
      </c>
      <c r="BC50" s="283"/>
      <c r="BE50" s="209" t="s">
        <v>108</v>
      </c>
      <c r="BF50" s="155"/>
      <c r="BH50" s="123"/>
      <c r="BI50" s="123"/>
    </row>
    <row r="51" customFormat="false" ht="12.95" hidden="false" customHeight="true" outlineLevel="0" collapsed="false">
      <c r="A51" s="209" t="s">
        <v>110</v>
      </c>
      <c r="B51" s="239"/>
      <c r="C51" s="123"/>
      <c r="D51" s="123"/>
      <c r="E51" s="123"/>
      <c r="F51" s="240" t="n">
        <f aca="false">F50*$D$2</f>
        <v>31420</v>
      </c>
      <c r="G51" s="123" t="n">
        <f aca="false">G50*$D$2</f>
        <v>251282.67275</v>
      </c>
      <c r="H51" s="241" t="n">
        <f aca="false">H50*$D$2</f>
        <v>8667.097633</v>
      </c>
      <c r="I51" s="123" t="n">
        <f aca="false">I50*$D$2</f>
        <v>259949.770383</v>
      </c>
      <c r="J51" s="123" t="n">
        <f aca="false">J50*$D$2</f>
        <v>13359.029378</v>
      </c>
      <c r="K51" s="123" t="n">
        <f aca="false">K50*$D$2</f>
        <v>273308.779926</v>
      </c>
      <c r="L51" s="123" t="n">
        <f aca="false">L50*$D$2</f>
        <v>4988.069416</v>
      </c>
      <c r="M51" s="242" t="n">
        <f aca="false">M50*$D$2</f>
        <v>81964.706045</v>
      </c>
      <c r="N51" s="123" t="n">
        <f aca="false">N50*$D$2</f>
        <v>27.2909765</v>
      </c>
      <c r="O51" s="123" t="n">
        <f aca="false">O50*$D$2</f>
        <v>26157.341488725</v>
      </c>
      <c r="P51" s="186" t="n">
        <f aca="false">P50*$D$2</f>
        <v>14.00351</v>
      </c>
      <c r="Q51" s="123"/>
      <c r="R51" s="123"/>
      <c r="S51" s="123"/>
      <c r="T51" s="123"/>
      <c r="U51" s="243"/>
      <c r="V51" s="123" t="n">
        <f aca="false">V50*$D$2</f>
        <v>31573.888545</v>
      </c>
      <c r="W51" s="123" t="n">
        <f aca="false">W50*$D$2</f>
        <v>20525.9264395</v>
      </c>
      <c r="X51" s="123" t="n">
        <f aca="false">X50*$D$2</f>
        <v>104400.803181772</v>
      </c>
      <c r="Y51" s="123" t="n">
        <f aca="false">Y50*$D$2</f>
        <v>104335.803181772</v>
      </c>
      <c r="Z51" s="93"/>
      <c r="AA51" s="123"/>
      <c r="AB51" s="123"/>
      <c r="AC51" s="123"/>
      <c r="AE51" s="123" t="n">
        <f aca="false">AE50*$D$2</f>
        <v>50304.0849955</v>
      </c>
      <c r="AF51" s="242" t="n">
        <f aca="false">AF50*$D$2</f>
        <v>721.5973</v>
      </c>
      <c r="AG51" s="245" t="n">
        <f aca="false">AG50*$D$2</f>
        <v>551.8097</v>
      </c>
      <c r="AH51" s="123"/>
      <c r="AI51" s="123"/>
      <c r="AJ51" s="123" t="n">
        <f aca="false">AJ50*$D$2</f>
        <v>0</v>
      </c>
      <c r="AK51" s="123" t="n">
        <f aca="false">AK50*$D$2</f>
        <v>233517.819964</v>
      </c>
      <c r="AL51" s="123" t="n">
        <f aca="false">AL50*$D$2</f>
        <v>8370.959962</v>
      </c>
      <c r="AM51" s="123" t="n">
        <f aca="false">AM50*$D$2</f>
        <v>241888.779926</v>
      </c>
      <c r="AN51" s="303"/>
      <c r="AO51" s="156"/>
      <c r="AP51" s="156"/>
      <c r="AQ51" s="186" t="n">
        <f aca="false">AQ12+AQ48</f>
        <v>1206.78352980062</v>
      </c>
      <c r="AR51" s="241" t="n">
        <f aca="false">AR50*$D$2</f>
        <v>0</v>
      </c>
      <c r="AS51" s="156" t="n">
        <f aca="false">AS50*$D$2</f>
        <v>0</v>
      </c>
      <c r="AT51" s="241" t="n">
        <f aca="false">AT50*$D$2</f>
        <v>1524.39909</v>
      </c>
      <c r="AU51" s="241" t="n">
        <f aca="false">AU50*$D$2</f>
        <v>342.959051</v>
      </c>
      <c r="AV51" s="241" t="n">
        <f aca="false">AV50*$D$2</f>
        <v>0</v>
      </c>
      <c r="AW51" s="355"/>
      <c r="AX51" s="241"/>
      <c r="AY51" s="241"/>
      <c r="AZ51" s="283"/>
      <c r="BA51" s="375" t="n">
        <f aca="false">BA50*$D$2</f>
        <v>3196.55266725333</v>
      </c>
      <c r="BB51" s="176" t="n">
        <f aca="false">BB50*$D$2</f>
        <v>13636.725147</v>
      </c>
      <c r="BC51" s="283"/>
      <c r="BE51" s="209" t="s">
        <v>110</v>
      </c>
      <c r="BF51" s="155"/>
      <c r="BH51" s="123"/>
      <c r="BI51" s="123"/>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269"/>
      <c r="V52" s="263"/>
      <c r="W52" s="263"/>
      <c r="X52" s="263"/>
      <c r="Y52" s="263"/>
      <c r="Z52" s="263"/>
      <c r="AA52" s="263"/>
      <c r="AB52" s="263"/>
      <c r="AC52" s="263"/>
      <c r="AD52" s="263"/>
      <c r="AE52" s="263"/>
      <c r="AF52" s="290"/>
      <c r="AG52" s="291"/>
      <c r="AH52" s="263"/>
      <c r="AI52" s="263"/>
      <c r="AJ52" s="263"/>
      <c r="AK52" s="263"/>
      <c r="AL52" s="263"/>
      <c r="AM52" s="263"/>
      <c r="AN52" s="556"/>
      <c r="AO52" s="271"/>
      <c r="AP52" s="271"/>
      <c r="AQ52" s="268"/>
      <c r="AR52" s="268"/>
      <c r="AS52" s="268"/>
      <c r="AT52" s="274"/>
      <c r="AU52" s="274"/>
      <c r="AV52" s="274"/>
      <c r="AW52" s="556"/>
      <c r="AX52" s="268"/>
      <c r="AY52" s="268"/>
      <c r="AZ52" s="268"/>
      <c r="BA52" s="268"/>
      <c r="BB52" s="294"/>
      <c r="BC52" s="268"/>
      <c r="BE52" s="261"/>
      <c r="BF52" s="264"/>
      <c r="BH52" s="263"/>
      <c r="BI52" s="263"/>
    </row>
    <row r="53" customFormat="false" ht="12.95" hidden="false" customHeight="true" outlineLevel="0" collapsed="false">
      <c r="A53" s="209" t="s">
        <v>111</v>
      </c>
      <c r="B53" s="239"/>
      <c r="C53" s="123"/>
      <c r="D53" s="123"/>
      <c r="E53" s="123"/>
      <c r="F53" s="240" t="n">
        <f aca="false">F13+F47</f>
        <v>26240.9881522561</v>
      </c>
      <c r="G53" s="123" t="n">
        <f aca="false">G13+G47</f>
        <v>142946.379899924</v>
      </c>
      <c r="H53" s="241" t="n">
        <f aca="false">H13+H47</f>
        <v>4658.297</v>
      </c>
      <c r="I53" s="123" t="n">
        <f aca="false">I13+I47</f>
        <v>147604.676899924</v>
      </c>
      <c r="J53" s="123" t="n">
        <f aca="false">J13+J47</f>
        <v>10116.298322662</v>
      </c>
      <c r="K53" s="123" t="n">
        <f aca="false">K13+K47</f>
        <v>157720.965222586</v>
      </c>
      <c r="L53" s="123" t="n">
        <f aca="false">L13+L47</f>
        <v>5578.00025233174</v>
      </c>
      <c r="M53" s="242" t="n">
        <f aca="false">M13+M47</f>
        <v>42078.27</v>
      </c>
      <c r="N53" s="123" t="n">
        <f aca="false">N13+N47</f>
        <v>13.759</v>
      </c>
      <c r="O53" s="123" t="n">
        <f aca="false">O13+O47</f>
        <v>13189.2009</v>
      </c>
      <c r="P53" s="186"/>
      <c r="Q53" s="123" t="n">
        <f aca="false">Q13+Q47</f>
        <v>752.568430661625</v>
      </c>
      <c r="R53" s="241" t="n">
        <f aca="false">R13+R47</f>
        <v>987.00139888</v>
      </c>
      <c r="S53" s="123" t="n">
        <f aca="false">S13+S47</f>
        <v>122.60516048</v>
      </c>
      <c r="T53" s="123" t="n">
        <f aca="false">T13+T47</f>
        <v>302.92144064</v>
      </c>
      <c r="U53" s="352" t="n">
        <f aca="false">U13+U47</f>
        <v>-15.4916088537026</v>
      </c>
      <c r="V53" s="123" t="n">
        <f aca="false">V13+V47</f>
        <v>19133.08</v>
      </c>
      <c r="W53" s="123" t="n">
        <f aca="false">W13+W47</f>
        <v>10378.422</v>
      </c>
      <c r="X53" s="123" t="n">
        <f aca="false">X13+X47</f>
        <v>56033.4671781921</v>
      </c>
      <c r="Y53" s="123" t="n">
        <f aca="false">Y13+Y47</f>
        <v>55750.5568227598</v>
      </c>
      <c r="Z53" s="123"/>
      <c r="AA53" s="123"/>
      <c r="AB53" s="123"/>
      <c r="AC53" s="123"/>
      <c r="AD53" s="123"/>
      <c r="AE53" s="123"/>
      <c r="AF53" s="242" t="n">
        <f aca="false">AF13+AF47</f>
        <v>363.8</v>
      </c>
      <c r="AG53" s="245" t="n">
        <f aca="false">AG13+AG47</f>
        <v>278.2</v>
      </c>
      <c r="AH53" s="123" t="n">
        <f aca="false">AH13+AH47</f>
        <v>30098.5</v>
      </c>
      <c r="AI53" s="123" t="n">
        <f aca="false">AI45</f>
        <v>5266.35787748928</v>
      </c>
      <c r="AJ53" s="123" t="n">
        <f aca="false">AJ13+AJ47</f>
        <v>14122</v>
      </c>
      <c r="AK53" s="123" t="n">
        <f aca="false">AK13+AK47</f>
        <v>126941.679</v>
      </c>
      <c r="AL53" s="123" t="n">
        <f aca="false">AL13+AL47</f>
        <v>4538.29807033022</v>
      </c>
      <c r="AM53" s="561" t="n">
        <f aca="false">AM13+AM47</f>
        <v>131479.97707033</v>
      </c>
      <c r="AN53" s="123" t="n">
        <f aca="false">AN13+AN47</f>
        <v>3115.79</v>
      </c>
      <c r="AO53" s="156" t="n">
        <f aca="false">AO13+AO47</f>
        <v>282.910355432317</v>
      </c>
      <c r="AP53" s="156"/>
      <c r="AQ53" s="186"/>
      <c r="AR53" s="186"/>
      <c r="AS53" s="186"/>
      <c r="AT53" s="241"/>
      <c r="AU53" s="241"/>
      <c r="AV53" s="206"/>
      <c r="AW53" s="284" t="n">
        <f aca="false">AW13+AW47</f>
        <v>17.934885361552</v>
      </c>
      <c r="AX53" s="241"/>
      <c r="AY53" s="241"/>
      <c r="AZ53" s="283"/>
      <c r="BA53" s="375" t="n">
        <f aca="false">BA13+BA47</f>
        <v>2166.52382180792</v>
      </c>
      <c r="BB53" s="176" t="n">
        <f aca="false">BB13+BB47</f>
        <v>6959.54</v>
      </c>
      <c r="BC53" s="283"/>
      <c r="BE53" s="209" t="s">
        <v>111</v>
      </c>
      <c r="BF53" s="155"/>
      <c r="BH53" s="123" t="n">
        <f aca="false">BH13+BH47</f>
        <v>775</v>
      </c>
      <c r="BI53" s="123" t="n">
        <f aca="false">BI13+BI47</f>
        <v>328.9</v>
      </c>
    </row>
    <row r="54" customFormat="false" ht="12.95" hidden="false" customHeight="true" outlineLevel="0" collapsed="false">
      <c r="A54" s="209" t="s">
        <v>112</v>
      </c>
      <c r="B54" s="239"/>
      <c r="C54" s="123"/>
      <c r="D54" s="123" t="n">
        <f aca="false">D13+D48</f>
        <v>51913</v>
      </c>
      <c r="E54" s="123" t="n">
        <f aca="false">E45</f>
        <v>143081</v>
      </c>
      <c r="F54" s="240" t="n">
        <f aca="false">F53*$D$2</f>
        <v>52049</v>
      </c>
      <c r="G54" s="123" t="n">
        <f aca="false">G53*$D$2</f>
        <v>283534.1445315</v>
      </c>
      <c r="H54" s="241" t="n">
        <f aca="false">H53*$D$2</f>
        <v>9239.7320995</v>
      </c>
      <c r="I54" s="123" t="n">
        <f aca="false">I53*$D$2</f>
        <v>292773.876631</v>
      </c>
      <c r="J54" s="123" t="n">
        <f aca="false">J53*$D$2</f>
        <v>20065.677723</v>
      </c>
      <c r="K54" s="123" t="n">
        <f aca="false">K53*$D$2</f>
        <v>312839.534519</v>
      </c>
      <c r="L54" s="123" t="n">
        <f aca="false">L53*$D$2</f>
        <v>11063.9635005</v>
      </c>
      <c r="M54" s="242" t="n">
        <f aca="false">M53*$D$2</f>
        <v>83462.248545</v>
      </c>
      <c r="N54" s="123" t="n">
        <f aca="false">N53*$D$2</f>
        <v>27.2909765</v>
      </c>
      <c r="O54" s="123" t="n">
        <f aca="false">O53*$D$2</f>
        <v>26160.77998515</v>
      </c>
      <c r="P54" s="186"/>
      <c r="Q54" s="241" t="n">
        <f aca="false">Q53*$D$2</f>
        <v>1492.71948221733</v>
      </c>
      <c r="R54" s="241" t="n">
        <f aca="false">R53*$D$2</f>
        <v>1957.71727467848</v>
      </c>
      <c r="S54" s="255" t="n">
        <f aca="false">S53*$D$2</f>
        <v>243.18733581208</v>
      </c>
      <c r="T54" s="255" t="n">
        <f aca="false">T53*$D$2</f>
        <v>600.84467750944</v>
      </c>
      <c r="U54" s="469" t="n">
        <f aca="false">U53*$D$2</f>
        <v>-30.7276061613192</v>
      </c>
      <c r="V54" s="123" t="n">
        <f aca="false">V53*$D$2</f>
        <v>37950.46418</v>
      </c>
      <c r="W54" s="123" t="n">
        <f aca="false">W53*$D$2</f>
        <v>20585.600037</v>
      </c>
      <c r="X54" s="123" t="n">
        <f aca="false">X53*$D$2</f>
        <v>111142.382147944</v>
      </c>
      <c r="Y54" s="123" t="n">
        <f aca="false">Y53*$D$2</f>
        <v>110581.229457944</v>
      </c>
      <c r="Z54" s="123"/>
      <c r="AA54" s="123"/>
      <c r="AB54" s="123"/>
      <c r="AC54" s="123"/>
      <c r="AD54" s="123"/>
      <c r="AE54" s="123"/>
      <c r="AF54" s="296" t="n">
        <f aca="false">AF53*$D$2</f>
        <v>721.5973</v>
      </c>
      <c r="AG54" s="297" t="n">
        <f aca="false">AG53*$D$2</f>
        <v>551.8097</v>
      </c>
      <c r="AH54" s="123" t="n">
        <f aca="false">AH53*$D$2</f>
        <v>59700.37475</v>
      </c>
      <c r="AI54" s="123" t="n">
        <f aca="false">AI53*$D$2</f>
        <v>10445.82085</v>
      </c>
      <c r="AJ54" s="123" t="n">
        <f aca="false">AJ53*$D$2</f>
        <v>28010.987</v>
      </c>
      <c r="AK54" s="123" t="n">
        <f aca="false">AK53*$D$2</f>
        <v>251788.8202965</v>
      </c>
      <c r="AL54" s="123" t="n">
        <f aca="false">AL53*$D$2</f>
        <v>9001.7142225</v>
      </c>
      <c r="AM54" s="240" t="n">
        <f aca="false">AM53*$D$2</f>
        <v>260790.534519</v>
      </c>
      <c r="AN54" s="123" t="n">
        <f aca="false">AN53*$D$2</f>
        <v>6180.169465</v>
      </c>
      <c r="AO54" s="156" t="n">
        <f aca="false">AO53*$D$2</f>
        <v>561.15269</v>
      </c>
      <c r="AP54" s="156"/>
      <c r="AQ54" s="186" t="n">
        <f aca="false">AQ13+AQ48</f>
        <v>1206.78352980062</v>
      </c>
      <c r="AR54" s="186"/>
      <c r="AS54" s="186"/>
      <c r="AT54" s="241"/>
      <c r="AU54" s="241"/>
      <c r="AV54" s="206"/>
      <c r="AW54" s="355"/>
      <c r="AX54" s="241"/>
      <c r="AY54" s="241"/>
      <c r="AZ54" s="283"/>
      <c r="BA54" s="375" t="n">
        <f aca="false">BA53*$D$2</f>
        <v>4297.30000055601</v>
      </c>
      <c r="BB54" s="176" t="n">
        <f aca="false">BB53*$D$2</f>
        <v>13804.24759</v>
      </c>
      <c r="BC54" s="283"/>
      <c r="BE54" s="209" t="s">
        <v>112</v>
      </c>
      <c r="BF54" s="155"/>
      <c r="BH54" s="123" t="n">
        <f aca="false">BH53*$D$2</f>
        <v>1537.2125</v>
      </c>
      <c r="BI54" s="123" t="n">
        <f aca="false">BI53*$D$2</f>
        <v>652.37315</v>
      </c>
    </row>
    <row r="55" customFormat="false" ht="3" hidden="false" customHeight="true" outlineLevel="0" collapsed="false">
      <c r="A55" s="261"/>
      <c r="B55" s="562"/>
      <c r="C55" s="563"/>
      <c r="D55" s="261"/>
      <c r="E55" s="563"/>
      <c r="F55" s="564"/>
      <c r="G55" s="261"/>
      <c r="H55" s="668"/>
      <c r="I55" s="261"/>
      <c r="J55" s="261"/>
      <c r="K55" s="261"/>
      <c r="L55" s="261"/>
      <c r="M55" s="566"/>
      <c r="N55" s="261"/>
      <c r="O55" s="261"/>
      <c r="P55" s="567"/>
      <c r="Q55" s="261"/>
      <c r="R55" s="669"/>
      <c r="S55" s="261"/>
      <c r="T55" s="261"/>
      <c r="U55" s="568"/>
      <c r="V55" s="261"/>
      <c r="W55" s="261"/>
      <c r="X55" s="261"/>
      <c r="Y55" s="261"/>
      <c r="Z55" s="563"/>
      <c r="AA55" s="261"/>
      <c r="AB55" s="563"/>
      <c r="AC55" s="563"/>
      <c r="AD55" s="563"/>
      <c r="AE55" s="261"/>
      <c r="AF55" s="267"/>
      <c r="AG55" s="272"/>
      <c r="AH55" s="261"/>
      <c r="AI55" s="563"/>
      <c r="AJ55" s="563"/>
      <c r="AK55" s="261"/>
      <c r="AL55" s="261"/>
      <c r="AM55" s="564"/>
      <c r="AN55" s="261"/>
      <c r="AO55" s="565"/>
      <c r="AP55" s="565"/>
      <c r="AQ55" s="567"/>
      <c r="AR55" s="567"/>
      <c r="AS55" s="567"/>
      <c r="AT55" s="261"/>
      <c r="AU55" s="261"/>
      <c r="AV55" s="261"/>
      <c r="AW55" s="562"/>
      <c r="AX55" s="261"/>
      <c r="AY55" s="261"/>
      <c r="AZ55" s="261"/>
      <c r="BA55" s="261"/>
      <c r="BB55" s="261"/>
      <c r="BC55" s="261"/>
      <c r="BE55" s="261"/>
      <c r="BF55" s="261"/>
      <c r="BH55" s="261"/>
      <c r="BI55" s="261"/>
    </row>
    <row r="56" customFormat="false" ht="11.1" hidden="false" customHeight="true" outlineLevel="0" collapsed="false">
      <c r="G56" s="210"/>
      <c r="H56" s="670"/>
      <c r="I56" s="201"/>
      <c r="N56" s="2"/>
      <c r="Q56" s="120"/>
      <c r="W56" s="58"/>
      <c r="X56" s="1"/>
      <c r="Y56" s="1"/>
      <c r="Z56" s="176"/>
      <c r="AA56" s="1"/>
      <c r="AB56" s="176"/>
      <c r="AE56" s="120"/>
      <c r="AF56" s="120"/>
      <c r="AG56" s="120"/>
      <c r="AH56" s="176"/>
      <c r="AK56" s="204"/>
      <c r="AL56" s="204"/>
      <c r="AM56" s="425"/>
      <c r="AQ56" s="80"/>
      <c r="AR56" s="80"/>
      <c r="AS56" s="80"/>
      <c r="AT56" s="361"/>
      <c r="AW56" s="552"/>
      <c r="AX56" s="319"/>
      <c r="AY56" s="451"/>
      <c r="BH56" s="176"/>
      <c r="BI56" s="176"/>
    </row>
    <row r="57" customFormat="false" ht="11.1" hidden="false" customHeight="true" outlineLevel="0" collapsed="false">
      <c r="A57" s="209"/>
      <c r="B57" s="623"/>
      <c r="C57" s="2"/>
      <c r="D57" s="1"/>
      <c r="E57" s="423"/>
      <c r="F57" s="212"/>
      <c r="G57" s="1"/>
      <c r="H57" s="671"/>
      <c r="I57" s="12"/>
      <c r="J57" s="11"/>
      <c r="K57" s="201"/>
      <c r="L57" s="11"/>
      <c r="M57" s="11"/>
      <c r="N57" s="2"/>
      <c r="O57" s="2"/>
      <c r="P57" s="672"/>
      <c r="Q57" s="529"/>
      <c r="R57" s="108"/>
      <c r="S57" s="108"/>
      <c r="T57" s="108"/>
      <c r="U57" s="108"/>
      <c r="V57" s="27"/>
      <c r="W57" s="150"/>
      <c r="X57" s="526"/>
      <c r="Y57" s="526"/>
      <c r="Z57" s="176"/>
      <c r="AA57" s="526"/>
      <c r="AB57" s="176"/>
      <c r="AC57" s="97"/>
      <c r="AD57" s="97"/>
      <c r="AE57" s="2"/>
      <c r="AF57" s="2"/>
      <c r="AG57" s="2"/>
      <c r="AH57" s="11"/>
      <c r="AI57" s="2"/>
      <c r="AJ57" s="121"/>
      <c r="AK57" s="121"/>
      <c r="AL57" s="212"/>
      <c r="AM57" s="425"/>
      <c r="AN57" s="624"/>
      <c r="AO57" s="673"/>
      <c r="AT57" s="447"/>
      <c r="AW57" s="319"/>
      <c r="AX57" s="319"/>
      <c r="AY57" s="319"/>
      <c r="BE57" s="209"/>
      <c r="BF57" s="623"/>
      <c r="BH57" s="11"/>
      <c r="BI57" s="11"/>
    </row>
    <row r="58" customFormat="false" ht="11.1" hidden="false" customHeight="true" outlineLevel="0" collapsed="false">
      <c r="B58" s="176"/>
      <c r="E58" s="423"/>
      <c r="F58" s="254"/>
      <c r="G58" s="1"/>
      <c r="H58" s="671"/>
      <c r="I58" s="1"/>
      <c r="J58" s="1"/>
      <c r="K58" s="424"/>
      <c r="L58" s="4"/>
      <c r="M58" s="4"/>
      <c r="N58" s="4"/>
      <c r="O58" s="176"/>
      <c r="P58" s="425"/>
      <c r="Q58" s="8"/>
      <c r="R58" s="108"/>
      <c r="S58" s="108"/>
      <c r="T58" s="108"/>
      <c r="U58" s="108"/>
      <c r="V58" s="27"/>
      <c r="W58" s="150"/>
      <c r="X58" s="103"/>
      <c r="Y58" s="103"/>
      <c r="Z58" s="176"/>
      <c r="AA58" s="103"/>
      <c r="AB58" s="176"/>
      <c r="AE58" s="176"/>
      <c r="AF58" s="176"/>
      <c r="AG58" s="176"/>
      <c r="AH58" s="2"/>
      <c r="AI58" s="27"/>
      <c r="AJ58" s="530"/>
      <c r="AK58" s="530"/>
      <c r="AL58" s="204"/>
      <c r="AM58" s="425"/>
      <c r="AT58" s="447"/>
      <c r="AW58" s="319"/>
      <c r="AX58" s="319"/>
      <c r="AY58" s="451"/>
      <c r="BF58" s="176"/>
      <c r="BH58" s="2"/>
      <c r="BI58" s="2"/>
    </row>
    <row r="59" customFormat="false" ht="11.1" hidden="false" customHeight="true" outlineLevel="0" collapsed="false">
      <c r="D59" s="176"/>
      <c r="E59" s="423"/>
      <c r="F59" s="1"/>
      <c r="G59" s="1"/>
      <c r="H59" s="97"/>
      <c r="I59" s="1"/>
      <c r="J59" s="1"/>
      <c r="K59" s="424"/>
      <c r="L59" s="206"/>
      <c r="M59" s="4"/>
      <c r="N59" s="4"/>
      <c r="O59" s="206"/>
      <c r="P59" s="425"/>
      <c r="Q59" s="8"/>
      <c r="R59" s="108"/>
      <c r="S59" s="108"/>
      <c r="T59" s="108"/>
      <c r="U59" s="108"/>
      <c r="V59" s="27"/>
      <c r="W59" s="27"/>
      <c r="X59" s="103"/>
      <c r="Y59" s="103"/>
      <c r="Z59" s="206"/>
      <c r="AA59" s="103"/>
      <c r="AB59" s="206"/>
      <c r="AC59" s="206"/>
      <c r="AD59" s="206"/>
      <c r="AE59" s="176"/>
      <c r="AF59" s="176"/>
      <c r="AG59" s="176"/>
      <c r="AH59" s="2"/>
      <c r="AI59" s="176"/>
      <c r="AJ59" s="254"/>
      <c r="AK59" s="254"/>
      <c r="AL59" s="204"/>
      <c r="AM59" s="674"/>
      <c r="AT59" s="447"/>
      <c r="AW59" s="319"/>
      <c r="AX59" s="319"/>
      <c r="AY59" s="451"/>
      <c r="BH59" s="2"/>
      <c r="BI59" s="2"/>
    </row>
    <row r="60" customFormat="false" ht="11.1" hidden="false" customHeight="true" outlineLevel="0" collapsed="false">
      <c r="G60" s="302"/>
      <c r="H60" s="670"/>
      <c r="Q60" s="8"/>
      <c r="R60" s="8"/>
      <c r="S60" s="8"/>
      <c r="T60" s="8"/>
      <c r="W60" s="58"/>
      <c r="X60" s="1"/>
      <c r="Y60" s="1"/>
      <c r="Z60" s="176"/>
      <c r="AA60" s="1"/>
      <c r="AB60" s="176"/>
      <c r="AH60" s="176"/>
      <c r="AK60" s="204"/>
      <c r="AL60" s="204"/>
      <c r="AM60" s="425"/>
      <c r="AT60" s="447"/>
      <c r="AW60" s="552"/>
      <c r="AX60" s="319"/>
      <c r="AY60" s="451"/>
      <c r="BH60" s="176"/>
      <c r="BI60" s="176"/>
    </row>
    <row r="61" customFormat="false" ht="11.1" hidden="false" customHeight="true" outlineLevel="0" collapsed="false">
      <c r="H61" s="670"/>
      <c r="Q61" s="8"/>
      <c r="R61" s="8"/>
      <c r="S61" s="8"/>
      <c r="T61" s="8"/>
      <c r="W61" s="58"/>
      <c r="X61" s="176"/>
      <c r="Y61" s="176"/>
      <c r="Z61" s="176"/>
      <c r="AA61" s="176"/>
      <c r="AB61" s="176"/>
      <c r="AH61" s="176"/>
      <c r="AK61" s="204"/>
      <c r="AL61" s="204"/>
      <c r="AM61" s="425"/>
      <c r="AT61" s="447"/>
      <c r="AW61" s="552"/>
      <c r="AX61" s="319"/>
      <c r="AY61" s="451"/>
      <c r="BH61" s="176"/>
      <c r="BI61" s="176"/>
    </row>
    <row r="62" customFormat="false" ht="11.1" hidden="false" customHeight="true" outlineLevel="0" collapsed="false">
      <c r="H62" s="670"/>
      <c r="Q62" s="120"/>
      <c r="W62" s="58"/>
      <c r="X62" s="176"/>
      <c r="Y62" s="176"/>
      <c r="AA62" s="176"/>
      <c r="AC62" s="58"/>
      <c r="AD62" s="58"/>
      <c r="AH62" s="176"/>
      <c r="AK62" s="204"/>
      <c r="AL62" s="204"/>
      <c r="AM62" s="425"/>
      <c r="AQ62" s="80"/>
      <c r="AR62" s="80"/>
      <c r="AS62" s="80"/>
      <c r="AW62" s="552"/>
      <c r="AX62" s="319"/>
      <c r="AY62" s="451"/>
      <c r="BH62" s="176"/>
      <c r="BI62" s="176"/>
    </row>
  </sheetData>
  <mergeCells count="2">
    <mergeCell ref="M5:U5"/>
    <mergeCell ref="AF5:AG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rowBreaks count="1" manualBreakCount="1">
    <brk id="60"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Vernon Lamb</dc:creator>
  <dc:description/>
  <dc:language>en-US</dc:language>
  <cp:lastModifiedBy>La Von Millard</cp:lastModifiedBy>
  <cp:lastPrinted>2016-04-25T07:27:30Z</cp:lastPrinted>
  <dcterms:modified xsi:type="dcterms:W3CDTF">2017-03-09T11:44:49Z</dcterms:modified>
  <cp:revision>0</cp:revision>
  <dc:subject>MCPHEE IN/OUT FLOW</dc:subject>
  <dc:title>RIVER</dc:title>
</cp:coreProperties>
</file>