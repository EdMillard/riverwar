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comments8.xml" ContentType="application/vnd.openxmlformats-officedocument.spreadsheetml.comments+xml"/>
  <Override PartName="/xl/comments7.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10.vml" ContentType="application/vnd.openxmlformats-officedocument.vmlDrawing"/>
  <Override PartName="/xl/drawings/vmlDrawing6.vml" ContentType="application/vnd.openxmlformats-officedocument.vmlDrawing"/>
  <Override PartName="/xl/drawings/vmlDrawing11.vml" ContentType="application/vnd.openxmlformats-officedocument.vmlDrawing"/>
  <Override PartName="/xl/drawings/vmlDrawing7.vml" ContentType="application/vnd.openxmlformats-officedocument.vmlDrawing"/>
  <Override PartName="/xl/drawings/vmlDrawing12.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comments2.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omments1.xml" ContentType="application/vnd.openxmlformats-officedocument.spreadsheetml.comments+xml"/>
  <Override PartName="/xl/comments10.xml" ContentType="application/vnd.openxmlformats-officedocument.spreadsheetml.comments+xml"/>
  <Override PartName="/xl/comments9.xml" ContentType="application/vnd.openxmlformats-officedocument.spreadsheetml.comments+xml"/>
  <Override PartName="/xl/workbook.xml" ContentType="application/vnd.openxmlformats-officedocument.spreadsheetml.sheet.main+xml"/>
  <Override PartName="/xl/_rels/workbook.xml.rels" ContentType="application/vnd.openxmlformats-package.relationships+xml"/>
  <Override PartName="/xl/comments6.xml" ContentType="application/vnd.openxmlformats-officedocument.spreadsheetml.comments+xml"/>
  <Override PartName="/xl/styles.xml" ContentType="application/vnd.openxmlformats-officedocument.spreadsheetml.styles+xml"/>
  <Override PartName="/xl/comments4.xml" ContentType="application/vnd.openxmlformats-officedocument.spreadsheetml.comment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10.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3.xml" ContentType="application/vnd.openxmlformats-officedocument.spreadsheetml.comments+xml"/>
  <Override PartName="/xl/sharedStrings.xml" ContentType="application/vnd.openxmlformats-officedocument.spreadsheetml.sharedString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0"/>
  </bookViews>
  <sheets>
    <sheet name="NOV" sheetId="1" state="visible" r:id="rId2"/>
    <sheet name="DEC" sheetId="2" state="visible" r:id="rId3"/>
    <sheet name="JAN" sheetId="3" state="visible" r:id="rId4"/>
    <sheet name="FEB" sheetId="4" state="visible" r:id="rId5"/>
    <sheet name="MAR" sheetId="5" state="visible" r:id="rId6"/>
    <sheet name="APR" sheetId="6" state="visible" r:id="rId7"/>
    <sheet name="MAY" sheetId="7" state="visible" r:id="rId8"/>
    <sheet name="JUN" sheetId="8" state="visible" r:id="rId9"/>
    <sheet name="JUL" sheetId="9" state="visible" r:id="rId10"/>
    <sheet name="AUG" sheetId="10" state="visible" r:id="rId11"/>
    <sheet name="SEP" sheetId="11" state="visible" r:id="rId12"/>
    <sheet name="OCT" sheetId="12" state="visible" r:id="rId13"/>
  </sheets>
  <definedNames>
    <definedName function="false" hidden="false" localSheetId="5" name="_xlnm.Print_Area" vbProcedure="false">APR!$A$1:$AZ$56</definedName>
    <definedName function="false" hidden="false" localSheetId="9" name="_xlnm.Print_Area" vbProcedure="false">AUG!$A$1:$BB$60</definedName>
    <definedName function="false" hidden="false" localSheetId="1" name="_xlnm.Print_Area" vbProcedure="false">DEC!$A$1:$AZ$60</definedName>
    <definedName function="false" hidden="false" localSheetId="3" name="_xlnm.Print_Area" vbProcedure="false">FEB!$A$1:$AZ$60</definedName>
    <definedName function="false" hidden="false" localSheetId="2" name="_xlnm.Print_Area" vbProcedure="false">JAN!$A$1:$AZ$60</definedName>
    <definedName function="false" hidden="false" localSheetId="8" name="_xlnm.Print_Area" vbProcedure="false">JUL!$A$1:$BB$56</definedName>
    <definedName function="false" hidden="false" localSheetId="7" name="_xlnm.Print_Area" vbProcedure="false">JUN!$A$1:$AZ$56</definedName>
    <definedName function="false" hidden="false" localSheetId="4" name="_xlnm.Print_Area" vbProcedure="false">MAR!$A$1:$BB$60</definedName>
    <definedName function="false" hidden="false" localSheetId="6" name="_xlnm.Print_Area" vbProcedure="false">MAY!$A$1:$AZ$60</definedName>
    <definedName function="false" hidden="false" localSheetId="11" name="_xlnm.Print_Area" vbProcedure="false">OCT!$A$1:$BA$60</definedName>
    <definedName function="false" hidden="false" localSheetId="10" name="_xlnm.Print_Area" vbProcedure="false">SEP!$A$1:$BB$60</definedName>
  </definedNames>
  <calcPr iterateCount="100" refMode="A1" iterate="fals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xdr="http://schemas.openxmlformats.org/drawingml/2006/spreadsheetDrawing">
  <authors>
    <author> </author>
  </authors>
  <commentList>
    <comment ref="G32" authorId="0">
      <text>
        <r>
          <rPr>
            <b val="true"/>
            <sz val="8"/>
            <color rgb="FF000000"/>
            <rFont val="Tahoma"/>
            <family val="2"/>
          </rPr>
          <t xml:space="preserve">Vernon:
</t>
        </r>
        <r>
          <rPr>
            <sz val="8"/>
            <color rgb="FF000000"/>
            <rFont val="Tahoma"/>
            <family val="2"/>
          </rPr>
          <t xml:space="preserve">12/29/14: USGS Changed Nov 1 through 20 numbers to Approved. 21 through 30 still as "Ice." USGS has provisional values for Dec 3 through 6. The rest of the Dec values are "Ice."
11/24/14: USGS gage has ice interfere with reading. Website shows "Ice" as daily reading. Will set Dolores River equal to Calc Inflow until USGS releases values. This is for the 18th to present.</t>
        </r>
      </text>
    </comment>
    <comment ref="G35" authorId="0">
      <text>
        <r>
          <rPr>
            <b val="true"/>
            <sz val="8"/>
            <color rgb="FF000000"/>
            <rFont val="Tahoma"/>
            <family val="2"/>
          </rPr>
          <t xml:space="preserve">Vernon:
</t>
        </r>
        <r>
          <rPr>
            <sz val="8"/>
            <color rgb="FF000000"/>
            <rFont val="Tahoma"/>
            <family val="2"/>
          </rPr>
          <t xml:space="preserve">12/29/14: Dec 21 through end of month USGS values marked as "Ice."</t>
        </r>
      </text>
    </comment>
    <comment ref="O46" authorId="0">
      <text>
        <r>
          <rPr>
            <b val="true"/>
            <sz val="8"/>
            <color rgb="FF000000"/>
            <rFont val="Tahoma"/>
            <family val="2"/>
          </rPr>
          <t xml:space="preserve">Vernon:
</t>
        </r>
        <r>
          <rPr>
            <sz val="8"/>
            <color rgb="FF000000"/>
            <rFont val="Tahoma"/>
            <family val="2"/>
          </rPr>
          <t xml:space="preserve">"-32.1 cfs" for water that remained in Reach 2 from WY2014, but hadn't drained until Nov 11th WY 2015.</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AC36" authorId="0">
      <text>
        <r>
          <rPr>
            <b val="true"/>
            <sz val="8"/>
            <color rgb="FF000000"/>
            <rFont val="Tahoma"/>
            <family val="2"/>
          </rPr>
          <t xml:space="preserve">Vernon Lamb:
</t>
        </r>
        <r>
          <rPr>
            <sz val="8"/>
            <color rgb="FF000000"/>
            <rFont val="Tahoma"/>
            <family val="2"/>
          </rPr>
          <t xml:space="preserve">Begin storing 1,714.14 cfs of Totten Exchange water.</t>
        </r>
      </text>
    </comment>
    <comment ref="AI5" authorId="0">
      <text>
        <r>
          <rPr>
            <b val="true"/>
            <sz val="8"/>
            <color rgb="FF000000"/>
            <rFont val="Tahoma"/>
            <family val="2"/>
          </rPr>
          <t xml:space="preserve">E. A. Birk:
</t>
        </r>
        <r>
          <rPr>
            <sz val="8"/>
            <color rgb="FF000000"/>
            <rFont val="Tahoma"/>
            <family val="2"/>
          </rPr>
          <t xml:space="preserve">This column runs from April 1st to March 31th as according to contract.</t>
        </r>
      </text>
    </comment>
    <comment ref="AI7" authorId="0">
      <text>
        <r>
          <rPr>
            <b val="true"/>
            <sz val="8"/>
            <color rgb="FF000000"/>
            <rFont val="Tahoma"/>
            <family val="2"/>
          </rPr>
          <t xml:space="preserve">Vernon Lamb: </t>
        </r>
        <r>
          <rPr>
            <sz val="8"/>
            <color rgb="FF000000"/>
            <rFont val="Tahoma"/>
            <family val="2"/>
          </rPr>
          <t xml:space="preserve">Based on 10/6/14 calcs Fish Pool is 29,007 AF
</t>
        </r>
        <r>
          <rPr>
            <b val="true"/>
            <sz val="8"/>
            <color rgb="FF000000"/>
            <rFont val="Tahoma"/>
            <family val="2"/>
          </rPr>
          <t xml:space="preserve">
Vernon Lamb: </t>
        </r>
        <r>
          <rPr>
            <sz val="8"/>
            <color rgb="FF000000"/>
            <rFont val="Tahoma"/>
            <family val="2"/>
          </rPr>
          <t xml:space="preserve">Based on 9/9/14 calcs Fish Pool is 28,251 AF (with 464 AF McPhee deficit amount adjusted out).
</t>
        </r>
        <r>
          <rPr>
            <b val="true"/>
            <sz val="8"/>
            <color rgb="FF000000"/>
            <rFont val="Tahoma"/>
            <family val="2"/>
          </rPr>
          <t xml:space="preserve">
Vernon Lamb: </t>
        </r>
        <r>
          <rPr>
            <sz val="8"/>
            <color rgb="FF000000"/>
            <rFont val="Tahoma"/>
            <family val="2"/>
          </rPr>
          <t xml:space="preserve">Based on 8/4/14 calcs Fish Pool is 27,742 AF.
</t>
        </r>
        <r>
          <rPr>
            <b val="true"/>
            <sz val="8"/>
            <color rgb="FF000000"/>
            <rFont val="Tahoma"/>
            <family val="2"/>
          </rPr>
          <t xml:space="preserve">
KC:  </t>
        </r>
        <r>
          <rPr>
            <sz val="8"/>
            <color rgb="FF000000"/>
            <rFont val="Tahoma"/>
            <family val="2"/>
          </rPr>
          <t xml:space="preserve">On 7/1/14 value is 26,843 AF.
</t>
        </r>
        <r>
          <rPr>
            <b val="true"/>
            <sz val="8"/>
            <color rgb="FF000000"/>
            <rFont val="Tahoma"/>
            <family val="2"/>
          </rPr>
          <t xml:space="preserve">
Vernon Lamb:
</t>
        </r>
        <r>
          <rPr>
            <sz val="8"/>
            <color rgb="FF000000"/>
            <rFont val="Tahoma"/>
            <family val="2"/>
          </rPr>
          <t xml:space="preserve">23,048 AF is the 6-23-14 draft fish pool budget amount.
29,032 AF is the 5-20-14 draft fish pool budget amount.</t>
        </r>
      </text>
    </comment>
    <comment ref="AN15" authorId="0">
      <text>
        <r>
          <rPr>
            <b val="true"/>
            <sz val="8"/>
            <color rgb="FF000000"/>
            <rFont val="Tahoma"/>
            <family val="2"/>
          </rPr>
          <t xml:space="preserve">Vernon Lamb:
</t>
        </r>
        <r>
          <rPr>
            <sz val="8"/>
            <color rgb="FF000000"/>
            <rFont val="Tahoma"/>
            <family val="2"/>
          </rPr>
          <t xml:space="preserve">Nov 1, 2014 Narraguinnep boat ramp read 47.5' = 7,695.75 AF capacity.</t>
        </r>
      </text>
    </comment>
    <comment ref="BA47" authorId="0">
      <text>
        <r>
          <rPr>
            <b val="true"/>
            <sz val="8"/>
            <color rgb="FF000000"/>
            <rFont val="Tahoma"/>
            <family val="2"/>
          </rPr>
          <t xml:space="preserve">Vernon:
</t>
        </r>
        <r>
          <rPr>
            <sz val="8"/>
            <color rgb="FF000000"/>
            <rFont val="Tahoma"/>
            <family val="2"/>
          </rPr>
          <t xml:space="preserve">The gate leaks and this is an estimated discharge via DWR (leak of 0.2 cfs per day).</t>
        </r>
      </text>
    </comment>
  </commentList>
</comments>
</file>

<file path=xl/comments2.xml><?xml version="1.0" encoding="utf-8"?>
<comments xmlns="http://schemas.openxmlformats.org/spreadsheetml/2006/main" xmlns:xdr="http://schemas.openxmlformats.org/drawingml/2006/spreadsheetDrawing">
  <authors>
    <author> </author>
  </authors>
  <commentList>
    <comment ref="G17" authorId="0">
      <text>
        <r>
          <rPr>
            <b val="true"/>
            <sz val="8"/>
            <color rgb="FF000000"/>
            <rFont val="Tahoma"/>
            <family val="2"/>
          </rPr>
          <t xml:space="preserve">Vernon:
</t>
        </r>
        <r>
          <rPr>
            <sz val="8"/>
            <color rgb="FF000000"/>
            <rFont val="Tahoma"/>
            <family val="2"/>
          </rPr>
          <t xml:space="preserve">Dolores River Gage unfrozen and USGS providing daily values for Dec 3rd through the 6th. Gage was frozen Nov 18th through Dec 2nd.</t>
        </r>
      </text>
    </comment>
    <comment ref="G21" authorId="0">
      <text>
        <r>
          <rPr>
            <b val="true"/>
            <sz val="8"/>
            <color rgb="FF000000"/>
            <rFont val="Tahoma"/>
            <family val="2"/>
          </rPr>
          <t xml:space="preserve">Vernon:
</t>
        </r>
        <r>
          <rPr>
            <sz val="8"/>
            <color rgb="FF000000"/>
            <rFont val="Tahoma"/>
            <family val="2"/>
          </rPr>
          <t xml:space="preserve">12/15/14: USGS gage has ice interfere with reading. Website shows "Ice" as daily reading. Will set Dolores River equal to Calc Inflow until USGS releases values. This is for the 7th to present.</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V29" authorId="0">
      <text>
        <r>
          <rPr>
            <b val="true"/>
            <sz val="8"/>
            <color rgb="FF000000"/>
            <rFont val="Tahoma"/>
            <family val="2"/>
          </rPr>
          <t xml:space="preserve">Vernon:
</t>
        </r>
        <r>
          <rPr>
            <sz val="8"/>
            <color rgb="FF000000"/>
            <rFont val="Tahoma"/>
            <family val="2"/>
          </rPr>
          <t xml:space="preserve">Nar fill complete until spring. MVIC turned off Lone Pine. </t>
        </r>
      </text>
    </comment>
    <comment ref="AI5" authorId="0">
      <text>
        <r>
          <rPr>
            <b val="true"/>
            <sz val="8"/>
            <color rgb="FF000000"/>
            <rFont val="Tahoma"/>
            <family val="2"/>
          </rPr>
          <t xml:space="preserve">E. A. Birk:
</t>
        </r>
        <r>
          <rPr>
            <sz val="8"/>
            <color rgb="FF000000"/>
            <rFont val="Tahoma"/>
            <family val="2"/>
          </rPr>
          <t xml:space="preserve">This column runs from April 1st to March 31th as according to contract.</t>
        </r>
      </text>
    </comment>
    <comment ref="AI7" authorId="0">
      <text>
        <r>
          <rPr>
            <b val="true"/>
            <sz val="8"/>
            <color rgb="FF000000"/>
            <rFont val="Tahoma"/>
            <family val="2"/>
          </rPr>
          <t xml:space="preserve">Vernon Lamb: </t>
        </r>
        <r>
          <rPr>
            <sz val="8"/>
            <color rgb="FF000000"/>
            <rFont val="Tahoma"/>
            <family val="2"/>
          </rPr>
          <t xml:space="preserve">Based on 10/6/14 calcs Fish Pool is 29,007 AF
</t>
        </r>
        <r>
          <rPr>
            <b val="true"/>
            <sz val="8"/>
            <color rgb="FF000000"/>
            <rFont val="Tahoma"/>
            <family val="2"/>
          </rPr>
          <t xml:space="preserve">
Vernon Lamb: </t>
        </r>
        <r>
          <rPr>
            <sz val="8"/>
            <color rgb="FF000000"/>
            <rFont val="Tahoma"/>
            <family val="2"/>
          </rPr>
          <t xml:space="preserve">Based on 9/9/14 calcs Fish Pool is 28,251 AF (with 464 AF McPhee deficit amount adjusted out).
</t>
        </r>
        <r>
          <rPr>
            <b val="true"/>
            <sz val="8"/>
            <color rgb="FF000000"/>
            <rFont val="Tahoma"/>
            <family val="2"/>
          </rPr>
          <t xml:space="preserve">
Vernon Lamb: </t>
        </r>
        <r>
          <rPr>
            <sz val="8"/>
            <color rgb="FF000000"/>
            <rFont val="Tahoma"/>
            <family val="2"/>
          </rPr>
          <t xml:space="preserve">Based on 8/4/14 calcs Fish Pool is 27,742 AF.
</t>
        </r>
        <r>
          <rPr>
            <b val="true"/>
            <sz val="8"/>
            <color rgb="FF000000"/>
            <rFont val="Tahoma"/>
            <family val="2"/>
          </rPr>
          <t xml:space="preserve">
KC:  </t>
        </r>
        <r>
          <rPr>
            <sz val="8"/>
            <color rgb="FF000000"/>
            <rFont val="Tahoma"/>
            <family val="2"/>
          </rPr>
          <t xml:space="preserve">On 7/1/14 value is 26,843 AF.
</t>
        </r>
        <r>
          <rPr>
            <b val="true"/>
            <sz val="8"/>
            <color rgb="FF000000"/>
            <rFont val="Tahoma"/>
            <family val="2"/>
          </rPr>
          <t xml:space="preserve">
Vernon Lamb:
</t>
        </r>
        <r>
          <rPr>
            <sz val="8"/>
            <color rgb="FF000000"/>
            <rFont val="Tahoma"/>
            <family val="2"/>
          </rPr>
          <t xml:space="preserve">23,048 AF is the 6-23-14 draft fish pool budget amount.
29,032 AF is the 5-20-14 draft fish pool budget amount.</t>
        </r>
      </text>
    </comment>
    <comment ref="AN29" authorId="0">
      <text>
        <r>
          <rPr>
            <b val="true"/>
            <sz val="8"/>
            <color rgb="FF000000"/>
            <rFont val="Tahoma"/>
            <family val="2"/>
          </rPr>
          <t xml:space="preserve">Vernon:
</t>
        </r>
        <r>
          <rPr>
            <sz val="8"/>
            <color rgb="FF000000"/>
            <rFont val="Tahoma"/>
            <family val="2"/>
          </rPr>
          <t xml:space="preserve">Nar fill complete until spring. MVIC turned off Lone Pine. Nar Boat Ramp ~66.3' = 16,049.4 AF.</t>
        </r>
      </text>
    </comment>
    <comment ref="BA48" authorId="0">
      <text>
        <r>
          <rPr>
            <b val="true"/>
            <sz val="8"/>
            <color rgb="FF000000"/>
            <rFont val="Tahoma"/>
            <family val="2"/>
          </rPr>
          <t xml:space="preserve">Vernon:
</t>
        </r>
        <r>
          <rPr>
            <sz val="8"/>
            <color rgb="FF000000"/>
            <rFont val="Tahoma"/>
            <family val="2"/>
          </rPr>
          <t xml:space="preserve">The gate leaks and this is an estimated discharge via DWR (leak of 0.2 cfs per day).</t>
        </r>
      </text>
    </comment>
  </commentList>
</comments>
</file>

<file path=xl/comments3.xml><?xml version="1.0" encoding="utf-8"?>
<comments xmlns="http://schemas.openxmlformats.org/spreadsheetml/2006/main" xmlns:xdr="http://schemas.openxmlformats.org/drawingml/2006/spreadsheetDrawing">
  <authors>
    <author> </author>
  </authors>
  <commentList>
    <comment ref="H17" authorId="0">
      <text>
        <r>
          <rPr>
            <b val="true"/>
            <sz val="8"/>
            <color rgb="FF000000"/>
            <rFont val="Tahoma"/>
            <family val="2"/>
          </rPr>
          <t xml:space="preserve">Vernon:
</t>
        </r>
        <r>
          <rPr>
            <sz val="8"/>
            <color rgb="FF000000"/>
            <rFont val="Tahoma"/>
            <family val="2"/>
          </rPr>
          <t xml:space="preserve">1/5/15: USGS gage has ice interfere with reading. Website shows "Ice" as daily reading. Will set Lost Canyon equal to 0 until USGS releases values. This is for the 3rd to present.</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AC25" authorId="0">
      <text>
        <r>
          <rPr>
            <b val="true"/>
            <sz val="8"/>
            <color rgb="FF000000"/>
            <rFont val="Tahoma"/>
            <family val="2"/>
          </rPr>
          <t xml:space="preserve">Vernon Lamb:
</t>
        </r>
        <r>
          <rPr>
            <sz val="8"/>
            <color rgb="FF000000"/>
            <rFont val="Tahoma"/>
            <family val="2"/>
          </rPr>
          <t xml:space="preserve">Storing of Totten Exchange Water complete.</t>
        </r>
      </text>
    </comment>
    <comment ref="AI5" authorId="0">
      <text>
        <r>
          <rPr>
            <b val="true"/>
            <sz val="8"/>
            <color rgb="FF000000"/>
            <rFont val="Tahoma"/>
            <family val="2"/>
          </rPr>
          <t xml:space="preserve">E. A. Birk:
</t>
        </r>
        <r>
          <rPr>
            <sz val="8"/>
            <color rgb="FF000000"/>
            <rFont val="Tahoma"/>
            <family val="2"/>
          </rPr>
          <t xml:space="preserve">This column runs from April 1st to March 31th as according to contract.</t>
        </r>
      </text>
    </comment>
    <comment ref="AI7" authorId="0">
      <text>
        <r>
          <rPr>
            <b val="true"/>
            <sz val="8"/>
            <color rgb="FF000000"/>
            <rFont val="Tahoma"/>
            <family val="2"/>
          </rPr>
          <t xml:space="preserve">Vernon Lamb: </t>
        </r>
        <r>
          <rPr>
            <sz val="8"/>
            <color rgb="FF000000"/>
            <rFont val="Tahoma"/>
            <family val="2"/>
          </rPr>
          <t xml:space="preserve">Based on 10/6/14 calcs Fish Pool is 29,007 AF
</t>
        </r>
        <r>
          <rPr>
            <b val="true"/>
            <sz val="8"/>
            <color rgb="FF000000"/>
            <rFont val="Tahoma"/>
            <family val="2"/>
          </rPr>
          <t xml:space="preserve">
Vernon Lamb: </t>
        </r>
        <r>
          <rPr>
            <sz val="8"/>
            <color rgb="FF000000"/>
            <rFont val="Tahoma"/>
            <family val="2"/>
          </rPr>
          <t xml:space="preserve">Based on 9/9/14 calcs Fish Pool is 28,251 AF (with 464 AF McPhee deficit amount adjusted out).
</t>
        </r>
        <r>
          <rPr>
            <b val="true"/>
            <sz val="8"/>
            <color rgb="FF000000"/>
            <rFont val="Tahoma"/>
            <family val="2"/>
          </rPr>
          <t xml:space="preserve">
Vernon Lamb: </t>
        </r>
        <r>
          <rPr>
            <sz val="8"/>
            <color rgb="FF000000"/>
            <rFont val="Tahoma"/>
            <family val="2"/>
          </rPr>
          <t xml:space="preserve">Based on 8/4/14 calcs Fish Pool is 27,742 AF.
</t>
        </r>
        <r>
          <rPr>
            <b val="true"/>
            <sz val="8"/>
            <color rgb="FF000000"/>
            <rFont val="Tahoma"/>
            <family val="2"/>
          </rPr>
          <t xml:space="preserve">
KC:  </t>
        </r>
        <r>
          <rPr>
            <sz val="8"/>
            <color rgb="FF000000"/>
            <rFont val="Tahoma"/>
            <family val="2"/>
          </rPr>
          <t xml:space="preserve">On 7/1/14 value is 26,843 AF.
</t>
        </r>
        <r>
          <rPr>
            <b val="true"/>
            <sz val="8"/>
            <color rgb="FF000000"/>
            <rFont val="Tahoma"/>
            <family val="2"/>
          </rPr>
          <t xml:space="preserve">
Vernon Lamb:
</t>
        </r>
        <r>
          <rPr>
            <sz val="8"/>
            <color rgb="FF000000"/>
            <rFont val="Tahoma"/>
            <family val="2"/>
          </rPr>
          <t xml:space="preserve">23,048 AF is the 6-23-14 draft fish pool budget amount.
29,032 AF is the 5-20-14 draft fish pool budget amount.</t>
        </r>
      </text>
    </comment>
  </commentList>
</comments>
</file>

<file path=xl/comments4.xml><?xml version="1.0" encoding="utf-8"?>
<comments xmlns="http://schemas.openxmlformats.org/spreadsheetml/2006/main" xmlns:xdr="http://schemas.openxmlformats.org/drawingml/2006/spreadsheetDrawing">
  <authors>
    <author> </author>
  </authors>
  <commentList>
    <comment ref="H32" authorId="0">
      <text>
        <r>
          <rPr>
            <b val="true"/>
            <sz val="9"/>
            <color rgb="FF000000"/>
            <rFont val="Tahoma"/>
            <family val="2"/>
          </rPr>
          <t xml:space="preserve">Vernon Lamb:
</t>
        </r>
        <r>
          <rPr>
            <sz val="9"/>
            <color rgb="FF000000"/>
            <rFont val="Tahoma"/>
            <family val="2"/>
          </rPr>
          <t xml:space="preserve">Lost Canyon Gage reporting values again.</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V37" authorId="0">
      <text>
        <r>
          <rPr>
            <b val="true"/>
            <sz val="8"/>
            <color rgb="FF000000"/>
            <rFont val="Tahoma"/>
            <family val="2"/>
          </rPr>
          <t xml:space="preserve">Vernon Lamb:
</t>
        </r>
        <r>
          <rPr>
            <sz val="8"/>
            <color rgb="FF000000"/>
            <rFont val="Tahoma"/>
            <family val="2"/>
          </rPr>
          <t xml:space="preserve">MVIC began filling Narr. Narr mostly full, this run will top it off.</t>
        </r>
      </text>
    </comment>
    <comment ref="AI5" authorId="0">
      <text>
        <r>
          <rPr>
            <b val="true"/>
            <sz val="8"/>
            <color rgb="FF000000"/>
            <rFont val="Tahoma"/>
            <family val="2"/>
          </rPr>
          <t xml:space="preserve">E. A. Birk:
</t>
        </r>
        <r>
          <rPr>
            <sz val="8"/>
            <color rgb="FF000000"/>
            <rFont val="Tahoma"/>
            <family val="2"/>
          </rPr>
          <t xml:space="preserve">This column runs from April 1st to March 31th as according to contract.</t>
        </r>
      </text>
    </comment>
    <comment ref="AI7" authorId="0">
      <text>
        <r>
          <rPr>
            <b val="true"/>
            <sz val="8"/>
            <color rgb="FF000000"/>
            <rFont val="Tahoma"/>
            <family val="2"/>
          </rPr>
          <t xml:space="preserve">Vernon Lamb: </t>
        </r>
        <r>
          <rPr>
            <sz val="8"/>
            <color rgb="FF000000"/>
            <rFont val="Tahoma"/>
            <family val="2"/>
          </rPr>
          <t xml:space="preserve">Based on 10/6/14 calcs Fish Pool is 29,007 AF
</t>
        </r>
        <r>
          <rPr>
            <b val="true"/>
            <sz val="8"/>
            <color rgb="FF000000"/>
            <rFont val="Tahoma"/>
            <family val="2"/>
          </rPr>
          <t xml:space="preserve">
Vernon Lamb: </t>
        </r>
        <r>
          <rPr>
            <sz val="8"/>
            <color rgb="FF000000"/>
            <rFont val="Tahoma"/>
            <family val="2"/>
          </rPr>
          <t xml:space="preserve">Based on 9/9/14 calcs Fish Pool is 28,251 AF (with 464 AF McPhee deficit amount adjusted out).
</t>
        </r>
        <r>
          <rPr>
            <b val="true"/>
            <sz val="8"/>
            <color rgb="FF000000"/>
            <rFont val="Tahoma"/>
            <family val="2"/>
          </rPr>
          <t xml:space="preserve">
Vernon Lamb: </t>
        </r>
        <r>
          <rPr>
            <sz val="8"/>
            <color rgb="FF000000"/>
            <rFont val="Tahoma"/>
            <family val="2"/>
          </rPr>
          <t xml:space="preserve">Based on 8/4/14 calcs Fish Pool is 27,742 AF.
</t>
        </r>
        <r>
          <rPr>
            <b val="true"/>
            <sz val="8"/>
            <color rgb="FF000000"/>
            <rFont val="Tahoma"/>
            <family val="2"/>
          </rPr>
          <t xml:space="preserve">
KC:  </t>
        </r>
        <r>
          <rPr>
            <sz val="8"/>
            <color rgb="FF000000"/>
            <rFont val="Tahoma"/>
            <family val="2"/>
          </rPr>
          <t xml:space="preserve">On 7/1/14 value is 26,843 AF.
</t>
        </r>
        <r>
          <rPr>
            <b val="true"/>
            <sz val="8"/>
            <color rgb="FF000000"/>
            <rFont val="Tahoma"/>
            <family val="2"/>
          </rPr>
          <t xml:space="preserve">
Vernon Lamb:
</t>
        </r>
        <r>
          <rPr>
            <sz val="8"/>
            <color rgb="FF000000"/>
            <rFont val="Tahoma"/>
            <family val="2"/>
          </rPr>
          <t xml:space="preserve">23,048 AF is the 6-23-14 draft fish pool budget amount.
29,032 AF is the 5-20-14 draft fish pool budget amount.</t>
        </r>
      </text>
    </comment>
    <comment ref="AN37" authorId="0">
      <text>
        <r>
          <rPr>
            <b val="true"/>
            <sz val="8"/>
            <color rgb="FF000000"/>
            <rFont val="Tahoma"/>
            <family val="2"/>
          </rPr>
          <t xml:space="preserve">Vernon Lamb:
</t>
        </r>
        <r>
          <rPr>
            <sz val="8"/>
            <color rgb="FF000000"/>
            <rFont val="Tahoma"/>
            <family val="2"/>
          </rPr>
          <t xml:space="preserve">MVIC began filling Narr. Narr mostly full, this run will top it off.</t>
        </r>
      </text>
    </comment>
  </commentList>
</comments>
</file>

<file path=xl/comments5.xml><?xml version="1.0" encoding="utf-8"?>
<comments xmlns="http://schemas.openxmlformats.org/spreadsheetml/2006/main" xmlns:xdr="http://schemas.openxmlformats.org/drawingml/2006/spreadsheetDrawing">
  <authors>
    <author> </author>
  </authors>
  <commentList>
    <comment ref="G20" authorId="0">
      <text>
        <r>
          <rPr>
            <b val="true"/>
            <sz val="8"/>
            <color rgb="FF000000"/>
            <rFont val="Tahoma"/>
            <family val="2"/>
          </rPr>
          <t xml:space="preserve">Vernon Lamb:
</t>
        </r>
        <r>
          <rPr>
            <sz val="8"/>
            <color rgb="FF000000"/>
            <rFont val="Tahoma"/>
            <family val="2"/>
          </rPr>
          <t xml:space="preserve">3/9/15: USGS provided DWCD with flow estimates for Dolores River as it has been iced over since Nov 21. These estimates are for Nov 21 through Mar 6th. These values may change slightly as they become online published provisional values.
From change, Dol Riv gained 312 AF. Before change on 3/9/15:
YTD CFS: 9,213
YTD AF: 18,273
After change on 3/9/15:
YTD CFS: 9,370
YTD AF: 18,585
Changes by Month:
Nov: +268 CFS / +532 AF
Dec: +342 CFS / +678 AF
Jan: +55 CFS / +109 AF
Feb: -434 CFS / -860 AF
Mar: -74 CFS / -147 AF
Net Change: +157 CFS / +312 AF</t>
        </r>
      </text>
    </comment>
    <comment ref="M37" authorId="0">
      <text>
        <r>
          <rPr>
            <b val="true"/>
            <sz val="8"/>
            <color rgb="FF000000"/>
            <rFont val="Tahoma"/>
            <family val="2"/>
          </rPr>
          <t xml:space="preserve">Vernon Lamb:
</t>
        </r>
        <r>
          <rPr>
            <sz val="8"/>
            <color rgb="FF000000"/>
            <rFont val="Tahoma"/>
            <family val="2"/>
          </rPr>
          <t xml:space="preserve">3/23/15: Began filling THC at 09:30 Hrs</t>
        </r>
      </text>
    </comment>
    <comment ref="M45" authorId="0">
      <text>
        <r>
          <rPr>
            <b val="true"/>
            <sz val="8"/>
            <color rgb="FF000000"/>
            <rFont val="Tahoma"/>
            <family val="2"/>
          </rPr>
          <t xml:space="preserve">Vernon Lamb:
</t>
        </r>
        <r>
          <rPr>
            <sz val="8"/>
            <color rgb="FF000000"/>
            <rFont val="Tahoma"/>
            <family val="2"/>
          </rPr>
          <t xml:space="preserve">3/31/15: THC full and ready to go at 07:30 Hrs.</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U37" authorId="0">
      <text>
        <r>
          <rPr>
            <b val="true"/>
            <sz val="8"/>
            <color rgb="FF000000"/>
            <rFont val="Tahoma"/>
            <family val="2"/>
          </rPr>
          <t xml:space="preserve">Vernon Lamb:
</t>
        </r>
        <r>
          <rPr>
            <sz val="8"/>
            <color rgb="FF000000"/>
            <rFont val="Tahoma"/>
            <family val="2"/>
          </rPr>
          <t xml:space="preserve">End of F-Bay Eqn as we began sending water down Towaoc Canal. If F-bay Eqn were to stay in effect MVI would not be charged for any water.</t>
        </r>
      </text>
    </comment>
    <comment ref="W44" authorId="0">
      <text>
        <r>
          <rPr>
            <b val="true"/>
            <sz val="8"/>
            <color rgb="FF000000"/>
            <rFont val="Tahoma"/>
            <family val="2"/>
          </rPr>
          <t xml:space="preserve">Vernon Lamb:
</t>
        </r>
        <r>
          <rPr>
            <sz val="8"/>
            <color rgb="FF000000"/>
            <rFont val="Tahoma"/>
            <family val="2"/>
          </rPr>
          <t xml:space="preserve">MVIC stock water. U Lat started at 08:13 Hrs at 20.0 CFS.</t>
        </r>
      </text>
    </comment>
    <comment ref="Y45" authorId="0">
      <text>
        <r>
          <rPr>
            <b val="true"/>
            <sz val="8"/>
            <color rgb="FF000000"/>
            <rFont val="Tahoma"/>
            <family val="2"/>
          </rPr>
          <t xml:space="preserve">Vernon Lamb:
</t>
        </r>
        <r>
          <rPr>
            <sz val="8"/>
            <color rgb="FF000000"/>
            <rFont val="Tahoma"/>
            <family val="2"/>
          </rPr>
          <t xml:space="preserve">Negative due to stock run.</t>
        </r>
      </text>
    </comment>
    <comment ref="AI5" authorId="0">
      <text>
        <r>
          <rPr>
            <b val="true"/>
            <sz val="8"/>
            <color rgb="FF000000"/>
            <rFont val="Tahoma"/>
            <family val="2"/>
          </rPr>
          <t xml:space="preserve">E. A. Birk:
</t>
        </r>
        <r>
          <rPr>
            <sz val="8"/>
            <color rgb="FF000000"/>
            <rFont val="Tahoma"/>
            <family val="2"/>
          </rPr>
          <t xml:space="preserve">This column runs from April 1st to March 31th as according to contract.</t>
        </r>
      </text>
    </comment>
    <comment ref="AI7" authorId="0">
      <text>
        <r>
          <rPr>
            <b val="true"/>
            <sz val="8"/>
            <color rgb="FF000000"/>
            <rFont val="Tahoma"/>
            <family val="2"/>
          </rPr>
          <t xml:space="preserve">Vernon Lamb: </t>
        </r>
        <r>
          <rPr>
            <sz val="8"/>
            <color rgb="FF000000"/>
            <rFont val="Tahoma"/>
            <family val="2"/>
          </rPr>
          <t xml:space="preserve">Based on 10/6/14 calcs Fish Pool is 29,007 AF
</t>
        </r>
        <r>
          <rPr>
            <b val="true"/>
            <sz val="8"/>
            <color rgb="FF000000"/>
            <rFont val="Tahoma"/>
            <family val="2"/>
          </rPr>
          <t xml:space="preserve">
Vernon Lamb: </t>
        </r>
        <r>
          <rPr>
            <sz val="8"/>
            <color rgb="FF000000"/>
            <rFont val="Tahoma"/>
            <family val="2"/>
          </rPr>
          <t xml:space="preserve">Based on 9/9/14 calcs Fish Pool is 28,251 AF (with 464 AF McPhee deficit amount adjusted out).
</t>
        </r>
        <r>
          <rPr>
            <b val="true"/>
            <sz val="8"/>
            <color rgb="FF000000"/>
            <rFont val="Tahoma"/>
            <family val="2"/>
          </rPr>
          <t xml:space="preserve">
Vernon Lamb: </t>
        </r>
        <r>
          <rPr>
            <sz val="8"/>
            <color rgb="FF000000"/>
            <rFont val="Tahoma"/>
            <family val="2"/>
          </rPr>
          <t xml:space="preserve">Based on 8/4/14 calcs Fish Pool is 27,742 AF.
</t>
        </r>
        <r>
          <rPr>
            <b val="true"/>
            <sz val="8"/>
            <color rgb="FF000000"/>
            <rFont val="Tahoma"/>
            <family val="2"/>
          </rPr>
          <t xml:space="preserve">
KC:  </t>
        </r>
        <r>
          <rPr>
            <sz val="8"/>
            <color rgb="FF000000"/>
            <rFont val="Tahoma"/>
            <family val="2"/>
          </rPr>
          <t xml:space="preserve">On 7/1/14 value is 26,843 AF.
</t>
        </r>
        <r>
          <rPr>
            <b val="true"/>
            <sz val="8"/>
            <color rgb="FF000000"/>
            <rFont val="Tahoma"/>
            <family val="2"/>
          </rPr>
          <t xml:space="preserve">
Vernon Lamb:
</t>
        </r>
        <r>
          <rPr>
            <sz val="8"/>
            <color rgb="FF000000"/>
            <rFont val="Tahoma"/>
            <family val="2"/>
          </rPr>
          <t xml:space="preserve">23,048 AF is the 6-23-14 draft fish pool budget amount.
29,032 AF is the 5-20-14 draft fish pool budget amount.</t>
        </r>
      </text>
    </comment>
    <comment ref="AN16" authorId="0">
      <text>
        <r>
          <rPr>
            <b val="true"/>
            <sz val="8"/>
            <color rgb="FF000000"/>
            <rFont val="Tahoma"/>
            <family val="2"/>
          </rPr>
          <t xml:space="preserve">Vernon Lamb:
</t>
        </r>
        <r>
          <rPr>
            <sz val="8"/>
            <color rgb="FF000000"/>
            <rFont val="Tahoma"/>
            <family val="2"/>
          </rPr>
          <t xml:space="preserve">Boat Ramp (14:00): 67.5 = 16,701.75 AF. </t>
        </r>
      </text>
    </comment>
    <comment ref="AN23" authorId="0">
      <text>
        <r>
          <rPr>
            <b val="true"/>
            <sz val="8"/>
            <color rgb="FF000000"/>
            <rFont val="Tahoma"/>
            <family val="2"/>
          </rPr>
          <t xml:space="preserve">Vernon Lamb:
</t>
        </r>
        <r>
          <rPr>
            <sz val="8"/>
            <color rgb="FF000000"/>
            <rFont val="Tahoma"/>
            <family val="2"/>
          </rPr>
          <t xml:space="preserve">Boat Ramp: 68.7 = 17,367.1 AF. </t>
        </r>
      </text>
    </comment>
    <comment ref="AN24" authorId="0">
      <text>
        <r>
          <rPr>
            <b val="true"/>
            <sz val="8"/>
            <color rgb="FF000000"/>
            <rFont val="Tahoma"/>
            <family val="2"/>
          </rPr>
          <t xml:space="preserve">Vernon Lamb:
</t>
        </r>
        <r>
          <rPr>
            <sz val="8"/>
            <color rgb="FF000000"/>
            <rFont val="Tahoma"/>
            <family val="2"/>
          </rPr>
          <t xml:space="preserve">Boat Ramp: 69.1 = 17,591.0 AF. </t>
        </r>
      </text>
    </comment>
    <comment ref="AN26" authorId="0">
      <text>
        <r>
          <rPr>
            <b val="true"/>
            <sz val="8"/>
            <color rgb="FF000000"/>
            <rFont val="Tahoma"/>
            <family val="2"/>
          </rPr>
          <t xml:space="preserve">Vernon Lamb:
</t>
        </r>
        <r>
          <rPr>
            <sz val="8"/>
            <color rgb="FF000000"/>
            <rFont val="Tahoma"/>
            <family val="2"/>
          </rPr>
          <t xml:space="preserve">Boat Ramp: 69.7 = 17,929.7 AF. </t>
        </r>
      </text>
    </comment>
    <comment ref="AN30" authorId="0">
      <text>
        <r>
          <rPr>
            <b val="true"/>
            <sz val="8"/>
            <color rgb="FF000000"/>
            <rFont val="Tahoma"/>
            <family val="2"/>
          </rPr>
          <t xml:space="preserve">Vernon Lamb:
</t>
        </r>
        <r>
          <rPr>
            <sz val="8"/>
            <color rgb="FF000000"/>
            <rFont val="Tahoma"/>
            <family val="2"/>
          </rPr>
          <t xml:space="preserve">Boat Ramp: 70.5 = 18,385.3 AF. </t>
        </r>
      </text>
    </comment>
    <comment ref="AN33" authorId="0">
      <text>
        <r>
          <rPr>
            <b val="true"/>
            <sz val="8"/>
            <color rgb="FF000000"/>
            <rFont val="Tahoma"/>
            <family val="2"/>
          </rPr>
          <t xml:space="preserve">Vernon Lamb:
</t>
        </r>
        <r>
          <rPr>
            <sz val="8"/>
            <color rgb="FF000000"/>
            <rFont val="Tahoma"/>
            <family val="2"/>
          </rPr>
          <t xml:space="preserve">Boat Ramp: 71.0 = 18,671.5 AF.</t>
        </r>
      </text>
    </comment>
    <comment ref="AN34" authorId="0">
      <text>
        <r>
          <rPr>
            <b val="true"/>
            <sz val="8"/>
            <color rgb="FF000000"/>
            <rFont val="Tahoma"/>
            <family val="2"/>
          </rPr>
          <t xml:space="preserve">Vernon Lamb:
</t>
        </r>
        <r>
          <rPr>
            <sz val="8"/>
            <color rgb="FF000000"/>
            <rFont val="Tahoma"/>
            <family val="2"/>
          </rPr>
          <t xml:space="preserve">As control room wasn't on 24 hr shifts, MVIC stopped filling Narraguinnep over the weekend. Will resume filling on Monday.</t>
        </r>
      </text>
    </comment>
    <comment ref="AN39" authorId="0">
      <text>
        <r>
          <rPr>
            <b val="true"/>
            <sz val="8"/>
            <color rgb="FF000000"/>
            <rFont val="Tahoma"/>
            <family val="2"/>
          </rPr>
          <t xml:space="preserve">Vernon Lamb:
</t>
        </r>
        <r>
          <rPr>
            <sz val="8"/>
            <color rgb="FF000000"/>
            <rFont val="Tahoma"/>
            <family val="2"/>
          </rPr>
          <t xml:space="preserve">Boat Ramp: 71.3 = 18,844.5 AF. </t>
        </r>
      </text>
    </comment>
    <comment ref="AN40" authorId="0">
      <text>
        <r>
          <rPr>
            <b val="true"/>
            <sz val="8"/>
            <color rgb="FF000000"/>
            <rFont val="Tahoma"/>
            <family val="2"/>
          </rPr>
          <t xml:space="preserve">Vernon Lamb:
</t>
        </r>
        <r>
          <rPr>
            <sz val="8"/>
            <color rgb="FF000000"/>
            <rFont val="Tahoma"/>
            <family val="2"/>
          </rPr>
          <t xml:space="preserve">As control room wasn't on 24 hr shifts, MVIC stopped filling Narraguinnep over the weekend. Will resume filling on Monday.</t>
        </r>
      </text>
    </comment>
    <comment ref="AN44" authorId="0">
      <text>
        <r>
          <rPr>
            <b val="true"/>
            <sz val="8"/>
            <color rgb="FF000000"/>
            <rFont val="Tahoma"/>
            <family val="2"/>
          </rPr>
          <t xml:space="preserve">Vernon Lamb:
</t>
        </r>
        <r>
          <rPr>
            <sz val="8"/>
            <color rgb="FF000000"/>
            <rFont val="Tahoma"/>
            <family val="2"/>
          </rPr>
          <t xml:space="preserve">"-17.34" in cell equation to account for MVIC filling Narr via Lone Pine and then releasing 17.34 CFS stock water through Narr West Gate.</t>
        </r>
      </text>
    </comment>
    <comment ref="AN45" authorId="0">
      <text>
        <r>
          <rPr>
            <b val="true"/>
            <sz val="8"/>
            <color rgb="FF000000"/>
            <rFont val="Tahoma"/>
            <family val="2"/>
          </rPr>
          <t xml:space="preserve">Vernon Lamb:
</t>
        </r>
        <r>
          <rPr>
            <sz val="8"/>
            <color rgb="FF000000"/>
            <rFont val="Tahoma"/>
            <family val="2"/>
          </rPr>
          <t xml:space="preserve">MVIC: Narr full at 08:00.</t>
        </r>
      </text>
    </comment>
    <comment ref="AO43" authorId="0">
      <text>
        <r>
          <rPr>
            <b val="true"/>
            <sz val="8"/>
            <color rgb="FF000000"/>
            <rFont val="Tahoma"/>
            <family val="2"/>
          </rPr>
          <t xml:space="preserve">Vernon Lamb:
</t>
        </r>
        <r>
          <rPr>
            <sz val="8"/>
            <color rgb="FF000000"/>
            <rFont val="Tahoma"/>
            <family val="2"/>
          </rPr>
          <t xml:space="preserve">Begin MVIC Stock Run. East Lateral 0.0 CFS; U-Lateral 0.0 CFS; West Lateral started at 07:05 at 20.0 CFS. 
Calcs: W Lat ran 16 hours 55 minutes at 20 cfs: (((55/60)+16)/24)*20 = 14.10 cfs.
"+12.94" for stock water taken south out of THC. Over the course of the 6 day stock run, THC stock users took a total of 154 AF (12.94  cfs/day for 6 days.) Per Brandon J.</t>
        </r>
      </text>
    </comment>
    <comment ref="AO44" authorId="0">
      <text>
        <r>
          <rPr>
            <b val="true"/>
            <sz val="8"/>
            <color rgb="FF000000"/>
            <rFont val="Tahoma"/>
            <family val="2"/>
          </rPr>
          <t xml:space="preserve">Vernon Lamb:
</t>
        </r>
        <r>
          <rPr>
            <sz val="8"/>
            <color rgb="FF000000"/>
            <rFont val="Tahoma"/>
            <family val="2"/>
          </rPr>
          <t xml:space="preserve">MVIC stock run: E Lat started at 07:22 at 20 CFS; W Lat at 20 CFS; U Lat started at 08:13 at 20 CFS. U Lat cut back to 10 CFS at 18:00.
Calcs:
"+17.34 cfs" in cell equation to account for MVIC filling Narr via Lone Pine and then releasing 17.34 CFS stock water through Narr West Gate.
E Lat ran 16 hours 38 minutes at 20 cfs: (((38/60)+16)/24)*20=13.86 cfs
W Lat ran 24 hours at 20 cfs: (24/24)*20=20 cfs
"+12.94" for stock water taken south out of THC. Over the course of the 6 day stock run, THC stock users took a total of 154 AF (12.94  cfs/day for 6 days.) Per Brandon J.</t>
        </r>
      </text>
    </comment>
    <comment ref="AO45" authorId="0">
      <text>
        <r>
          <rPr>
            <b val="true"/>
            <sz val="8"/>
            <color rgb="FF000000"/>
            <rFont val="Tahoma"/>
            <family val="2"/>
          </rPr>
          <t xml:space="preserve">Vernon Lamb:
</t>
        </r>
        <r>
          <rPr>
            <sz val="8"/>
            <color rgb="FF000000"/>
            <rFont val="Tahoma"/>
            <family val="2"/>
          </rPr>
          <t xml:space="preserve">E Lat at 20 CFS; W Lat at 20 CFS; U Lat at 10 CFS.
Since Narr filled at 08:00 (1/3 of the day) 2/3 of the 15.2 in NARR FILL cell count toward MVIC Stock Water through Narr west gate.
Calcs:
All lats remained constant throughout day.
"+12.94" for stock water taken south out of THC. Over the course of the 6 day stock run, THC stock users took a total of 154 AF (12.94  cfs/day for 6 days.) Per Brandon J.</t>
        </r>
      </text>
    </comment>
  </commentList>
</comments>
</file>

<file path=xl/comments6.xml><?xml version="1.0" encoding="utf-8"?>
<comments xmlns="http://schemas.openxmlformats.org/spreadsheetml/2006/main" xmlns:xdr="http://schemas.openxmlformats.org/drawingml/2006/spreadsheetDrawing">
  <authors>
    <author> </author>
  </authors>
  <commentList>
    <comment ref="G40" authorId="0">
      <text>
        <r>
          <rPr>
            <b val="true"/>
            <sz val="8"/>
            <color rgb="FF000000"/>
            <rFont val="Tahoma"/>
            <family val="2"/>
          </rPr>
          <t xml:space="preserve">Vernon Lamb:
</t>
        </r>
        <r>
          <rPr>
            <sz val="8"/>
            <color rgb="FF000000"/>
            <rFont val="Tahoma"/>
            <family val="2"/>
          </rPr>
          <t xml:space="preserve">4/27/15: USGS updated the DOLDOLCO gage. They replaced "ICE" values with numeric values and approved all values through March 15th.The first updated value was Nov 23rd.
From change, Dol Riv lost 239 AF. Before change on 4/27/15:
YTD CFS: 24,949
YTD AF: 49,487
After change on 4/27/15:
YTD CFS: 24,829
YTD AF: 49,248
Changes by Month:
Nov: -29 CFS / -57 AF
Dec: +18 CFS / +36 AF
Jan: NO CHANGE
Feb: -86 CFS / -171 AF
Mar: -23 CFS / -47 AF
Apr: NO CHANGE
Net Change: -120 CFS / -239 AF</t>
        </r>
      </text>
    </comment>
    <comment ref="N8" authorId="0">
      <text>
        <r>
          <rPr>
            <b val="true"/>
            <sz val="8"/>
            <color rgb="FF000000"/>
            <rFont val="Tahoma"/>
            <family val="2"/>
          </rPr>
          <t xml:space="preserve">E. A. Birk:
</t>
        </r>
        <r>
          <rPr>
            <sz val="8"/>
            <color rgb="FF000000"/>
            <rFont val="Tahoma"/>
            <family val="2"/>
          </rPr>
          <t xml:space="preserve">Of the 800 Ac. Ft. of Fish &amp; Wildlife water 400 Ac. Ft.goes into the Wetlands &amp; 400 Ac. ft. goes into Totten.</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W16" authorId="0">
      <text>
        <r>
          <rPr>
            <b val="true"/>
            <sz val="8"/>
            <color rgb="FF000000"/>
            <rFont val="Tahoma"/>
            <family val="2"/>
          </rPr>
          <t xml:space="preserve">Vernon Lamb:
</t>
        </r>
        <r>
          <rPr>
            <sz val="8"/>
            <color rgb="FF000000"/>
            <rFont val="Tahoma"/>
            <family val="2"/>
          </rPr>
          <t xml:space="preserve">End of U Lat Stock Run: cut back to 0 cfs at 20:50 Hrs.</t>
        </r>
      </text>
    </comment>
    <comment ref="Y15" authorId="0">
      <text>
        <r>
          <rPr>
            <b val="true"/>
            <sz val="8"/>
            <color rgb="FF000000"/>
            <rFont val="Tahoma"/>
            <family val="2"/>
          </rPr>
          <t xml:space="preserve">Vernon Lamb:
</t>
        </r>
        <r>
          <rPr>
            <sz val="8"/>
            <color rgb="FF000000"/>
            <rFont val="Tahoma"/>
            <family val="2"/>
          </rPr>
          <t xml:space="preserve">Negative due to stock run. Applies to 1st through the 3rd.</t>
        </r>
      </text>
    </comment>
    <comment ref="AC15" authorId="0">
      <text>
        <r>
          <rPr>
            <b val="true"/>
            <sz val="8"/>
            <color rgb="FF000000"/>
            <rFont val="Tahoma"/>
            <family val="2"/>
          </rPr>
          <t xml:space="preserve">Vernon Lamb:
</t>
        </r>
        <r>
          <rPr>
            <sz val="8"/>
            <color rgb="FF000000"/>
            <rFont val="Tahoma"/>
            <family val="2"/>
          </rPr>
          <t xml:space="preserve">Totten Exchange was completed earlier in the water year. Exhange water now incurs evap losses until MVI uses it.</t>
        </r>
      </text>
    </comment>
    <comment ref="AE15" authorId="0">
      <text>
        <r>
          <rPr>
            <b val="true"/>
            <sz val="8"/>
            <color rgb="FF000000"/>
            <rFont val="Tahoma"/>
            <family val="2"/>
          </rPr>
          <t xml:space="preserve">Vernon Lamb:
</t>
        </r>
        <r>
          <rPr>
            <sz val="8"/>
            <color rgb="FF000000"/>
            <rFont val="Tahoma"/>
            <family val="2"/>
          </rPr>
          <t xml:space="preserve">DWCD mechanics were in GCPP performing maintenance. Cycled 2 pumps resulting in brief water flow.</t>
        </r>
      </text>
    </comment>
    <comment ref="AE21" authorId="0">
      <text>
        <r>
          <rPr>
            <b val="true"/>
            <sz val="8"/>
            <color rgb="FF000000"/>
            <rFont val="Tahoma"/>
            <family val="2"/>
          </rPr>
          <t xml:space="preserve">Vernon Lamb:
</t>
        </r>
        <r>
          <rPr>
            <sz val="8"/>
            <color rgb="FF000000"/>
            <rFont val="Tahoma"/>
            <family val="2"/>
          </rPr>
          <t xml:space="preserve">Began sending water into Reach 1 of DCC at 10:00 Hrs.</t>
        </r>
      </text>
    </comment>
    <comment ref="AE27" authorId="0">
      <text>
        <r>
          <rPr>
            <b val="true"/>
            <sz val="8"/>
            <color rgb="FF000000"/>
            <rFont val="Tahoma"/>
            <family val="2"/>
          </rPr>
          <t xml:space="preserve">Vernon Lamb:
</t>
        </r>
        <r>
          <rPr>
            <sz val="8"/>
            <color rgb="FF000000"/>
            <rFont val="Tahoma"/>
            <family val="2"/>
          </rPr>
          <t xml:space="preserve">A few users in Hovenweep began using water.</t>
        </r>
      </text>
    </comment>
    <comment ref="AI5" authorId="0">
      <text>
        <r>
          <rPr>
            <b val="true"/>
            <sz val="8"/>
            <color rgb="FF000000"/>
            <rFont val="Tahoma"/>
            <family val="2"/>
          </rPr>
          <t xml:space="preserve">E. A. Birk:
</t>
        </r>
        <r>
          <rPr>
            <sz val="8"/>
            <color rgb="FF000000"/>
            <rFont val="Tahoma"/>
            <family val="2"/>
          </rPr>
          <t xml:space="preserve">This column runs from April 1st to March 31th as according to contract.</t>
        </r>
      </text>
    </comment>
    <comment ref="AI7" authorId="0">
      <text>
        <r>
          <rPr>
            <b val="true"/>
            <sz val="8"/>
            <color rgb="FF000000"/>
            <rFont val="Tahoma"/>
            <family val="2"/>
          </rPr>
          <t xml:space="preserve">Vernon Lamb:
</t>
        </r>
        <r>
          <rPr>
            <sz val="8"/>
            <color rgb="FF000000"/>
            <rFont val="Tahoma"/>
            <family val="2"/>
          </rPr>
          <t xml:space="preserve">7/8/15: Adjusted based on 7/8/15 allocations to 31,798 AF (full supply, 0% shortage).
3/26/15: From DWR Draft Fish Pool Budget at 58% of supply.</t>
        </r>
      </text>
    </comment>
    <comment ref="AO15" authorId="0">
      <text>
        <r>
          <rPr>
            <b val="true"/>
            <sz val="8"/>
            <color rgb="FF000000"/>
            <rFont val="Tahoma"/>
            <family val="2"/>
          </rPr>
          <t xml:space="preserve">Vernon Lamb:
</t>
        </r>
        <r>
          <rPr>
            <sz val="8"/>
            <color rgb="FF000000"/>
            <rFont val="Tahoma"/>
            <family val="2"/>
          </rPr>
          <t xml:space="preserve">E Lat at 20 CFS; W Lat at 20 CFS; U Lat at 10 CFS.
Calcs:
"+14.37 cfs" in cell equation to account for MVIC filling Narr via Lone Pine and then releasing 14.37 CFS stock water through Narr West Gate. In total MVIC took 140 AF through Narr west gate (per Brandon J.).
All lats remained constant throughout day.
"+12.94" for stock water taken south out of THC. Over the course of the 6 day stock run, THC stock users took a total of 154 AF (12.94  cfs/day for 6 days.) Per Brandon J.</t>
        </r>
      </text>
    </comment>
    <comment ref="AO16" authorId="0">
      <text>
        <r>
          <rPr>
            <b val="true"/>
            <sz val="8"/>
            <color rgb="FF000000"/>
            <rFont val="Tahoma"/>
            <family val="2"/>
          </rPr>
          <t xml:space="preserve">Vernon Lamb:
</t>
        </r>
        <r>
          <rPr>
            <sz val="8"/>
            <color rgb="FF000000"/>
            <rFont val="Tahoma"/>
            <family val="2"/>
          </rPr>
          <t xml:space="preserve">E Lat at 20 CFS; W Lat at 20 CFS, cut back to 0 CFS at 18:00; U Lat at 10 CFS, cut back to 0 CFS at 20:50.
Calcs:
"+14.37 cfs" in cell equation to account for MVIC filling Narr via Lone Pine and then releasing 14.37 CFS stock water through Narr West Gate. In total MVIC took 140 AF through Narr west gate (per Brandon J.).
E Lat ran 24 hours at 20 cfs: (24/24)*20=20 cfs
W Lat ran 18 hours at 20cfs: (18/24)*20=15 cfs.
"+12.94" for stock water taken south out of THC. Over the course of the 6 day stock run, THC stock users took a total of 154 AF (12.94  cfs/day for 6 days.) Per Brandon J.</t>
        </r>
      </text>
    </comment>
    <comment ref="AO17" authorId="0">
      <text>
        <r>
          <rPr>
            <b val="true"/>
            <sz val="8"/>
            <color rgb="FF000000"/>
            <rFont val="Tahoma"/>
            <family val="2"/>
          </rPr>
          <t xml:space="preserve">Vernon Lamb:
</t>
        </r>
        <r>
          <rPr>
            <sz val="8"/>
            <color rgb="FF000000"/>
            <rFont val="Tahoma"/>
            <family val="2"/>
          </rPr>
          <t xml:space="preserve">End of MVIC Stock Run. E Lat at 20 CFS, cut back to 0 CFS at 06:00; W Lat at 0 CFS; U Lat at 0 CFS.
Calcs:
"+14.37 cfs" in cell equation to account for MVIC filling Narr via Lone Pine and then releasing 14.37 CFS stock water through Narr West Gate. In total MVIC took 140 AF through Narr west gate (per Brandon J.).
E Lat ran 6 hours at 20 cfs: (6/24)*20=5 cfs.
"+12.94" for stock water taken south out of THC. Over the course of the 6 day stock run, THC stock users took a total of 154 AF (12.94  cfs/day for 6 days.) Per Brandon J.</t>
        </r>
      </text>
    </comment>
    <comment ref="AT7" authorId="0">
      <text>
        <r>
          <rPr>
            <b val="true"/>
            <sz val="8"/>
            <color rgb="FF000000"/>
            <rFont val="Tahoma"/>
            <family val="2"/>
          </rPr>
          <t xml:space="preserve">E. A. Birk:
</t>
        </r>
        <r>
          <rPr>
            <sz val="8"/>
            <color rgb="FF000000"/>
            <rFont val="Tahoma"/>
            <family val="2"/>
          </rPr>
          <t xml:space="preserve">Of the 800 Ac. Ft. of Fish &amp; Wildlife water 400 Ac. Ft. goes into Totten.</t>
        </r>
      </text>
    </comment>
  </commentList>
</comments>
</file>

<file path=xl/comments7.xml><?xml version="1.0" encoding="utf-8"?>
<comments xmlns="http://schemas.openxmlformats.org/spreadsheetml/2006/main" xmlns:xdr="http://schemas.openxmlformats.org/drawingml/2006/spreadsheetDrawing">
  <authors>
    <author> </author>
  </authors>
  <commentList>
    <comment ref="B19" authorId="0">
      <text>
        <r>
          <rPr>
            <b val="true"/>
            <sz val="8"/>
            <color rgb="FF000000"/>
            <rFont val="Tahoma"/>
            <family val="2"/>
          </rPr>
          <t xml:space="preserve">Vernon Lamb:
</t>
        </r>
        <r>
          <rPr>
            <sz val="8"/>
            <color rgb="FF000000"/>
            <rFont val="Tahoma"/>
            <family val="2"/>
          </rPr>
          <t xml:space="preserve">McPhee elevation sensor malfunctioned night of the 5th. 5/6 Phil went to Dam and restored functionality just before 1200 Hrs. At 1200 Hrs elev: 6,878.76'. For estimated midnight reading: 6,878.76' - 6,878.25' = 0.51' * 2/3 = 0.34' + 6,878.25 = 6,878.59'.</t>
        </r>
      </text>
    </comment>
    <comment ref="G18" authorId="0">
      <text>
        <r>
          <rPr>
            <b val="true"/>
            <sz val="8"/>
            <color rgb="FF000000"/>
            <rFont val="Tahoma"/>
            <family val="2"/>
          </rPr>
          <t xml:space="preserve">Vernon Lamb:
</t>
        </r>
        <r>
          <rPr>
            <sz val="8"/>
            <color rgb="FF000000"/>
            <rFont val="Tahoma"/>
            <family val="2"/>
          </rPr>
          <t xml:space="preserve">5/4/15: USGS updated DOLDOLCO gage provisional values. The first updated value was Mar 24th.
From change, Dol Riv gained 563 AF. Before change on 5/4/15:
YTD CFS: 28,543
YTD AF: 56,615
After change on 5/4/15:
YTD CFS: 28,827
YTD AF: 57,178
Changes by Month:
Mar: +35 CFS / +69 AF
Apr: +249 CFS / +494 AF
May: NO CHANGE
Net Change: +284 CFS / +563 AF</t>
        </r>
      </text>
    </comment>
    <comment ref="G34" authorId="0">
      <text>
        <r>
          <rPr>
            <b val="true"/>
            <sz val="8"/>
            <color rgb="FF000000"/>
            <rFont val="Tahoma"/>
            <family val="2"/>
          </rPr>
          <t xml:space="preserve">Vernon Lamb:
</t>
        </r>
        <r>
          <rPr>
            <sz val="8"/>
            <color rgb="FF000000"/>
            <rFont val="Tahoma"/>
            <family val="2"/>
          </rPr>
          <t xml:space="preserve">5/21/15: USGS updated May DOLDOLCO gage provisional values. The first updated value was May 2nd.
From change, Dol Riv lost 389 AF. Before change on 5/21/15:
YTD CFS: 45,784
YTD AF: 90,813
After change on 5/21/15:
YTD CFS: 45,588
YTD AF: 90,424
Changes by Month:
May/Net Change: -196 CFS / -389 AF
</t>
        </r>
      </text>
    </comment>
    <comment ref="N8" authorId="0">
      <text>
        <r>
          <rPr>
            <b val="true"/>
            <sz val="8"/>
            <color rgb="FF000000"/>
            <rFont val="Tahoma"/>
            <family val="2"/>
          </rPr>
          <t xml:space="preserve">E. A. Birk:
</t>
        </r>
        <r>
          <rPr>
            <sz val="8"/>
            <color rgb="FF000000"/>
            <rFont val="Tahoma"/>
            <family val="2"/>
          </rPr>
          <t xml:space="preserve">Of the 800 Ac. Ft. of Fish &amp; Wildlife water 400 Ac. Ft.goes into the Wetlands &amp; 400 Ac. ft. goes into Totten.</t>
        </r>
      </text>
    </comment>
    <comment ref="N19" authorId="0">
      <text>
        <r>
          <rPr>
            <b val="true"/>
            <sz val="8"/>
            <color rgb="FF000000"/>
            <rFont val="Tahoma"/>
            <family val="2"/>
          </rPr>
          <t xml:space="preserve">Vernon Lamb:
</t>
        </r>
        <r>
          <rPr>
            <sz val="8"/>
            <color rgb="FF000000"/>
            <rFont val="Tahoma"/>
            <family val="2"/>
          </rPr>
          <t xml:space="preserve">Begin water for Wetlands at 1 AF/day.</t>
        </r>
      </text>
    </comment>
    <comment ref="P6" authorId="0">
      <text>
        <r>
          <rPr>
            <b val="true"/>
            <sz val="8"/>
            <color rgb="FF000000"/>
            <rFont val="Tahoma"/>
            <family val="2"/>
          </rPr>
          <t xml:space="preserve">Vernon Lamb:
</t>
        </r>
        <r>
          <rPr>
            <sz val="8"/>
            <color rgb="FF000000"/>
            <rFont val="Tahoma"/>
            <family val="2"/>
          </rPr>
          <t xml:space="preserve">5/19/15: Name change only. Was Questar Exploration &amp; Production Co. Now QEP Resources, Inc.</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V39" authorId="0">
      <text>
        <r>
          <rPr>
            <b val="true"/>
            <sz val="8"/>
            <color rgb="FF000000"/>
            <rFont val="Tahoma"/>
            <family val="2"/>
          </rPr>
          <t xml:space="preserve">Vernon Lamb:
</t>
        </r>
        <r>
          <rPr>
            <sz val="8"/>
            <color rgb="FF000000"/>
            <rFont val="Tahoma"/>
            <family val="2"/>
          </rPr>
          <t xml:space="preserve">MVIC began releasing through the Lone Pine. Still releasing some through West gate of Narr - Per Brandon J.</t>
        </r>
      </text>
    </comment>
    <comment ref="V44" authorId="0">
      <text>
        <r>
          <rPr>
            <b val="true"/>
            <sz val="8"/>
            <color rgb="FF000000"/>
            <rFont val="Tahoma"/>
            <family val="2"/>
          </rPr>
          <t xml:space="preserve">Vernon Lamb:
</t>
        </r>
        <r>
          <rPr>
            <sz val="8"/>
            <color rgb="FF000000"/>
            <rFont val="Tahoma"/>
            <family val="2"/>
          </rPr>
          <t xml:space="preserve">MVIC increased LP flows to ~15 cfs per Brandon J.</t>
        </r>
      </text>
    </comment>
    <comment ref="AR15" authorId="0">
      <text>
        <r>
          <rPr>
            <b val="true"/>
            <sz val="8"/>
            <color rgb="FF000000"/>
            <rFont val="Tahoma"/>
            <family val="2"/>
          </rPr>
          <t xml:space="preserve">Vernon Lamb:
</t>
        </r>
        <r>
          <rPr>
            <sz val="8"/>
            <color rgb="FF000000"/>
            <rFont val="Tahoma"/>
            <family val="2"/>
          </rPr>
          <t xml:space="preserve">Class B began using. Total Class B usage for May: 480.633 AF.</t>
        </r>
      </text>
    </comment>
    <comment ref="AR41" authorId="0">
      <text>
        <r>
          <rPr>
            <b val="true"/>
            <sz val="8"/>
            <color rgb="FF000000"/>
            <rFont val="Tahoma"/>
            <family val="2"/>
          </rPr>
          <t xml:space="preserve">Vernon Lamb:
</t>
        </r>
        <r>
          <rPr>
            <sz val="8"/>
            <color rgb="FF000000"/>
            <rFont val="Tahoma"/>
            <family val="2"/>
          </rPr>
          <t xml:space="preserve">Class B meters were read May 27th &amp; 28th.</t>
        </r>
      </text>
    </comment>
    <comment ref="AS8" authorId="0">
      <text>
        <r>
          <rPr>
            <b val="true"/>
            <sz val="8"/>
            <color rgb="FF000000"/>
            <rFont val="Tahoma"/>
            <family val="2"/>
          </rPr>
          <t xml:space="preserve">Vernon Lamb:
</t>
        </r>
        <r>
          <rPr>
            <sz val="8"/>
            <color rgb="FF000000"/>
            <rFont val="Tahoma"/>
            <family val="2"/>
          </rPr>
          <t xml:space="preserve">1,535.7 AF is the 2015 U/S users release amount.</t>
        </r>
      </text>
    </comment>
    <comment ref="BA39" authorId="0">
      <text>
        <r>
          <rPr>
            <b val="true"/>
            <sz val="8"/>
            <color rgb="FF000000"/>
            <rFont val="Tahoma"/>
            <family val="2"/>
          </rPr>
          <t xml:space="preserve">Vernon Lamb:
</t>
        </r>
        <r>
          <rPr>
            <sz val="8"/>
            <color rgb="FF000000"/>
            <rFont val="Tahoma"/>
            <family val="2"/>
          </rPr>
          <t xml:space="preserve">MVIC began releasing from Groundhog at noon. Will up the flows within the next few days - Per Brandon J. 
Groundhog water is in effect "spilling." Currently do not need to capture the flows anywhere. MVIC isn't releasing "their" water yet, they are still storing.</t>
        </r>
      </text>
    </comment>
    <comment ref="BA44" authorId="0">
      <text>
        <r>
          <rPr>
            <b val="true"/>
            <sz val="8"/>
            <color rgb="FF000000"/>
            <rFont val="Tahoma"/>
            <family val="2"/>
          </rPr>
          <t xml:space="preserve">Vernon Lamb:
</t>
        </r>
        <r>
          <rPr>
            <sz val="8"/>
            <color rgb="FF000000"/>
            <rFont val="Tahoma"/>
            <family val="2"/>
          </rPr>
          <t xml:space="preserve">MVIC increased GH discharge to ~100 cfs per Brandon J.</t>
        </r>
      </text>
    </comment>
  </commentList>
</comments>
</file>

<file path=xl/comments8.xml><?xml version="1.0" encoding="utf-8"?>
<comments xmlns="http://schemas.openxmlformats.org/spreadsheetml/2006/main" xmlns:xdr="http://schemas.openxmlformats.org/drawingml/2006/spreadsheetDrawing">
  <authors>
    <author> </author>
  </authors>
  <commentList>
    <comment ref="N8" authorId="0">
      <text>
        <r>
          <rPr>
            <b val="true"/>
            <sz val="8"/>
            <color rgb="FF000000"/>
            <rFont val="Tahoma"/>
            <family val="2"/>
          </rPr>
          <t xml:space="preserve">E. A. Birk:
</t>
        </r>
        <r>
          <rPr>
            <sz val="8"/>
            <color rgb="FF000000"/>
            <rFont val="Tahoma"/>
            <family val="2"/>
          </rPr>
          <t xml:space="preserve">Of the 800 Ac. Ft. of Fish &amp; Wildlife water 400 Ac. Ft.goes into the Wetlands &amp; 400 Ac. ft. goes into Totten.</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Z17" authorId="0">
      <text>
        <r>
          <rPr>
            <b val="true"/>
            <sz val="8"/>
            <color rgb="FF000000"/>
            <rFont val="Tahoma"/>
            <family val="2"/>
          </rPr>
          <t xml:space="preserve">Vernon:
</t>
        </r>
        <r>
          <rPr>
            <sz val="8"/>
            <color rgb="FF000000"/>
            <rFont val="Tahoma"/>
            <family val="2"/>
          </rPr>
          <t xml:space="preserve">MVIC began using Call Water.</t>
        </r>
      </text>
    </comment>
    <comment ref="AA17" authorId="0">
      <text>
        <r>
          <rPr>
            <b val="true"/>
            <sz val="8"/>
            <color rgb="FF000000"/>
            <rFont val="Tahoma"/>
            <family val="2"/>
          </rPr>
          <t xml:space="preserve">Vernon Lamb:
</t>
        </r>
        <r>
          <rPr>
            <sz val="8"/>
            <color rgb="FF000000"/>
            <rFont val="Tahoma"/>
            <family val="2"/>
          </rPr>
          <t xml:space="preserve">This is the amount MVIC went over their 72,000 AF diversion and is counted against their Call Water.</t>
        </r>
      </text>
    </comment>
    <comment ref="AB17" authorId="0">
      <text>
        <r>
          <rPr>
            <b val="true"/>
            <sz val="8"/>
            <color rgb="FF000000"/>
            <rFont val="Tahoma"/>
            <family val="2"/>
          </rPr>
          <t xml:space="preserve">Vernon Lamb:
</t>
        </r>
        <r>
          <rPr>
            <sz val="8"/>
            <color rgb="FF000000"/>
            <rFont val="Tahoma"/>
            <family val="2"/>
          </rPr>
          <t xml:space="preserve">Prov Comment: MVIC reached their 72,000 AF for Apr-June. They're over their 72,000 by 1,312 AF which is counted against their Call Water for today.</t>
        </r>
      </text>
    </comment>
    <comment ref="AN15" authorId="0">
      <text>
        <r>
          <rPr>
            <b val="true"/>
            <sz val="8"/>
            <color rgb="FF000000"/>
            <rFont val="Tahoma"/>
            <family val="2"/>
          </rPr>
          <t xml:space="preserve">Vernon Lamb:
</t>
        </r>
        <r>
          <rPr>
            <sz val="8"/>
            <color rgb="FF000000"/>
            <rFont val="Tahoma"/>
            <family val="2"/>
          </rPr>
          <t xml:space="preserve">Narr Boat Ramp at 08:00 57.7' = 11,756.08 AF.</t>
        </r>
      </text>
    </comment>
    <comment ref="AR15" authorId="0">
      <text>
        <r>
          <rPr>
            <b val="true"/>
            <sz val="8"/>
            <color rgb="FF000000"/>
            <rFont val="Tahoma"/>
            <family val="2"/>
          </rPr>
          <t xml:space="preserve">Vernon Lamb:
</t>
        </r>
        <r>
          <rPr>
            <sz val="8"/>
            <color rgb="FF000000"/>
            <rFont val="Tahoma"/>
            <family val="2"/>
          </rPr>
          <t xml:space="preserve">June 2015 Class B: 719.159 AF.</t>
        </r>
      </text>
    </comment>
    <comment ref="AR40" authorId="0">
      <text>
        <r>
          <rPr>
            <b val="true"/>
            <sz val="9"/>
            <color rgb="FF000000"/>
            <rFont val="Tahoma"/>
            <family val="2"/>
          </rPr>
          <t xml:space="preserve">Vernon Lamb:
</t>
        </r>
        <r>
          <rPr>
            <sz val="9"/>
            <color rgb="FF000000"/>
            <rFont val="Tahoma"/>
            <family val="2"/>
          </rPr>
          <t xml:space="preserve">Class B meters were read June 26th.</t>
        </r>
      </text>
    </comment>
    <comment ref="AS8" authorId="0">
      <text>
        <r>
          <rPr>
            <b val="true"/>
            <sz val="8"/>
            <color rgb="FF000000"/>
            <rFont val="Tahoma"/>
            <family val="2"/>
          </rPr>
          <t xml:space="preserve">Vernon Lamb:
</t>
        </r>
        <r>
          <rPr>
            <sz val="8"/>
            <color rgb="FF000000"/>
            <rFont val="Tahoma"/>
            <family val="2"/>
          </rPr>
          <t xml:space="preserve">1,535.7 AF is the 2015 U/S users release amount.</t>
        </r>
      </text>
    </comment>
    <comment ref="BA41" authorId="0">
      <text>
        <r>
          <rPr>
            <b val="true"/>
            <sz val="9"/>
            <color rgb="FF000000"/>
            <rFont val="Tahoma"/>
            <family val="2"/>
          </rPr>
          <t xml:space="preserve">Vernon Lamb:
</t>
        </r>
        <r>
          <rPr>
            <sz val="9"/>
            <color rgb="FF000000"/>
            <rFont val="Tahoma"/>
            <family val="2"/>
          </rPr>
          <t xml:space="preserve">MVIC lowered the discharge to approximately 32 cfs. </t>
        </r>
      </text>
    </comment>
    <comment ref="BB41" authorId="0">
      <text>
        <r>
          <rPr>
            <b val="true"/>
            <sz val="9"/>
            <color rgb="FF000000"/>
            <rFont val="Tahoma"/>
            <family val="2"/>
          </rPr>
          <t xml:space="preserve">Vernon Lamb:
</t>
        </r>
        <r>
          <rPr>
            <sz val="9"/>
            <color rgb="FF000000"/>
            <rFont val="Tahoma"/>
            <family val="2"/>
          </rPr>
          <t xml:space="preserve">Rodents chewed through antenna cable making the GH gage go offline for the 27th and 28th. USGS later repaired the gage and provided values.</t>
        </r>
      </text>
    </comment>
  </commentList>
</comments>
</file>

<file path=xl/comments9.xml><?xml version="1.0" encoding="utf-8"?>
<comments xmlns="http://schemas.openxmlformats.org/spreadsheetml/2006/main" xmlns:xdr="http://schemas.openxmlformats.org/drawingml/2006/spreadsheetDrawing">
  <authors>
    <author> </author>
  </authors>
  <commentList>
    <comment ref="G20" authorId="0">
      <text>
        <r>
          <rPr>
            <b val="true"/>
            <sz val="8"/>
            <color rgb="FF000000"/>
            <rFont val="Tahoma"/>
            <family val="2"/>
          </rPr>
          <t xml:space="preserve">Eric  Sprague:
</t>
        </r>
        <r>
          <rPr>
            <sz val="8"/>
            <color rgb="FF000000"/>
            <rFont val="Tahoma"/>
            <family val="2"/>
          </rPr>
          <t xml:space="preserve">7/6/15: USGS updated DOLDOLCO gage provisional values. The first updated value was Jun 10th.
From change, Dol Riv gained 18,185 AF. 
Before change on 7/6/15:
YTD CFS: 112,236
YTD AF: 222,620
After change on 7/6/15:
YTD CFS: 121,404
YTD AF: 240,805
Changes by Month:
Jun: +8,892 CFS / +17,637 AF
Jul: +276 CFS / +548 AF
Net Change: +9,168 CFS / +18,185 AF</t>
        </r>
      </text>
    </comment>
    <comment ref="N8" authorId="0">
      <text>
        <r>
          <rPr>
            <b val="true"/>
            <sz val="8"/>
            <color rgb="FF000000"/>
            <rFont val="Tahoma"/>
            <family val="2"/>
          </rPr>
          <t xml:space="preserve">E. A. Birk:
</t>
        </r>
        <r>
          <rPr>
            <sz val="8"/>
            <color rgb="FF000000"/>
            <rFont val="Tahoma"/>
            <family val="2"/>
          </rPr>
          <t xml:space="preserve">Of the 800 Ac. Ft. of Fish &amp; Wildlife water 400 Ac. Ft.goes into the Wetlands &amp; 400 Ac. ft. goes into Totten.</t>
        </r>
      </text>
    </comment>
    <comment ref="O8" authorId="0">
      <text>
        <r>
          <rPr>
            <b val="true"/>
            <sz val="8"/>
            <color rgb="FF000000"/>
            <rFont val="Tahoma"/>
            <family val="2"/>
          </rPr>
          <t xml:space="preserve">Vernon Lamb:
</t>
        </r>
        <r>
          <rPr>
            <sz val="8"/>
            <color rgb="FF000000"/>
            <rFont val="Tahoma"/>
            <family val="2"/>
          </rPr>
          <t xml:space="preserve">7/8/15: UF&amp;R supply calc'd on 7/8/15 allocations totaling 24,517 AF at 0% shortage. This supply amount is with 0 AF of lease water.</t>
        </r>
      </text>
    </comment>
    <comment ref="P29" authorId="0">
      <text>
        <r>
          <rPr>
            <b val="true"/>
            <sz val="8"/>
            <color rgb="FF000000"/>
            <rFont val="Tahoma"/>
            <family val="2"/>
          </rPr>
          <t xml:space="preserve">Vernon Lamb:
</t>
        </r>
        <r>
          <rPr>
            <sz val="8"/>
            <color rgb="FF000000"/>
            <rFont val="Tahoma"/>
            <family val="2"/>
          </rPr>
          <t xml:space="preserve">At 14:00 hrs began Questar water release from THC through Totten. Will release 1 cfs over 7 days for a total of 14 AF.</t>
        </r>
      </text>
    </comment>
    <comment ref="P36" authorId="0">
      <text>
        <r>
          <rPr>
            <b val="true"/>
            <sz val="9"/>
            <color rgb="FF000000"/>
            <rFont val="Tahoma"/>
            <family val="2"/>
          </rPr>
          <t xml:space="preserve">Vernon Lamb:
</t>
        </r>
        <r>
          <rPr>
            <sz val="9"/>
            <color rgb="FF000000"/>
            <rFont val="Tahoma"/>
            <family val="2"/>
          </rPr>
          <t xml:space="preserve">QEP Release complete late last night. Closed Rocky Ford #2 turnout at 7:00 am today. </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Z15" authorId="0">
      <text>
        <r>
          <rPr>
            <b val="true"/>
            <sz val="9"/>
            <color rgb="FF000000"/>
            <rFont val="Tahoma"/>
            <family val="2"/>
          </rPr>
          <t xml:space="preserve">Vernon Lamb:
</t>
        </r>
        <r>
          <rPr>
            <sz val="9"/>
            <color rgb="FF000000"/>
            <rFont val="Tahoma"/>
            <family val="2"/>
          </rPr>
          <t xml:space="preserve">MVIC's call water amount is remaining constant as the Dolores River is producing more than MVIC is diverting. Once the river produces less than MVIC's diversions, they will begin using call water and this amount will decrease.</t>
        </r>
      </text>
    </comment>
    <comment ref="Z35" authorId="0">
      <text>
        <r>
          <rPr>
            <b val="true"/>
            <sz val="9"/>
            <color rgb="FF000000"/>
            <rFont val="Tahoma"/>
            <family val="2"/>
          </rPr>
          <t xml:space="preserve">Vernon Lamb:
</t>
        </r>
        <r>
          <rPr>
            <sz val="9"/>
            <color rgb="FF000000"/>
            <rFont val="Tahoma"/>
            <family val="2"/>
          </rPr>
          <t xml:space="preserve">First Day this season that MVIs diversion has been greater than Dolores River Inflows. MVIC Begin using Call Water.</t>
        </r>
      </text>
    </comment>
    <comment ref="AD8" authorId="0">
      <text>
        <r>
          <rPr>
            <b val="true"/>
            <sz val="8"/>
            <color rgb="FF000000"/>
            <rFont val="Tahoma"/>
            <family val="2"/>
          </rPr>
          <t xml:space="preserve">Vernon Lamb:
</t>
        </r>
        <r>
          <rPr>
            <sz val="8"/>
            <color rgb="FF000000"/>
            <rFont val="Tahoma"/>
            <family val="2"/>
          </rPr>
          <t xml:space="preserve">7/8/15: MVIC Project Water amount calc'd on 7/8/15 allocations totaling 5,195 AF at 0% shortage.</t>
        </r>
      </text>
    </comment>
    <comment ref="AD12" authorId="0">
      <text>
        <r>
          <rPr>
            <b val="true"/>
            <sz val="9"/>
            <color rgb="FF000000"/>
            <rFont val="Tahoma"/>
            <family val="2"/>
          </rPr>
          <t xml:space="preserve">Vernon Lamb:
</t>
        </r>
        <r>
          <rPr>
            <sz val="9"/>
            <color rgb="FF000000"/>
            <rFont val="Tahoma"/>
            <family val="2"/>
          </rPr>
          <t xml:space="preserve">MVIC Project Water amount in cfs.</t>
        </r>
      </text>
    </comment>
    <comment ref="AH41" authorId="0">
      <text>
        <r>
          <rPr>
            <b val="true"/>
            <sz val="9"/>
            <color rgb="FF000000"/>
            <rFont val="Tahoma"/>
            <family val="2"/>
          </rPr>
          <t xml:space="preserve">Vernon Lamb:
</t>
        </r>
        <r>
          <rPr>
            <sz val="9"/>
            <color rgb="FF000000"/>
            <rFont val="Tahoma"/>
            <family val="2"/>
          </rPr>
          <t xml:space="preserve">Doug P. &amp; Brian B. cleaned the flume at Dolores below McPhee. This dropped the gage height by 0.05'.</t>
        </r>
      </text>
    </comment>
    <comment ref="AN15" authorId="0">
      <text>
        <r>
          <rPr>
            <b val="true"/>
            <sz val="8"/>
            <color rgb="FF000000"/>
            <rFont val="Tahoma"/>
            <family val="2"/>
          </rPr>
          <t xml:space="preserve">Vernon Lamb:
</t>
        </r>
        <r>
          <rPr>
            <sz val="8"/>
            <color rgb="FF000000"/>
            <rFont val="Tahoma"/>
            <family val="2"/>
          </rPr>
          <t xml:space="preserve">Narr Boat Ramp at 07:00 49.4' = 8,367.10 AF.</t>
        </r>
      </text>
    </comment>
    <comment ref="AP8" authorId="0">
      <text>
        <r>
          <rPr>
            <b val="true"/>
            <sz val="8"/>
            <color rgb="FF000000"/>
            <rFont val="Tahoma"/>
            <family val="2"/>
          </rPr>
          <t xml:space="preserve">E. A. Birk:
</t>
        </r>
        <r>
          <rPr>
            <sz val="8"/>
            <color rgb="FF000000"/>
            <rFont val="Tahoma"/>
            <family val="2"/>
          </rPr>
          <t xml:space="preserve">After June 30th MVIC can not store water in Narr. by contact, so this column only shows what the river produced in relationship to what MVIC used.</t>
        </r>
      </text>
    </comment>
    <comment ref="AR15" authorId="0">
      <text>
        <r>
          <rPr>
            <b val="true"/>
            <sz val="8"/>
            <color rgb="FF000000"/>
            <rFont val="Tahoma"/>
            <family val="2"/>
          </rPr>
          <t xml:space="preserve">Vernon Lamb:
</t>
        </r>
        <r>
          <rPr>
            <sz val="8"/>
            <color rgb="FF000000"/>
            <rFont val="Tahoma"/>
            <family val="2"/>
          </rPr>
          <t xml:space="preserve">July 2015 Class B: 1,685.083 AF.</t>
        </r>
      </text>
    </comment>
    <comment ref="AR44" authorId="0">
      <text>
        <r>
          <rPr>
            <b val="true"/>
            <sz val="9"/>
            <color rgb="FF000000"/>
            <rFont val="Tahoma"/>
            <family val="2"/>
          </rPr>
          <t xml:space="preserve">Vernon Lamb:
</t>
        </r>
        <r>
          <rPr>
            <sz val="9"/>
            <color rgb="FF000000"/>
            <rFont val="Tahoma"/>
            <family val="2"/>
          </rPr>
          <t xml:space="preserve">Class B meters were read July 30th.</t>
        </r>
      </text>
    </comment>
    <comment ref="AS8" authorId="0">
      <text>
        <r>
          <rPr>
            <b val="true"/>
            <sz val="8"/>
            <color rgb="FF000000"/>
            <rFont val="Tahoma"/>
            <family val="2"/>
          </rPr>
          <t xml:space="preserve">Eric Sprague:
</t>
        </r>
        <r>
          <rPr>
            <sz val="8"/>
            <color rgb="FF000000"/>
            <rFont val="Tahoma"/>
            <family val="2"/>
          </rPr>
          <t xml:space="preserve"> 13 OCT, 2015. 1,535.7 AF is the 2015 U/S users release amount.
The U/S Excahnge must reach this amount by for the end of the season.</t>
        </r>
      </text>
    </comment>
    <comment ref="AS39" authorId="0">
      <text>
        <r>
          <rPr>
            <b val="true"/>
            <sz val="9"/>
            <color rgb="FF000000"/>
            <rFont val="Tahoma"/>
            <family val="2"/>
          </rPr>
          <t xml:space="preserve">Vernon Lamb:
</t>
        </r>
        <r>
          <rPr>
            <sz val="9"/>
            <color rgb="FF000000"/>
            <rFont val="Tahoma"/>
            <family val="2"/>
          </rPr>
          <t xml:space="preserve">MVIC began releasing for U/S Users Exchange.</t>
        </r>
      </text>
    </comment>
    <comment ref="AT8" authorId="0">
      <text>
        <r>
          <rPr>
            <b val="true"/>
            <sz val="8"/>
            <color rgb="FF000000"/>
            <rFont val="Tahoma"/>
            <family val="2"/>
          </rPr>
          <t xml:space="preserve">Vernon Lamb:
</t>
        </r>
        <r>
          <rPr>
            <sz val="8"/>
            <color rgb="FF000000"/>
            <rFont val="Tahoma"/>
            <family val="2"/>
          </rPr>
          <t xml:space="preserve">7/8/15: SJB F&amp;W water adjusted based on 7/8 calcs to 800 AF. Half of this amount (400 AF) is allocated to Totten Fresh Water and the other half to the Wetlands.
</t>
        </r>
      </text>
    </comment>
    <comment ref="AT9" authorId="0">
      <text>
        <r>
          <rPr>
            <b val="true"/>
            <sz val="8"/>
            <color rgb="FF000000"/>
            <rFont val="Tahoma"/>
            <family val="2"/>
          </rPr>
          <t xml:space="preserve">Vernon Lamb:
</t>
        </r>
        <r>
          <rPr>
            <sz val="8"/>
            <color rgb="FF000000"/>
            <rFont val="Tahoma"/>
            <family val="2"/>
          </rPr>
          <t xml:space="preserve">Above value converted to cfs.</t>
        </r>
      </text>
    </comment>
    <comment ref="AT41" authorId="0">
      <text>
        <r>
          <rPr>
            <b val="true"/>
            <sz val="9"/>
            <color rgb="FF000000"/>
            <rFont val="Tahoma"/>
            <family val="2"/>
          </rPr>
          <t xml:space="preserve">Vernon Lamb:
</t>
        </r>
        <r>
          <rPr>
            <sz val="9"/>
            <color rgb="FF000000"/>
            <rFont val="Tahoma"/>
            <family val="2"/>
          </rPr>
          <t xml:space="preserve">Began SJB F&amp;W water release from THC into Totten for Totten Refresh Water.</t>
        </r>
      </text>
    </comment>
    <comment ref="AV30" authorId="0">
      <text>
        <r>
          <rPr>
            <b val="true"/>
            <sz val="9"/>
            <color rgb="FF000000"/>
            <rFont val="Tahoma"/>
            <family val="2"/>
          </rPr>
          <t xml:space="preserve">Vernon Lamb:
</t>
        </r>
        <r>
          <rPr>
            <sz val="9"/>
            <color rgb="FF000000"/>
            <rFont val="Tahoma"/>
            <family val="2"/>
          </rPr>
          <t xml:space="preserve">Performed maintenance tipping bucket Rain Gage. No measurement today.</t>
        </r>
      </text>
    </comment>
    <comment ref="BA29" authorId="0">
      <text>
        <r>
          <rPr>
            <b val="true"/>
            <sz val="9"/>
            <color rgb="FF000000"/>
            <rFont val="Tahoma"/>
            <family val="2"/>
          </rPr>
          <t xml:space="preserve">Vernon Lamb:
</t>
        </r>
        <r>
          <rPr>
            <sz val="9"/>
            <color rgb="FF000000"/>
            <rFont val="Tahoma"/>
            <family val="2"/>
          </rPr>
          <t xml:space="preserve">MVIC increased the Groundhog release. Aiming for around 100 cfs. -Per Brandon J.</t>
        </r>
      </text>
    </comment>
    <comment ref="BA31" authorId="0">
      <text>
        <r>
          <rPr>
            <b val="true"/>
            <sz val="9"/>
            <color rgb="FF000000"/>
            <rFont val="Tahoma"/>
            <family val="2"/>
          </rPr>
          <t xml:space="preserve">Vernon Lamb:
</t>
        </r>
        <r>
          <rPr>
            <sz val="9"/>
            <color rgb="FF000000"/>
            <rFont val="Tahoma"/>
            <family val="2"/>
          </rPr>
          <t xml:space="preserve">MVIC Closed Groundhog outlet release</t>
        </r>
      </text>
    </comment>
    <comment ref="BA39" authorId="0">
      <text>
        <r>
          <rPr>
            <b val="true"/>
            <sz val="9"/>
            <color rgb="FF000000"/>
            <rFont val="Tahoma"/>
            <family val="2"/>
          </rPr>
          <t xml:space="preserve">Vernon Lamb:
</t>
        </r>
        <r>
          <rPr>
            <sz val="9"/>
            <color rgb="FF000000"/>
            <rFont val="Tahoma"/>
            <family val="2"/>
          </rPr>
          <t xml:space="preserve">MVIC began releasing for U/S Users Exchange. See column AS.</t>
        </r>
      </text>
    </comment>
  </commentList>
</comments>
</file>

<file path=xl/comments10.xml><?xml version="1.0" encoding="utf-8"?>
<comments xmlns="http://schemas.openxmlformats.org/spreadsheetml/2006/main" xmlns:xdr="http://schemas.openxmlformats.org/drawingml/2006/spreadsheetDrawing">
  <authors>
    <author> </author>
  </authors>
  <commentList>
    <comment ref="N8" authorId="0">
      <text>
        <r>
          <rPr>
            <b val="true"/>
            <sz val="8"/>
            <color rgb="FF000000"/>
            <rFont val="Tahoma"/>
            <family val="2"/>
          </rPr>
          <t xml:space="preserve">E. A. Birk:
</t>
        </r>
        <r>
          <rPr>
            <sz val="8"/>
            <color rgb="FF000000"/>
            <rFont val="Tahoma"/>
            <family val="2"/>
          </rPr>
          <t xml:space="preserve">Of the 800 Ac. Ft. of Fish &amp; Wildlife water 400 Ac. Ft.goes into the Wetlands &amp; 400 Ac. ft. goes into Totten.</t>
        </r>
      </text>
    </comment>
    <comment ref="O8" authorId="0">
      <text>
        <r>
          <rPr>
            <b val="true"/>
            <sz val="8"/>
            <color rgb="FF000000"/>
            <rFont val="Tahoma"/>
            <family val="2"/>
          </rPr>
          <t xml:space="preserve">Vernon Lamb:
</t>
        </r>
        <r>
          <rPr>
            <sz val="8"/>
            <color rgb="FF000000"/>
            <rFont val="Tahoma"/>
            <family val="2"/>
          </rPr>
          <t xml:space="preserve">8/5/15: UF&amp;R still at full supply with 24,517 AF at 0% shortage and 0 AF of lease water.
7/8/15: UF&amp;R supply calc'd on 7/8/15 allocations totaling 24,517 AF at 0% shortage. This supply amount is with 0 AF of lease water.</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AD8" authorId="0">
      <text>
        <r>
          <rPr>
            <b val="true"/>
            <sz val="8"/>
            <color rgb="FF000000"/>
            <rFont val="Tahoma"/>
            <family val="2"/>
          </rPr>
          <t xml:space="preserve">Vernon Lamb:
</t>
        </r>
        <r>
          <rPr>
            <sz val="8"/>
            <color rgb="FF000000"/>
            <rFont val="Tahoma"/>
            <family val="2"/>
          </rPr>
          <t xml:space="preserve">7/8/15: MVIC Project Water amount calc'd on 7/8/15 allocations totaling 5,195 AF at 0% shortage.</t>
        </r>
      </text>
    </comment>
    <comment ref="AP8" authorId="0">
      <text>
        <r>
          <rPr>
            <b val="true"/>
            <sz val="8"/>
            <color rgb="FF000000"/>
            <rFont val="Tahoma"/>
            <family val="2"/>
          </rPr>
          <t xml:space="preserve">E. A. Birk:
</t>
        </r>
        <r>
          <rPr>
            <sz val="8"/>
            <color rgb="FF000000"/>
            <rFont val="Tahoma"/>
            <family val="2"/>
          </rPr>
          <t xml:space="preserve">After June 30th MVIC can not store water in Narr. by contact, so this column only shows what the river produced in relationship to what MVIC used.</t>
        </r>
      </text>
    </comment>
    <comment ref="AQ28" authorId="0">
      <text>
        <r>
          <rPr>
            <b val="true"/>
            <sz val="9"/>
            <color rgb="FF000000"/>
            <rFont val="Tahoma"/>
            <family val="2"/>
          </rPr>
          <t xml:space="preserve">Vernon Lamb:
</t>
        </r>
        <r>
          <rPr>
            <sz val="9"/>
            <color rgb="FF000000"/>
            <rFont val="Tahoma"/>
            <family val="2"/>
          </rPr>
          <t xml:space="preserve">Evap pan recorded an abnormally high value of 0.653 inches. This value is based off averages.</t>
        </r>
      </text>
    </comment>
    <comment ref="AR15" authorId="0">
      <text>
        <r>
          <rPr>
            <b val="true"/>
            <sz val="8"/>
            <color rgb="FF000000"/>
            <rFont val="Tahoma"/>
            <family val="2"/>
          </rPr>
          <t xml:space="preserve">Eric Sprague:
</t>
        </r>
        <r>
          <rPr>
            <sz val="8"/>
            <color rgb="FF000000"/>
            <rFont val="Tahoma"/>
            <family val="2"/>
          </rPr>
          <t xml:space="preserve">August 2015 Class B: 1,351.196 AF. Allocation calcs on 8/5/15 give a full Class B allocated amount of 6,000 AF.</t>
        </r>
      </text>
    </comment>
    <comment ref="AS8" authorId="0">
      <text>
        <r>
          <rPr>
            <b val="true"/>
            <sz val="8"/>
            <color rgb="FF000000"/>
            <rFont val="Tahoma"/>
            <family val="2"/>
          </rPr>
          <t xml:space="preserve">Eric Sprague:
</t>
        </r>
        <r>
          <rPr>
            <sz val="8"/>
            <color rgb="FF000000"/>
            <rFont val="Tahoma"/>
            <family val="2"/>
          </rPr>
          <t xml:space="preserve"> 13 OCT, 2015. 1,535.7 AF is the 2015 U/S users release amount.
The U/S Excahnge must reach this amount by for the end of the season.</t>
        </r>
      </text>
    </comment>
    <comment ref="AT8" authorId="0">
      <text>
        <r>
          <rPr>
            <b val="true"/>
            <sz val="8"/>
            <color rgb="FF000000"/>
            <rFont val="Tahoma"/>
            <family val="2"/>
          </rPr>
          <t xml:space="preserve">Vernon Lamb:
</t>
        </r>
        <r>
          <rPr>
            <sz val="8"/>
            <color rgb="FF000000"/>
            <rFont val="Tahoma"/>
            <family val="2"/>
          </rPr>
          <t xml:space="preserve">7/8/15: SJB F&amp;W water adjusted based on 7/8 calcs to 800 AF. Half of this amount (400 AF) is allocated to Totten Fresh Water and the other half to the Wetlands.
</t>
        </r>
      </text>
    </comment>
    <comment ref="AT9" authorId="0">
      <text>
        <r>
          <rPr>
            <b val="true"/>
            <sz val="8"/>
            <color rgb="FF000000"/>
            <rFont val="Tahoma"/>
            <family val="2"/>
          </rPr>
          <t xml:space="preserve">Vernon Lamb:
</t>
        </r>
        <r>
          <rPr>
            <sz val="8"/>
            <color rgb="FF000000"/>
            <rFont val="Tahoma"/>
            <family val="2"/>
          </rPr>
          <t xml:space="preserve">Above value converted to cfs.</t>
        </r>
      </text>
    </comment>
  </commentList>
</comments>
</file>

<file path=xl/comments11.xml><?xml version="1.0" encoding="utf-8"?>
<comments xmlns="http://schemas.openxmlformats.org/spreadsheetml/2006/main" xmlns:xdr="http://schemas.openxmlformats.org/drawingml/2006/spreadsheetDrawing">
  <authors>
    <author> </author>
  </authors>
  <commentList>
    <comment ref="N8" authorId="0">
      <text>
        <r>
          <rPr>
            <b val="true"/>
            <sz val="8"/>
            <color rgb="FF000000"/>
            <rFont val="Tahoma"/>
            <family val="2"/>
          </rPr>
          <t xml:space="preserve">E. A. Birk:
</t>
        </r>
        <r>
          <rPr>
            <sz val="8"/>
            <color rgb="FF000000"/>
            <rFont val="Tahoma"/>
            <family val="2"/>
          </rPr>
          <t xml:space="preserve">Of the 800 Ac. Ft. of Fish &amp; Wildlife water 400 Ac. Ft.goes into the Wetlands &amp; 400 Ac. ft. goes into Totten.</t>
        </r>
      </text>
    </comment>
    <comment ref="O8" authorId="0">
      <text>
        <r>
          <rPr>
            <b val="true"/>
            <sz val="8"/>
            <color rgb="FF000000"/>
            <rFont val="Tahoma"/>
            <family val="2"/>
          </rPr>
          <t xml:space="preserve">Vernon Lamb:
</t>
        </r>
        <r>
          <rPr>
            <sz val="8"/>
            <color rgb="FF000000"/>
            <rFont val="Tahoma"/>
            <family val="2"/>
          </rPr>
          <t xml:space="preserve">8/5/15: UF&amp;R still at full supply with 24,517 AF at 0% shortage and 0 AF of lease water.
7/8/15: UF&amp;R supply calc'd on 7/8/15 allocations totaling 24,517 AF at 0% shortage. This supply amount is with 0 AF of lease water.</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AD8" authorId="0">
      <text>
        <r>
          <rPr>
            <b val="true"/>
            <sz val="8"/>
            <color rgb="FF000000"/>
            <rFont val="Tahoma"/>
            <family val="2"/>
          </rPr>
          <t xml:space="preserve">Vernon Lamb:
</t>
        </r>
        <r>
          <rPr>
            <sz val="8"/>
            <color rgb="FF000000"/>
            <rFont val="Tahoma"/>
            <family val="2"/>
          </rPr>
          <t xml:space="preserve">9/3/2015: MVIC Project Water amount calc'd on 9/3/15 allocations totaling 2,353 AF at 0% shortage.
7/8/15: MVIC Project Water amount calc'd on 7/8/15 allocations totaling 5,195 AF at 0% shortage.</t>
        </r>
      </text>
    </comment>
    <comment ref="AE8" authorId="0">
      <text>
        <r>
          <rPr>
            <b val="true"/>
            <sz val="9"/>
            <color rgb="FF000000"/>
            <rFont val="Tahoma"/>
            <family val="2"/>
          </rPr>
          <t xml:space="preserve">Eric Sprague:
</t>
        </r>
        <r>
          <rPr>
            <sz val="9"/>
            <color rgb="FF000000"/>
            <rFont val="Tahoma"/>
            <family val="2"/>
          </rPr>
          <t xml:space="preserve">21 SEP, 2015. FSA Full Allocation.</t>
        </r>
      </text>
    </comment>
    <comment ref="AN27" authorId="0">
      <text>
        <r>
          <rPr>
            <b val="true"/>
            <sz val="9"/>
            <color rgb="FF000000"/>
            <rFont val="Tahoma"/>
            <family val="2"/>
          </rPr>
          <t xml:space="preserve">Eric Sprague:
</t>
        </r>
        <r>
          <rPr>
            <sz val="9"/>
            <color rgb="FF000000"/>
            <rFont val="Tahoma"/>
            <family val="2"/>
          </rPr>
          <t xml:space="preserve">MVI Began moving water from GRNDHOG into NARR.</t>
        </r>
      </text>
    </comment>
    <comment ref="AN41" authorId="0">
      <text>
        <r>
          <rPr>
            <b val="true"/>
            <sz val="9"/>
            <color rgb="FF000000"/>
            <rFont val="Tahoma"/>
            <family val="2"/>
          </rPr>
          <t xml:space="preserve">Eric Sprague:
</t>
        </r>
        <r>
          <rPr>
            <sz val="9"/>
            <color rgb="FF000000"/>
            <rFont val="Tahoma"/>
            <family val="2"/>
          </rPr>
          <t xml:space="preserve">NAR FILL ended. GH turned off ~11:00 AM.</t>
        </r>
      </text>
    </comment>
    <comment ref="AP8" authorId="0">
      <text>
        <r>
          <rPr>
            <b val="true"/>
            <sz val="8"/>
            <color rgb="FF000000"/>
            <rFont val="Tahoma"/>
            <family val="2"/>
          </rPr>
          <t xml:space="preserve">E. A. Birk:
</t>
        </r>
        <r>
          <rPr>
            <sz val="8"/>
            <color rgb="FF000000"/>
            <rFont val="Tahoma"/>
            <family val="2"/>
          </rPr>
          <t xml:space="preserve">After June 30th MVIC can not store water in Narr. by contract, so this column only shows what the river produced in relationship to what MVIC used.</t>
        </r>
      </text>
    </comment>
    <comment ref="AS8" authorId="0">
      <text>
        <r>
          <rPr>
            <b val="true"/>
            <sz val="8"/>
            <color rgb="FF000000"/>
            <rFont val="Tahoma"/>
            <family val="2"/>
          </rPr>
          <t xml:space="preserve">Eric Sprague:
</t>
        </r>
        <r>
          <rPr>
            <sz val="8"/>
            <color rgb="FF000000"/>
            <rFont val="Tahoma"/>
            <family val="2"/>
          </rPr>
          <t xml:space="preserve"> 13 OCT, 2015. 1,535.7 AF is the 2015 U/S users release amount.
The U/S Excahnge must reach this amount by for the end of the season.</t>
        </r>
      </text>
    </comment>
    <comment ref="AT8" authorId="0">
      <text>
        <r>
          <rPr>
            <b val="true"/>
            <sz val="8"/>
            <color rgb="FF000000"/>
            <rFont val="Tahoma"/>
            <family val="2"/>
          </rPr>
          <t xml:space="preserve">Vernon Lamb:
</t>
        </r>
        <r>
          <rPr>
            <sz val="8"/>
            <color rgb="FF000000"/>
            <rFont val="Tahoma"/>
            <family val="2"/>
          </rPr>
          <t xml:space="preserve">7/8/15: SJB F&amp;W water adjusted based on 7/8 calcs to 800 AF. Half of this amount (400 AF) is allocated to Totten Fresh Water and the other half to the Wetlands.
</t>
        </r>
      </text>
    </comment>
    <comment ref="AT9" authorId="0">
      <text>
        <r>
          <rPr>
            <b val="true"/>
            <sz val="8"/>
            <color rgb="FF000000"/>
            <rFont val="Tahoma"/>
            <family val="2"/>
          </rPr>
          <t xml:space="preserve">Vernon Lamb:
</t>
        </r>
        <r>
          <rPr>
            <sz val="8"/>
            <color rgb="FF000000"/>
            <rFont val="Tahoma"/>
            <family val="2"/>
          </rPr>
          <t xml:space="preserve">Above value converted to cfs.</t>
        </r>
      </text>
    </comment>
    <comment ref="BA27" authorId="0">
      <text>
        <r>
          <rPr>
            <b val="true"/>
            <sz val="9"/>
            <color rgb="FF000000"/>
            <rFont val="Tahoma"/>
            <family val="2"/>
          </rPr>
          <t xml:space="preserve">Eric Sprague:
</t>
        </r>
        <r>
          <rPr>
            <sz val="9"/>
            <color rgb="FF000000"/>
            <rFont val="Tahoma"/>
            <family val="2"/>
          </rPr>
          <t xml:space="preserve">MVI Began moving water from GRNDHOG into NARR.</t>
        </r>
      </text>
    </comment>
    <comment ref="BA41" authorId="0">
      <text>
        <r>
          <rPr>
            <b val="true"/>
            <sz val="9"/>
            <color rgb="FF000000"/>
            <rFont val="Tahoma"/>
            <family val="2"/>
          </rPr>
          <t xml:space="preserve">Eric Sprague:
</t>
        </r>
        <r>
          <rPr>
            <sz val="9"/>
            <color rgb="FF000000"/>
            <rFont val="Tahoma"/>
            <family val="2"/>
          </rPr>
          <t xml:space="preserve">NAR FILL ended. GH turned off ~11:00 AM.</t>
        </r>
      </text>
    </comment>
  </commentList>
</comments>
</file>

<file path=xl/comments12.xml><?xml version="1.0" encoding="utf-8"?>
<comments xmlns="http://schemas.openxmlformats.org/spreadsheetml/2006/main" xmlns:xdr="http://schemas.openxmlformats.org/drawingml/2006/spreadsheetDrawing">
  <authors>
    <author> </author>
  </authors>
  <commentList>
    <comment ref="N8" authorId="0">
      <text>
        <r>
          <rPr>
            <b val="true"/>
            <sz val="8"/>
            <color rgb="FF000000"/>
            <rFont val="Tahoma"/>
            <family val="2"/>
          </rPr>
          <t xml:space="preserve">E. A. Birk:
</t>
        </r>
        <r>
          <rPr>
            <sz val="8"/>
            <color rgb="FF000000"/>
            <rFont val="Tahoma"/>
            <family val="2"/>
          </rPr>
          <t xml:space="preserve">Of the 800 Ac. Ft. of Fish &amp; Wildlife water 400 Ac. Ft.goes into the Wetlands &amp; 400 Ac. ft. goes into Totten.</t>
        </r>
      </text>
    </comment>
    <comment ref="O8" authorId="0">
      <text>
        <r>
          <rPr>
            <b val="true"/>
            <sz val="8"/>
            <color rgb="FF000000"/>
            <rFont val="Tahoma"/>
            <family val="2"/>
          </rPr>
          <t xml:space="preserve">Vernon Lamb:
</t>
        </r>
        <r>
          <rPr>
            <sz val="8"/>
            <color rgb="FF000000"/>
            <rFont val="Tahoma"/>
            <family val="2"/>
          </rPr>
          <t xml:space="preserve">3-SEP-15: Alloc Calcs give UF&amp;R an irrigation supply of 23,300 AF + 800 AF + 417 AF = 24,517 AF. 
</t>
        </r>
      </text>
    </comment>
    <comment ref="O28" authorId="0">
      <text>
        <r>
          <rPr>
            <b val="true"/>
            <sz val="9"/>
            <color rgb="FF000000"/>
            <rFont val="Tahoma"/>
            <family val="0"/>
            <charset val="1"/>
          </rPr>
          <t xml:space="preserve">Eric Sprague:
</t>
        </r>
        <r>
          <rPr>
            <sz val="9"/>
            <color rgb="FF000000"/>
            <rFont val="Tahoma"/>
            <family val="0"/>
            <charset val="1"/>
          </rPr>
          <t xml:space="preserve">These values are estimated. Between 2:30 PM on the 14th and 3:00 PM on the 15th, the values recorded on the TOWCANCO gage were inaccurate. When the DWR website has repaired the values, these numbers will be updated as well.</t>
        </r>
      </text>
    </comment>
    <comment ref="O29" authorId="0">
      <text>
        <r>
          <rPr>
            <b val="true"/>
            <sz val="9"/>
            <color rgb="FF000000"/>
            <rFont val="Tahoma"/>
            <family val="0"/>
            <charset val="1"/>
          </rPr>
          <t xml:space="preserve">Eric Sprague:
</t>
        </r>
        <r>
          <rPr>
            <sz val="9"/>
            <color rgb="FF000000"/>
            <rFont val="Tahoma"/>
            <family val="0"/>
            <charset val="1"/>
          </rPr>
          <t xml:space="preserve">These values are estimated. Between 2:30 PM on the 14th and 3:00 PM on the 15th, the values recorded on the TOWCANCO gage were inaccurate. When the DWR website has repaired the values, these numbers will be updated as well.</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V33" authorId="0">
      <text>
        <r>
          <rPr>
            <b val="true"/>
            <sz val="9"/>
            <color rgb="FF000000"/>
            <rFont val="Tahoma"/>
            <family val="2"/>
          </rPr>
          <t xml:space="preserve">Eric Sprague:
</t>
        </r>
        <r>
          <rPr>
            <sz val="9"/>
            <color rgb="FF000000"/>
            <rFont val="Tahoma"/>
            <family val="2"/>
          </rPr>
          <t xml:space="preserve">MVI began filling NARR through Lone Pine at ~70 cfs to attempt to match river. </t>
        </r>
      </text>
    </comment>
    <comment ref="X29" authorId="0">
      <text>
        <r>
          <rPr>
            <b val="true"/>
            <sz val="9"/>
            <color rgb="FF000000"/>
            <rFont val="Tahoma"/>
            <family val="0"/>
            <charset val="1"/>
          </rPr>
          <t xml:space="preserve">Eric Sprague:
</t>
        </r>
        <r>
          <rPr>
            <sz val="9"/>
            <color rgb="FF000000"/>
            <rFont val="Tahoma"/>
            <family val="0"/>
            <charset val="1"/>
          </rPr>
          <t xml:space="preserve">MVI shut off for the season. East-, West, and U-Laterals were shut off at Midnight today. Lone Pine was shut off 7:00 PM.</t>
        </r>
      </text>
    </comment>
    <comment ref="Z29" authorId="0">
      <text>
        <r>
          <rPr>
            <b val="true"/>
            <sz val="9"/>
            <color rgb="FF000000"/>
            <rFont val="Tahoma"/>
            <family val="2"/>
          </rPr>
          <t xml:space="preserve">Eric Sprague:
</t>
        </r>
        <r>
          <rPr>
            <sz val="9"/>
            <color rgb="FF000000"/>
            <rFont val="Tahoma"/>
            <family val="2"/>
          </rPr>
          <t xml:space="preserve">MVI is done for the season. They lose any   left-over Stored Water.</t>
        </r>
      </text>
    </comment>
    <comment ref="AD8" authorId="0">
      <text>
        <r>
          <rPr>
            <b val="true"/>
            <sz val="8"/>
            <color rgb="FF000000"/>
            <rFont val="Tahoma"/>
            <family val="2"/>
          </rPr>
          <t xml:space="preserve">Vernon Lamb:
</t>
        </r>
        <r>
          <rPr>
            <sz val="8"/>
            <color rgb="FF000000"/>
            <rFont val="Tahoma"/>
            <family val="2"/>
          </rPr>
          <t xml:space="preserve">9/3/2015: MVIC Project Water amount calc'd on 9/3/15 allocations totaling 2,353 AF at 0% shortage.
7/8/15: MVIC Project Water amount calc'd on 7/8/15 allocations totaling 5,195 AF at 0% shortage.</t>
        </r>
      </text>
    </comment>
    <comment ref="AE8" authorId="0">
      <text>
        <r>
          <rPr>
            <b val="true"/>
            <sz val="8"/>
            <color rgb="FF000000"/>
            <rFont val="Tahoma"/>
            <family val="2"/>
          </rPr>
          <t xml:space="preserve">Vernon Lamb:
</t>
        </r>
        <r>
          <rPr>
            <sz val="8"/>
            <color rgb="FF000000"/>
            <rFont val="Tahoma"/>
            <family val="2"/>
          </rPr>
          <t xml:space="preserve">3-SEP-15: Alloc Calcs give Full Service a supply of 62,267 AF.
</t>
        </r>
      </text>
    </comment>
    <comment ref="AI7" authorId="0">
      <text>
        <r>
          <rPr>
            <b val="true"/>
            <sz val="8"/>
            <color rgb="FF000000"/>
            <rFont val="Tahoma"/>
            <family val="2"/>
          </rPr>
          <t xml:space="preserve">Eric Sprague: </t>
        </r>
        <r>
          <rPr>
            <sz val="8"/>
            <color rgb="FF000000"/>
            <rFont val="Tahoma"/>
            <family val="2"/>
          </rPr>
          <t xml:space="preserve">Based on 3-SEP-14 calcs Fish Pool is 31,798 AF. 29,300 AF for fishpool plus 2,498 AF for downstream senior water rights. Full supply, and 0% shortage.
</t>
        </r>
        <r>
          <rPr>
            <b val="true"/>
            <sz val="8"/>
            <color rgb="FF000000"/>
            <rFont val="Tahoma"/>
            <family val="2"/>
          </rPr>
          <t xml:space="preserve">
</t>
        </r>
      </text>
    </comment>
    <comment ref="AN19" authorId="0">
      <text>
        <r>
          <rPr>
            <b val="true"/>
            <sz val="8"/>
            <color rgb="FF000000"/>
            <rFont val="Tahoma"/>
            <family val="2"/>
          </rPr>
          <t xml:space="preserve">Vernon Lamb:
</t>
        </r>
        <r>
          <rPr>
            <sz val="8"/>
            <color rgb="FF000000"/>
            <rFont val="Tahoma"/>
            <family val="2"/>
          </rPr>
          <t xml:space="preserve">5 OCT, 2015. MVIC began filling Narraguinnep from McPhee with call water through the Lone Pine. 
 8:30 AM. Narr Boat Ramp: 48.5'.</t>
        </r>
      </text>
    </comment>
    <comment ref="AN29" authorId="0">
      <text>
        <r>
          <rPr>
            <b val="true"/>
            <sz val="9"/>
            <color rgb="FF000000"/>
            <rFont val="Tahoma"/>
            <family val="0"/>
            <charset val="1"/>
          </rPr>
          <t xml:space="preserve">Eric Sprague:
</t>
        </r>
        <r>
          <rPr>
            <sz val="9"/>
            <color rgb="FF000000"/>
            <rFont val="Tahoma"/>
            <family val="0"/>
            <charset val="1"/>
          </rPr>
          <t xml:space="preserve">Lone Pine shut off. NARR fill from call water ended.</t>
        </r>
      </text>
    </comment>
    <comment ref="AN33" authorId="0">
      <text>
        <r>
          <rPr>
            <b val="true"/>
            <sz val="9"/>
            <color rgb="FF000000"/>
            <rFont val="Tahoma"/>
            <family val="0"/>
            <charset val="1"/>
          </rPr>
          <t xml:space="preserve">Eric Sprague:
</t>
        </r>
        <r>
          <rPr>
            <sz val="9"/>
            <color rgb="FF000000"/>
            <rFont val="Tahoma"/>
            <family val="0"/>
            <charset val="1"/>
          </rPr>
          <t xml:space="preserve">MVI began filling NARR  from the Dolores River. MVI will attempt to match the river with the Lone Pine feeding NARR. They will start by shooting for ~70 cfs. </t>
        </r>
      </text>
    </comment>
    <comment ref="AP8" authorId="0">
      <text>
        <r>
          <rPr>
            <b val="true"/>
            <sz val="8"/>
            <color rgb="FF000000"/>
            <rFont val="Tahoma"/>
            <family val="2"/>
          </rPr>
          <t xml:space="preserve">E. A. Birk:
</t>
        </r>
        <r>
          <rPr>
            <sz val="8"/>
            <color rgb="FF000000"/>
            <rFont val="Tahoma"/>
            <family val="2"/>
          </rPr>
          <t xml:space="preserve">After June 30th MVIC can not store water in Narr. by contact, so this column only shows what the river produced in relationship to what MVIC used.</t>
        </r>
      </text>
    </comment>
    <comment ref="AP30" authorId="0">
      <text>
        <r>
          <rPr>
            <b val="true"/>
            <sz val="8"/>
            <color rgb="FF000000"/>
            <rFont val="Tahoma"/>
            <family val="2"/>
          </rPr>
          <t xml:space="preserve">Eric Sprague:
</t>
        </r>
        <r>
          <rPr>
            <sz val="8"/>
            <color rgb="FF000000"/>
            <rFont val="Tahoma"/>
            <family val="2"/>
          </rPr>
          <t xml:space="preserve">Inflow this day was high enough to result in MVI storage of water. MVI cannot store water in Mcphee at this time. Amount in this cell is the amount MVIC would have stored.</t>
        </r>
      </text>
    </comment>
    <comment ref="AP31" authorId="0">
      <text>
        <r>
          <rPr>
            <b val="true"/>
            <sz val="8"/>
            <color rgb="FF000000"/>
            <rFont val="Tahoma"/>
            <family val="2"/>
          </rPr>
          <t xml:space="preserve">Eric Sprague:
</t>
        </r>
        <r>
          <rPr>
            <sz val="8"/>
            <color rgb="FF000000"/>
            <rFont val="Tahoma"/>
            <family val="2"/>
          </rPr>
          <t xml:space="preserve">Inflow this day was high enough to result in MVI storage of water. MVI cannot store water in Mcphee at this time. Amount in this cell is the amount MVIC would have stored.</t>
        </r>
      </text>
    </comment>
    <comment ref="AP32" authorId="0">
      <text>
        <r>
          <rPr>
            <b val="true"/>
            <sz val="8"/>
            <color rgb="FF000000"/>
            <rFont val="Tahoma"/>
            <family val="2"/>
          </rPr>
          <t xml:space="preserve">Eric Sprague:
</t>
        </r>
        <r>
          <rPr>
            <sz val="8"/>
            <color rgb="FF000000"/>
            <rFont val="Tahoma"/>
            <family val="2"/>
          </rPr>
          <t xml:space="preserve">Inflow this day was high enough to result in MVI storage of water. MVI cannot store water in Mcphee at this time. Amount in this cell is the amount MVIC would have stored.</t>
        </r>
      </text>
    </comment>
    <comment ref="AT8" authorId="0">
      <text>
        <r>
          <rPr>
            <b val="true"/>
            <sz val="8"/>
            <color rgb="FF000000"/>
            <rFont val="Tahoma"/>
            <family val="2"/>
          </rPr>
          <t xml:space="preserve">Eric Sprague:
</t>
        </r>
        <r>
          <rPr>
            <sz val="8"/>
            <color rgb="FF000000"/>
            <rFont val="Tahoma"/>
            <family val="2"/>
          </rPr>
          <t xml:space="preserve"> 13-OCT-2015. 1,535.7 AF is the 2015 U/S users release amount.
The U/S Excahnge must reach this amount by for the end of the season.</t>
        </r>
      </text>
    </comment>
    <comment ref="AU8" authorId="0">
      <text>
        <r>
          <rPr>
            <b val="true"/>
            <sz val="8"/>
            <color rgb="FF000000"/>
            <rFont val="Tahoma"/>
            <family val="2"/>
          </rPr>
          <t xml:space="preserve">Vernon Lamb:
</t>
        </r>
        <r>
          <rPr>
            <sz val="8"/>
            <color rgb="FF000000"/>
            <rFont val="Tahoma"/>
            <family val="2"/>
          </rPr>
          <t xml:space="preserve">3-SEP-15: SJB F&amp;W water adjusted based on 9/3 calcs to 800 AF. This water is split between Totten Fresh Water and the Wetlands.
</t>
        </r>
      </text>
    </comment>
    <comment ref="AU9" authorId="0">
      <text>
        <r>
          <rPr>
            <b val="true"/>
            <sz val="8"/>
            <color rgb="FF000000"/>
            <rFont val="Tahoma"/>
            <family val="2"/>
          </rPr>
          <t xml:space="preserve">Vernon Lamb:
</t>
        </r>
        <r>
          <rPr>
            <sz val="8"/>
            <color rgb="FF000000"/>
            <rFont val="Tahoma"/>
            <family val="2"/>
          </rPr>
          <t xml:space="preserve">Above value converted to cfs.</t>
        </r>
      </text>
    </comment>
    <comment ref="AU21" authorId="0">
      <text>
        <r>
          <rPr>
            <b val="true"/>
            <sz val="9"/>
            <color rgb="FF000000"/>
            <rFont val="Tahoma"/>
            <family val="0"/>
            <charset val="1"/>
          </rPr>
          <t xml:space="preserve">Eric Sprague:
</t>
        </r>
        <r>
          <rPr>
            <sz val="9"/>
            <color rgb="FF000000"/>
            <rFont val="Tahoma"/>
            <family val="0"/>
            <charset val="1"/>
          </rPr>
          <t xml:space="preserve">Rocky Ford #2 turnout from THC closed, ending Totten Refresh for the season.</t>
        </r>
      </text>
    </comment>
    <comment ref="BB25" authorId="0">
      <text>
        <r>
          <rPr>
            <b val="true"/>
            <sz val="9"/>
            <color rgb="FF000000"/>
            <rFont val="Tahoma"/>
            <family val="0"/>
            <charset val="1"/>
          </rPr>
          <t xml:space="preserve">Eric Sprague:
</t>
        </r>
        <r>
          <rPr>
            <sz val="9"/>
            <color rgb="FF000000"/>
            <rFont val="Tahoma"/>
            <family val="0"/>
            <charset val="1"/>
          </rPr>
          <t xml:space="preserve">MVI shut off Groundhog.</t>
        </r>
      </text>
    </comment>
  </commentList>
</comments>
</file>

<file path=xl/sharedStrings.xml><?xml version="1.0" encoding="utf-8"?>
<sst xmlns="http://schemas.openxmlformats.org/spreadsheetml/2006/main" count="2302" uniqueCount="157">
  <si>
    <t xml:space="preserve">MCPHEE  RESERVOIR  INFLOW/OUTFLOW  TABULATION</t>
  </si>
  <si>
    <t xml:space="preserve">AF/cfs  CONVERT FACTOR</t>
  </si>
  <si>
    <t xml:space="preserve">                     NOVEMBER  "2014"</t>
  </si>
  <si>
    <t xml:space="preserve">RESERVOIR</t>
  </si>
  <si>
    <t xml:space="preserve">      INFLOW</t>
  </si>
  <si>
    <t xml:space="preserve">OUTFLOW </t>
  </si>
  <si>
    <t xml:space="preserve">ADJUSTMENTS</t>
  </si>
  <si>
    <t xml:space="preserve">WEATHER</t>
  </si>
  <si>
    <t xml:space="preserve">DATE</t>
  </si>
  <si>
    <t xml:space="preserve">RESERV</t>
  </si>
  <si>
    <t xml:space="preserve">AC  FT</t>
  </si>
  <si>
    <t xml:space="preserve">ACTIVE</t>
  </si>
  <si>
    <t xml:space="preserve">CONV  TO</t>
  </si>
  <si>
    <t xml:space="preserve">DOLORES</t>
  </si>
  <si>
    <t xml:space="preserve">LOST</t>
  </si>
  <si>
    <t xml:space="preserve">RECORD</t>
  </si>
  <si>
    <t xml:space="preserve">CALC</t>
  </si>
  <si>
    <t xml:space="preserve">TOTAL</t>
  </si>
  <si>
    <t xml:space="preserve">DOLORES TUNNEL</t>
  </si>
  <si>
    <t xml:space="preserve">LONE</t>
  </si>
  <si>
    <t xml:space="preserve">U</t>
  </si>
  <si>
    <t xml:space="preserve">MVI</t>
  </si>
  <si>
    <t xml:space="preserve">TO EX &amp;</t>
  </si>
  <si>
    <t xml:space="preserve">DV  CR</t>
  </si>
  <si>
    <t xml:space="preserve">       D/S SENIOR </t>
  </si>
  <si>
    <t xml:space="preserve">BELOW</t>
  </si>
  <si>
    <t xml:space="preserve">FISH</t>
  </si>
  <si>
    <t xml:space="preserve">SPILL</t>
  </si>
  <si>
    <t xml:space="preserve">NAR</t>
  </si>
  <si>
    <t xml:space="preserve">MVI </t>
  </si>
  <si>
    <t xml:space="preserve">DIST.</t>
  </si>
  <si>
    <t xml:space="preserve">U/S</t>
  </si>
  <si>
    <t xml:space="preserve">TOTTEN</t>
  </si>
  <si>
    <t xml:space="preserve">UF&amp;R</t>
  </si>
  <si>
    <t xml:space="preserve">RAIN</t>
  </si>
  <si>
    <t xml:space="preserve">MAX</t>
  </si>
  <si>
    <t xml:space="preserve">MIN</t>
  </si>
  <si>
    <t xml:space="preserve">GRNDHOG</t>
  </si>
  <si>
    <t xml:space="preserve">NOV</t>
  </si>
  <si>
    <t xml:space="preserve">ELEV</t>
  </si>
  <si>
    <t xml:space="preserve">CHANGE</t>
  </si>
  <si>
    <t xml:space="preserve">CAP</t>
  </si>
  <si>
    <t xml:space="preserve">CFS</t>
  </si>
  <si>
    <t xml:space="preserve">RIVER</t>
  </si>
  <si>
    <t xml:space="preserve">CAN</t>
  </si>
  <si>
    <t xml:space="preserve">INFLOW</t>
  </si>
  <si>
    <t xml:space="preserve">INF/OTF</t>
  </si>
  <si>
    <t xml:space="preserve">TOT DIV</t>
  </si>
  <si>
    <t xml:space="preserve">WET</t>
  </si>
  <si>
    <t xml:space="preserve">UTE</t>
  </si>
  <si>
    <t xml:space="preserve">QUEST</t>
  </si>
  <si>
    <t xml:space="preserve">MWC</t>
  </si>
  <si>
    <t xml:space="preserve">         CORTEZ</t>
  </si>
  <si>
    <t xml:space="preserve">F-BAY</t>
  </si>
  <si>
    <t xml:space="preserve">PINE</t>
  </si>
  <si>
    <t xml:space="preserve">LAT</t>
  </si>
  <si>
    <t xml:space="preserve">CALL</t>
  </si>
  <si>
    <t xml:space="preserve">APR-</t>
  </si>
  <si>
    <t xml:space="preserve">U/S EX</t>
  </si>
  <si>
    <t xml:space="preserve">PROJ </t>
  </si>
  <si>
    <t xml:space="preserve">CANAL</t>
  </si>
  <si>
    <t xml:space="preserve">MVIC</t>
  </si>
  <si>
    <t xml:space="preserve">PROJ</t>
  </si>
  <si>
    <t xml:space="preserve">MCP</t>
  </si>
  <si>
    <t xml:space="preserve">LEFT</t>
  </si>
  <si>
    <t xml:space="preserve">OTF</t>
  </si>
  <si>
    <t xml:space="preserve">FILL</t>
  </si>
  <si>
    <t xml:space="preserve">STOCK</t>
  </si>
  <si>
    <t xml:space="preserve">STORED</t>
  </si>
  <si>
    <t xml:space="preserve">CLASS</t>
  </si>
  <si>
    <t xml:space="preserve">USERS</t>
  </si>
  <si>
    <t xml:space="preserve">(FRESH</t>
  </si>
  <si>
    <t xml:space="preserve">LEASE</t>
  </si>
  <si>
    <t xml:space="preserve">TMP</t>
  </si>
  <si>
    <t xml:space="preserve">TUNNEL</t>
  </si>
  <si>
    <t xml:space="preserve">DISCHARGE</t>
  </si>
  <si>
    <t xml:space="preserve">CAPACITY</t>
  </si>
  <si>
    <t xml:space="preserve">LAND</t>
  </si>
  <si>
    <t xml:space="preserve">F&amp;R</t>
  </si>
  <si>
    <t xml:space="preserve">NON -</t>
  </si>
  <si>
    <t xml:space="preserve">BAL</t>
  </si>
  <si>
    <t xml:space="preserve">WATER</t>
  </si>
  <si>
    <t xml:space="preserve">IRRIG.</t>
  </si>
  <si>
    <t xml:space="preserve">STOR</t>
  </si>
  <si>
    <t xml:space="preserve">SPILLED</t>
  </si>
  <si>
    <t xml:space="preserve">JUNE</t>
  </si>
  <si>
    <t xml:space="preserve">Apr - Jun</t>
  </si>
  <si>
    <t xml:space="preserve">EVAP</t>
  </si>
  <si>
    <t xml:space="preserve">"B"</t>
  </si>
  <si>
    <t xml:space="preserve">EXCH</t>
  </si>
  <si>
    <t xml:space="preserve">WATER)</t>
  </si>
  <si>
    <t xml:space="preserve">Misc.</t>
  </si>
  <si>
    <t xml:space="preserve">USED</t>
  </si>
  <si>
    <t xml:space="preserve">OR </t>
  </si>
  <si>
    <t xml:space="preserve">(DIV+</t>
  </si>
  <si>
    <t xml:space="preserve">CALL)</t>
  </si>
  <si>
    <t xml:space="preserve">FP = 5394</t>
  </si>
  <si>
    <t xml:space="preserve">AC. Ft.</t>
  </si>
  <si>
    <t xml:space="preserve">AC FT</t>
  </si>
  <si>
    <t xml:space="preserve">AC.FT.</t>
  </si>
  <si>
    <t xml:space="preserve">Outflow </t>
  </si>
  <si>
    <t xml:space="preserve">Ac. Ft.</t>
  </si>
  <si>
    <t xml:space="preserve">SEASON BAL</t>
  </si>
  <si>
    <t xml:space="preserve">YTD</t>
  </si>
  <si>
    <t xml:space="preserve">MONTH / CFS</t>
  </si>
  <si>
    <t xml:space="preserve">Avg</t>
  </si>
  <si>
    <t xml:space="preserve">MONTH / AF</t>
  </si>
  <si>
    <t xml:space="preserve">HI</t>
  </si>
  <si>
    <t xml:space="preserve">SEASON / CFS</t>
  </si>
  <si>
    <t xml:space="preserve">LO</t>
  </si>
  <si>
    <t xml:space="preserve">SEASON / AF</t>
  </si>
  <si>
    <t xml:space="preserve">YTD / CFS</t>
  </si>
  <si>
    <t xml:space="preserve">YTD / AF</t>
  </si>
  <si>
    <t xml:space="preserve">                              DECEMBER  "2014"</t>
  </si>
  <si>
    <t xml:space="preserve">       INFLOW</t>
  </si>
  <si>
    <t xml:space="preserve">DEC</t>
  </si>
  <si>
    <t xml:space="preserve">FILLL</t>
  </si>
  <si>
    <t xml:space="preserve"> </t>
  </si>
  <si>
    <t xml:space="preserve">                            JANUARY  "2015"</t>
  </si>
  <si>
    <t xml:space="preserve">JAN</t>
  </si>
  <si>
    <t xml:space="preserve">                           FEBRUARY  "2015"</t>
  </si>
  <si>
    <t xml:space="preserve">OUTFLOW</t>
  </si>
  <si>
    <t xml:space="preserve">FEB</t>
  </si>
  <si>
    <t xml:space="preserve">AVE</t>
  </si>
  <si>
    <t xml:space="preserve">MARCH  "2015"</t>
  </si>
  <si>
    <t xml:space="preserve">MAR</t>
  </si>
  <si>
    <t xml:space="preserve">APR  "2015"</t>
  </si>
  <si>
    <t xml:space="preserve">     INFLOW</t>
  </si>
  <si>
    <t xml:space="preserve">D/S SENIOR </t>
  </si>
  <si>
    <t xml:space="preserve">APR</t>
  </si>
  <si>
    <t xml:space="preserve">AVG</t>
  </si>
  <si>
    <t xml:space="preserve">                                  MAY  "2015"</t>
  </si>
  <si>
    <t xml:space="preserve">       D/S SENIOR</t>
  </si>
  <si>
    <t xml:space="preserve">FISH </t>
  </si>
  <si>
    <t xml:space="preserve">MAY</t>
  </si>
  <si>
    <t xml:space="preserve">QEP</t>
  </si>
  <si>
    <t xml:space="preserve">M - S</t>
  </si>
  <si>
    <t xml:space="preserve">JUNE  "2015"</t>
  </si>
  <si>
    <t xml:space="preserve">JUN</t>
  </si>
  <si>
    <t xml:space="preserve">.</t>
  </si>
  <si>
    <t xml:space="preserve">6/30 Call Water (AF)</t>
  </si>
  <si>
    <t xml:space="preserve">Call Water +MVI Irri Water Used (AF)</t>
  </si>
  <si>
    <t xml:space="preserve">(Call Water + MVI Irrig) - Nar Fill; in AF [Should =72K]</t>
  </si>
  <si>
    <t xml:space="preserve">JULY  "2015"</t>
  </si>
  <si>
    <t xml:space="preserve">         INFLOW</t>
  </si>
  <si>
    <t xml:space="preserve"> D/S SENIOR</t>
  </si>
  <si>
    <t xml:space="preserve">JUL</t>
  </si>
  <si>
    <t xml:space="preserve">AUGUST  "2015"</t>
  </si>
  <si>
    <t xml:space="preserve">AUG</t>
  </si>
  <si>
    <t xml:space="preserve">SEPTEMBER  "2015"</t>
  </si>
  <si>
    <t xml:space="preserve">SEPT</t>
  </si>
  <si>
    <t xml:space="preserve">c</t>
  </si>
  <si>
    <t xml:space="preserve">OCTOBER  "2015"</t>
  </si>
  <si>
    <t xml:space="preserve">D/S SENIOR</t>
  </si>
  <si>
    <t xml:space="preserve">OCT</t>
  </si>
  <si>
    <t xml:space="preserve">Carry-</t>
  </si>
  <si>
    <t xml:space="preserve">over</t>
  </si>
</sst>
</file>

<file path=xl/styles.xml><?xml version="1.0" encoding="utf-8"?>
<styleSheet xmlns="http://schemas.openxmlformats.org/spreadsheetml/2006/main">
  <numFmts count="22">
    <numFmt numFmtId="164" formatCode="General"/>
    <numFmt numFmtId="165" formatCode="#,##0.00"/>
    <numFmt numFmtId="166" formatCode="0%"/>
    <numFmt numFmtId="167" formatCode="#,##0"/>
    <numFmt numFmtId="168" formatCode="0.00_);\(0.00\)"/>
    <numFmt numFmtId="169" formatCode="0.0"/>
    <numFmt numFmtId="170" formatCode="0.00"/>
    <numFmt numFmtId="171" formatCode="0"/>
    <numFmt numFmtId="172" formatCode="#,##0.0"/>
    <numFmt numFmtId="173" formatCode="##0.0"/>
    <numFmt numFmtId="174" formatCode="0.0000"/>
    <numFmt numFmtId="175" formatCode="0.000"/>
    <numFmt numFmtId="176" formatCode="#,##0.0_);\(#,##0.0\)"/>
    <numFmt numFmtId="177" formatCode="[$-409]d\-mmm"/>
    <numFmt numFmtId="178" formatCode="0.0_);\(0.0\)"/>
    <numFmt numFmtId="179" formatCode="0_);\(0\)"/>
    <numFmt numFmtId="180" formatCode="@"/>
    <numFmt numFmtId="181" formatCode="[$-409]mmm\-yy"/>
    <numFmt numFmtId="182" formatCode="#,##0.0000"/>
    <numFmt numFmtId="183" formatCode="#,##0.000"/>
    <numFmt numFmtId="184" formatCode="0.00_);[RED]\(0.00\)"/>
    <numFmt numFmtId="185" formatCode="0_);[RED]\(0\)"/>
  </numFmts>
  <fonts count="21">
    <font>
      <sz val="8"/>
      <name val="LinePrinter"/>
      <family val="0"/>
    </font>
    <font>
      <sz val="10"/>
      <name val="Arial"/>
      <family val="0"/>
    </font>
    <font>
      <sz val="10"/>
      <name val="Arial"/>
      <family val="0"/>
    </font>
    <font>
      <sz val="10"/>
      <name val="Arial"/>
      <family val="0"/>
    </font>
    <font>
      <sz val="10"/>
      <name val="Arial"/>
      <family val="2"/>
    </font>
    <font>
      <sz val="11"/>
      <color rgb="FF000000"/>
      <name val="Calibri"/>
      <family val="2"/>
    </font>
    <font>
      <sz val="8"/>
      <name val="Arial Narrow"/>
      <family val="2"/>
    </font>
    <font>
      <b val="true"/>
      <i val="true"/>
      <sz val="12"/>
      <name val="Arial Narrow"/>
      <family val="2"/>
    </font>
    <font>
      <sz val="6"/>
      <name val="Arial Narrow"/>
      <family val="2"/>
    </font>
    <font>
      <b val="true"/>
      <sz val="8"/>
      <name val="Arial Narrow"/>
      <family val="2"/>
    </font>
    <font>
      <b val="true"/>
      <sz val="6"/>
      <name val="Arial Narrow"/>
      <family val="2"/>
    </font>
    <font>
      <b val="true"/>
      <sz val="9"/>
      <name val="Arial Narrow"/>
      <family val="2"/>
    </font>
    <font>
      <b val="true"/>
      <sz val="8"/>
      <color rgb="FF000000"/>
      <name val="Tahoma"/>
      <family val="2"/>
    </font>
    <font>
      <sz val="8"/>
      <color rgb="FF000000"/>
      <name val="Tahoma"/>
      <family val="2"/>
    </font>
    <font>
      <sz val="6"/>
      <name val="LinePrinter"/>
      <family val="0"/>
    </font>
    <font>
      <b val="true"/>
      <sz val="9"/>
      <color rgb="FF000000"/>
      <name val="Tahoma"/>
      <family val="2"/>
    </font>
    <font>
      <sz val="9"/>
      <color rgb="FF000000"/>
      <name val="Tahoma"/>
      <family val="2"/>
    </font>
    <font>
      <b val="true"/>
      <sz val="12"/>
      <name val="Arial Narrow"/>
      <family val="2"/>
    </font>
    <font>
      <sz val="8"/>
      <color rgb="FF000000"/>
      <name val="Arial Narrow"/>
      <family val="2"/>
    </font>
    <font>
      <b val="true"/>
      <sz val="9"/>
      <color rgb="FF000000"/>
      <name val="Tahoma"/>
      <family val="0"/>
      <charset val="1"/>
    </font>
    <font>
      <sz val="9"/>
      <color rgb="FF000000"/>
      <name val="Tahoma"/>
      <family val="0"/>
      <charset val="1"/>
    </font>
  </fonts>
  <fills count="3">
    <fill>
      <patternFill patternType="none"/>
    </fill>
    <fill>
      <patternFill patternType="gray125"/>
    </fill>
    <fill>
      <patternFill patternType="solid">
        <fgColor rgb="FF464648"/>
        <bgColor rgb="FF333300"/>
      </patternFill>
    </fill>
  </fills>
  <borders count="34">
    <border diagonalUp="false" diagonalDown="false">
      <left/>
      <right/>
      <top/>
      <bottom/>
      <diagonal/>
    </border>
    <border diagonalUp="false" diagonalDown="false">
      <left/>
      <right/>
      <top/>
      <bottom style="thick">
        <color rgb="FFEEEEEC"/>
      </bottom>
      <diagonal/>
    </border>
    <border diagonalUp="false" diagonalDown="false">
      <left/>
      <right style="thick">
        <color rgb="FFEEEEEC"/>
      </right>
      <top style="thick">
        <color rgb="FFEEEEEC"/>
      </top>
      <bottom/>
      <diagonal/>
    </border>
    <border diagonalUp="false" diagonalDown="false">
      <left style="thick">
        <color rgb="FFEEEEEC"/>
      </left>
      <right/>
      <top style="thick">
        <color rgb="FFEEEEEC"/>
      </top>
      <bottom/>
      <diagonal/>
    </border>
    <border diagonalUp="false" diagonalDown="false">
      <left/>
      <right/>
      <top style="thick">
        <color rgb="FFEEEEEC"/>
      </top>
      <bottom/>
      <diagonal/>
    </border>
    <border diagonalUp="false" diagonalDown="false">
      <left/>
      <right style="medium">
        <color rgb="FFEEEEEC"/>
      </right>
      <top style="thick">
        <color rgb="FFEEEEEC"/>
      </top>
      <bottom/>
      <diagonal/>
    </border>
    <border diagonalUp="false" diagonalDown="false">
      <left style="thick">
        <color rgb="FFEEEEEC"/>
      </left>
      <right style="thick">
        <color rgb="FFEEEEEC"/>
      </right>
      <top style="thick">
        <color rgb="FFEEEEEC"/>
      </top>
      <bottom/>
      <diagonal/>
    </border>
    <border diagonalUp="false" diagonalDown="false">
      <left style="thick">
        <color rgb="FFEEEEEC"/>
      </left>
      <right/>
      <top/>
      <bottom/>
      <diagonal/>
    </border>
    <border diagonalUp="false" diagonalDown="false">
      <left/>
      <right style="thick">
        <color rgb="FFEEEEEC"/>
      </right>
      <top/>
      <bottom/>
      <diagonal/>
    </border>
    <border diagonalUp="false" diagonalDown="false">
      <left style="medium">
        <color rgb="FFEEEEEC"/>
      </left>
      <right style="medium">
        <color rgb="FFEEEEEC"/>
      </right>
      <top style="medium">
        <color rgb="FFEEEEEC"/>
      </top>
      <bottom/>
      <diagonal/>
    </border>
    <border diagonalUp="false" diagonalDown="false">
      <left style="thick">
        <color rgb="FFEEEEEC"/>
      </left>
      <right style="thick">
        <color rgb="FFEEEEEC"/>
      </right>
      <top/>
      <bottom/>
      <diagonal/>
    </border>
    <border diagonalUp="false" diagonalDown="false">
      <left style="medium">
        <color rgb="FFEEEEEC"/>
      </left>
      <right/>
      <top/>
      <bottom/>
      <diagonal/>
    </border>
    <border diagonalUp="false" diagonalDown="false">
      <left/>
      <right style="medium">
        <color rgb="FFEEEEEC"/>
      </right>
      <top/>
      <bottom/>
      <diagonal/>
    </border>
    <border diagonalUp="false" diagonalDown="false">
      <left/>
      <right/>
      <top style="thin">
        <color rgb="FFEEEEEC"/>
      </top>
      <bottom style="thin">
        <color rgb="FFEEEEEC"/>
      </bottom>
      <diagonal/>
    </border>
    <border diagonalUp="false" diagonalDown="false">
      <left style="thick">
        <color rgb="FFEEEEEC"/>
      </left>
      <right/>
      <top style="thin">
        <color rgb="FFEEEEEC"/>
      </top>
      <bottom style="thin">
        <color rgb="FFEEEEEC"/>
      </bottom>
      <diagonal/>
    </border>
    <border diagonalUp="false" diagonalDown="false">
      <left/>
      <right style="thick">
        <color rgb="FFEEEEEC"/>
      </right>
      <top style="thin">
        <color rgb="FFEEEEEC"/>
      </top>
      <bottom style="thin">
        <color rgb="FFEEEEEC"/>
      </bottom>
      <diagonal/>
    </border>
    <border diagonalUp="false" diagonalDown="false">
      <left style="medium">
        <color rgb="FFEEEEEC"/>
      </left>
      <right/>
      <top style="thin">
        <color rgb="FFEEEEEC"/>
      </top>
      <bottom style="thin">
        <color rgb="FFEEEEEC"/>
      </bottom>
      <diagonal/>
    </border>
    <border diagonalUp="false" diagonalDown="false">
      <left/>
      <right style="medium">
        <color rgb="FFEEEEEC"/>
      </right>
      <top style="thin">
        <color rgb="FFEEEEEC"/>
      </top>
      <bottom style="thin">
        <color rgb="FFEEEEEC"/>
      </bottom>
      <diagonal/>
    </border>
    <border diagonalUp="false" diagonalDown="false">
      <left/>
      <right/>
      <top style="thin">
        <color rgb="FFEEEEEC"/>
      </top>
      <bottom/>
      <diagonal/>
    </border>
    <border diagonalUp="false" diagonalDown="false">
      <left style="thick">
        <color rgb="FFEEEEEC"/>
      </left>
      <right/>
      <top style="thin">
        <color rgb="FFEEEEEC"/>
      </top>
      <bottom/>
      <diagonal/>
    </border>
    <border diagonalUp="false" diagonalDown="false">
      <left/>
      <right style="medium">
        <color rgb="FFEEEEEC"/>
      </right>
      <top style="thin">
        <color rgb="FFEEEEEC"/>
      </top>
      <bottom/>
      <diagonal/>
    </border>
    <border diagonalUp="false" diagonalDown="false">
      <left/>
      <right style="medium">
        <color rgb="FFEEEEEC"/>
      </right>
      <top/>
      <bottom style="thin">
        <color rgb="FFEEEEEC"/>
      </bottom>
      <diagonal/>
    </border>
    <border diagonalUp="false" diagonalDown="false">
      <left style="thick">
        <color rgb="FFEEEEEC"/>
      </left>
      <right/>
      <top/>
      <bottom style="thin">
        <color rgb="FFEEEEEC"/>
      </bottom>
      <diagonal/>
    </border>
    <border diagonalUp="false" diagonalDown="false">
      <left/>
      <right style="thick">
        <color rgb="FFEEEEEC"/>
      </right>
      <top/>
      <bottom style="thin">
        <color rgb="FFEEEEEC"/>
      </bottom>
      <diagonal/>
    </border>
    <border diagonalUp="false" diagonalDown="false">
      <left/>
      <right/>
      <top/>
      <bottom style="thin">
        <color rgb="FFEEEEEC"/>
      </bottom>
      <diagonal/>
    </border>
    <border diagonalUp="false" diagonalDown="false">
      <left style="thick">
        <color rgb="FFEEEEEC"/>
      </left>
      <right style="thick">
        <color rgb="FFEEEEEC"/>
      </right>
      <top/>
      <bottom style="thin">
        <color rgb="FFEEEEEC"/>
      </bottom>
      <diagonal/>
    </border>
    <border diagonalUp="false" diagonalDown="false">
      <left/>
      <right style="medium">
        <color rgb="FFEEEEEC"/>
      </right>
      <top style="medium">
        <color rgb="FFEEEEEC"/>
      </top>
      <bottom/>
      <diagonal/>
    </border>
    <border diagonalUp="false" diagonalDown="false">
      <left style="medium">
        <color rgb="FFEEEEEC"/>
      </left>
      <right/>
      <top/>
      <bottom style="thin">
        <color rgb="FFEEEEEC"/>
      </bottom>
      <diagonal/>
    </border>
    <border diagonalUp="false" diagonalDown="false">
      <left style="medium">
        <color rgb="FFEEEEEC"/>
      </left>
      <right/>
      <top style="thin">
        <color rgb="FFEEEEEC"/>
      </top>
      <bottom/>
      <diagonal/>
    </border>
    <border diagonalUp="false" diagonalDown="false">
      <left/>
      <right style="thick">
        <color rgb="FFEEEEEC"/>
      </right>
      <top style="thin">
        <color rgb="FFEEEEEC"/>
      </top>
      <bottom/>
      <diagonal/>
    </border>
    <border diagonalUp="false" diagonalDown="false">
      <left/>
      <right style="thin">
        <color rgb="FFEEEEEC"/>
      </right>
      <top style="thin">
        <color rgb="FFEEEEEC"/>
      </top>
      <bottom style="thin">
        <color rgb="FFEEEEEC"/>
      </bottom>
      <diagonal/>
    </border>
    <border diagonalUp="false" diagonalDown="false">
      <left style="thick">
        <color rgb="FFEEEEEC"/>
      </left>
      <right style="thick">
        <color rgb="FFEEEEEC"/>
      </right>
      <top style="thin">
        <color rgb="FFEEEEEC"/>
      </top>
      <bottom style="thin">
        <color rgb="FFEEEEEC"/>
      </bottom>
      <diagonal/>
    </border>
    <border diagonalUp="false" diagonalDown="false">
      <left/>
      <right/>
      <top style="hair">
        <color rgb="FFEEEEEC"/>
      </top>
      <bottom style="hair">
        <color rgb="FFEEEEEC"/>
      </bottom>
      <diagonal/>
    </border>
    <border diagonalUp="false" diagonalDown="false">
      <left/>
      <right style="hair">
        <color rgb="FFEEEEEC"/>
      </right>
      <top style="thin">
        <color rgb="FFEEEEEC"/>
      </top>
      <bottom style="thin">
        <color rgb="FFEEEEEC"/>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false" applyProtection="false"/>
    <xf numFmtId="165" fontId="0"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true" applyProtection="true">
      <alignment horizontal="general" vertical="bottom" textRotation="0" wrapText="false" indent="0" shrinkToFit="false"/>
      <protection locked="true" hidden="false"/>
    </xf>
    <xf numFmtId="166" fontId="0" fillId="0" borderId="0" applyFont="true" applyBorder="false" applyAlignment="false" applyProtection="false"/>
  </cellStyleXfs>
  <cellXfs count="616">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70" fontId="6" fillId="0" borderId="0" xfId="24" applyFont="true" applyBorder="tru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true" applyProtection="false">
      <alignment horizontal="center"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72"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75" fontId="6" fillId="0" borderId="1" xfId="0" applyFont="true" applyBorder="true" applyAlignment="false" applyProtection="false">
      <alignment horizontal="general" vertical="bottom" textRotation="0" wrapText="false" indent="0" shrinkToFit="false"/>
      <protection locked="true" hidden="false"/>
    </xf>
    <xf numFmtId="173" fontId="6"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true" applyProtection="false">
      <alignment horizontal="center"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71" fontId="6" fillId="0" borderId="1" xfId="0" applyFont="true" applyBorder="true" applyAlignment="false" applyProtection="false">
      <alignment horizontal="general" vertical="bottom" textRotation="0" wrapText="false" indent="0" shrinkToFit="false"/>
      <protection locked="true" hidden="false"/>
    </xf>
    <xf numFmtId="171" fontId="6" fillId="0" borderId="1" xfId="0" applyFont="true" applyBorder="true" applyAlignment="true" applyProtection="false">
      <alignment horizontal="center" vertical="bottom" textRotation="0" wrapText="false" indent="0" shrinkToFit="false"/>
      <protection locked="true" hidden="false"/>
    </xf>
    <xf numFmtId="171" fontId="6" fillId="0" borderId="0"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2" fontId="6" fillId="0" borderId="2" xfId="0" applyFont="true" applyBorder="true" applyAlignment="false" applyProtection="false">
      <alignment horizontal="general" vertical="bottom" textRotation="0" wrapText="false" indent="0" shrinkToFit="false"/>
      <protection locked="true" hidden="false"/>
    </xf>
    <xf numFmtId="172" fontId="6" fillId="0" borderId="3" xfId="0" applyFont="true" applyBorder="true" applyAlignment="false" applyProtection="false">
      <alignment horizontal="general" vertical="bottom" textRotation="0" wrapText="false" indent="0" shrinkToFit="false"/>
      <protection locked="true" hidden="false"/>
    </xf>
    <xf numFmtId="167" fontId="6" fillId="0" borderId="4" xfId="0" applyFont="true" applyBorder="true" applyAlignment="false" applyProtection="false">
      <alignment horizontal="general" vertical="bottom" textRotation="0" wrapText="false" indent="0" shrinkToFit="false"/>
      <protection locked="true" hidden="false"/>
    </xf>
    <xf numFmtId="175" fontId="9" fillId="0" borderId="4" xfId="0" applyFont="true" applyBorder="true" applyAlignment="true" applyProtection="false">
      <alignment horizontal="center" vertical="bottom" textRotation="0" wrapText="false" indent="0" shrinkToFit="false"/>
      <protection locked="true" hidden="false"/>
    </xf>
    <xf numFmtId="172" fontId="6" fillId="0" borderId="4" xfId="0" applyFont="true" applyBorder="true" applyAlignment="false" applyProtection="false">
      <alignment horizontal="general" vertical="bottom" textRotation="0" wrapText="false" indent="0" shrinkToFit="false"/>
      <protection locked="true" hidden="false"/>
    </xf>
    <xf numFmtId="172" fontId="9" fillId="0" borderId="4" xfId="0" applyFont="true" applyBorder="true" applyAlignment="false" applyProtection="false">
      <alignment horizontal="general" vertical="bottom" textRotation="0" wrapText="false" indent="0" shrinkToFit="false"/>
      <protection locked="true" hidden="false"/>
    </xf>
    <xf numFmtId="172" fontId="6" fillId="0" borderId="5" xfId="0" applyFont="true" applyBorder="true" applyAlignment="false" applyProtection="false">
      <alignment horizontal="general" vertical="bottom" textRotation="0" wrapText="false" indent="0" shrinkToFit="false"/>
      <protection locked="true" hidden="false"/>
    </xf>
    <xf numFmtId="170" fontId="6" fillId="0" borderId="4" xfId="0" applyFont="true" applyBorder="true" applyAlignment="false" applyProtection="false">
      <alignment horizontal="general" vertical="bottom" textRotation="0" wrapText="false" indent="0" shrinkToFit="false"/>
      <protection locked="true" hidden="false"/>
    </xf>
    <xf numFmtId="167" fontId="9" fillId="0" borderId="4" xfId="0" applyFont="true" applyBorder="true" applyAlignment="true" applyProtection="false">
      <alignment horizontal="right" vertical="bottom" textRotation="0" wrapText="false" indent="0" shrinkToFit="false"/>
      <protection locked="true" hidden="false"/>
    </xf>
    <xf numFmtId="171" fontId="6" fillId="0" borderId="4" xfId="0" applyFont="true" applyBorder="true" applyAlignment="false" applyProtection="false">
      <alignment horizontal="general" vertical="bottom" textRotation="0" wrapText="false" indent="0" shrinkToFit="false"/>
      <protection locked="true" hidden="false"/>
    </xf>
    <xf numFmtId="169" fontId="6" fillId="0" borderId="4" xfId="0" applyFont="true" applyBorder="true" applyAlignment="false" applyProtection="false">
      <alignment horizontal="general" vertical="bottom" textRotation="0" wrapText="false" indent="0" shrinkToFit="false"/>
      <protection locked="true" hidden="false"/>
    </xf>
    <xf numFmtId="172" fontId="8" fillId="0" borderId="4" xfId="0" applyFont="true" applyBorder="true" applyAlignment="false" applyProtection="false">
      <alignment horizontal="general" vertical="bottom" textRotation="0" wrapText="false" indent="0" shrinkToFit="false"/>
      <protection locked="true" hidden="false"/>
    </xf>
    <xf numFmtId="167" fontId="6" fillId="0" borderId="3" xfId="0" applyFont="true" applyBorder="true" applyAlignment="true" applyProtection="false">
      <alignment horizontal="center" vertical="bottom" textRotation="0" wrapText="false" indent="0" shrinkToFit="false"/>
      <protection locked="true" hidden="false"/>
    </xf>
    <xf numFmtId="169" fontId="6" fillId="0" borderId="0" xfId="0" applyFont="true" applyBorder="true" applyAlignment="true" applyProtection="false">
      <alignment horizontal="center" vertical="bottom" textRotation="0" wrapText="false" indent="0" shrinkToFit="false"/>
      <protection locked="true" hidden="false"/>
    </xf>
    <xf numFmtId="171" fontId="9" fillId="0" borderId="0" xfId="24" applyFont="true" applyBorder="true" applyAlignment="true" applyProtection="false">
      <alignment horizontal="center" vertical="bottom" textRotation="0" wrapText="false" indent="0" shrinkToFit="false"/>
      <protection locked="true" hidden="false"/>
    </xf>
    <xf numFmtId="170" fontId="6" fillId="0" borderId="0" xfId="0" applyFont="true" applyBorder="true" applyAlignment="true" applyProtection="false">
      <alignment horizontal="center" vertical="bottom" textRotation="0" wrapText="false" indent="0" shrinkToFit="false"/>
      <protection locked="true" hidden="false"/>
    </xf>
    <xf numFmtId="170" fontId="6" fillId="0" borderId="4" xfId="0" applyFont="true" applyBorder="true" applyAlignment="true" applyProtection="false">
      <alignment horizontal="center"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4" xfId="0" applyFont="true" applyBorder="true" applyAlignment="false" applyProtection="false">
      <alignment horizontal="general" vertical="bottom" textRotation="0" wrapText="false" indent="0" shrinkToFit="false"/>
      <protection locked="true" hidden="false"/>
    </xf>
    <xf numFmtId="170" fontId="8" fillId="0" borderId="4" xfId="0" applyFont="true" applyBorder="true" applyAlignment="false" applyProtection="false">
      <alignment horizontal="general" vertical="bottom" textRotation="0" wrapText="false" indent="0" shrinkToFit="false"/>
      <protection locked="true" hidden="false"/>
    </xf>
    <xf numFmtId="168" fontId="6" fillId="0" borderId="3" xfId="0" applyFont="true" applyBorder="true" applyAlignment="false" applyProtection="false">
      <alignment horizontal="general" vertical="bottom" textRotation="0" wrapText="false" indent="0" shrinkToFit="false"/>
      <protection locked="true" hidden="false"/>
    </xf>
    <xf numFmtId="171" fontId="9" fillId="0" borderId="4" xfId="0" applyFont="true" applyBorder="true" applyAlignment="true" applyProtection="false">
      <alignment horizontal="center" vertical="bottom" textRotation="0" wrapText="false" indent="0" shrinkToFit="false"/>
      <protection locked="true" hidden="false"/>
    </xf>
    <xf numFmtId="171" fontId="6" fillId="0" borderId="4" xfId="0" applyFont="true" applyBorder="true" applyAlignment="true" applyProtection="false">
      <alignment horizontal="center" vertical="bottom" textRotation="0" wrapText="false" indent="0" shrinkToFit="false"/>
      <protection locked="true" hidden="false"/>
    </xf>
    <xf numFmtId="169" fontId="6" fillId="0" borderId="6" xfId="0" applyFont="true" applyBorder="true" applyAlignment="false" applyProtection="false">
      <alignment horizontal="general" vertical="bottom" textRotation="0" wrapText="false" indent="0" shrinkToFit="false"/>
      <protection locked="true" hidden="false"/>
    </xf>
    <xf numFmtId="164" fontId="6" fillId="0" borderId="0" xfId="24" applyFont="true" applyBorder="true" applyAlignment="false" applyProtection="false">
      <alignment horizontal="general" vertical="bottom" textRotation="0" wrapText="false" indent="0" shrinkToFit="false"/>
      <protection locked="true" hidden="false"/>
    </xf>
    <xf numFmtId="164" fontId="6" fillId="0" borderId="2" xfId="24" applyFont="true" applyBorder="true" applyAlignment="false" applyProtection="false">
      <alignment horizontal="general" vertical="bottom" textRotation="0" wrapText="false" indent="0" shrinkToFit="false"/>
      <protection locked="true" hidden="false"/>
    </xf>
    <xf numFmtId="172" fontId="8" fillId="0" borderId="0" xfId="0" applyFont="true" applyBorder="false" applyAlignment="true" applyProtection="false">
      <alignment horizontal="center" vertical="bottom" textRotation="0" wrapText="false" indent="0" shrinkToFit="false"/>
      <protection locked="true" hidden="false"/>
    </xf>
    <xf numFmtId="172" fontId="8" fillId="0" borderId="7" xfId="0" applyFont="true" applyBorder="true" applyAlignment="true" applyProtection="false">
      <alignment horizontal="center" vertical="bottom" textRotation="0" wrapText="false" indent="0" shrinkToFit="false"/>
      <protection locked="true" hidden="false"/>
    </xf>
    <xf numFmtId="167" fontId="8" fillId="0" borderId="0" xfId="0" applyFont="true" applyBorder="true" applyAlignment="true" applyProtection="false">
      <alignment horizontal="center" vertical="bottom" textRotation="0" wrapText="false" indent="0" shrinkToFit="false"/>
      <protection locked="true" hidden="false"/>
    </xf>
    <xf numFmtId="172" fontId="8" fillId="0" borderId="0" xfId="0" applyFont="true" applyBorder="true" applyAlignment="true" applyProtection="false">
      <alignment horizontal="center" vertical="bottom" textRotation="0" wrapText="false" indent="0" shrinkToFit="false"/>
      <protection locked="true" hidden="false"/>
    </xf>
    <xf numFmtId="172" fontId="8" fillId="0" borderId="8" xfId="0" applyFont="true" applyBorder="true" applyAlignment="true" applyProtection="false">
      <alignment horizontal="center" vertical="bottom" textRotation="0" wrapText="false" indent="0" shrinkToFit="false"/>
      <protection locked="true" hidden="false"/>
    </xf>
    <xf numFmtId="172" fontId="10" fillId="0" borderId="9" xfId="0" applyFont="true" applyBorder="true" applyAlignment="true" applyProtection="false">
      <alignment horizontal="center" vertical="bottom" textRotation="0" wrapText="false" indent="0" shrinkToFit="false"/>
      <protection locked="true" hidden="false"/>
    </xf>
    <xf numFmtId="171" fontId="8" fillId="0" borderId="0" xfId="0" applyFont="true" applyBorder="fals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72" fontId="10" fillId="0" borderId="9" xfId="0" applyFont="true" applyBorder="true" applyAlignment="true" applyProtection="false">
      <alignment horizontal="left" vertical="bottom" textRotation="0" wrapText="false" indent="0" shrinkToFit="false"/>
      <protection locked="true" hidden="false"/>
    </xf>
    <xf numFmtId="172" fontId="10" fillId="0" borderId="9" xfId="0" applyFont="true" applyBorder="true" applyAlignment="true" applyProtection="false">
      <alignment horizontal="right" vertical="bottom" textRotation="0" wrapText="false" indent="0" shrinkToFit="false"/>
      <protection locked="true" hidden="false"/>
    </xf>
    <xf numFmtId="167" fontId="8" fillId="0" borderId="0" xfId="0" applyFont="true" applyBorder="false" applyAlignment="true" applyProtection="false">
      <alignment horizontal="center" vertical="bottom" textRotation="0" wrapText="false" indent="0" shrinkToFit="false"/>
      <protection locked="true" hidden="false"/>
    </xf>
    <xf numFmtId="167" fontId="8" fillId="0" borderId="7" xfId="0" applyFont="true" applyBorder="true" applyAlignment="true" applyProtection="false">
      <alignment horizontal="center" vertical="bottom" textRotation="0" wrapText="false" indent="0" shrinkToFit="false"/>
      <protection locked="true" hidden="false"/>
    </xf>
    <xf numFmtId="170"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24" applyFont="true" applyBorder="true" applyAlignment="true" applyProtection="false">
      <alignment horizontal="center" vertical="bottom" textRotation="0" wrapText="false" indent="0" shrinkToFit="false"/>
      <protection locked="true" hidden="false"/>
    </xf>
    <xf numFmtId="168" fontId="8" fillId="0" borderId="7" xfId="0" applyFont="true" applyBorder="true" applyAlignment="true" applyProtection="false">
      <alignment horizontal="center" vertical="bottom" textRotation="0" wrapText="false" indent="0" shrinkToFit="false"/>
      <protection locked="true" hidden="false"/>
    </xf>
    <xf numFmtId="171" fontId="8" fillId="0" borderId="0" xfId="0" applyFont="true" applyBorder="true" applyAlignment="true" applyProtection="false">
      <alignment horizontal="center" vertical="bottom" textRotation="0" wrapText="false" indent="0" shrinkToFit="false"/>
      <protection locked="true" hidden="false"/>
    </xf>
    <xf numFmtId="169" fontId="8" fillId="0" borderId="10" xfId="0" applyFont="true" applyBorder="true" applyAlignment="true" applyProtection="false">
      <alignment horizontal="center" vertical="bottom" textRotation="0" wrapText="false" indent="0" shrinkToFit="false"/>
      <protection locked="true" hidden="false"/>
    </xf>
    <xf numFmtId="170" fontId="8" fillId="0" borderId="0" xfId="24" applyFont="true" applyBorder="true" applyAlignment="true" applyProtection="false">
      <alignment horizontal="center" vertical="bottom" textRotation="0" wrapText="false" indent="0" shrinkToFit="false"/>
      <protection locked="true" hidden="false"/>
    </xf>
    <xf numFmtId="164" fontId="8" fillId="0" borderId="8" xfId="24" applyFont="true" applyBorder="true" applyAlignment="true" applyProtection="false">
      <alignment horizontal="center" vertical="bottom" textRotation="0" wrapText="false" indent="0" shrinkToFit="false"/>
      <protection locked="true" hidden="false"/>
    </xf>
    <xf numFmtId="172" fontId="10" fillId="0" borderId="0" xfId="0" applyFont="true" applyBorder="false" applyAlignment="true" applyProtection="false">
      <alignment horizontal="center" vertical="bottom" textRotation="0" wrapText="false" indent="0" shrinkToFit="false"/>
      <protection locked="true" hidden="false"/>
    </xf>
    <xf numFmtId="172" fontId="8" fillId="0" borderId="11" xfId="0" applyFont="true" applyBorder="true" applyAlignment="true" applyProtection="false">
      <alignment horizontal="center" vertical="bottom" textRotation="0" wrapText="false" indent="0" shrinkToFit="false"/>
      <protection locked="true" hidden="false"/>
    </xf>
    <xf numFmtId="170" fontId="8" fillId="0" borderId="0" xfId="0" applyFont="true" applyBorder="true" applyAlignment="true" applyProtection="false">
      <alignment horizontal="center" vertical="bottom" textRotation="0" wrapText="false" indent="0" shrinkToFit="false"/>
      <protection locked="true" hidden="false"/>
    </xf>
    <xf numFmtId="170" fontId="8" fillId="0" borderId="12" xfId="0" applyFont="true" applyBorder="true" applyAlignment="true" applyProtection="false">
      <alignment horizontal="center" vertical="bottom" textRotation="0" wrapText="false" indent="0" shrinkToFit="false"/>
      <protection locked="true" hidden="false"/>
    </xf>
    <xf numFmtId="172" fontId="8" fillId="0" borderId="12" xfId="0" applyFont="true" applyBorder="true" applyAlignment="true" applyProtection="false">
      <alignment horizontal="center" vertical="bottom" textRotation="0" wrapText="false" indent="0" shrinkToFit="false"/>
      <protection locked="true" hidden="false"/>
    </xf>
    <xf numFmtId="168" fontId="8" fillId="0" borderId="7" xfId="0" applyFont="true" applyBorder="true" applyAlignment="false" applyProtection="false">
      <alignment horizontal="general" vertical="bottom" textRotation="0" wrapText="false" indent="0" shrinkToFit="false"/>
      <protection locked="true" hidden="false"/>
    </xf>
    <xf numFmtId="172" fontId="6" fillId="0" borderId="0" xfId="0" applyFont="true" applyBorder="tru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right" vertical="bottom" textRotation="0" wrapText="false" indent="0" shrinkToFit="false"/>
      <protection locked="true" hidden="false"/>
    </xf>
    <xf numFmtId="164" fontId="6" fillId="0" borderId="8" xfId="24" applyFont="true" applyBorder="true" applyAlignment="false" applyProtection="false">
      <alignment horizontal="general" vertical="bottom" textRotation="0" wrapText="false" indent="0" shrinkToFit="false"/>
      <protection locked="true" hidden="false"/>
    </xf>
    <xf numFmtId="176" fontId="6" fillId="0" borderId="0"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true" applyAlignment="true" applyProtection="false">
      <alignment horizontal="center" vertical="bottom" textRotation="0" wrapText="false" indent="0" shrinkToFit="false"/>
      <protection locked="true" hidden="false"/>
    </xf>
    <xf numFmtId="170" fontId="6" fillId="0" borderId="0" xfId="0" applyFont="true" applyBorder="true" applyAlignment="true" applyProtection="false">
      <alignment horizontal="right" vertical="bottom" textRotation="0" wrapText="false" indent="0" shrinkToFit="false"/>
      <protection locked="true" hidden="false"/>
    </xf>
    <xf numFmtId="167" fontId="6" fillId="0" borderId="0" xfId="24" applyFont="true" applyBorder="true" applyAlignment="true" applyProtection="false">
      <alignment horizontal="center" vertical="bottom" textRotation="0" wrapText="false" indent="0" shrinkToFit="false"/>
      <protection locked="true" hidden="false"/>
    </xf>
    <xf numFmtId="167" fontId="8" fillId="0" borderId="12" xfId="0" applyFont="true" applyBorder="tru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2" fontId="6" fillId="0" borderId="7" xfId="0" applyFont="true" applyBorder="true" applyAlignment="false" applyProtection="false">
      <alignment horizontal="general" vertical="bottom" textRotation="0" wrapText="false" indent="0" shrinkToFit="false"/>
      <protection locked="true" hidden="false"/>
    </xf>
    <xf numFmtId="167" fontId="6" fillId="0" borderId="0" xfId="0" applyFont="true" applyBorder="true" applyAlignment="false" applyProtection="false">
      <alignment horizontal="general" vertical="bottom" textRotation="0" wrapText="false" indent="0" shrinkToFit="false"/>
      <protection locked="true" hidden="false"/>
    </xf>
    <xf numFmtId="167" fontId="6" fillId="0" borderId="8" xfId="0" applyFont="true" applyBorder="true" applyAlignment="false" applyProtection="false">
      <alignment horizontal="general" vertical="bottom" textRotation="0" wrapText="false" indent="0" shrinkToFit="false"/>
      <protection locked="true" hidden="false"/>
    </xf>
    <xf numFmtId="167" fontId="6" fillId="0" borderId="11" xfId="0" applyFont="true" applyBorder="true" applyAlignment="false" applyProtection="false">
      <alignment horizontal="general" vertical="bottom" textRotation="0" wrapText="false" indent="0" shrinkToFit="false"/>
      <protection locked="true" hidden="false"/>
    </xf>
    <xf numFmtId="170" fontId="6" fillId="0" borderId="0" xfId="0" applyFont="true" applyBorder="true" applyAlignment="false" applyProtection="false">
      <alignment horizontal="general" vertical="bottom" textRotation="0" wrapText="false" indent="0" shrinkToFit="false"/>
      <protection locked="true" hidden="false"/>
    </xf>
    <xf numFmtId="167" fontId="6" fillId="0" borderId="0" xfId="0" applyFont="true" applyBorder="true" applyAlignment="true" applyProtection="false">
      <alignment horizontal="right" vertical="bottom" textRotation="0" wrapText="false" indent="0" shrinkToFit="false"/>
      <protection locked="true" hidden="false"/>
    </xf>
    <xf numFmtId="167" fontId="6" fillId="0" borderId="0" xfId="0" applyFont="true" applyBorder="true" applyAlignment="true" applyProtection="false">
      <alignment horizontal="general" vertical="bottom" textRotation="0" wrapText="false" indent="0" shrinkToFit="false"/>
      <protection locked="true" hidden="false"/>
    </xf>
    <xf numFmtId="170" fontId="6" fillId="0" borderId="12" xfId="0" applyFont="true" applyBorder="true" applyAlignment="true" applyProtection="false">
      <alignment horizontal="center" vertical="bottom" textRotation="0" wrapText="false" indent="0" shrinkToFit="false"/>
      <protection locked="true" hidden="false"/>
    </xf>
    <xf numFmtId="169" fontId="6" fillId="0" borderId="0" xfId="0" applyFont="true" applyBorder="false" applyAlignment="true" applyProtection="false">
      <alignment horizontal="right" vertical="bottom" textRotation="0" wrapText="false" indent="0" shrinkToFit="false"/>
      <protection locked="true" hidden="false"/>
    </xf>
    <xf numFmtId="167" fontId="6" fillId="0" borderId="11" xfId="0" applyFont="true" applyBorder="true" applyAlignment="true" applyProtection="false">
      <alignment horizontal="right" vertical="bottom" textRotation="0" wrapText="false" indent="0" shrinkToFit="false"/>
      <protection locked="true" hidden="false"/>
    </xf>
    <xf numFmtId="167" fontId="6" fillId="0" borderId="12" xfId="0" applyFont="true" applyBorder="true" applyAlignment="true" applyProtection="false">
      <alignment horizontal="right" vertical="bottom" textRotation="0" wrapText="false" indent="0" shrinkToFit="false"/>
      <protection locked="true" hidden="false"/>
    </xf>
    <xf numFmtId="169" fontId="6" fillId="0" borderId="7"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8" fontId="6" fillId="0" borderId="7" xfId="0" applyFont="true" applyBorder="true" applyAlignment="true" applyProtection="false">
      <alignment horizontal="right" vertical="bottom" textRotation="0" wrapText="false" indent="0" shrinkToFit="false"/>
      <protection locked="true" hidden="false"/>
    </xf>
    <xf numFmtId="171" fontId="6" fillId="0" borderId="0" xfId="0" applyFont="true" applyBorder="true" applyAlignment="true" applyProtection="false">
      <alignment horizontal="right" vertical="bottom" textRotation="0" wrapText="false" indent="0" shrinkToFit="false"/>
      <protection locked="true" hidden="false"/>
    </xf>
    <xf numFmtId="169" fontId="6" fillId="0" borderId="10" xfId="0" applyFont="true" applyBorder="true" applyAlignment="false" applyProtection="false">
      <alignment horizontal="general" vertical="bottom" textRotation="0" wrapText="false" indent="0" shrinkToFit="false"/>
      <protection locked="true" hidden="false"/>
    </xf>
    <xf numFmtId="169" fontId="6" fillId="0" borderId="0" xfId="24" applyFont="true" applyBorder="tru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5" fontId="6" fillId="0" borderId="7" xfId="24" applyFont="true" applyBorder="true" applyAlignment="true" applyProtection="false">
      <alignment horizontal="right" vertical="bottom" textRotation="0" wrapText="false" indent="0" shrinkToFit="false"/>
      <protection locked="true" hidden="false"/>
    </xf>
    <xf numFmtId="167" fontId="6" fillId="0" borderId="0" xfId="24" applyFont="true" applyBorder="true" applyAlignment="true" applyProtection="false">
      <alignment horizontal="right" vertical="bottom" textRotation="0" wrapText="false" indent="0" shrinkToFit="false"/>
      <protection locked="true" hidden="false"/>
    </xf>
    <xf numFmtId="167" fontId="6" fillId="0" borderId="8" xfId="24" applyFont="tru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2" fontId="6" fillId="2" borderId="13" xfId="0" applyFont="true" applyBorder="true" applyAlignment="false" applyProtection="false">
      <alignment horizontal="general" vertical="bottom" textRotation="0" wrapText="false" indent="0" shrinkToFit="false"/>
      <protection locked="true" hidden="false"/>
    </xf>
    <xf numFmtId="165" fontId="6" fillId="2" borderId="14" xfId="0" applyFont="true" applyBorder="true" applyAlignment="false" applyProtection="false">
      <alignment horizontal="general" vertical="bottom" textRotation="0" wrapText="false" indent="0" shrinkToFit="false"/>
      <protection locked="true" hidden="false"/>
    </xf>
    <xf numFmtId="167" fontId="6" fillId="2" borderId="13" xfId="0" applyFont="true" applyBorder="true" applyAlignment="false" applyProtection="false">
      <alignment horizontal="general" vertical="bottom" textRotation="0" wrapText="false" indent="0" shrinkToFit="false"/>
      <protection locked="true" hidden="false"/>
    </xf>
    <xf numFmtId="172" fontId="6" fillId="2" borderId="15" xfId="0" applyFont="true" applyBorder="true" applyAlignment="false" applyProtection="false">
      <alignment horizontal="general" vertical="bottom" textRotation="0" wrapText="false" indent="0" shrinkToFit="false"/>
      <protection locked="true" hidden="false"/>
    </xf>
    <xf numFmtId="173" fontId="6" fillId="2" borderId="13" xfId="0" applyFont="true" applyBorder="true" applyAlignment="false" applyProtection="false">
      <alignment horizontal="general" vertical="bottom" textRotation="0" wrapText="false" indent="0" shrinkToFit="false"/>
      <protection locked="true" hidden="false"/>
    </xf>
    <xf numFmtId="172" fontId="6" fillId="2" borderId="16" xfId="0" applyFont="true" applyBorder="true" applyAlignment="false" applyProtection="false">
      <alignment horizontal="general" vertical="bottom" textRotation="0" wrapText="false" indent="0" shrinkToFit="false"/>
      <protection locked="true" hidden="false"/>
    </xf>
    <xf numFmtId="170" fontId="6" fillId="2" borderId="13" xfId="0" applyFont="true" applyBorder="true" applyAlignment="false" applyProtection="false">
      <alignment horizontal="general" vertical="bottom" textRotation="0" wrapText="false" indent="0" shrinkToFit="false"/>
      <protection locked="true" hidden="false"/>
    </xf>
    <xf numFmtId="172" fontId="6" fillId="2" borderId="13" xfId="0" applyFont="true" applyBorder="true" applyAlignment="true" applyProtection="false">
      <alignment horizontal="right" vertical="bottom" textRotation="0" wrapText="false" indent="0" shrinkToFit="false"/>
      <protection locked="true" hidden="false"/>
    </xf>
    <xf numFmtId="170" fontId="6" fillId="2" borderId="17" xfId="0" applyFont="true" applyBorder="true" applyAlignment="true" applyProtection="false">
      <alignment horizontal="center" vertical="bottom" textRotation="0" wrapText="false" indent="0" shrinkToFit="false"/>
      <protection locked="true" hidden="false"/>
    </xf>
    <xf numFmtId="169" fontId="6" fillId="2" borderId="13" xfId="0" applyFont="true" applyBorder="true" applyAlignment="true" applyProtection="false">
      <alignment horizontal="right" vertical="bottom" textRotation="0" wrapText="false" indent="0" shrinkToFit="false"/>
      <protection locked="true" hidden="false"/>
    </xf>
    <xf numFmtId="167" fontId="6" fillId="2" borderId="13" xfId="0" applyFont="true" applyBorder="true" applyAlignment="true" applyProtection="false">
      <alignment horizontal="right" vertical="bottom" textRotation="0" wrapText="false" indent="0" shrinkToFit="false"/>
      <protection locked="true" hidden="false"/>
    </xf>
    <xf numFmtId="172" fontId="6" fillId="2" borderId="16" xfId="0" applyFont="true" applyBorder="true" applyAlignment="true" applyProtection="false">
      <alignment horizontal="right" vertical="bottom" textRotation="0" wrapText="false" indent="0" shrinkToFit="false"/>
      <protection locked="true" hidden="false"/>
    </xf>
    <xf numFmtId="172" fontId="6" fillId="2" borderId="17" xfId="0" applyFont="true" applyBorder="true" applyAlignment="true" applyProtection="false">
      <alignment horizontal="right" vertical="bottom" textRotation="0" wrapText="false" indent="0" shrinkToFit="false"/>
      <protection locked="true" hidden="false"/>
    </xf>
    <xf numFmtId="169" fontId="6" fillId="2" borderId="14" xfId="0" applyFont="true" applyBorder="true" applyAlignment="true" applyProtection="false">
      <alignment horizontal="right" vertical="bottom" textRotation="0" wrapText="false" indent="0" shrinkToFit="false"/>
      <protection locked="true" hidden="false"/>
    </xf>
    <xf numFmtId="171" fontId="6" fillId="2" borderId="13" xfId="0" applyFont="true" applyBorder="true" applyAlignment="true" applyProtection="false">
      <alignment horizontal="right" vertical="bottom" textRotation="0" wrapText="false" indent="0" shrinkToFit="false"/>
      <protection locked="true" hidden="false"/>
    </xf>
    <xf numFmtId="170" fontId="6" fillId="2" borderId="13" xfId="24" applyFont="true" applyBorder="true" applyAlignment="true" applyProtection="false">
      <alignment horizontal="center" vertical="bottom" textRotation="0" wrapText="false" indent="0" shrinkToFit="false"/>
      <protection locked="true" hidden="false"/>
    </xf>
    <xf numFmtId="168" fontId="6" fillId="2" borderId="14" xfId="0" applyFont="true" applyBorder="true" applyAlignment="true" applyProtection="false">
      <alignment horizontal="right" vertical="bottom" textRotation="0" wrapText="false" indent="0" shrinkToFit="false"/>
      <protection locked="true" hidden="false"/>
    </xf>
    <xf numFmtId="165" fontId="6" fillId="0" borderId="7" xfId="0" applyFont="true" applyBorder="true" applyAlignment="false" applyProtection="false">
      <alignment horizontal="general" vertical="bottom" textRotation="0" wrapText="false" indent="0" shrinkToFit="false"/>
      <protection locked="true" hidden="false"/>
    </xf>
    <xf numFmtId="171" fontId="6" fillId="0" borderId="0" xfId="0" applyFont="true" applyBorder="true" applyAlignment="false" applyProtection="false">
      <alignment horizontal="general" vertical="bottom" textRotation="0" wrapText="false" indent="0" shrinkToFit="false"/>
      <protection locked="true" hidden="false"/>
    </xf>
    <xf numFmtId="172" fontId="6" fillId="0" borderId="8" xfId="0" applyFont="true" applyBorder="true" applyAlignment="false" applyProtection="false">
      <alignment horizontal="general" vertical="bottom" textRotation="0" wrapText="false" indent="0" shrinkToFit="false"/>
      <protection locked="true" hidden="false"/>
    </xf>
    <xf numFmtId="172" fontId="6" fillId="0" borderId="11" xfId="0" applyFont="true" applyBorder="true" applyAlignment="false" applyProtection="false">
      <alignment horizontal="general" vertical="bottom" textRotation="0" wrapText="false" indent="0" shrinkToFit="false"/>
      <protection locked="true" hidden="false"/>
    </xf>
    <xf numFmtId="172" fontId="6" fillId="0" borderId="0"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true" applyAlignment="true" applyProtection="false">
      <alignment horizontal="right" vertical="bottom" textRotation="0" wrapText="false" indent="0" shrinkToFit="false"/>
      <protection locked="true" hidden="false"/>
    </xf>
    <xf numFmtId="165" fontId="6" fillId="0" borderId="18"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true" applyAlignment="false" applyProtection="false">
      <alignment horizontal="general" vertical="bottom" textRotation="0" wrapText="false" indent="0" shrinkToFit="false"/>
      <protection locked="true" hidden="false"/>
    </xf>
    <xf numFmtId="172" fontId="6" fillId="0" borderId="0" xfId="0" applyFont="true" applyBorder="false" applyAlignment="true" applyProtection="false">
      <alignment horizontal="right" vertical="bottom" textRotation="0" wrapText="false" indent="0" shrinkToFit="false"/>
      <protection locked="true" hidden="false"/>
    </xf>
    <xf numFmtId="172" fontId="6" fillId="0" borderId="0" xfId="24" applyFont="true" applyBorder="true" applyAlignment="true" applyProtection="false">
      <alignment horizontal="right" vertical="bottom" textRotation="0" wrapText="false" indent="0" shrinkToFit="false"/>
      <protection locked="true" hidden="false"/>
    </xf>
    <xf numFmtId="169" fontId="6" fillId="0" borderId="0" xfId="24" applyFont="true" applyBorder="true" applyAlignment="true" applyProtection="false">
      <alignment horizontal="right" vertical="bottom" textRotation="0" wrapText="false" indent="0" shrinkToFit="false"/>
      <protection locked="true" hidden="false"/>
    </xf>
    <xf numFmtId="172" fontId="6" fillId="0" borderId="11" xfId="0" applyFont="true" applyBorder="true" applyAlignment="true" applyProtection="false">
      <alignment horizontal="right" vertical="bottom" textRotation="0" wrapText="false" indent="0" shrinkToFit="false"/>
      <protection locked="true" hidden="false"/>
    </xf>
    <xf numFmtId="172" fontId="6" fillId="0" borderId="12" xfId="0" applyFont="true" applyBorder="true" applyAlignment="true" applyProtection="false">
      <alignment horizontal="right" vertical="bottom" textRotation="0" wrapText="false" indent="0" shrinkToFit="false"/>
      <protection locked="true" hidden="false"/>
    </xf>
    <xf numFmtId="169" fontId="6" fillId="0" borderId="7" xfId="24" applyFont="true" applyBorder="true" applyAlignment="true" applyProtection="false">
      <alignment horizontal="right" vertical="bottom" textRotation="0" wrapText="false" indent="0" shrinkToFit="false"/>
      <protection locked="true" hidden="false"/>
    </xf>
    <xf numFmtId="168" fontId="6" fillId="0" borderId="19" xfId="0" applyFont="true" applyBorder="true" applyAlignment="true" applyProtection="false">
      <alignment horizontal="right"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right" vertical="bottom" textRotation="0" wrapText="false" indent="0" shrinkToFit="false"/>
      <protection locked="true" hidden="false"/>
    </xf>
    <xf numFmtId="172" fontId="6" fillId="0" borderId="8" xfId="0" applyFont="true" applyBorder="true" applyAlignment="true" applyProtection="false">
      <alignment horizontal="right" vertical="bottom" textRotation="0" wrapText="false" indent="0" shrinkToFit="false"/>
      <protection locked="true" hidden="false"/>
    </xf>
    <xf numFmtId="172" fontId="6" fillId="2" borderId="14" xfId="0" applyFont="true" applyBorder="true" applyAlignment="false" applyProtection="false">
      <alignment horizontal="general" vertical="bottom" textRotation="0" wrapText="false" indent="0" shrinkToFit="false"/>
      <protection locked="true" hidden="false"/>
    </xf>
    <xf numFmtId="172" fontId="6" fillId="2" borderId="15" xfId="0" applyFont="true" applyBorder="true" applyAlignment="true" applyProtection="false">
      <alignment horizontal="right" vertical="bottom" textRotation="0" wrapText="false" indent="0" shrinkToFit="false"/>
      <protection locked="true" hidden="false"/>
    </xf>
    <xf numFmtId="171" fontId="6" fillId="0" borderId="12" xfId="0" applyFont="true" applyBorder="true" applyAlignment="true" applyProtection="false">
      <alignment horizontal="center" vertical="bottom" textRotation="0" wrapText="false" indent="0" shrinkToFit="false"/>
      <protection locked="true" hidden="false"/>
    </xf>
    <xf numFmtId="172" fontId="6" fillId="0" borderId="20" xfId="0" applyFont="true" applyBorder="true" applyAlignment="true" applyProtection="false">
      <alignment horizontal="right" vertical="bottom" textRotation="0" wrapText="false" indent="0" shrinkToFit="false"/>
      <protection locked="true" hidden="false"/>
    </xf>
    <xf numFmtId="167" fontId="6" fillId="0" borderId="8" xfId="0" applyFont="true" applyBorder="true" applyAlignment="true" applyProtection="false">
      <alignment horizontal="right" vertical="bottom" textRotation="0" wrapText="false" indent="0" shrinkToFit="false"/>
      <protection locked="true" hidden="false"/>
    </xf>
    <xf numFmtId="171" fontId="6" fillId="0" borderId="0" xfId="0" applyFont="true" applyBorder="false" applyAlignment="true" applyProtection="false">
      <alignment horizontal="right" vertical="bottom" textRotation="0" wrapText="false" indent="0" shrinkToFit="false"/>
      <protection locked="true" hidden="false"/>
    </xf>
    <xf numFmtId="170" fontId="6" fillId="0" borderId="0" xfId="0" applyFont="true" applyBorder="false" applyAlignment="true" applyProtection="false">
      <alignment horizontal="right" vertical="bottom" textRotation="0" wrapText="false" indent="0" shrinkToFit="false"/>
      <protection locked="true" hidden="false"/>
    </xf>
    <xf numFmtId="169" fontId="6" fillId="0" borderId="18" xfId="0" applyFont="true" applyBorder="true" applyAlignment="true" applyProtection="false">
      <alignment horizontal="right" vertical="bottom" textRotation="0" wrapText="false" indent="0" shrinkToFit="false"/>
      <protection locked="true" hidden="false"/>
    </xf>
    <xf numFmtId="169" fontId="6" fillId="0" borderId="10" xfId="0" applyFont="true" applyBorder="true" applyAlignment="true" applyProtection="false">
      <alignment horizontal="right" vertical="bottom" textRotation="0" wrapText="false" indent="0" shrinkToFit="false"/>
      <protection locked="true" hidden="false"/>
    </xf>
    <xf numFmtId="167" fontId="6" fillId="0" borderId="0" xfId="24" applyFont="true" applyBorder="true" applyAlignment="false" applyProtection="false">
      <alignment horizontal="general" vertical="bottom" textRotation="0" wrapText="false" indent="0" shrinkToFit="false"/>
      <protection locked="true" hidden="false"/>
    </xf>
    <xf numFmtId="167" fontId="6" fillId="0" borderId="21" xfId="0" applyFont="true" applyBorder="true" applyAlignment="true" applyProtection="false">
      <alignment horizontal="right" vertical="bottom" textRotation="0" wrapText="false" indent="0" shrinkToFit="false"/>
      <protection locked="true" hidden="false"/>
    </xf>
    <xf numFmtId="169" fontId="6" fillId="0" borderId="0" xfId="0" applyFont="true" applyBorder="true" applyAlignment="true" applyProtection="false">
      <alignment horizontal="right" vertical="bottom" textRotation="0" wrapText="false" indent="0" shrinkToFit="false"/>
      <protection locked="true" hidden="false"/>
    </xf>
    <xf numFmtId="167" fontId="6" fillId="2" borderId="15" xfId="0" applyFont="true" applyBorder="true" applyAlignment="false" applyProtection="false">
      <alignment horizontal="general" vertical="bottom" textRotation="0" wrapText="false" indent="0" shrinkToFit="false"/>
      <protection locked="true" hidden="false"/>
    </xf>
    <xf numFmtId="167" fontId="6" fillId="2" borderId="16" xfId="0" applyFont="true" applyBorder="true" applyAlignment="false" applyProtection="false">
      <alignment horizontal="general" vertical="bottom" textRotation="0" wrapText="false" indent="0" shrinkToFit="false"/>
      <protection locked="true" hidden="false"/>
    </xf>
    <xf numFmtId="171" fontId="6" fillId="2" borderId="17" xfId="0" applyFont="true" applyBorder="true" applyAlignment="true" applyProtection="false">
      <alignment horizontal="center" vertical="bottom" textRotation="0" wrapText="false" indent="0" shrinkToFit="false"/>
      <protection locked="true" hidden="false"/>
    </xf>
    <xf numFmtId="167" fontId="6" fillId="2" borderId="16" xfId="0" applyFont="true" applyBorder="true" applyAlignment="true" applyProtection="false">
      <alignment horizontal="right" vertical="bottom" textRotation="0" wrapText="false" indent="0" shrinkToFit="false"/>
      <protection locked="true" hidden="false"/>
    </xf>
    <xf numFmtId="167" fontId="6" fillId="2" borderId="17" xfId="0" applyFont="true" applyBorder="true" applyAlignment="true" applyProtection="false">
      <alignment horizontal="right" vertical="bottom" textRotation="0" wrapText="false" indent="0" shrinkToFit="false"/>
      <protection locked="true" hidden="false"/>
    </xf>
    <xf numFmtId="167" fontId="6" fillId="2" borderId="15" xfId="0" applyFont="true" applyBorder="true" applyAlignment="true" applyProtection="false">
      <alignment horizontal="right" vertical="bottom" textRotation="0" wrapText="false" indent="0" shrinkToFit="false"/>
      <protection locked="true" hidden="false"/>
    </xf>
    <xf numFmtId="167" fontId="6" fillId="2" borderId="14" xfId="0" applyFont="true" applyBorder="true" applyAlignment="true" applyProtection="false">
      <alignment horizontal="right" vertical="bottom" textRotation="0" wrapText="false" indent="0" shrinkToFit="false"/>
      <protection locked="true" hidden="false"/>
    </xf>
    <xf numFmtId="170" fontId="6" fillId="0" borderId="0" xfId="24" applyFont="true" applyBorder="true" applyAlignment="true" applyProtection="false">
      <alignment horizontal="right" vertical="bottom" textRotation="0" wrapText="false" indent="0" shrinkToFit="false"/>
      <protection locked="true" hidden="false"/>
    </xf>
    <xf numFmtId="168" fontId="6" fillId="0" borderId="22" xfId="0" applyFont="true" applyBorder="true" applyAlignment="true" applyProtection="false">
      <alignment horizontal="right" vertical="bottom" textRotation="0" wrapText="false" indent="0" shrinkToFit="false"/>
      <protection locked="true" hidden="false"/>
    </xf>
    <xf numFmtId="171" fontId="6" fillId="2" borderId="13" xfId="0" applyFont="true" applyBorder="true" applyAlignment="false" applyProtection="false">
      <alignment horizontal="general" vertical="bottom" textRotation="0" wrapText="false" indent="0" shrinkToFit="false"/>
      <protection locked="true" hidden="false"/>
    </xf>
    <xf numFmtId="167" fontId="6" fillId="0" borderId="23" xfId="0" applyFont="true" applyBorder="true" applyAlignment="true" applyProtection="false">
      <alignment horizontal="right" vertical="bottom" textRotation="0" wrapText="false" indent="0" shrinkToFit="false"/>
      <protection locked="true" hidden="false"/>
    </xf>
    <xf numFmtId="171" fontId="6" fillId="0" borderId="24" xfId="0" applyFont="true" applyBorder="true" applyAlignment="true" applyProtection="false">
      <alignment horizontal="right" vertical="bottom" textRotation="0" wrapText="false" indent="0" shrinkToFit="false"/>
      <protection locked="true" hidden="false"/>
    </xf>
    <xf numFmtId="169" fontId="6" fillId="0" borderId="25" xfId="0" applyFont="true" applyBorder="true" applyAlignment="true" applyProtection="false">
      <alignment horizontal="right" vertical="bottom" textRotation="0" wrapText="false" indent="0" shrinkToFit="false"/>
      <protection locked="true" hidden="false"/>
    </xf>
    <xf numFmtId="169" fontId="6" fillId="2" borderId="13" xfId="0" applyFont="true" applyBorder="true" applyAlignment="false" applyProtection="false">
      <alignment horizontal="general" vertical="bottom" textRotation="0" wrapText="false" indent="0" shrinkToFit="false"/>
      <protection locked="true" hidden="false"/>
    </xf>
    <xf numFmtId="172" fontId="6" fillId="2" borderId="17" xfId="0" applyFont="true" applyBorder="true" applyAlignment="false" applyProtection="false">
      <alignment horizontal="general" vertical="bottom" textRotation="0" wrapText="false" indent="0" shrinkToFit="false"/>
      <protection locked="true" hidden="false"/>
    </xf>
    <xf numFmtId="169" fontId="6" fillId="2" borderId="14" xfId="0" applyFont="true" applyBorder="true" applyAlignment="false" applyProtection="false">
      <alignment horizontal="general" vertical="bottom" textRotation="0" wrapText="false" indent="0" shrinkToFit="false"/>
      <protection locked="true" hidden="false"/>
    </xf>
    <xf numFmtId="172" fontId="6" fillId="2" borderId="13" xfId="0" applyFont="true" applyBorder="true" applyAlignment="true" applyProtection="false">
      <alignment horizontal="center" vertical="bottom" textRotation="0" wrapText="false" indent="0" shrinkToFit="false"/>
      <protection locked="true" hidden="false"/>
    </xf>
    <xf numFmtId="167" fontId="6" fillId="2" borderId="13"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7"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19" applyFont="true" applyBorder="true" applyAlignment="true" applyProtection="tru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24" applyFont="true" applyBorder="true" applyAlignment="false" applyProtection="false">
      <alignment horizontal="general" vertical="bottom" textRotation="0" wrapText="false" indent="0" shrinkToFit="false"/>
      <protection locked="true" hidden="false"/>
    </xf>
    <xf numFmtId="164" fontId="8" fillId="0" borderId="0" xfId="24" applyFont="true" applyBorder="true" applyAlignment="false" applyProtection="false">
      <alignment horizontal="general" vertical="bottom" textRotation="0" wrapText="false" indent="0" shrinkToFit="false"/>
      <protection locked="true" hidden="false"/>
    </xf>
    <xf numFmtId="164" fontId="6" fillId="0" borderId="0" xfId="24" applyFont="true" applyBorder="true" applyAlignment="true" applyProtection="false">
      <alignment horizontal="general" vertical="bottom" textRotation="0" wrapText="false" indent="0" shrinkToFit="false"/>
      <protection locked="true" hidden="false"/>
    </xf>
    <xf numFmtId="171" fontId="6" fillId="0" borderId="0" xfId="24" applyFont="true" applyBorder="true" applyAlignment="false" applyProtection="false">
      <alignment horizontal="general" vertical="bottom" textRotation="0" wrapText="false" indent="0" shrinkToFit="false"/>
      <protection locked="true" hidden="false"/>
    </xf>
    <xf numFmtId="171" fontId="6" fillId="0" borderId="0" xfId="24" applyFont="true" applyBorder="true" applyAlignment="true" applyProtection="false">
      <alignment horizontal="center" vertical="bottom" textRotation="0" wrapText="false" indent="0" shrinkToFit="false"/>
      <protection locked="true" hidden="false"/>
    </xf>
    <xf numFmtId="164" fontId="0" fillId="0" borderId="0" xfId="24" applyFont="false" applyBorder="true" applyAlignment="false" applyProtection="false">
      <alignment horizontal="general" vertical="bottom" textRotation="0" wrapText="false" indent="0" shrinkToFit="false"/>
      <protection locked="true" hidden="false"/>
    </xf>
    <xf numFmtId="172" fontId="6" fillId="0" borderId="0" xfId="24" applyFont="true" applyBorder="true" applyAlignment="false" applyProtection="false">
      <alignment horizontal="general" vertical="bottom" textRotation="0" wrapText="false" indent="0" shrinkToFit="false"/>
      <protection locked="true" hidden="false"/>
    </xf>
    <xf numFmtId="173" fontId="6" fillId="0" borderId="0" xfId="24" applyFont="true" applyBorder="true" applyAlignment="false" applyProtection="false">
      <alignment horizontal="general" vertical="bottom" textRotation="0" wrapText="false" indent="0" shrinkToFit="false"/>
      <protection locked="true" hidden="false"/>
    </xf>
    <xf numFmtId="172" fontId="7" fillId="0" borderId="0" xfId="24" applyFont="true" applyBorder="true" applyAlignment="false" applyProtection="false">
      <alignment horizontal="general" vertical="bottom" textRotation="0" wrapText="false" indent="0" shrinkToFit="false"/>
      <protection locked="true" hidden="false"/>
    </xf>
    <xf numFmtId="172" fontId="8" fillId="0" borderId="0" xfId="24" applyFont="true" applyBorder="true" applyAlignment="false" applyProtection="false">
      <alignment horizontal="general" vertical="bottom" textRotation="0" wrapText="false" indent="0" shrinkToFit="false"/>
      <protection locked="true" hidden="false"/>
    </xf>
    <xf numFmtId="174" fontId="6" fillId="0" borderId="0" xfId="24" applyFont="true" applyBorder="true" applyAlignment="false" applyProtection="false">
      <alignment horizontal="general" vertical="bottom" textRotation="0" wrapText="false" indent="0" shrinkToFit="false"/>
      <protection locked="true" hidden="false"/>
    </xf>
    <xf numFmtId="172" fontId="7" fillId="0" borderId="0" xfId="24" applyFont="true" applyBorder="true" applyAlignment="true" applyProtection="false">
      <alignment horizontal="general" vertical="bottom" textRotation="0" wrapText="false" indent="0" shrinkToFit="false"/>
      <protection locked="true" hidden="false"/>
    </xf>
    <xf numFmtId="172" fontId="6" fillId="0" borderId="0" xfId="24" applyFont="true" applyBorder="true" applyAlignment="true" applyProtection="false">
      <alignment horizontal="center" vertical="bottom" textRotation="0" wrapText="false" indent="0" shrinkToFit="false"/>
      <protection locked="true" hidden="false"/>
    </xf>
    <xf numFmtId="169" fontId="6" fillId="0" borderId="0" xfId="24" applyFont="true" applyBorder="true" applyAlignment="true" applyProtection="false">
      <alignment horizontal="center" vertical="bottom" textRotation="0" wrapText="false" indent="0" shrinkToFit="false"/>
      <protection locked="true" hidden="false"/>
    </xf>
    <xf numFmtId="172" fontId="6" fillId="0" borderId="1" xfId="24" applyFont="true" applyBorder="true" applyAlignment="false" applyProtection="false">
      <alignment horizontal="general" vertical="bottom" textRotation="0" wrapText="false" indent="0" shrinkToFit="false"/>
      <protection locked="true" hidden="false"/>
    </xf>
    <xf numFmtId="167" fontId="6" fillId="0" borderId="1" xfId="24" applyFont="true" applyBorder="true" applyAlignment="false" applyProtection="false">
      <alignment horizontal="general" vertical="bottom" textRotation="0" wrapText="false" indent="0" shrinkToFit="false"/>
      <protection locked="true" hidden="false"/>
    </xf>
    <xf numFmtId="175" fontId="6" fillId="0" borderId="1" xfId="24" applyFont="true" applyBorder="true" applyAlignment="false" applyProtection="false">
      <alignment horizontal="general" vertical="bottom" textRotation="0" wrapText="false" indent="0" shrinkToFit="false"/>
      <protection locked="true" hidden="false"/>
    </xf>
    <xf numFmtId="173" fontId="6" fillId="0" borderId="1" xfId="24" applyFont="true" applyBorder="true" applyAlignment="false" applyProtection="false">
      <alignment horizontal="general" vertical="bottom" textRotation="0" wrapText="false" indent="0" shrinkToFit="false"/>
      <protection locked="true" hidden="false"/>
    </xf>
    <xf numFmtId="170" fontId="6" fillId="0" borderId="1" xfId="24" applyFont="true" applyBorder="true" applyAlignment="false" applyProtection="false">
      <alignment horizontal="general" vertical="bottom" textRotation="0" wrapText="false" indent="0" shrinkToFit="false"/>
      <protection locked="true" hidden="false"/>
    </xf>
    <xf numFmtId="169" fontId="6" fillId="0" borderId="1" xfId="24" applyFont="true" applyBorder="true" applyAlignment="false" applyProtection="false">
      <alignment horizontal="general" vertical="bottom" textRotation="0" wrapText="false" indent="0" shrinkToFit="false"/>
      <protection locked="true" hidden="false"/>
    </xf>
    <xf numFmtId="172" fontId="8" fillId="0" borderId="1" xfId="24" applyFont="true" applyBorder="true" applyAlignment="false" applyProtection="false">
      <alignment horizontal="general" vertical="bottom" textRotation="0" wrapText="false" indent="0" shrinkToFit="false"/>
      <protection locked="true" hidden="false"/>
    </xf>
    <xf numFmtId="164" fontId="6" fillId="0" borderId="1" xfId="24" applyFont="true" applyBorder="true" applyAlignment="false" applyProtection="false">
      <alignment horizontal="general" vertical="bottom" textRotation="0" wrapText="false" indent="0" shrinkToFit="false"/>
      <protection locked="true" hidden="false"/>
    </xf>
    <xf numFmtId="164" fontId="6" fillId="0" borderId="1" xfId="24" applyFont="true" applyBorder="true" applyAlignment="true" applyProtection="false">
      <alignment horizontal="general" vertical="bottom" textRotation="0" wrapText="false" indent="0" shrinkToFit="false"/>
      <protection locked="true" hidden="false"/>
    </xf>
    <xf numFmtId="168" fontId="6" fillId="0" borderId="1" xfId="24" applyFont="true" applyBorder="true" applyAlignment="false" applyProtection="false">
      <alignment horizontal="general" vertical="bottom" textRotation="0" wrapText="false" indent="0" shrinkToFit="false"/>
      <protection locked="true" hidden="false"/>
    </xf>
    <xf numFmtId="171" fontId="6" fillId="0" borderId="1" xfId="24" applyFont="true" applyBorder="true" applyAlignment="false" applyProtection="false">
      <alignment horizontal="general" vertical="bottom" textRotation="0" wrapText="false" indent="0" shrinkToFit="false"/>
      <protection locked="true" hidden="false"/>
    </xf>
    <xf numFmtId="171" fontId="6" fillId="0" borderId="1" xfId="24" applyFont="true" applyBorder="true" applyAlignment="true" applyProtection="false">
      <alignment horizontal="center" vertical="bottom" textRotation="0" wrapText="false" indent="0" shrinkToFit="false"/>
      <protection locked="true" hidden="false"/>
    </xf>
    <xf numFmtId="164" fontId="0" fillId="0" borderId="1" xfId="24" applyFont="false" applyBorder="true" applyAlignment="false" applyProtection="false">
      <alignment horizontal="general" vertical="bottom" textRotation="0" wrapText="false" indent="0" shrinkToFit="false"/>
      <protection locked="true" hidden="false"/>
    </xf>
    <xf numFmtId="171" fontId="6" fillId="0" borderId="2" xfId="0" applyFont="true" applyBorder="true" applyAlignment="true" applyProtection="false">
      <alignment horizontal="center" vertical="bottom" textRotation="0" wrapText="false" indent="0" shrinkToFit="false"/>
      <protection locked="true" hidden="false"/>
    </xf>
    <xf numFmtId="164" fontId="8" fillId="0" borderId="6"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center" vertical="bottom" textRotation="0" wrapText="false" indent="0" shrinkToFit="false"/>
      <protection locked="true" hidden="false"/>
    </xf>
    <xf numFmtId="172" fontId="10" fillId="0" borderId="26" xfId="0" applyFont="true" applyBorder="true" applyAlignment="true" applyProtection="false">
      <alignment horizontal="center" vertical="bottom" textRotation="0" wrapText="false" indent="0" shrinkToFit="false"/>
      <protection locked="true" hidden="false"/>
    </xf>
    <xf numFmtId="171" fontId="8" fillId="0" borderId="8" xfId="0" applyFont="true" applyBorder="true" applyAlignment="true" applyProtection="false">
      <alignment horizontal="center" vertical="bottom" textRotation="0" wrapText="false" indent="0" shrinkToFit="false"/>
      <protection locked="true" hidden="false"/>
    </xf>
    <xf numFmtId="164" fontId="8" fillId="0" borderId="10"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14" fillId="0" borderId="8" xfId="0" applyFont="true" applyBorder="true" applyAlignment="true" applyProtection="false">
      <alignment horizontal="center" vertical="bottom" textRotation="0" wrapText="false" indent="0" shrinkToFit="false"/>
      <protection locked="true" hidden="false"/>
    </xf>
    <xf numFmtId="172" fontId="6" fillId="0" borderId="7" xfId="24" applyFont="true" applyBorder="true" applyAlignment="true" applyProtection="false">
      <alignment horizontal="right" vertical="bottom" textRotation="0" wrapText="false" indent="0" shrinkToFit="false"/>
      <protection locked="true" hidden="false"/>
    </xf>
    <xf numFmtId="167" fontId="6" fillId="0" borderId="8" xfId="24" applyFont="true" applyBorder="true" applyAlignment="true" applyProtection="false">
      <alignment horizontal="right" vertical="bottom" textRotation="0" wrapText="false" indent="0" shrinkToFit="false"/>
      <protection locked="true" hidden="false"/>
    </xf>
    <xf numFmtId="171" fontId="6" fillId="0" borderId="0" xfId="24" applyFont="true" applyBorder="true" applyAlignment="true" applyProtection="false">
      <alignment horizontal="right" vertical="bottom" textRotation="0" wrapText="false" indent="0" shrinkToFit="false"/>
      <protection locked="true" hidden="false"/>
    </xf>
    <xf numFmtId="167" fontId="6" fillId="0" borderId="11" xfId="24" applyFont="true" applyBorder="true" applyAlignment="true" applyProtection="false">
      <alignment horizontal="right" vertical="bottom" textRotation="0" wrapText="false" indent="0" shrinkToFit="false"/>
      <protection locked="true" hidden="false"/>
    </xf>
    <xf numFmtId="170" fontId="6" fillId="0" borderId="12" xfId="24" applyFont="true" applyBorder="true" applyAlignment="true" applyProtection="false">
      <alignment horizontal="right" vertical="bottom" textRotation="0" wrapText="false" indent="0" shrinkToFit="false"/>
      <protection locked="true" hidden="false"/>
    </xf>
    <xf numFmtId="167" fontId="6" fillId="0" borderId="12" xfId="24" applyFont="true" applyBorder="true" applyAlignment="true" applyProtection="false">
      <alignment horizontal="right" vertical="bottom" textRotation="0" wrapText="false" indent="0" shrinkToFit="false"/>
      <protection locked="true" hidden="false"/>
    </xf>
    <xf numFmtId="167" fontId="8" fillId="0" borderId="0" xfId="24" applyFont="true" applyBorder="true" applyAlignment="true" applyProtection="false">
      <alignment horizontal="right" vertical="bottom" textRotation="0" wrapText="false" indent="0" shrinkToFit="false"/>
      <protection locked="true" hidden="false"/>
    </xf>
    <xf numFmtId="171" fontId="6" fillId="0" borderId="7" xfId="24" applyFont="true" applyBorder="true" applyAlignment="true" applyProtection="false">
      <alignment horizontal="right" vertical="bottom" textRotation="0" wrapText="false" indent="0" shrinkToFit="false"/>
      <protection locked="true" hidden="false"/>
    </xf>
    <xf numFmtId="164" fontId="6" fillId="0" borderId="0" xfId="24" applyFont="true" applyBorder="true" applyAlignment="true" applyProtection="false">
      <alignment horizontal="right" vertical="bottom" textRotation="0" wrapText="false" indent="0" shrinkToFit="false"/>
      <protection locked="true" hidden="false"/>
    </xf>
    <xf numFmtId="168" fontId="6" fillId="0" borderId="7" xfId="24" applyFont="true" applyBorder="true" applyAlignment="true" applyProtection="false">
      <alignment horizontal="right" vertical="bottom" textRotation="0" wrapText="false" indent="0" shrinkToFit="false"/>
      <protection locked="true" hidden="false"/>
    </xf>
    <xf numFmtId="171" fontId="6" fillId="0" borderId="8" xfId="24" applyFont="true" applyBorder="true" applyAlignment="true" applyProtection="false">
      <alignment horizontal="right"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7" fontId="0" fillId="0" borderId="0" xfId="24" applyFont="true" applyBorder="true" applyAlignment="true" applyProtection="false">
      <alignment horizontal="right" vertical="bottom" textRotation="0" wrapText="false" indent="0" shrinkToFit="false"/>
      <protection locked="true" hidden="false"/>
    </xf>
    <xf numFmtId="164" fontId="14" fillId="0" borderId="8" xfId="24" applyFont="true" applyBorder="true" applyAlignment="true" applyProtection="false">
      <alignment horizontal="center" vertical="bottom" textRotation="0" wrapText="false" indent="0" shrinkToFit="false"/>
      <protection locked="true" hidden="false"/>
    </xf>
    <xf numFmtId="167" fontId="8" fillId="0" borderId="0" xfId="24" applyFont="true" applyBorder="true" applyAlignment="false" applyProtection="false">
      <alignment horizontal="general" vertical="bottom" textRotation="0" wrapText="false" indent="0" shrinkToFit="false"/>
      <protection locked="true" hidden="false"/>
    </xf>
    <xf numFmtId="167" fontId="6" fillId="0" borderId="24" xfId="24" applyFont="true" applyBorder="true" applyAlignment="true" applyProtection="false">
      <alignment horizontal="right" vertical="bottom" textRotation="0" wrapText="false" indent="0" shrinkToFit="false"/>
      <protection locked="true" hidden="false"/>
    </xf>
    <xf numFmtId="170" fontId="6" fillId="0" borderId="21" xfId="24" applyFont="true" applyBorder="true" applyAlignment="true" applyProtection="false">
      <alignment horizontal="right" vertical="bottom" textRotation="0" wrapText="false" indent="0" shrinkToFit="false"/>
      <protection locked="true" hidden="false"/>
    </xf>
    <xf numFmtId="167" fontId="6" fillId="0" borderId="0" xfId="24" applyFont="true" applyBorder="true" applyAlignment="true" applyProtection="false">
      <alignment horizontal="general" vertical="bottom" textRotation="0" wrapText="false" indent="0" shrinkToFit="false"/>
      <protection locked="true" hidden="false"/>
    </xf>
    <xf numFmtId="169" fontId="6" fillId="0" borderId="25" xfId="24" applyFont="true" applyBorder="true" applyAlignment="true" applyProtection="false">
      <alignment horizontal="right" vertical="bottom" textRotation="0" wrapText="false" indent="0" shrinkToFit="false"/>
      <protection locked="true" hidden="false"/>
    </xf>
    <xf numFmtId="167" fontId="14" fillId="0" borderId="8" xfId="24" applyFont="true" applyBorder="true" applyAlignment="true" applyProtection="false">
      <alignment horizontal="center" vertical="bottom" textRotation="0" wrapText="false" indent="0" shrinkToFit="false"/>
      <protection locked="true" hidden="false"/>
    </xf>
    <xf numFmtId="167" fontId="0" fillId="0" borderId="0" xfId="24" applyFont="false" applyBorder="true" applyAlignment="false" applyProtection="false">
      <alignment horizontal="general" vertical="bottom" textRotation="0" wrapText="false" indent="0" shrinkToFit="false"/>
      <protection locked="true" hidden="false"/>
    </xf>
    <xf numFmtId="172" fontId="6" fillId="2" borderId="13" xfId="24" applyFont="true" applyBorder="true" applyAlignment="false" applyProtection="false">
      <alignment horizontal="general" vertical="bottom" textRotation="0" wrapText="false" indent="0" shrinkToFit="false"/>
      <protection locked="true" hidden="false"/>
    </xf>
    <xf numFmtId="165" fontId="6" fillId="2" borderId="14" xfId="24" applyFont="true" applyBorder="true" applyAlignment="true" applyProtection="false">
      <alignment horizontal="right" vertical="bottom" textRotation="0" wrapText="false" indent="0" shrinkToFit="false"/>
      <protection locked="true" hidden="false"/>
    </xf>
    <xf numFmtId="167" fontId="6" fillId="2" borderId="13" xfId="24" applyFont="true" applyBorder="true" applyAlignment="true" applyProtection="false">
      <alignment horizontal="right" vertical="bottom" textRotation="0" wrapText="false" indent="0" shrinkToFit="false"/>
      <protection locked="true" hidden="false"/>
    </xf>
    <xf numFmtId="172" fontId="6" fillId="2" borderId="13" xfId="24" applyFont="true" applyBorder="true" applyAlignment="true" applyProtection="false">
      <alignment horizontal="right" vertical="bottom" textRotation="0" wrapText="false" indent="0" shrinkToFit="false"/>
      <protection locked="true" hidden="false"/>
    </xf>
    <xf numFmtId="172" fontId="6" fillId="2" borderId="15" xfId="24" applyFont="true" applyBorder="true" applyAlignment="true" applyProtection="false">
      <alignment horizontal="right" vertical="bottom" textRotation="0" wrapText="false" indent="0" shrinkToFit="false"/>
      <protection locked="true" hidden="false"/>
    </xf>
    <xf numFmtId="173" fontId="6" fillId="2" borderId="13" xfId="24" applyFont="true" applyBorder="true" applyAlignment="true" applyProtection="false">
      <alignment horizontal="right" vertical="bottom" textRotation="0" wrapText="false" indent="0" shrinkToFit="false"/>
      <protection locked="true" hidden="false"/>
    </xf>
    <xf numFmtId="172" fontId="6" fillId="2" borderId="16" xfId="24" applyFont="true" applyBorder="true" applyAlignment="true" applyProtection="false">
      <alignment horizontal="right" vertical="bottom" textRotation="0" wrapText="false" indent="0" shrinkToFit="false"/>
      <protection locked="true" hidden="false"/>
    </xf>
    <xf numFmtId="170" fontId="6" fillId="2" borderId="13" xfId="24" applyFont="true" applyBorder="true" applyAlignment="true" applyProtection="false">
      <alignment horizontal="right" vertical="bottom" textRotation="0" wrapText="false" indent="0" shrinkToFit="false"/>
      <protection locked="true" hidden="false"/>
    </xf>
    <xf numFmtId="170" fontId="6" fillId="2" borderId="17" xfId="24" applyFont="true" applyBorder="true" applyAlignment="true" applyProtection="false">
      <alignment horizontal="right" vertical="bottom" textRotation="0" wrapText="false" indent="0" shrinkToFit="false"/>
      <protection locked="true" hidden="false"/>
    </xf>
    <xf numFmtId="169" fontId="6" fillId="2" borderId="13" xfId="24" applyFont="true" applyBorder="true" applyAlignment="true" applyProtection="false">
      <alignment horizontal="right" vertical="bottom" textRotation="0" wrapText="false" indent="0" shrinkToFit="false"/>
      <protection locked="true" hidden="false"/>
    </xf>
    <xf numFmtId="172" fontId="6" fillId="2" borderId="17" xfId="24" applyFont="true" applyBorder="true" applyAlignment="true" applyProtection="false">
      <alignment horizontal="right" vertical="bottom" textRotation="0" wrapText="false" indent="0" shrinkToFit="false"/>
      <protection locked="true" hidden="false"/>
    </xf>
    <xf numFmtId="171" fontId="6" fillId="2" borderId="14" xfId="24" applyFont="true" applyBorder="true" applyAlignment="true" applyProtection="false">
      <alignment horizontal="right" vertical="bottom" textRotation="0" wrapText="false" indent="0" shrinkToFit="false"/>
      <protection locked="true" hidden="false"/>
    </xf>
    <xf numFmtId="171" fontId="6" fillId="2" borderId="13" xfId="24" applyFont="true" applyBorder="true" applyAlignment="true" applyProtection="false">
      <alignment horizontal="right" vertical="bottom" textRotation="0" wrapText="false" indent="0" shrinkToFit="false"/>
      <protection locked="true" hidden="false"/>
    </xf>
    <xf numFmtId="171" fontId="6" fillId="2" borderId="13" xfId="24" applyFont="true" applyBorder="true" applyAlignment="true" applyProtection="false">
      <alignment horizontal="general" vertical="bottom" textRotation="0" wrapText="false" indent="0" shrinkToFit="false"/>
      <protection locked="true" hidden="false"/>
    </xf>
    <xf numFmtId="168" fontId="6" fillId="2" borderId="14" xfId="24" applyFont="true" applyBorder="true" applyAlignment="true" applyProtection="false">
      <alignment horizontal="right" vertical="bottom" textRotation="0" wrapText="false" indent="0" shrinkToFit="false"/>
      <protection locked="true" hidden="false"/>
    </xf>
    <xf numFmtId="172" fontId="6" fillId="0" borderId="8" xfId="24" applyFont="true" applyBorder="true" applyAlignment="true" applyProtection="false">
      <alignment horizontal="right" vertical="bottom" textRotation="0" wrapText="false" indent="0" shrinkToFit="false"/>
      <protection locked="true" hidden="false"/>
    </xf>
    <xf numFmtId="173" fontId="6" fillId="0" borderId="0" xfId="24" applyFont="true" applyBorder="true" applyAlignment="true" applyProtection="false">
      <alignment horizontal="right" vertical="bottom" textRotation="0" wrapText="false" indent="0" shrinkToFit="false"/>
      <protection locked="true" hidden="false"/>
    </xf>
    <xf numFmtId="172" fontId="6" fillId="0" borderId="11" xfId="24" applyFont="true" applyBorder="true" applyAlignment="true" applyProtection="false">
      <alignment horizontal="right" vertical="bottom" textRotation="0" wrapText="false" indent="0" shrinkToFit="false"/>
      <protection locked="true" hidden="false"/>
    </xf>
    <xf numFmtId="172" fontId="6" fillId="0" borderId="12" xfId="24" applyFont="true" applyBorder="true" applyAlignment="true" applyProtection="false">
      <alignment horizontal="right" vertical="bottom" textRotation="0" wrapText="false" indent="0" shrinkToFit="false"/>
      <protection locked="true" hidden="false"/>
    </xf>
    <xf numFmtId="172" fontId="6" fillId="0" borderId="10" xfId="0" applyFont="true" applyBorder="true" applyAlignment="false" applyProtection="false">
      <alignment horizontal="general" vertical="bottom" textRotation="0" wrapText="false" indent="0" shrinkToFit="false"/>
      <protection locked="true" hidden="false"/>
    </xf>
    <xf numFmtId="164" fontId="0" fillId="0" borderId="8" xfId="24" applyFont="false" applyBorder="true" applyAlignment="false" applyProtection="false">
      <alignment horizontal="general" vertical="bottom" textRotation="0" wrapText="false" indent="0" shrinkToFit="false"/>
      <protection locked="true" hidden="false"/>
    </xf>
    <xf numFmtId="164" fontId="6" fillId="0" borderId="8" xfId="24" applyFont="true" applyBorder="true" applyAlignment="true" applyProtection="false">
      <alignment horizontal="right" vertical="bottom" textRotation="0" wrapText="false" indent="0" shrinkToFit="false"/>
      <protection locked="true" hidden="false"/>
    </xf>
    <xf numFmtId="172" fontId="6" fillId="2" borderId="14" xfId="24" applyFont="true" applyBorder="true" applyAlignment="true" applyProtection="false">
      <alignment horizontal="right" vertical="bottom" textRotation="0" wrapText="false" indent="0" shrinkToFit="false"/>
      <protection locked="true" hidden="false"/>
    </xf>
    <xf numFmtId="172" fontId="6" fillId="0" borderId="13" xfId="24" applyFont="true" applyBorder="true" applyAlignment="true" applyProtection="false">
      <alignment horizontal="right" vertical="bottom" textRotation="0" wrapText="false" indent="0" shrinkToFit="false"/>
      <protection locked="true" hidden="false"/>
    </xf>
    <xf numFmtId="169" fontId="6" fillId="0" borderId="10" xfId="24" applyFont="true" applyBorder="true" applyAlignment="true" applyProtection="false">
      <alignment horizontal="right" vertical="bottom" textRotation="0" wrapText="false" indent="0" shrinkToFit="false"/>
      <protection locked="true" hidden="false"/>
    </xf>
    <xf numFmtId="172" fontId="0" fillId="0" borderId="0" xfId="24" applyFont="false" applyBorder="true" applyAlignment="false" applyProtection="false">
      <alignment horizontal="general" vertical="bottom" textRotation="0" wrapText="false" indent="0" shrinkToFit="false"/>
      <protection locked="true" hidden="false"/>
    </xf>
    <xf numFmtId="167" fontId="6" fillId="2" borderId="15" xfId="24" applyFont="true" applyBorder="true" applyAlignment="true" applyProtection="false">
      <alignment horizontal="right" vertical="bottom" textRotation="0" wrapText="false" indent="0" shrinkToFit="false"/>
      <protection locked="true" hidden="false"/>
    </xf>
    <xf numFmtId="167" fontId="6" fillId="2" borderId="16" xfId="24" applyFont="true" applyBorder="true" applyAlignment="true" applyProtection="false">
      <alignment horizontal="right" vertical="bottom" textRotation="0" wrapText="false" indent="0" shrinkToFit="false"/>
      <protection locked="true" hidden="false"/>
    </xf>
    <xf numFmtId="167" fontId="6" fillId="2" borderId="17" xfId="24" applyFont="true" applyBorder="true" applyAlignment="true" applyProtection="false">
      <alignment horizontal="right" vertical="bottom" textRotation="0" wrapText="false" indent="0" shrinkToFit="false"/>
      <protection locked="true" hidden="false"/>
    </xf>
    <xf numFmtId="167" fontId="6" fillId="2" borderId="13" xfId="24" applyFont="true" applyBorder="true" applyAlignment="true" applyProtection="false">
      <alignment horizontal="general" vertical="bottom" textRotation="0" wrapText="false" indent="0" shrinkToFit="false"/>
      <protection locked="true" hidden="false"/>
    </xf>
    <xf numFmtId="167" fontId="6" fillId="2" borderId="14" xfId="24" applyFont="true" applyBorder="true" applyAlignment="true" applyProtection="false">
      <alignment horizontal="right" vertical="bottom" textRotation="0" wrapText="false" indent="0" shrinkToFit="false"/>
      <protection locked="true" hidden="false"/>
    </xf>
    <xf numFmtId="168" fontId="6" fillId="2" borderId="13" xfId="24" applyFont="true" applyBorder="true" applyAlignment="true" applyProtection="false">
      <alignment horizontal="right" vertical="bottom" textRotation="0" wrapText="false" indent="0" shrinkToFit="false"/>
      <protection locked="true" hidden="false"/>
    </xf>
    <xf numFmtId="168" fontId="6" fillId="2" borderId="13" xfId="24" applyFont="true" applyBorder="true" applyAlignment="true" applyProtection="false">
      <alignment horizontal="general" vertical="bottom" textRotation="0" wrapText="false" indent="0" shrinkToFit="false"/>
      <protection locked="true" hidden="false"/>
    </xf>
    <xf numFmtId="167" fontId="6" fillId="0" borderId="27" xfId="24" applyFont="true" applyBorder="true" applyAlignment="true" applyProtection="false">
      <alignment horizontal="right" vertical="bottom" textRotation="0" wrapText="false" indent="0" shrinkToFit="false"/>
      <protection locked="true" hidden="false"/>
    </xf>
    <xf numFmtId="167" fontId="6" fillId="0" borderId="21" xfId="24" applyFont="true" applyBorder="true" applyAlignment="true" applyProtection="false">
      <alignment horizontal="right" vertical="bottom" textRotation="0" wrapText="false" indent="0" shrinkToFit="false"/>
      <protection locked="true" hidden="false"/>
    </xf>
    <xf numFmtId="167" fontId="6" fillId="0" borderId="23" xfId="24" applyFont="true" applyBorder="true" applyAlignment="true" applyProtection="false">
      <alignment horizontal="right" vertical="bottom" textRotation="0" wrapText="false" indent="0" shrinkToFit="false"/>
      <protection locked="true" hidden="false"/>
    </xf>
    <xf numFmtId="172" fontId="6" fillId="2" borderId="13" xfId="24" applyFont="true" applyBorder="true" applyAlignment="true" applyProtection="false">
      <alignment horizontal="general" vertical="bottom" textRotation="0" wrapText="false" indent="0" shrinkToFit="false"/>
      <protection locked="true" hidden="false"/>
    </xf>
    <xf numFmtId="177" fontId="6" fillId="0" borderId="0" xfId="24" applyFont="true" applyBorder="true" applyAlignment="false" applyProtection="false">
      <alignment horizontal="general" vertical="bottom" textRotation="0" wrapText="false" indent="0" shrinkToFit="false"/>
      <protection locked="true" hidden="false"/>
    </xf>
    <xf numFmtId="165" fontId="6" fillId="0" borderId="0" xfId="24" applyFont="true" applyBorder="true" applyAlignment="false" applyProtection="false">
      <alignment horizontal="general" vertical="bottom" textRotation="0" wrapText="false" indent="0" shrinkToFit="false"/>
      <protection locked="true" hidden="false"/>
    </xf>
    <xf numFmtId="166" fontId="6" fillId="0" borderId="0" xfId="24" applyFont="true" applyBorder="true" applyAlignment="false" applyProtection="false">
      <alignment horizontal="general" vertical="bottom" textRotation="0" wrapText="false" indent="0" shrinkToFit="false"/>
      <protection locked="true" hidden="false"/>
    </xf>
    <xf numFmtId="168" fontId="6" fillId="0" borderId="0" xfId="24" applyFont="true" applyBorder="true" applyAlignment="true" applyProtection="false">
      <alignment horizontal="right" vertical="bottom" textRotation="0" wrapText="false" indent="0" shrinkToFit="false"/>
      <protection locked="true" hidden="false"/>
    </xf>
    <xf numFmtId="164" fontId="0" fillId="0" borderId="0" xfId="24" applyFont="true" applyBorder="true" applyAlignment="true" applyProtection="false">
      <alignment horizontal="right" vertical="bottom" textRotation="0" wrapText="false" indent="0" shrinkToFit="false"/>
      <protection locked="true" hidden="false"/>
    </xf>
    <xf numFmtId="172" fontId="6" fillId="0" borderId="24" xfId="24" applyFont="true" applyBorder="true" applyAlignment="true" applyProtection="false">
      <alignment horizontal="right" vertical="bottom" textRotation="0" wrapText="false" indent="0" shrinkToFit="false"/>
      <protection locked="true" hidden="false"/>
    </xf>
    <xf numFmtId="165" fontId="6" fillId="0" borderId="24" xfId="24" applyFont="true" applyBorder="true" applyAlignment="true" applyProtection="false">
      <alignment horizontal="right" vertical="bottom" textRotation="0" wrapText="false" indent="0" shrinkToFit="false"/>
      <protection locked="true" hidden="false"/>
    </xf>
    <xf numFmtId="172" fontId="6" fillId="0" borderId="25" xfId="24" applyFont="true" applyBorder="true" applyAlignment="true" applyProtection="false">
      <alignment horizontal="right" vertical="bottom" textRotation="0" wrapText="false" indent="0" shrinkToFit="false"/>
      <protection locked="true" hidden="false"/>
    </xf>
    <xf numFmtId="171" fontId="6" fillId="2" borderId="15" xfId="24" applyFont="true" applyBorder="true" applyAlignment="true" applyProtection="false">
      <alignment horizontal="right" vertical="bottom" textRotation="0" wrapText="false" indent="0" shrinkToFit="false"/>
      <protection locked="true" hidden="false"/>
    </xf>
    <xf numFmtId="171" fontId="6" fillId="0" borderId="12" xfId="24" applyFont="true" applyBorder="true" applyAlignment="true" applyProtection="false">
      <alignment horizontal="right" vertical="bottom" textRotation="0" wrapText="false" indent="0" shrinkToFit="false"/>
      <protection locked="true" hidden="false"/>
    </xf>
    <xf numFmtId="171" fontId="6" fillId="2" borderId="17" xfId="24" applyFont="true" applyBorder="true" applyAlignment="true" applyProtection="false">
      <alignment horizontal="right" vertical="bottom" textRotation="0" wrapText="false" indent="0" shrinkToFit="false"/>
      <protection locked="true" hidden="false"/>
    </xf>
    <xf numFmtId="171" fontId="6" fillId="0" borderId="21" xfId="24" applyFont="true" applyBorder="true" applyAlignment="true" applyProtection="false">
      <alignment horizontal="right" vertical="bottom" textRotation="0" wrapText="false" indent="0" shrinkToFit="false"/>
      <protection locked="true" hidden="false"/>
    </xf>
    <xf numFmtId="178" fontId="6" fillId="0" borderId="0" xfId="24" applyFont="true" applyBorder="true" applyAlignment="false" applyProtection="false">
      <alignment horizontal="general" vertical="bottom" textRotation="0" wrapText="false" indent="0" shrinkToFit="false"/>
      <protection locked="true" hidden="false"/>
    </xf>
    <xf numFmtId="164" fontId="6" fillId="0" borderId="0" xfId="24" applyFont="true" applyBorder="true" applyAlignment="true" applyProtection="false">
      <alignment horizontal="center" vertical="bottom" textRotation="0" wrapText="false" indent="0" shrinkToFit="false"/>
      <protection locked="true" hidden="false"/>
    </xf>
    <xf numFmtId="169" fontId="0" fillId="0" borderId="0" xfId="24" applyFont="false" applyBorder="true" applyAlignment="false" applyProtection="false">
      <alignment horizontal="general" vertical="bottom" textRotation="0" wrapText="false" indent="0" shrinkToFit="false"/>
      <protection locked="true" hidden="false"/>
    </xf>
    <xf numFmtId="171" fontId="8" fillId="0" borderId="0" xfId="24" applyFont="true" applyBorder="true" applyAlignment="false" applyProtection="false">
      <alignment horizontal="general" vertical="bottom" textRotation="0" wrapText="false" indent="0" shrinkToFit="false"/>
      <protection locked="true" hidden="false"/>
    </xf>
    <xf numFmtId="169" fontId="0" fillId="0" borderId="0" xfId="24" applyFont="true" applyBorder="true" applyAlignment="false" applyProtection="false">
      <alignment horizontal="general" vertical="bottom" textRotation="0" wrapText="false" indent="0" shrinkToFit="false"/>
      <protection locked="true" hidden="false"/>
    </xf>
    <xf numFmtId="172" fontId="7" fillId="0" borderId="0" xfId="24" applyFont="true" applyBorder="true" applyAlignment="true" applyProtection="false">
      <alignment horizontal="left" vertical="bottom" textRotation="0" wrapText="false" indent="0" shrinkToFit="false"/>
      <protection locked="true" hidden="false"/>
    </xf>
    <xf numFmtId="172" fontId="7" fillId="0" borderId="0" xfId="24" applyFont="true" applyBorder="true" applyAlignment="true" applyProtection="false">
      <alignment horizontal="center" vertical="bottom" textRotation="0" wrapText="false" indent="0" shrinkToFit="false"/>
      <protection locked="true" hidden="false"/>
    </xf>
    <xf numFmtId="170" fontId="6" fillId="0" borderId="0" xfId="24" applyFont="true" applyBorder="true" applyAlignment="true" applyProtection="false">
      <alignment horizontal="center" vertical="bottom" textRotation="0" wrapText="false" indent="0" shrinkToFit="false"/>
      <protection locked="true" hidden="false"/>
    </xf>
    <xf numFmtId="178" fontId="6" fillId="0" borderId="1" xfId="24" applyFont="true" applyBorder="true" applyAlignment="false" applyProtection="false">
      <alignment horizontal="general" vertical="bottom" textRotation="0" wrapText="false" indent="0" shrinkToFit="false"/>
      <protection locked="true" hidden="false"/>
    </xf>
    <xf numFmtId="171" fontId="8" fillId="0" borderId="1" xfId="24" applyFont="true" applyBorder="true" applyAlignment="false" applyProtection="false">
      <alignment horizontal="general" vertical="bottom" textRotation="0" wrapText="false" indent="0" shrinkToFit="false"/>
      <protection locked="true" hidden="false"/>
    </xf>
    <xf numFmtId="164" fontId="6" fillId="0" borderId="1" xfId="24" applyFont="true" applyBorder="true" applyAlignment="true" applyProtection="false">
      <alignment horizontal="center"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9" fontId="14" fillId="0" borderId="10" xfId="0" applyFont="true" applyBorder="true" applyAlignment="true" applyProtection="false">
      <alignment horizontal="center" vertical="bottom" textRotation="0" wrapText="false" indent="0" shrinkToFit="false"/>
      <protection locked="true" hidden="false"/>
    </xf>
    <xf numFmtId="169" fontId="8" fillId="0" borderId="0" xfId="0" applyFont="true" applyBorder="true" applyAlignment="true" applyProtection="false">
      <alignment horizontal="center" vertical="bottom" textRotation="0" wrapText="false" indent="0" shrinkToFit="false"/>
      <protection locked="true" hidden="false"/>
    </xf>
    <xf numFmtId="178" fontId="6" fillId="0" borderId="0" xfId="24" applyFont="true" applyBorder="true" applyAlignment="true" applyProtection="false">
      <alignment horizontal="right" vertical="bottom" textRotation="0" wrapText="false" indent="0" shrinkToFit="false"/>
      <protection locked="true" hidden="false"/>
    </xf>
    <xf numFmtId="164" fontId="8" fillId="0" borderId="0" xfId="24" applyFont="true" applyBorder="true" applyAlignment="true" applyProtection="false">
      <alignment horizontal="right" vertical="bottom" textRotation="0" wrapText="false" indent="0" shrinkToFit="false"/>
      <protection locked="true" hidden="false"/>
    </xf>
    <xf numFmtId="169" fontId="0" fillId="0" borderId="10" xfId="24" applyFont="false" applyBorder="true" applyAlignment="false" applyProtection="false">
      <alignment horizontal="general" vertical="bottom" textRotation="0" wrapText="false" indent="0" shrinkToFit="false"/>
      <protection locked="true" hidden="false"/>
    </xf>
    <xf numFmtId="164" fontId="14" fillId="0" borderId="0" xfId="24" applyFont="true" applyBorder="true" applyAlignment="true" applyProtection="false">
      <alignment horizontal="center" vertical="bottom" textRotation="0" wrapText="false" indent="0" shrinkToFit="false"/>
      <protection locked="true" hidden="false"/>
    </xf>
    <xf numFmtId="165" fontId="6" fillId="0" borderId="22" xfId="24" applyFont="true" applyBorder="true" applyAlignment="true" applyProtection="false">
      <alignment horizontal="right" vertical="bottom" textRotation="0" wrapText="false" indent="0" shrinkToFit="false"/>
      <protection locked="true" hidden="false"/>
    </xf>
    <xf numFmtId="167" fontId="0" fillId="0" borderId="8" xfId="24" applyFont="false" applyBorder="true" applyAlignment="false" applyProtection="false">
      <alignment horizontal="general" vertical="bottom" textRotation="0" wrapText="false" indent="0" shrinkToFit="false"/>
      <protection locked="true" hidden="false"/>
    </xf>
    <xf numFmtId="178" fontId="6" fillId="2" borderId="13" xfId="24" applyFont="true" applyBorder="true" applyAlignment="true" applyProtection="false">
      <alignment horizontal="right" vertical="bottom" textRotation="0" wrapText="false" indent="0" shrinkToFit="false"/>
      <protection locked="true" hidden="false"/>
    </xf>
    <xf numFmtId="167" fontId="8" fillId="2" borderId="13" xfId="24" applyFont="true" applyBorder="true" applyAlignment="true" applyProtection="false">
      <alignment horizontal="right" vertical="bottom" textRotation="0" wrapText="false" indent="0" shrinkToFit="false"/>
      <protection locked="true" hidden="false"/>
    </xf>
    <xf numFmtId="171" fontId="8" fillId="2" borderId="13" xfId="24" applyFont="true" applyBorder="true" applyAlignment="true" applyProtection="false">
      <alignment horizontal="right" vertical="bottom" textRotation="0" wrapText="false" indent="0" shrinkToFit="false"/>
      <protection locked="true" hidden="false"/>
    </xf>
    <xf numFmtId="171" fontId="8" fillId="2" borderId="15" xfId="24" applyFont="true" applyBorder="true" applyAlignment="true" applyProtection="false">
      <alignment horizontal="right" vertical="bottom" textRotation="0" wrapText="false" indent="0" shrinkToFit="false"/>
      <protection locked="true" hidden="false"/>
    </xf>
    <xf numFmtId="171" fontId="6" fillId="0" borderId="8" xfId="24" applyFont="true" applyBorder="true" applyAlignment="true" applyProtection="false">
      <alignment horizontal="center" vertical="bottom" textRotation="0" wrapText="false" indent="0" shrinkToFit="false"/>
      <protection locked="true" hidden="false"/>
    </xf>
    <xf numFmtId="165" fontId="6" fillId="0" borderId="7" xfId="24" applyFont="true" applyBorder="true" applyAlignment="false" applyProtection="false">
      <alignment horizontal="general" vertical="bottom" textRotation="0" wrapText="false" indent="0" shrinkToFit="false"/>
      <protection locked="true" hidden="false"/>
    </xf>
    <xf numFmtId="167" fontId="6" fillId="0" borderId="0" xfId="15" applyFont="true" applyBorder="true" applyAlignment="true" applyProtection="true">
      <alignment horizontal="right" vertical="bottom" textRotation="0" wrapText="false" indent="0" shrinkToFit="false"/>
      <protection locked="true" hidden="false"/>
    </xf>
    <xf numFmtId="172" fontId="8" fillId="2" borderId="13" xfId="24" applyFont="true" applyBorder="true" applyAlignment="false" applyProtection="false">
      <alignment horizontal="general" vertical="bottom" textRotation="0" wrapText="false" indent="0" shrinkToFit="false"/>
      <protection locked="true" hidden="false"/>
    </xf>
    <xf numFmtId="172" fontId="8" fillId="2" borderId="13" xfId="24" applyFont="true" applyBorder="true" applyAlignment="true" applyProtection="false">
      <alignment horizontal="right" vertical="bottom" textRotation="0" wrapText="false" indent="0" shrinkToFit="false"/>
      <protection locked="true" hidden="false"/>
    </xf>
    <xf numFmtId="171" fontId="6" fillId="0" borderId="28" xfId="24" applyFont="true" applyBorder="true" applyAlignment="true" applyProtection="false">
      <alignment horizontal="right" vertical="bottom" textRotation="0" wrapText="false" indent="0" shrinkToFit="false"/>
      <protection locked="true" hidden="false"/>
    </xf>
    <xf numFmtId="169" fontId="6" fillId="0" borderId="20" xfId="24" applyFont="true" applyBorder="true" applyAlignment="true" applyProtection="false">
      <alignment horizontal="right" vertical="bottom" textRotation="0" wrapText="false" indent="0" shrinkToFit="false"/>
      <protection locked="true" hidden="false"/>
    </xf>
    <xf numFmtId="171" fontId="6" fillId="0" borderId="29" xfId="24" applyFont="true" applyBorder="true" applyAlignment="true" applyProtection="false">
      <alignment horizontal="right" vertical="bottom" textRotation="0" wrapText="false" indent="0" shrinkToFit="false"/>
      <protection locked="true" hidden="false"/>
    </xf>
    <xf numFmtId="171" fontId="6" fillId="0" borderId="10" xfId="24" applyFont="true" applyBorder="true" applyAlignment="true" applyProtection="false">
      <alignment horizontal="right" vertical="bottom" textRotation="0" wrapText="false" indent="0" shrinkToFit="false"/>
      <protection locked="true" hidden="false"/>
    </xf>
    <xf numFmtId="171" fontId="6" fillId="0" borderId="11" xfId="24" applyFont="true" applyBorder="true" applyAlignment="true" applyProtection="false">
      <alignment horizontal="right" vertical="bottom" textRotation="0" wrapText="false" indent="0" shrinkToFit="false"/>
      <protection locked="true" hidden="false"/>
    </xf>
    <xf numFmtId="169" fontId="6" fillId="0" borderId="12" xfId="24" applyFont="true" applyBorder="true" applyAlignment="true" applyProtection="false">
      <alignment horizontal="right" vertical="bottom" textRotation="0" wrapText="false" indent="0" shrinkToFit="false"/>
      <protection locked="true" hidden="false"/>
    </xf>
    <xf numFmtId="171" fontId="8" fillId="0" borderId="0" xfId="24" applyFont="true" applyBorder="true" applyAlignment="true" applyProtection="false">
      <alignment horizontal="right" vertical="bottom" textRotation="0" wrapText="false" indent="0" shrinkToFit="false"/>
      <protection locked="true" hidden="false"/>
    </xf>
    <xf numFmtId="171" fontId="6" fillId="2" borderId="16" xfId="24" applyFont="true" applyBorder="true" applyAlignment="true" applyProtection="false">
      <alignment horizontal="right" vertical="bottom" textRotation="0" wrapText="false" indent="0" shrinkToFit="false"/>
      <protection locked="true" hidden="false"/>
    </xf>
    <xf numFmtId="170" fontId="6" fillId="0" borderId="7" xfId="24" applyFont="true" applyBorder="true" applyAlignment="true" applyProtection="false">
      <alignment horizontal="right" vertical="bottom" textRotation="0" wrapText="false" indent="0" shrinkToFit="false"/>
      <protection locked="true" hidden="false"/>
    </xf>
    <xf numFmtId="171" fontId="6" fillId="0" borderId="23" xfId="24" applyFont="true" applyBorder="true" applyAlignment="true" applyProtection="false">
      <alignment horizontal="right" vertical="bottom" textRotation="0" wrapText="false" indent="0" shrinkToFit="false"/>
      <protection locked="true" hidden="false"/>
    </xf>
    <xf numFmtId="164" fontId="8" fillId="0" borderId="0" xfId="24" applyFont="true" applyBorder="true" applyAlignment="true" applyProtection="false">
      <alignment horizontal="left" vertical="bottom" textRotation="0" wrapText="false" indent="0" shrinkToFit="false"/>
      <protection locked="true" hidden="false"/>
    </xf>
    <xf numFmtId="172" fontId="8" fillId="0" borderId="0" xfId="24" applyFont="true" applyBorder="true" applyAlignment="true" applyProtection="false">
      <alignment horizontal="center" vertical="bottom" textRotation="0" wrapText="false" indent="0" shrinkToFit="false"/>
      <protection locked="true" hidden="false"/>
    </xf>
    <xf numFmtId="178" fontId="6" fillId="0" borderId="0" xfId="0" applyFont="true" applyBorder="false" applyAlignment="false" applyProtection="false">
      <alignment horizontal="general" vertical="bottom" textRotation="0" wrapText="false" indent="0" shrinkToFit="false"/>
      <protection locked="true" hidden="false"/>
    </xf>
    <xf numFmtId="169" fontId="8" fillId="0" borderId="0" xfId="24" applyFont="true" applyBorder="true" applyAlignment="false" applyProtection="false">
      <alignment horizontal="general" vertical="bottom" textRotation="0" wrapText="false" indent="0" shrinkToFit="false"/>
      <protection locked="true" hidden="false"/>
    </xf>
    <xf numFmtId="170" fontId="6" fillId="0" borderId="1" xfId="24" applyFont="true" applyBorder="true" applyAlignment="true" applyProtection="false">
      <alignment horizontal="center" vertical="bottom" textRotation="0" wrapText="false" indent="0" shrinkToFit="false"/>
      <protection locked="true" hidden="false"/>
    </xf>
    <xf numFmtId="169" fontId="8" fillId="0" borderId="1" xfId="24" applyFont="true" applyBorder="true" applyAlignment="false" applyProtection="false">
      <alignment horizontal="general" vertical="bottom" textRotation="0" wrapText="false" indent="0" shrinkToFit="false"/>
      <protection locked="true" hidden="false"/>
    </xf>
    <xf numFmtId="164" fontId="6" fillId="0" borderId="6" xfId="0" applyFont="true" applyBorder="true" applyAlignment="false" applyProtection="false">
      <alignment horizontal="general" vertical="bottom" textRotation="0" wrapText="false" indent="0" shrinkToFit="false"/>
      <protection locked="true" hidden="false"/>
    </xf>
    <xf numFmtId="170" fontId="6" fillId="0" borderId="12" xfId="24" applyFont="true" applyBorder="true" applyAlignment="true" applyProtection="false">
      <alignment horizontal="center" vertical="bottom" textRotation="0" wrapText="false" indent="0" shrinkToFit="false"/>
      <protection locked="true" hidden="false"/>
    </xf>
    <xf numFmtId="169" fontId="8" fillId="0" borderId="0" xfId="24" applyFont="true" applyBorder="true" applyAlignment="true" applyProtection="false">
      <alignment horizontal="right" vertical="bottom" textRotation="0" wrapText="false" indent="0" shrinkToFit="false"/>
      <protection locked="true" hidden="false"/>
    </xf>
    <xf numFmtId="164" fontId="0" fillId="0" borderId="10" xfId="24" applyFont="false" applyBorder="true" applyAlignment="false" applyProtection="false">
      <alignment horizontal="general" vertical="bottom" textRotation="0" wrapText="false" indent="0" shrinkToFit="false"/>
      <protection locked="true" hidden="false"/>
    </xf>
    <xf numFmtId="179" fontId="6" fillId="0" borderId="0" xfId="24" applyFont="true" applyBorder="true" applyAlignment="true" applyProtection="false">
      <alignment horizontal="right" vertical="bottom" textRotation="0" wrapText="false" indent="0" shrinkToFit="false"/>
      <protection locked="true" hidden="false"/>
    </xf>
    <xf numFmtId="170" fontId="6" fillId="2" borderId="17" xfId="24" applyFont="true" applyBorder="true" applyAlignment="true" applyProtection="false">
      <alignment horizontal="center" vertical="bottom" textRotation="0" wrapText="false" indent="0" shrinkToFit="false"/>
      <protection locked="true" hidden="false"/>
    </xf>
    <xf numFmtId="171" fontId="6" fillId="2" borderId="13" xfId="24" applyFont="true" applyBorder="true" applyAlignment="true" applyProtection="false">
      <alignment horizontal="center" vertical="bottom" textRotation="0" wrapText="false" indent="0" shrinkToFit="false"/>
      <protection locked="true" hidden="false"/>
    </xf>
    <xf numFmtId="168" fontId="6" fillId="0" borderId="0" xfId="24" applyFont="true" applyBorder="true" applyAlignment="true" applyProtection="false">
      <alignment horizontal="right" vertical="bottom" textRotation="0" wrapText="false" indent="0" shrinkToFit="false"/>
      <protection locked="true" hidden="false"/>
    </xf>
    <xf numFmtId="165" fontId="6" fillId="0" borderId="0" xfId="24" applyFont="true" applyBorder="true" applyAlignment="true" applyProtection="false">
      <alignment horizontal="right" vertical="bottom" textRotation="0" wrapText="false" indent="0" shrinkToFit="false"/>
      <protection locked="true" hidden="false"/>
    </xf>
    <xf numFmtId="172" fontId="6" fillId="0" borderId="0" xfId="24" applyFont="true" applyBorder="true" applyAlignment="true" applyProtection="false">
      <alignment horizontal="right" vertical="bottom" textRotation="0" wrapText="false" indent="0" shrinkToFit="false"/>
      <protection locked="true" hidden="false"/>
    </xf>
    <xf numFmtId="167" fontId="6" fillId="0" borderId="10" xfId="24" applyFont="true" applyBorder="true" applyAlignment="true" applyProtection="false">
      <alignment horizontal="right" vertical="bottom" textRotation="0" wrapText="false" indent="0" shrinkToFit="false"/>
      <protection locked="true" hidden="false"/>
    </xf>
    <xf numFmtId="179" fontId="6" fillId="2" borderId="13" xfId="24" applyFont="true" applyBorder="true" applyAlignment="true" applyProtection="false">
      <alignment horizontal="right" vertical="bottom" textRotation="0" wrapText="false" indent="0" shrinkToFit="false"/>
      <protection locked="true" hidden="false"/>
    </xf>
    <xf numFmtId="169" fontId="6" fillId="2" borderId="17" xfId="24" applyFont="true" applyBorder="true" applyAlignment="true" applyProtection="false">
      <alignment horizontal="center" vertical="bottom" textRotation="0" wrapText="false" indent="0" shrinkToFit="false"/>
      <protection locked="true" hidden="false"/>
    </xf>
    <xf numFmtId="167" fontId="6" fillId="2" borderId="13" xfId="24" applyFont="true" applyBorder="true" applyAlignment="true" applyProtection="false">
      <alignment horizontal="center" vertical="bottom" textRotation="0" wrapText="false" indent="0" shrinkToFit="false"/>
      <protection locked="true" hidden="false"/>
    </xf>
    <xf numFmtId="169" fontId="6" fillId="0" borderId="12" xfId="24" applyFont="true" applyBorder="true" applyAlignment="true" applyProtection="false">
      <alignment horizontal="center" vertical="bottom" textRotation="0" wrapText="false" indent="0" shrinkToFit="false"/>
      <protection locked="true" hidden="false"/>
    </xf>
    <xf numFmtId="172" fontId="6" fillId="2" borderId="13" xfId="24" applyFont="true" applyBorder="true" applyAlignment="true" applyProtection="false">
      <alignment horizontal="center"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true" applyProtection="false">
      <alignment horizontal="general" vertical="bottom" textRotation="0" wrapText="false" indent="0" shrinkToFit="false"/>
      <protection locked="true" hidden="false"/>
    </xf>
    <xf numFmtId="180" fontId="17" fillId="0" borderId="0" xfId="0" applyFont="true" applyBorder="false" applyAlignment="true" applyProtection="false">
      <alignment horizontal="general" vertical="bottom" textRotation="0" wrapText="false" indent="0" shrinkToFit="false"/>
      <protection locked="true" hidden="false"/>
    </xf>
    <xf numFmtId="172" fontId="6" fillId="0" borderId="0" xfId="0" applyFont="true" applyBorder="fals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center"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69" fontId="6" fillId="0" borderId="1" xfId="24" applyFont="true" applyBorder="true" applyAlignment="true" applyProtection="false">
      <alignment horizontal="center" vertical="bottom" textRotation="0" wrapText="false" indent="0" shrinkToFit="false"/>
      <protection locked="true" hidden="false"/>
    </xf>
    <xf numFmtId="169" fontId="8" fillId="0" borderId="4" xfId="0" applyFont="true" applyBorder="true" applyAlignment="fals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right" vertical="bottom" textRotation="0" wrapText="false" indent="0" shrinkToFit="false"/>
      <protection locked="true" hidden="false"/>
    </xf>
    <xf numFmtId="172" fontId="6" fillId="0" borderId="7" xfId="0" applyFont="true" applyBorder="true" applyAlignment="true" applyProtection="false">
      <alignment horizontal="right" vertical="bottom" textRotation="0" wrapText="false" indent="0" shrinkToFit="false"/>
      <protection locked="true" hidden="false"/>
    </xf>
    <xf numFmtId="170" fontId="6" fillId="0" borderId="12" xfId="0" applyFont="true" applyBorder="true" applyAlignment="true" applyProtection="false">
      <alignment horizontal="right" vertical="bottom" textRotation="0" wrapText="false" indent="0" shrinkToFit="false"/>
      <protection locked="true" hidden="false"/>
    </xf>
    <xf numFmtId="167" fontId="6" fillId="0" borderId="7" xfId="0" applyFont="true" applyBorder="true" applyAlignment="true" applyProtection="false">
      <alignment horizontal="right" vertical="bottom" textRotation="0" wrapText="false" indent="0" shrinkToFit="false"/>
      <protection locked="true" hidden="false"/>
    </xf>
    <xf numFmtId="165" fontId="6" fillId="0" borderId="7" xfId="0" applyFont="true" applyBorder="true" applyAlignment="true" applyProtection="false">
      <alignment horizontal="right" vertical="bottom" textRotation="0" wrapText="false" indent="0" shrinkToFit="false"/>
      <protection locked="true" hidden="false"/>
    </xf>
    <xf numFmtId="171" fontId="6" fillId="0" borderId="12" xfId="0" applyFont="true" applyBorder="true" applyAlignment="true" applyProtection="false">
      <alignment horizontal="right" vertical="bottom" textRotation="0" wrapText="false" indent="0" shrinkToFit="false"/>
      <protection locked="true" hidden="false"/>
    </xf>
    <xf numFmtId="167" fontId="6" fillId="0" borderId="27" xfId="0" applyFont="true" applyBorder="true" applyAlignment="true" applyProtection="false">
      <alignment horizontal="right" vertical="bottom" textRotation="0" wrapText="false" indent="0" shrinkToFit="false"/>
      <protection locked="true" hidden="false"/>
    </xf>
    <xf numFmtId="167" fontId="0" fillId="0" borderId="8" xfId="0" applyFont="false" applyBorder="true" applyAlignment="false" applyProtection="false">
      <alignment horizontal="general" vertical="bottom" textRotation="0" wrapText="false" indent="0" shrinkToFit="false"/>
      <protection locked="true" hidden="false"/>
    </xf>
    <xf numFmtId="165" fontId="6" fillId="2" borderId="14" xfId="0" applyFont="true" applyBorder="true" applyAlignment="true" applyProtection="false">
      <alignment horizontal="right" vertical="bottom" textRotation="0" wrapText="false" indent="0" shrinkToFit="false"/>
      <protection locked="true" hidden="false"/>
    </xf>
    <xf numFmtId="170" fontId="6" fillId="2" borderId="13" xfId="0" applyFont="true" applyBorder="true" applyAlignment="true" applyProtection="false">
      <alignment horizontal="right" vertical="bottom" textRotation="0" wrapText="false" indent="0" shrinkToFit="false"/>
      <protection locked="true" hidden="false"/>
    </xf>
    <xf numFmtId="170" fontId="6" fillId="2" borderId="17" xfId="0" applyFont="true" applyBorder="true" applyAlignment="true" applyProtection="false">
      <alignment horizontal="right" vertical="bottom" textRotation="0" wrapText="false" indent="0" shrinkToFit="false"/>
      <protection locked="true" hidden="false"/>
    </xf>
    <xf numFmtId="165" fontId="6" fillId="0" borderId="7" xfId="0" applyFont="true" applyBorder="true" applyAlignment="true" applyProtection="false">
      <alignment horizontal="center" vertical="bottom" textRotation="0" wrapText="false" indent="0" shrinkToFit="false"/>
      <protection locked="true" hidden="false"/>
    </xf>
    <xf numFmtId="172" fontId="6" fillId="0" borderId="0" xfId="15" applyFont="true" applyBorder="true" applyAlignment="true" applyProtection="true">
      <alignment horizontal="right" vertical="bottom" textRotation="0" wrapText="false" indent="0" shrinkToFit="false"/>
      <protection locked="true" hidden="false"/>
    </xf>
    <xf numFmtId="172" fontId="6" fillId="0" borderId="0" xfId="0" applyFont="true" applyBorder="true" applyAlignment="true" applyProtection="false">
      <alignment horizontal="right" vertical="bottom" textRotation="0" wrapText="false" indent="0" shrinkToFit="false"/>
      <protection locked="true" hidden="false"/>
    </xf>
    <xf numFmtId="169" fontId="6" fillId="0" borderId="0" xfId="0" applyFont="true" applyBorder="true" applyAlignment="true" applyProtection="false">
      <alignment horizontal="right" vertical="bottom" textRotation="0" wrapText="false" indent="0" shrinkToFit="false"/>
      <protection locked="true" hidden="false"/>
    </xf>
    <xf numFmtId="172" fontId="6" fillId="2" borderId="14" xfId="0" applyFont="true" applyBorder="true" applyAlignment="true" applyProtection="false">
      <alignment horizontal="right" vertical="bottom" textRotation="0" wrapText="false" indent="0" shrinkToFit="false"/>
      <protection locked="true" hidden="false"/>
    </xf>
    <xf numFmtId="171" fontId="6" fillId="0" borderId="18" xfId="0" applyFont="true" applyBorder="true" applyAlignment="true" applyProtection="false">
      <alignment horizontal="right" vertical="bottom" textRotation="0" wrapText="false" indent="0" shrinkToFit="false"/>
      <protection locked="true" hidden="false"/>
    </xf>
    <xf numFmtId="168" fontId="6" fillId="2" borderId="13" xfId="0" applyFont="true" applyBorder="true" applyAlignment="true" applyProtection="false">
      <alignment horizontal="right" vertical="bottom" textRotation="0" wrapText="false" indent="0" shrinkToFit="false"/>
      <protection locked="true" hidden="false"/>
    </xf>
    <xf numFmtId="172" fontId="6" fillId="0" borderId="22" xfId="0" applyFont="true" applyBorder="true" applyAlignment="true" applyProtection="false">
      <alignment horizontal="right" vertical="bottom" textRotation="0" wrapText="false" indent="0" shrinkToFit="false"/>
      <protection locked="true" hidden="false"/>
    </xf>
    <xf numFmtId="167" fontId="6" fillId="0" borderId="24" xfId="0" applyFont="true" applyBorder="true" applyAlignment="true" applyProtection="false">
      <alignment horizontal="right" vertical="bottom" textRotation="0" wrapText="false" indent="0" shrinkToFit="false"/>
      <protection locked="true" hidden="false"/>
    </xf>
    <xf numFmtId="170" fontId="6" fillId="2" borderId="17" xfId="0" applyFont="true" applyBorder="true" applyAlignment="false" applyProtection="false">
      <alignment horizontal="general" vertical="bottom" textRotation="0" wrapText="false" indent="0" shrinkToFit="false"/>
      <protection locked="true" hidden="false"/>
    </xf>
    <xf numFmtId="169" fontId="8" fillId="2" borderId="13" xfId="0" applyFont="true" applyBorder="true" applyAlignment="false" applyProtection="false">
      <alignment horizontal="general" vertical="bottom" textRotation="0" wrapText="false" indent="0" shrinkToFit="false"/>
      <protection locked="true" hidden="false"/>
    </xf>
    <xf numFmtId="167" fontId="6" fillId="2" borderId="14" xfId="0" applyFont="true" applyBorder="true" applyAlignment="false" applyProtection="false">
      <alignment horizontal="general" vertical="bottom" textRotation="0" wrapText="false" indent="0" shrinkToFit="false"/>
      <protection locked="true" hidden="false"/>
    </xf>
    <xf numFmtId="170" fontId="8" fillId="2" borderId="13" xfId="0" applyFont="true" applyBorder="true" applyAlignment="false" applyProtection="false">
      <alignment horizontal="general" vertical="bottom" textRotation="0" wrapText="false" indent="0" shrinkToFit="false"/>
      <protection locked="true" hidden="false"/>
    </xf>
    <xf numFmtId="170" fontId="8" fillId="2" borderId="13" xfId="0" applyFont="true" applyBorder="true" applyAlignment="true" applyProtection="false">
      <alignment horizontal="right"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true" applyAlignment="false" applyProtection="false">
      <alignment horizontal="general" vertical="bottom" textRotation="0" wrapText="false" indent="0" shrinkToFit="false"/>
      <protection locked="true" hidden="false"/>
    </xf>
    <xf numFmtId="167" fontId="6" fillId="0" borderId="0" xfId="15" applyFont="true" applyBorder="true" applyAlignment="true" applyProtection="true">
      <alignment horizontal="general" vertical="bottom" textRotation="0" wrapText="false" indent="0" shrinkToFit="false"/>
      <protection locked="true" hidden="false"/>
    </xf>
    <xf numFmtId="167" fontId="8" fillId="0" borderId="0" xfId="0" applyFont="true" applyBorder="true" applyAlignment="false" applyProtection="false">
      <alignment horizontal="general" vertical="bottom" textRotation="0" wrapText="false" indent="0" shrinkToFit="false"/>
      <protection locked="true" hidden="false"/>
    </xf>
    <xf numFmtId="170" fontId="8" fillId="0" borderId="0" xfId="24" applyFont="true" applyBorder="true" applyAlignment="false" applyProtection="false">
      <alignment horizontal="general" vertical="bottom" textRotation="0" wrapText="false" indent="0" shrinkToFit="false"/>
      <protection locked="true" hidden="false"/>
    </xf>
    <xf numFmtId="165" fontId="6" fillId="0" borderId="0" xfId="24" applyFont="true" applyBorder="true" applyAlignment="true" applyProtection="false">
      <alignment horizontal="center" vertical="bottom" textRotation="0" wrapText="false" indent="0" shrinkToFit="false"/>
      <protection locked="true" hidden="false"/>
    </xf>
    <xf numFmtId="175" fontId="6" fillId="0" borderId="0" xfId="24" applyFont="true" applyBorder="true" applyAlignment="false" applyProtection="false">
      <alignment horizontal="general" vertical="bottom" textRotation="0" wrapText="false" indent="0" shrinkToFit="false"/>
      <protection locked="true" hidden="false"/>
    </xf>
    <xf numFmtId="172" fontId="6" fillId="0" borderId="4" xfId="24" applyFont="true" applyBorder="true" applyAlignment="false" applyProtection="false">
      <alignment horizontal="general" vertical="bottom" textRotation="0" wrapText="false" indent="0" shrinkToFit="false"/>
      <protection locked="true" hidden="false"/>
    </xf>
    <xf numFmtId="172" fontId="6" fillId="0" borderId="3" xfId="24" applyFont="true" applyBorder="true" applyAlignment="false" applyProtection="false">
      <alignment horizontal="general" vertical="bottom" textRotation="0" wrapText="false" indent="0" shrinkToFit="false"/>
      <protection locked="true" hidden="false"/>
    </xf>
    <xf numFmtId="167" fontId="6" fillId="0" borderId="4" xfId="24" applyFont="true" applyBorder="true" applyAlignment="false" applyProtection="false">
      <alignment horizontal="general" vertical="bottom" textRotation="0" wrapText="false" indent="0" shrinkToFit="false"/>
      <protection locked="true" hidden="false"/>
    </xf>
    <xf numFmtId="175" fontId="9" fillId="0" borderId="4" xfId="24" applyFont="true" applyBorder="true" applyAlignment="true" applyProtection="false">
      <alignment horizontal="center" vertical="bottom" textRotation="0" wrapText="false" indent="0" shrinkToFit="false"/>
      <protection locked="true" hidden="false"/>
    </xf>
    <xf numFmtId="169" fontId="6" fillId="0" borderId="4" xfId="24" applyFont="true" applyBorder="true" applyAlignment="false" applyProtection="false">
      <alignment horizontal="general" vertical="bottom" textRotation="0" wrapText="false" indent="0" shrinkToFit="false"/>
      <protection locked="true" hidden="false"/>
    </xf>
    <xf numFmtId="172" fontId="9" fillId="0" borderId="4" xfId="24" applyFont="true" applyBorder="true" applyAlignment="false" applyProtection="false">
      <alignment horizontal="general" vertical="bottom" textRotation="0" wrapText="false" indent="0" shrinkToFit="false"/>
      <protection locked="true" hidden="false"/>
    </xf>
    <xf numFmtId="172" fontId="6" fillId="0" borderId="5" xfId="24" applyFont="true" applyBorder="true" applyAlignment="false" applyProtection="false">
      <alignment horizontal="general" vertical="bottom" textRotation="0" wrapText="false" indent="0" shrinkToFit="false"/>
      <protection locked="true" hidden="false"/>
    </xf>
    <xf numFmtId="170" fontId="6" fillId="0" borderId="4" xfId="24" applyFont="true" applyBorder="true" applyAlignment="false" applyProtection="false">
      <alignment horizontal="general" vertical="bottom" textRotation="0" wrapText="false" indent="0" shrinkToFit="false"/>
      <protection locked="true" hidden="false"/>
    </xf>
    <xf numFmtId="165" fontId="6" fillId="0" borderId="4" xfId="24" applyFont="true" applyBorder="true" applyAlignment="false" applyProtection="false">
      <alignment horizontal="general" vertical="bottom" textRotation="0" wrapText="false" indent="0" shrinkToFit="false"/>
      <protection locked="true" hidden="false"/>
    </xf>
    <xf numFmtId="171" fontId="6" fillId="0" borderId="4" xfId="24" applyFont="true" applyBorder="true" applyAlignment="false" applyProtection="false">
      <alignment horizontal="general" vertical="bottom" textRotation="0" wrapText="false" indent="0" shrinkToFit="false"/>
      <protection locked="true" hidden="false"/>
    </xf>
    <xf numFmtId="169" fontId="8" fillId="0" borderId="4" xfId="24" applyFont="true" applyBorder="true" applyAlignment="false" applyProtection="false">
      <alignment horizontal="general" vertical="bottom" textRotation="0" wrapText="false" indent="0" shrinkToFit="false"/>
      <protection locked="true" hidden="false"/>
    </xf>
    <xf numFmtId="172" fontId="9" fillId="0" borderId="0" xfId="24" applyFont="true" applyBorder="true" applyAlignment="true" applyProtection="false">
      <alignment horizontal="center" vertical="bottom" textRotation="0" wrapText="false" indent="0" shrinkToFit="false"/>
      <protection locked="true" hidden="false"/>
    </xf>
    <xf numFmtId="169" fontId="6" fillId="0" borderId="4" xfId="0" applyFont="true" applyBorder="true" applyAlignment="true" applyProtection="false">
      <alignment horizontal="center" vertical="bottom" textRotation="0" wrapText="false" indent="0" shrinkToFit="false"/>
      <protection locked="true" hidden="false"/>
    </xf>
    <xf numFmtId="168" fontId="6" fillId="0" borderId="3" xfId="24" applyFont="true" applyBorder="true" applyAlignment="false" applyProtection="false">
      <alignment horizontal="general" vertical="bottom" textRotation="0" wrapText="false" indent="0" shrinkToFit="false"/>
      <protection locked="true" hidden="false"/>
    </xf>
    <xf numFmtId="171" fontId="9" fillId="0" borderId="4" xfId="24" applyFont="true" applyBorder="true" applyAlignment="true" applyProtection="false">
      <alignment horizontal="center" vertical="bottom" textRotation="0" wrapText="false" indent="0" shrinkToFit="false"/>
      <protection locked="true" hidden="false"/>
    </xf>
    <xf numFmtId="171" fontId="6" fillId="0" borderId="4" xfId="24" applyFont="true" applyBorder="true" applyAlignment="true" applyProtection="false">
      <alignment horizontal="center" vertical="bottom" textRotation="0" wrapText="false" indent="0" shrinkToFit="false"/>
      <protection locked="true" hidden="false"/>
    </xf>
    <xf numFmtId="164" fontId="6" fillId="0" borderId="6" xfId="24" applyFont="true" applyBorder="true" applyAlignment="false" applyProtection="false">
      <alignment horizontal="general" vertical="bottom" textRotation="0" wrapText="false" indent="0" shrinkToFit="false"/>
      <protection locked="true" hidden="false"/>
    </xf>
    <xf numFmtId="172" fontId="8" fillId="0" borderId="7" xfId="24" applyFont="true" applyBorder="true" applyAlignment="true" applyProtection="false">
      <alignment horizontal="center" vertical="bottom" textRotation="0" wrapText="false" indent="0" shrinkToFit="false"/>
      <protection locked="true" hidden="false"/>
    </xf>
    <xf numFmtId="167" fontId="8" fillId="0" borderId="0" xfId="24" applyFont="true" applyBorder="true" applyAlignment="true" applyProtection="false">
      <alignment horizontal="center" vertical="bottom" textRotation="0" wrapText="false" indent="0" shrinkToFit="false"/>
      <protection locked="true" hidden="false"/>
    </xf>
    <xf numFmtId="169" fontId="8" fillId="0" borderId="0" xfId="24" applyFont="true" applyBorder="true" applyAlignment="true" applyProtection="false">
      <alignment horizontal="center" vertical="bottom" textRotation="0" wrapText="false" indent="0" shrinkToFit="false"/>
      <protection locked="true" hidden="false"/>
    </xf>
    <xf numFmtId="172" fontId="10" fillId="0" borderId="9" xfId="24" applyFont="true" applyBorder="true" applyAlignment="true" applyProtection="false">
      <alignment horizontal="center" vertical="bottom" textRotation="0" wrapText="false" indent="0" shrinkToFit="false"/>
      <protection locked="true" hidden="false"/>
    </xf>
    <xf numFmtId="172" fontId="10" fillId="0" borderId="9" xfId="24" applyFont="true" applyBorder="true" applyAlignment="true" applyProtection="false">
      <alignment horizontal="left" vertical="bottom" textRotation="0" wrapText="false" indent="0" shrinkToFit="false"/>
      <protection locked="true" hidden="false"/>
    </xf>
    <xf numFmtId="172" fontId="10" fillId="0" borderId="9" xfId="24" applyFont="true" applyBorder="true" applyAlignment="true" applyProtection="false">
      <alignment horizontal="right" vertical="bottom" textRotation="0" wrapText="false" indent="0" shrinkToFit="false"/>
      <protection locked="true" hidden="false"/>
    </xf>
    <xf numFmtId="171" fontId="8" fillId="0" borderId="0" xfId="24" applyFont="true" applyBorder="true" applyAlignment="true" applyProtection="false">
      <alignment horizontal="center" vertical="bottom" textRotation="0" wrapText="false" indent="0" shrinkToFit="false"/>
      <protection locked="true" hidden="false"/>
    </xf>
    <xf numFmtId="168" fontId="8" fillId="0" borderId="7" xfId="24" applyFont="true" applyBorder="true" applyAlignment="true" applyProtection="false">
      <alignment horizontal="center" vertical="bottom" textRotation="0" wrapText="false" indent="0" shrinkToFit="false"/>
      <protection locked="true" hidden="false"/>
    </xf>
    <xf numFmtId="172" fontId="10" fillId="0" borderId="0" xfId="24" applyFont="true" applyBorder="true" applyAlignment="true" applyProtection="false">
      <alignment horizontal="center" vertical="bottom" textRotation="0" wrapText="false" indent="0" shrinkToFit="false"/>
      <protection locked="true" hidden="false"/>
    </xf>
    <xf numFmtId="172" fontId="8" fillId="0" borderId="11" xfId="24" applyFont="true" applyBorder="true" applyAlignment="true" applyProtection="false">
      <alignment horizontal="center" vertical="bottom" textRotation="0" wrapText="false" indent="0" shrinkToFit="false"/>
      <protection locked="true" hidden="false"/>
    </xf>
    <xf numFmtId="170" fontId="8" fillId="0" borderId="12" xfId="24" applyFont="true" applyBorder="true" applyAlignment="true" applyProtection="false">
      <alignment horizontal="center" vertical="bottom" textRotation="0" wrapText="false" indent="0" shrinkToFit="false"/>
      <protection locked="true" hidden="false"/>
    </xf>
    <xf numFmtId="168" fontId="8" fillId="0" borderId="7" xfId="24" applyFont="true" applyBorder="true" applyAlignment="false" applyProtection="false">
      <alignment horizontal="general" vertical="bottom" textRotation="0" wrapText="false" indent="0" shrinkToFit="false"/>
      <protection locked="true" hidden="false"/>
    </xf>
    <xf numFmtId="172" fontId="8" fillId="0" borderId="12" xfId="24" applyFont="true" applyBorder="true" applyAlignment="true" applyProtection="false">
      <alignment horizontal="center" vertical="bottom" textRotation="0" wrapText="false" indent="0" shrinkToFit="false"/>
      <protection locked="true" hidden="false"/>
    </xf>
    <xf numFmtId="172" fontId="6" fillId="0" borderId="11" xfId="24" applyFont="true" applyBorder="true" applyAlignment="true" applyProtection="false">
      <alignment horizontal="center" vertical="bottom" textRotation="0" wrapText="false" indent="0" shrinkToFit="false"/>
      <protection locked="true" hidden="false"/>
    </xf>
    <xf numFmtId="172" fontId="6" fillId="0" borderId="12" xfId="24" applyFont="true" applyBorder="true" applyAlignment="true" applyProtection="false">
      <alignment horizontal="center" vertical="bottom" textRotation="0" wrapText="false" indent="0" shrinkToFit="false"/>
      <protection locked="true" hidden="false"/>
    </xf>
    <xf numFmtId="169" fontId="8" fillId="0" borderId="12" xfId="24" applyFont="true" applyBorder="true" applyAlignment="true" applyProtection="false">
      <alignment horizontal="center" vertical="bottom" textRotation="0" wrapText="false" indent="0" shrinkToFit="false"/>
      <protection locked="true" hidden="false"/>
    </xf>
    <xf numFmtId="169" fontId="8" fillId="0" borderId="11" xfId="24" applyFont="true" applyBorder="true" applyAlignment="true" applyProtection="false">
      <alignment horizontal="center" vertical="bottom" textRotation="0" wrapText="false" indent="0" shrinkToFit="false"/>
      <protection locked="true" hidden="false"/>
    </xf>
    <xf numFmtId="169" fontId="8" fillId="0" borderId="8" xfId="24" applyFont="true" applyBorder="true" applyAlignment="true" applyProtection="false">
      <alignment horizontal="center" vertical="bottom" textRotation="0" wrapText="false" indent="0" shrinkToFit="false"/>
      <protection locked="true" hidden="false"/>
    </xf>
    <xf numFmtId="165" fontId="8" fillId="0" borderId="0" xfId="24" applyFont="true" applyBorder="true" applyAlignment="true" applyProtection="false">
      <alignment horizontal="center" vertical="bottom" textRotation="0" wrapText="false" indent="0" shrinkToFit="false"/>
      <protection locked="true" hidden="false"/>
    </xf>
    <xf numFmtId="167" fontId="6" fillId="0" borderId="7" xfId="24" applyFont="true" applyBorder="true" applyAlignment="true" applyProtection="false">
      <alignment horizontal="right" vertical="bottom" textRotation="0" wrapText="false" indent="0" shrinkToFit="false"/>
      <protection locked="true" hidden="false"/>
    </xf>
    <xf numFmtId="167" fontId="6" fillId="0" borderId="10" xfId="24" applyFont="true" applyBorder="true" applyAlignment="false" applyProtection="false">
      <alignment horizontal="general" vertical="bottom" textRotation="0" wrapText="false" indent="0" shrinkToFit="false"/>
      <protection locked="true" hidden="false"/>
    </xf>
    <xf numFmtId="169" fontId="6" fillId="0" borderId="21" xfId="24" applyFont="true" applyBorder="true" applyAlignment="true" applyProtection="false">
      <alignment horizontal="right" vertical="bottom" textRotation="0" wrapText="false" indent="0" shrinkToFit="false"/>
      <protection locked="true" hidden="false"/>
    </xf>
    <xf numFmtId="167" fontId="6" fillId="0" borderId="22" xfId="24" applyFont="true" applyBorder="true" applyAlignment="true" applyProtection="false">
      <alignment horizontal="right" vertical="bottom" textRotation="0" wrapText="false" indent="0" shrinkToFit="false"/>
      <protection locked="true" hidden="false"/>
    </xf>
    <xf numFmtId="179" fontId="6" fillId="0" borderId="10" xfId="24" applyFont="true" applyBorder="true" applyAlignment="true" applyProtection="false">
      <alignment horizontal="right" vertical="bottom" textRotation="0" wrapText="false" indent="0" shrinkToFit="false"/>
      <protection locked="true" hidden="false"/>
    </xf>
    <xf numFmtId="165" fontId="6" fillId="2" borderId="13" xfId="24" applyFont="true" applyBorder="true" applyAlignment="true" applyProtection="false">
      <alignment horizontal="right" vertical="bottom" textRotation="0" wrapText="false" indent="0" shrinkToFit="false"/>
      <protection locked="true" hidden="false"/>
    </xf>
    <xf numFmtId="165" fontId="6" fillId="0" borderId="7" xfId="24" applyFont="true" applyBorder="true" applyAlignment="true" applyProtection="false">
      <alignment horizontal="right" vertical="bottom" textRotation="0" wrapText="false" indent="0" shrinkToFit="false"/>
      <protection locked="true" hidden="false"/>
    </xf>
    <xf numFmtId="165" fontId="6" fillId="0" borderId="0" xfId="0" applyFont="true" applyBorder="true" applyAlignment="true" applyProtection="false">
      <alignment horizontal="right" vertical="bottom" textRotation="0" wrapText="false" indent="0" shrinkToFit="false"/>
      <protection locked="true" hidden="false"/>
    </xf>
    <xf numFmtId="167" fontId="6" fillId="0" borderId="28" xfId="24" applyFont="true" applyBorder="true" applyAlignment="true" applyProtection="false">
      <alignment horizontal="right" vertical="bottom" textRotation="0" wrapText="false" indent="0" shrinkToFit="false"/>
      <protection locked="true" hidden="false"/>
    </xf>
    <xf numFmtId="167" fontId="6" fillId="0" borderId="20" xfId="24" applyFont="true" applyBorder="true" applyAlignment="true" applyProtection="false">
      <alignment horizontal="right" vertical="bottom" textRotation="0" wrapText="false" indent="0" shrinkToFit="false"/>
      <protection locked="true" hidden="false"/>
    </xf>
    <xf numFmtId="169" fontId="6" fillId="0" borderId="0" xfId="24" applyFont="true" applyBorder="true" applyAlignment="true" applyProtection="false">
      <alignment horizontal="right" vertical="bottom" textRotation="0" wrapText="false" indent="0" shrinkToFit="false"/>
      <protection locked="true" hidden="false"/>
    </xf>
    <xf numFmtId="167" fontId="6" fillId="0" borderId="0" xfId="24" applyFont="true" applyBorder="true" applyAlignment="true" applyProtection="false">
      <alignment horizontal="right" vertical="bottom" textRotation="0" wrapText="false" indent="0" shrinkToFit="false"/>
      <protection locked="true" hidden="false"/>
    </xf>
    <xf numFmtId="168" fontId="6" fillId="2" borderId="30" xfId="24" applyFont="true" applyBorder="true" applyAlignment="true" applyProtection="false">
      <alignment horizontal="right" vertical="bottom" textRotation="0" wrapText="false" indent="0" shrinkToFit="false"/>
      <protection locked="true" hidden="false"/>
    </xf>
    <xf numFmtId="172" fontId="6" fillId="2" borderId="18" xfId="24" applyFont="true" applyBorder="true" applyAlignment="true" applyProtection="false">
      <alignment horizontal="right" vertical="bottom" textRotation="0" wrapText="false" indent="0" shrinkToFit="false"/>
      <protection locked="true" hidden="false"/>
    </xf>
    <xf numFmtId="172" fontId="6" fillId="2" borderId="19" xfId="24" applyFont="true" applyBorder="true" applyAlignment="true" applyProtection="false">
      <alignment horizontal="right" vertical="bottom" textRotation="0" wrapText="false" indent="0" shrinkToFit="false"/>
      <protection locked="true" hidden="false"/>
    </xf>
    <xf numFmtId="169" fontId="6" fillId="2" borderId="18" xfId="24" applyFont="true" applyBorder="true" applyAlignment="true" applyProtection="false">
      <alignment horizontal="right" vertical="bottom" textRotation="0" wrapText="false" indent="0" shrinkToFit="false"/>
      <protection locked="true" hidden="false"/>
    </xf>
    <xf numFmtId="181" fontId="6" fillId="0" borderId="0" xfId="24" applyFont="true" applyBorder="true" applyAlignment="false" applyProtection="false">
      <alignment horizontal="general" vertical="bottom" textRotation="0" wrapText="false" indent="0" shrinkToFit="false"/>
      <protection locked="true" hidden="false"/>
    </xf>
    <xf numFmtId="170" fontId="6" fillId="0" borderId="18" xfId="24" applyFont="true" applyBorder="true" applyAlignment="false" applyProtection="false">
      <alignment horizontal="general" vertical="bottom" textRotation="0" wrapText="false" indent="0" shrinkToFit="false"/>
      <protection locked="true" hidden="false"/>
    </xf>
    <xf numFmtId="169" fontId="6" fillId="0" borderId="18" xfId="24" applyFont="true" applyBorder="true" applyAlignment="false" applyProtection="false">
      <alignment horizontal="general" vertical="bottom" textRotation="0" wrapText="false" indent="0" shrinkToFit="false"/>
      <protection locked="true" hidden="false"/>
    </xf>
    <xf numFmtId="167" fontId="6" fillId="0" borderId="0" xfId="24" applyFont="true" applyBorder="true" applyAlignment="false" applyProtection="false">
      <alignment horizontal="general" vertical="bottom" textRotation="0" wrapText="false" indent="0" shrinkToFit="false"/>
      <protection locked="true" hidden="false"/>
    </xf>
    <xf numFmtId="169" fontId="8" fillId="0" borderId="0" xfId="24" applyFont="true" applyBorder="true" applyAlignment="false" applyProtection="false">
      <alignment horizontal="general" vertical="bottom" textRotation="0" wrapText="false" indent="0" shrinkToFit="false"/>
      <protection locked="true" hidden="false"/>
    </xf>
    <xf numFmtId="166" fontId="9" fillId="0" borderId="0" xfId="24" applyFont="true" applyBorder="true" applyAlignment="false" applyProtection="false">
      <alignment horizontal="general" vertical="bottom" textRotation="0" wrapText="false" indent="0" shrinkToFit="false"/>
      <protection locked="true" hidden="false"/>
    </xf>
    <xf numFmtId="169" fontId="9" fillId="0" borderId="0" xfId="24" applyFont="true" applyBorder="true" applyAlignment="false" applyProtection="false">
      <alignment horizontal="general" vertical="bottom" textRotation="0" wrapText="false" indent="0" shrinkToFit="false"/>
      <protection locked="true" hidden="false"/>
    </xf>
    <xf numFmtId="167" fontId="9" fillId="0" borderId="0" xfId="24" applyFont="true" applyBorder="true" applyAlignment="false" applyProtection="false">
      <alignment horizontal="general" vertical="bottom" textRotation="0" wrapText="false" indent="0" shrinkToFit="false"/>
      <protection locked="true" hidden="false"/>
    </xf>
    <xf numFmtId="175" fontId="8" fillId="0" borderId="0" xfId="24"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2" fontId="17" fillId="0" borderId="0" xfId="0" applyFont="true" applyBorder="false" applyAlignment="tru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72" fontId="8" fillId="0" borderId="4" xfId="24" applyFont="true" applyBorder="true" applyAlignment="false" applyProtection="false">
      <alignment horizontal="general" vertical="bottom" textRotation="0" wrapText="false" indent="0" shrinkToFit="false"/>
      <protection locked="true" hidden="false"/>
    </xf>
    <xf numFmtId="171" fontId="6" fillId="0" borderId="3" xfId="0" applyFont="true" applyBorder="true" applyAlignment="true" applyProtection="false">
      <alignment horizontal="center" vertical="bottom" textRotation="0" wrapText="false" indent="0" shrinkToFit="false"/>
      <protection locked="true" hidden="false"/>
    </xf>
    <xf numFmtId="170" fontId="6" fillId="0" borderId="0" xfId="24" applyFont="true" applyBorder="true" applyAlignment="false" applyProtection="false">
      <alignment horizontal="general" vertical="bottom" textRotation="0" wrapText="false" indent="0" shrinkToFit="false"/>
      <protection locked="true" hidden="false"/>
    </xf>
    <xf numFmtId="164" fontId="6" fillId="0" borderId="2" xfId="24" applyFont="true" applyBorder="true" applyAlignment="false" applyProtection="false">
      <alignment horizontal="general" vertical="bottom" textRotation="0" wrapText="false" indent="0" shrinkToFit="false"/>
      <protection locked="true" hidden="false"/>
    </xf>
    <xf numFmtId="172" fontId="10" fillId="0" borderId="26" xfId="24" applyFont="true" applyBorder="true" applyAlignment="true" applyProtection="false">
      <alignment horizontal="center" vertical="bottom" textRotation="0" wrapText="false" indent="0" shrinkToFit="false"/>
      <protection locked="true" hidden="false"/>
    </xf>
    <xf numFmtId="171" fontId="8" fillId="0" borderId="7" xfId="0" applyFont="true" applyBorder="true" applyAlignment="true" applyProtection="false">
      <alignment horizontal="center" vertical="bottom" textRotation="0" wrapText="false" indent="0" shrinkToFit="false"/>
      <protection locked="true" hidden="false"/>
    </xf>
    <xf numFmtId="164" fontId="0" fillId="0" borderId="8" xfId="24" applyFont="true" applyBorder="true" applyAlignment="true" applyProtection="false">
      <alignment horizontal="center" vertical="bottom" textRotation="0" wrapText="false" indent="0" shrinkToFit="false"/>
      <protection locked="true" hidden="false"/>
    </xf>
    <xf numFmtId="172" fontId="8" fillId="0" borderId="8" xfId="24" applyFont="true" applyBorder="true" applyAlignment="true" applyProtection="false">
      <alignment horizontal="center" vertical="bottom" textRotation="0" wrapText="false" indent="0" shrinkToFit="false"/>
      <protection locked="true" hidden="false"/>
    </xf>
    <xf numFmtId="171" fontId="6" fillId="0" borderId="7" xfId="0" applyFont="true" applyBorder="true" applyAlignment="true" applyProtection="false">
      <alignment horizontal="right" vertical="bottom" textRotation="0" wrapText="false" indent="0" shrinkToFit="false"/>
      <protection locked="true" hidden="false"/>
    </xf>
    <xf numFmtId="169" fontId="6" fillId="0" borderId="8" xfId="0" applyFont="true" applyBorder="true" applyAlignment="false" applyProtection="false">
      <alignment horizontal="general" vertical="bottom" textRotation="0" wrapText="false" indent="0" shrinkToFit="false"/>
      <protection locked="true" hidden="false"/>
    </xf>
    <xf numFmtId="168" fontId="6" fillId="0" borderId="0" xfId="0" applyFont="true" applyBorder="true" applyAlignment="true" applyProtection="false">
      <alignment horizontal="right" vertical="bottom" textRotation="0" wrapText="false" indent="0" shrinkToFit="false"/>
      <protection locked="true" hidden="false"/>
    </xf>
    <xf numFmtId="167" fontId="6" fillId="0" borderId="10" xfId="0" applyFont="true" applyBorder="true" applyAlignment="false" applyProtection="false">
      <alignment horizontal="general" vertical="bottom" textRotation="0" wrapText="false" indent="0" shrinkToFit="false"/>
      <protection locked="true" hidden="false"/>
    </xf>
    <xf numFmtId="164" fontId="6" fillId="0" borderId="8" xfId="0" applyFont="true" applyBorder="true" applyAlignment="false" applyProtection="false">
      <alignment horizontal="general" vertical="bottom" textRotation="0" wrapText="false" indent="0" shrinkToFit="false"/>
      <protection locked="true" hidden="false"/>
    </xf>
    <xf numFmtId="169" fontId="6" fillId="0" borderId="12" xfId="0" applyFont="true" applyBorder="true" applyAlignment="true" applyProtection="false">
      <alignment horizontal="right" vertical="bottom" textRotation="0" wrapText="false" indent="0" shrinkToFit="false"/>
      <protection locked="true" hidden="false"/>
    </xf>
    <xf numFmtId="169" fontId="6" fillId="0" borderId="23" xfId="0" applyFont="true" applyBorder="true" applyAlignment="false" applyProtection="false">
      <alignment horizontal="general" vertical="bottom" textRotation="0" wrapText="false" indent="0" shrinkToFit="false"/>
      <protection locked="true" hidden="false"/>
    </xf>
    <xf numFmtId="167" fontId="6" fillId="0" borderId="10" xfId="0" applyFont="true" applyBorder="true" applyAlignment="true" applyProtection="false">
      <alignment horizontal="right" vertical="bottom" textRotation="0" wrapText="false" indent="0" shrinkToFit="false"/>
      <protection locked="true" hidden="false"/>
    </xf>
    <xf numFmtId="171" fontId="6" fillId="2" borderId="14" xfId="0" applyFont="true" applyBorder="true" applyAlignment="true" applyProtection="false">
      <alignment horizontal="right" vertical="bottom" textRotation="0" wrapText="false" indent="0" shrinkToFit="false"/>
      <protection locked="true" hidden="false"/>
    </xf>
    <xf numFmtId="167" fontId="6" fillId="2" borderId="31" xfId="0" applyFont="true" applyBorder="true" applyAlignment="true" applyProtection="false">
      <alignment horizontal="right" vertical="bottom" textRotation="0" wrapText="false" indent="0" shrinkToFit="false"/>
      <protection locked="true" hidden="false"/>
    </xf>
    <xf numFmtId="165" fontId="6" fillId="0" borderId="0" xfId="24" applyFont="true" applyBorder="true" applyAlignment="true" applyProtection="false">
      <alignment horizontal="right" vertical="bottom" textRotation="0" wrapText="false" indent="0" shrinkToFit="false"/>
      <protection locked="true" hidden="false"/>
    </xf>
    <xf numFmtId="172" fontId="6" fillId="0" borderId="29" xfId="0" applyFont="true" applyBorder="true" applyAlignment="true" applyProtection="false">
      <alignment horizontal="right" vertical="bottom" textRotation="0" wrapText="false" indent="0" shrinkToFit="false"/>
      <protection locked="true" hidden="false"/>
    </xf>
    <xf numFmtId="172" fontId="6" fillId="0" borderId="0" xfId="0" applyFont="true" applyBorder="false" applyAlignment="true" applyProtection="false">
      <alignment horizontal="right" vertical="bottom" textRotation="0" wrapText="false" indent="0" shrinkToFit="false"/>
      <protection locked="true" hidden="false"/>
    </xf>
    <xf numFmtId="171" fontId="6" fillId="0" borderId="8" xfId="0" applyFont="true" applyBorder="true" applyAlignment="false" applyProtection="false">
      <alignment horizontal="general" vertical="bottom" textRotation="0" wrapText="false" indent="0" shrinkToFit="false"/>
      <protection locked="true" hidden="false"/>
    </xf>
    <xf numFmtId="171" fontId="6" fillId="0" borderId="8" xfId="0" applyFont="true" applyBorder="true" applyAlignment="true" applyProtection="false">
      <alignment horizontal="right"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right" vertical="bottom" textRotation="0" wrapText="false" indent="0" shrinkToFit="false"/>
      <protection locked="true" hidden="false"/>
    </xf>
    <xf numFmtId="169" fontId="6" fillId="0" borderId="22" xfId="24" applyFont="true" applyBorder="true" applyAlignment="true" applyProtection="false">
      <alignment horizontal="right" vertical="bottom" textRotation="0" wrapText="false" indent="0" shrinkToFit="false"/>
      <protection locked="true" hidden="false"/>
    </xf>
    <xf numFmtId="167" fontId="6" fillId="0" borderId="25" xfId="0" applyFont="true" applyBorder="true" applyAlignment="true" applyProtection="false">
      <alignment horizontal="right" vertical="bottom" textRotation="0" wrapText="false" indent="0" shrinkToFit="false"/>
      <protection locked="true" hidden="false"/>
    </xf>
    <xf numFmtId="172" fontId="6" fillId="0" borderId="22" xfId="24" applyFont="true" applyBorder="true" applyAlignment="true" applyProtection="false">
      <alignment horizontal="right" vertical="bottom" textRotation="0" wrapText="false" indent="0" shrinkToFit="false"/>
      <protection locked="true" hidden="false"/>
    </xf>
    <xf numFmtId="172" fontId="6" fillId="2" borderId="18" xfId="0" applyFont="true" applyBorder="true" applyAlignment="true" applyProtection="false">
      <alignment horizontal="right" vertical="bottom" textRotation="0" wrapText="false" indent="0" shrinkToFit="false"/>
      <protection locked="true" hidden="false"/>
    </xf>
    <xf numFmtId="167" fontId="8" fillId="2" borderId="13" xfId="0" applyFont="true" applyBorder="true" applyAlignment="true" applyProtection="false">
      <alignment horizontal="right"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8" fillId="0" borderId="18" xfId="0" applyFont="true" applyBorder="tru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true" applyAlignment="false" applyProtection="false">
      <alignment horizontal="general" vertical="bottom" textRotation="0" wrapText="false" indent="0" shrinkToFit="false"/>
      <protection locked="true" hidden="false"/>
    </xf>
    <xf numFmtId="167" fontId="6" fillId="0" borderId="0" xfId="0" applyFont="true" applyBorder="true" applyAlignment="true" applyProtection="false">
      <alignment horizontal="right" vertical="bottom" textRotation="0" wrapText="false" indent="0" shrinkToFit="false"/>
      <protection locked="true" hidden="false"/>
    </xf>
    <xf numFmtId="169" fontId="6" fillId="0" borderId="0" xfId="0" applyFont="true" applyBorder="true" applyAlignment="false" applyProtection="false">
      <alignment horizontal="general" vertical="bottom" textRotation="0" wrapText="false" indent="0" shrinkToFit="false"/>
      <protection locked="true" hidden="false"/>
    </xf>
    <xf numFmtId="169" fontId="6" fillId="0" borderId="0" xfId="15" applyFont="true" applyBorder="true" applyAlignment="true" applyProtection="true">
      <alignment horizontal="general" vertical="bottom" textRotation="0" wrapText="false" indent="0" shrinkToFit="false"/>
      <protection locked="true" hidden="false"/>
    </xf>
    <xf numFmtId="170" fontId="6" fillId="0" borderId="0" xfId="15"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75" fontId="9" fillId="0" borderId="3" xfId="0" applyFont="true" applyBorder="true" applyAlignment="true" applyProtection="false">
      <alignment horizontal="general" vertical="bottom" textRotation="0" wrapText="false" indent="0" shrinkToFit="false"/>
      <protection locked="true" hidden="false"/>
    </xf>
    <xf numFmtId="175" fontId="9" fillId="0" borderId="4" xfId="0" applyFont="true" applyBorder="true" applyAlignment="true" applyProtection="false">
      <alignment horizontal="general" vertical="bottom" textRotation="0" wrapText="false" indent="0" shrinkToFit="false"/>
      <protection locked="true" hidden="false"/>
    </xf>
    <xf numFmtId="175" fontId="9" fillId="0" borderId="2" xfId="0" applyFont="true" applyBorder="true" applyAlignment="true" applyProtection="false">
      <alignment horizontal="general" vertical="bottom" textRotation="0" wrapText="false" indent="0" shrinkToFit="false"/>
      <protection locked="true" hidden="false"/>
    </xf>
    <xf numFmtId="172" fontId="9" fillId="0" borderId="4" xfId="0" applyFont="true" applyBorder="true" applyAlignment="true" applyProtection="false">
      <alignment horizontal="general" vertical="bottom" textRotation="0" wrapText="false" indent="0" shrinkToFit="false"/>
      <protection locked="true" hidden="false"/>
    </xf>
    <xf numFmtId="172" fontId="9" fillId="0" borderId="5" xfId="0" applyFont="true" applyBorder="true" applyAlignment="true" applyProtection="false">
      <alignment horizontal="general" vertical="bottom" textRotation="0" wrapText="false" indent="0" shrinkToFit="false"/>
      <protection locked="true" hidden="false"/>
    </xf>
    <xf numFmtId="172" fontId="9" fillId="0" borderId="2" xfId="0" applyFont="true" applyBorder="true" applyAlignment="true" applyProtection="false">
      <alignment horizontal="general" vertical="bottom" textRotation="0" wrapText="false" indent="0" shrinkToFit="false"/>
      <protection locked="true" hidden="false"/>
    </xf>
    <xf numFmtId="169" fontId="9" fillId="0" borderId="3" xfId="24" applyFont="true" applyBorder="true" applyAlignment="true" applyProtection="false">
      <alignment horizontal="general" vertical="bottom" textRotation="0" wrapText="false" indent="0" shrinkToFit="false"/>
      <protection locked="true" hidden="false"/>
    </xf>
    <xf numFmtId="169" fontId="9" fillId="0" borderId="4" xfId="24" applyFont="true" applyBorder="true" applyAlignment="true" applyProtection="false">
      <alignment horizontal="general" vertical="bottom" textRotation="0" wrapText="false" indent="0" shrinkToFit="false"/>
      <protection locked="true" hidden="false"/>
    </xf>
    <xf numFmtId="169" fontId="9" fillId="0" borderId="2" xfId="24" applyFont="true" applyBorder="true" applyAlignment="true" applyProtection="false">
      <alignment horizontal="general" vertical="bottom" textRotation="0" wrapText="false" indent="0" shrinkToFit="false"/>
      <protection locked="true" hidden="false"/>
    </xf>
    <xf numFmtId="171" fontId="9" fillId="0" borderId="3" xfId="0" applyFont="true" applyBorder="true" applyAlignment="true" applyProtection="false">
      <alignment horizontal="general" vertical="bottom" textRotation="0" wrapText="false" indent="0" shrinkToFit="false"/>
      <protection locked="true" hidden="false"/>
    </xf>
    <xf numFmtId="171" fontId="9" fillId="0" borderId="4" xfId="0" applyFont="true" applyBorder="true" applyAlignment="true" applyProtection="false">
      <alignment horizontal="general" vertical="bottom" textRotation="0" wrapText="false" indent="0" shrinkToFit="false"/>
      <protection locked="true" hidden="false"/>
    </xf>
    <xf numFmtId="171" fontId="9" fillId="0" borderId="2" xfId="0" applyFont="true" applyBorder="true" applyAlignment="true" applyProtection="false">
      <alignment horizontal="general" vertical="bottom" textRotation="0" wrapText="false" indent="0" shrinkToFit="false"/>
      <protection locked="true" hidden="false"/>
    </xf>
    <xf numFmtId="172" fontId="6" fillId="0" borderId="11" xfId="0" applyFont="true" applyBorder="true" applyAlignment="true" applyProtection="false">
      <alignment horizontal="center" vertical="bottom" textRotation="0" wrapText="false" indent="0" shrinkToFit="false"/>
      <protection locked="true" hidden="false"/>
    </xf>
    <xf numFmtId="172" fontId="6" fillId="0" borderId="12" xfId="0" applyFont="true" applyBorder="true" applyAlignment="true" applyProtection="false">
      <alignment horizontal="center" vertical="bottom" textRotation="0" wrapText="false" indent="0" shrinkToFit="false"/>
      <protection locked="true" hidden="false"/>
    </xf>
    <xf numFmtId="171" fontId="0" fillId="0" borderId="0" xfId="24" applyFont="false" applyBorder="true" applyAlignment="false" applyProtection="false">
      <alignment horizontal="general" vertical="bottom" textRotation="0" wrapText="false" indent="0" shrinkToFit="false"/>
      <protection locked="true" hidden="false"/>
    </xf>
    <xf numFmtId="164" fontId="8" fillId="0" borderId="8" xfId="24" applyFont="true" applyBorder="true" applyAlignment="false" applyProtection="false">
      <alignment horizontal="general" vertical="bottom" textRotation="0" wrapText="false" indent="0" shrinkToFit="false"/>
      <protection locked="true" hidden="false"/>
    </xf>
    <xf numFmtId="168" fontId="8" fillId="0" borderId="0" xfId="24" applyFont="true" applyBorder="true" applyAlignment="false" applyProtection="false">
      <alignment horizontal="general" vertical="bottom" textRotation="0" wrapText="false" indent="0" shrinkToFit="false"/>
      <protection locked="true" hidden="false"/>
    </xf>
    <xf numFmtId="172" fontId="8" fillId="0" borderId="8" xfId="24" applyFont="true" applyBorder="true" applyAlignment="false" applyProtection="false">
      <alignment horizontal="general" vertical="bottom" textRotation="0" wrapText="false" indent="0" shrinkToFit="false"/>
      <protection locked="true" hidden="false"/>
    </xf>
    <xf numFmtId="167" fontId="8" fillId="0" borderId="23" xfId="24" applyFont="true" applyBorder="true" applyAlignment="false" applyProtection="false">
      <alignment horizontal="general" vertical="bottom" textRotation="0" wrapText="false" indent="0" shrinkToFit="false"/>
      <protection locked="true" hidden="false"/>
    </xf>
    <xf numFmtId="169" fontId="6" fillId="0" borderId="23" xfId="24" applyFont="true" applyBorder="true" applyAlignment="false" applyProtection="false">
      <alignment horizontal="general" vertical="bottom" textRotation="0" wrapText="false" indent="0" shrinkToFit="false"/>
      <protection locked="true" hidden="false"/>
    </xf>
    <xf numFmtId="170" fontId="6" fillId="2" borderId="14" xfId="24" applyFont="true" applyBorder="true" applyAlignment="true" applyProtection="false">
      <alignment horizontal="right" vertical="bottom" textRotation="0" wrapText="false" indent="0" shrinkToFit="false"/>
      <protection locked="true" hidden="false"/>
    </xf>
    <xf numFmtId="170" fontId="18" fillId="0" borderId="0" xfId="23" applyFont="true" applyBorder="false" applyAlignment="false" applyProtection="false">
      <alignment horizontal="general" vertical="bottom" textRotation="0" wrapText="false" indent="0" shrinkToFit="false"/>
      <protection locked="true" hidden="false"/>
    </xf>
    <xf numFmtId="171" fontId="6" fillId="0" borderId="0" xfId="24" applyFont="true" applyBorder="true" applyAlignment="true" applyProtection="false">
      <alignment horizontal="right" vertical="bottom" textRotation="0" wrapText="false" indent="0" shrinkToFit="false"/>
      <protection locked="true" hidden="false"/>
    </xf>
    <xf numFmtId="170" fontId="6" fillId="0" borderId="32" xfId="24" applyFont="true" applyBorder="true" applyAlignment="true" applyProtection="false">
      <alignment horizontal="right" vertical="bottom" textRotation="0" wrapText="false" indent="0" shrinkToFit="false"/>
      <protection locked="true" hidden="false"/>
    </xf>
    <xf numFmtId="167" fontId="6" fillId="0" borderId="29" xfId="24" applyFont="true" applyBorder="true" applyAlignment="true" applyProtection="false">
      <alignment horizontal="right" vertical="bottom" textRotation="0" wrapText="false" indent="0" shrinkToFit="false"/>
      <protection locked="true" hidden="false"/>
    </xf>
    <xf numFmtId="172" fontId="6" fillId="2" borderId="14" xfId="24" applyFont="true" applyBorder="true" applyAlignment="false" applyProtection="false">
      <alignment horizontal="general" vertical="bottom" textRotation="0" wrapText="false" indent="0" shrinkToFit="false"/>
      <protection locked="true" hidden="false"/>
    </xf>
    <xf numFmtId="167" fontId="6" fillId="2" borderId="13" xfId="24" applyFont="true" applyBorder="true" applyAlignment="false" applyProtection="false">
      <alignment horizontal="general" vertical="bottom" textRotation="0" wrapText="false" indent="0" shrinkToFit="false"/>
      <protection locked="true" hidden="false"/>
    </xf>
    <xf numFmtId="172" fontId="6" fillId="2" borderId="15" xfId="24" applyFont="true" applyBorder="true" applyAlignment="false" applyProtection="false">
      <alignment horizontal="general" vertical="bottom" textRotation="0" wrapText="false" indent="0" shrinkToFit="false"/>
      <protection locked="true" hidden="false"/>
    </xf>
    <xf numFmtId="169" fontId="6" fillId="2" borderId="13" xfId="24" applyFont="true" applyBorder="true" applyAlignment="false" applyProtection="false">
      <alignment horizontal="general" vertical="bottom" textRotation="0" wrapText="false" indent="0" shrinkToFit="false"/>
      <protection locked="true" hidden="false"/>
    </xf>
    <xf numFmtId="172" fontId="6" fillId="2" borderId="16" xfId="24" applyFont="true" applyBorder="true" applyAlignment="false" applyProtection="false">
      <alignment horizontal="general" vertical="bottom" textRotation="0" wrapText="false" indent="0" shrinkToFit="false"/>
      <protection locked="true" hidden="false"/>
    </xf>
    <xf numFmtId="170" fontId="6" fillId="2" borderId="13" xfId="24" applyFont="true" applyBorder="true" applyAlignment="false" applyProtection="false">
      <alignment horizontal="general" vertical="bottom" textRotation="0" wrapText="false" indent="0" shrinkToFit="false"/>
      <protection locked="true" hidden="false"/>
    </xf>
    <xf numFmtId="170" fontId="6" fillId="2" borderId="17" xfId="24" applyFont="true" applyBorder="true" applyAlignment="false" applyProtection="false">
      <alignment horizontal="general" vertical="bottom" textRotation="0" wrapText="false" indent="0" shrinkToFit="false"/>
      <protection locked="true" hidden="false"/>
    </xf>
    <xf numFmtId="171" fontId="6" fillId="2" borderId="13" xfId="24" applyFont="true" applyBorder="true" applyAlignment="false" applyProtection="false">
      <alignment horizontal="general" vertical="bottom" textRotation="0" wrapText="false" indent="0" shrinkToFit="false"/>
      <protection locked="true" hidden="false"/>
    </xf>
    <xf numFmtId="171" fontId="8" fillId="0" borderId="1" xfId="24" applyFont="true" applyBorder="true" applyAlignment="true" applyProtection="false">
      <alignment horizontal="center" vertical="bottom" textRotation="0" wrapText="false" indent="0" shrinkToFit="false"/>
      <protection locked="true" hidden="false"/>
    </xf>
    <xf numFmtId="170" fontId="8" fillId="0" borderId="1" xfId="24" applyFont="true" applyBorder="true" applyAlignment="false" applyProtection="false">
      <alignment horizontal="general" vertical="bottom" textRotation="0" wrapText="false" indent="0" shrinkToFit="false"/>
      <protection locked="true" hidden="false"/>
    </xf>
    <xf numFmtId="172" fontId="6" fillId="0" borderId="7" xfId="24" applyFont="true" applyBorder="true" applyAlignment="false" applyProtection="false">
      <alignment horizontal="general" vertical="bottom" textRotation="0" wrapText="false" indent="0" shrinkToFit="false"/>
      <protection locked="true" hidden="false"/>
    </xf>
    <xf numFmtId="167" fontId="6" fillId="0" borderId="12" xfId="24" applyFont="true" applyBorder="true" applyAlignment="false" applyProtection="false">
      <alignment horizontal="general" vertical="bottom" textRotation="0" wrapText="false" indent="0" shrinkToFit="false"/>
      <protection locked="true" hidden="false"/>
    </xf>
    <xf numFmtId="170" fontId="6" fillId="0" borderId="12" xfId="24" applyFont="true" applyBorder="true" applyAlignment="false" applyProtection="false">
      <alignment horizontal="general" vertical="bottom" textRotation="0" wrapText="false" indent="0" shrinkToFit="false"/>
      <protection locked="true" hidden="false"/>
    </xf>
    <xf numFmtId="167" fontId="6" fillId="0" borderId="11" xfId="24" applyFont="true" applyBorder="true" applyAlignment="false" applyProtection="false">
      <alignment horizontal="general" vertical="bottom" textRotation="0" wrapText="false" indent="0" shrinkToFit="false"/>
      <protection locked="true" hidden="false"/>
    </xf>
    <xf numFmtId="171" fontId="6" fillId="0" borderId="7" xfId="24" applyFont="true" applyBorder="true" applyAlignment="true" applyProtection="false">
      <alignment horizontal="center" vertical="bottom" textRotation="0" wrapText="false" indent="0" shrinkToFit="false"/>
      <protection locked="true" hidden="false"/>
    </xf>
    <xf numFmtId="168" fontId="6" fillId="0" borderId="7" xfId="24" applyFont="true" applyBorder="true" applyAlignment="false" applyProtection="false">
      <alignment horizontal="general" vertical="bottom" textRotation="0" wrapText="false" indent="0" shrinkToFit="false"/>
      <protection locked="true" hidden="false"/>
    </xf>
    <xf numFmtId="165" fontId="6" fillId="0" borderId="7" xfId="24" applyFont="true" applyBorder="true" applyAlignment="false" applyProtection="false">
      <alignment horizontal="general" vertical="bottom" textRotation="0" wrapText="false" indent="0" shrinkToFit="false"/>
      <protection locked="true" hidden="false"/>
    </xf>
    <xf numFmtId="167" fontId="6" fillId="0" borderId="21" xfId="24" applyFont="true" applyBorder="true" applyAlignment="false" applyProtection="false">
      <alignment horizontal="general" vertical="bottom" textRotation="0" wrapText="false" indent="0" shrinkToFit="false"/>
      <protection locked="true" hidden="false"/>
    </xf>
    <xf numFmtId="169" fontId="6" fillId="0" borderId="21" xfId="24" applyFont="true" applyBorder="true" applyAlignment="false" applyProtection="false">
      <alignment horizontal="general" vertical="bottom" textRotation="0" wrapText="false" indent="0" shrinkToFit="false"/>
      <protection locked="true" hidden="false"/>
    </xf>
    <xf numFmtId="171" fontId="6" fillId="0" borderId="7" xfId="24" applyFont="true" applyBorder="true" applyAlignment="false" applyProtection="false">
      <alignment horizontal="general" vertical="bottom" textRotation="0" wrapText="false" indent="0" shrinkToFit="false"/>
      <protection locked="true" hidden="false"/>
    </xf>
    <xf numFmtId="165" fontId="6" fillId="2" borderId="14" xfId="24" applyFont="true" applyBorder="true" applyAlignment="false" applyProtection="false">
      <alignment horizontal="general" vertical="bottom" textRotation="0" wrapText="false" indent="0" shrinkToFit="false"/>
      <protection locked="true" hidden="false"/>
    </xf>
    <xf numFmtId="173" fontId="6" fillId="2" borderId="13" xfId="24" applyFont="true" applyBorder="true" applyAlignment="false" applyProtection="false">
      <alignment horizontal="general" vertical="bottom" textRotation="0" wrapText="false" indent="0" shrinkToFit="false"/>
      <protection locked="true" hidden="false"/>
    </xf>
    <xf numFmtId="171" fontId="6" fillId="2" borderId="14" xfId="24" applyFont="true" applyBorder="true" applyAlignment="true" applyProtection="false">
      <alignment horizontal="center" vertical="bottom" textRotation="0" wrapText="false" indent="0" shrinkToFit="false"/>
      <protection locked="true" hidden="false"/>
    </xf>
    <xf numFmtId="169" fontId="6" fillId="2" borderId="13" xfId="24" applyFont="true" applyBorder="true" applyAlignment="true" applyProtection="false">
      <alignment horizontal="center" vertical="bottom" textRotation="0" wrapText="false" indent="0" shrinkToFit="false"/>
      <protection locked="true" hidden="false"/>
    </xf>
    <xf numFmtId="168" fontId="6" fillId="2" borderId="14" xfId="24" applyFont="true" applyBorder="true" applyAlignment="false" applyProtection="false">
      <alignment horizontal="general" vertical="bottom" textRotation="0" wrapText="false" indent="0" shrinkToFit="false"/>
      <protection locked="true" hidden="false"/>
    </xf>
    <xf numFmtId="172" fontId="6" fillId="0" borderId="8" xfId="24" applyFont="true" applyBorder="true" applyAlignment="false" applyProtection="false">
      <alignment horizontal="general" vertical="bottom" textRotation="0" wrapText="false" indent="0" shrinkToFit="false"/>
      <protection locked="true" hidden="false"/>
    </xf>
    <xf numFmtId="172" fontId="6" fillId="0" borderId="0" xfId="24" applyFont="true" applyBorder="true" applyAlignment="false" applyProtection="false">
      <alignment horizontal="general" vertical="bottom" textRotation="0" wrapText="false" indent="0" shrinkToFit="false"/>
      <protection locked="true" hidden="false"/>
    </xf>
    <xf numFmtId="172" fontId="6" fillId="0" borderId="11" xfId="24" applyFont="true" applyBorder="true" applyAlignment="false" applyProtection="false">
      <alignment horizontal="general" vertical="bottom" textRotation="0" wrapText="false" indent="0" shrinkToFit="false"/>
      <protection locked="true" hidden="false"/>
    </xf>
    <xf numFmtId="168" fontId="6" fillId="0" borderId="7" xfId="24" applyFont="true" applyBorder="true" applyAlignment="false" applyProtection="false">
      <alignment horizontal="general" vertical="bottom" textRotation="0" wrapText="false" indent="0" shrinkToFit="false"/>
      <protection locked="true" hidden="false"/>
    </xf>
    <xf numFmtId="171" fontId="6" fillId="0" borderId="0" xfId="24"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24" applyFont="true" applyBorder="true" applyAlignment="true" applyProtection="false">
      <alignment horizontal="center" vertical="bottom" textRotation="0" wrapText="false" indent="0" shrinkToFit="false"/>
      <protection locked="true" hidden="false"/>
    </xf>
    <xf numFmtId="164" fontId="6" fillId="0" borderId="0" xfId="24" applyFont="true" applyBorder="true" applyAlignment="false" applyProtection="false">
      <alignment horizontal="general" vertical="bottom" textRotation="0" wrapText="false" indent="0" shrinkToFit="false"/>
      <protection locked="true" hidden="false"/>
    </xf>
    <xf numFmtId="172" fontId="6" fillId="0" borderId="8" xfId="24" applyFont="true" applyBorder="true" applyAlignment="false" applyProtection="false">
      <alignment horizontal="general" vertical="bottom" textRotation="0" wrapText="false" indent="0" shrinkToFit="false"/>
      <protection locked="true" hidden="false"/>
    </xf>
    <xf numFmtId="169" fontId="6" fillId="0" borderId="0" xfId="24" applyFont="true" applyBorder="true" applyAlignment="false" applyProtection="false">
      <alignment horizontal="general" vertical="bottom" textRotation="0" wrapText="false" indent="0" shrinkToFit="false"/>
      <protection locked="true" hidden="false"/>
    </xf>
    <xf numFmtId="172" fontId="6" fillId="0" borderId="11" xfId="24" applyFont="true" applyBorder="true" applyAlignment="false" applyProtection="false">
      <alignment horizontal="general" vertical="bottom" textRotation="0" wrapText="false" indent="0" shrinkToFit="false"/>
      <protection locked="true" hidden="false"/>
    </xf>
    <xf numFmtId="173" fontId="6" fillId="0" borderId="0" xfId="24" applyFont="true" applyBorder="true" applyAlignment="false" applyProtection="false">
      <alignment horizontal="general" vertical="bottom" textRotation="0" wrapText="false" indent="0" shrinkToFit="false"/>
      <protection locked="true" hidden="false"/>
    </xf>
    <xf numFmtId="167" fontId="6" fillId="2" borderId="15" xfId="24" applyFont="true" applyBorder="true" applyAlignment="false" applyProtection="false">
      <alignment horizontal="general" vertical="bottom" textRotation="0" wrapText="false" indent="0" shrinkToFit="false"/>
      <protection locked="true" hidden="false"/>
    </xf>
    <xf numFmtId="167" fontId="6" fillId="2" borderId="16" xfId="24" applyFont="true" applyBorder="true" applyAlignment="false" applyProtection="false">
      <alignment horizontal="general" vertical="bottom" textRotation="0" wrapText="false" indent="0" shrinkToFit="false"/>
      <protection locked="true" hidden="false"/>
    </xf>
    <xf numFmtId="167" fontId="6" fillId="2" borderId="17" xfId="24" applyFont="true" applyBorder="true" applyAlignment="false" applyProtection="false">
      <alignment horizontal="general" vertical="bottom" textRotation="0" wrapText="false" indent="0" shrinkToFit="false"/>
      <protection locked="true" hidden="false"/>
    </xf>
    <xf numFmtId="167" fontId="6" fillId="2" borderId="14" xfId="24" applyFont="true" applyBorder="true" applyAlignment="false" applyProtection="false">
      <alignment horizontal="general" vertical="bottom" textRotation="0" wrapText="false" indent="0" shrinkToFit="false"/>
      <protection locked="true" hidden="false"/>
    </xf>
    <xf numFmtId="168" fontId="6" fillId="2" borderId="13" xfId="24" applyFont="true" applyBorder="true" applyAlignment="false" applyProtection="false">
      <alignment horizontal="general" vertical="bottom" textRotation="0" wrapText="false" indent="0" shrinkToFit="false"/>
      <protection locked="true" hidden="false"/>
    </xf>
    <xf numFmtId="169" fontId="6" fillId="0" borderId="12" xfId="24" applyFont="true" applyBorder="true" applyAlignment="false" applyProtection="false">
      <alignment horizontal="general" vertical="bottom" textRotation="0" wrapText="false" indent="0" shrinkToFit="false"/>
      <protection locked="true" hidden="false"/>
    </xf>
    <xf numFmtId="167" fontId="6" fillId="0" borderId="29" xfId="24" applyFont="true" applyBorder="true" applyAlignment="false" applyProtection="false">
      <alignment horizontal="general" vertical="bottom" textRotation="0" wrapText="false" indent="0" shrinkToFit="false"/>
      <protection locked="true" hidden="false"/>
    </xf>
    <xf numFmtId="171" fontId="6" fillId="0" borderId="24" xfId="24" applyFont="true" applyBorder="true" applyAlignment="false" applyProtection="false">
      <alignment horizontal="general" vertical="bottom" textRotation="0" wrapText="false" indent="0" shrinkToFit="false"/>
      <protection locked="true" hidden="false"/>
    </xf>
    <xf numFmtId="167" fontId="6" fillId="0" borderId="23" xfId="24" applyFont="true" applyBorder="true" applyAlignment="false" applyProtection="false">
      <alignment horizontal="general" vertical="bottom" textRotation="0" wrapText="false" indent="0" shrinkToFit="false"/>
      <protection locked="true" hidden="false"/>
    </xf>
    <xf numFmtId="172" fontId="6" fillId="2" borderId="18" xfId="24" applyFont="true" applyBorder="true" applyAlignment="false" applyProtection="false">
      <alignment horizontal="general" vertical="bottom" textRotation="0" wrapText="false" indent="0" shrinkToFit="false"/>
      <protection locked="true" hidden="false"/>
    </xf>
    <xf numFmtId="170" fontId="6" fillId="2" borderId="33" xfId="24" applyFont="true" applyBorder="true" applyAlignment="false" applyProtection="false">
      <alignment horizontal="general" vertical="bottom" textRotation="0" wrapText="false" indent="0" shrinkToFit="false"/>
      <protection locked="true" hidden="false"/>
    </xf>
    <xf numFmtId="172" fontId="6" fillId="2" borderId="17" xfId="24" applyFont="true" applyBorder="true" applyAlignment="false" applyProtection="false">
      <alignment horizontal="general" vertical="bottom" textRotation="0" wrapText="false" indent="0" shrinkToFit="false"/>
      <protection locked="true" hidden="false"/>
    </xf>
    <xf numFmtId="172" fontId="9" fillId="0" borderId="0" xfId="24" applyFont="true" applyBorder="true" applyAlignment="false" applyProtection="false">
      <alignment horizontal="general" vertical="bottom" textRotation="0" wrapText="false" indent="0" shrinkToFit="false"/>
      <protection locked="true" hidden="false"/>
    </xf>
    <xf numFmtId="167" fontId="9" fillId="0" borderId="0" xfId="24" applyFont="true" applyBorder="true" applyAlignment="false" applyProtection="false">
      <alignment horizontal="general" vertical="bottom" textRotation="0" wrapText="false" indent="0" shrinkToFit="false"/>
      <protection locked="true" hidden="false"/>
    </xf>
    <xf numFmtId="171" fontId="8" fillId="0" borderId="0" xfId="24" applyFont="true" applyBorder="true" applyAlignment="true" applyProtection="false">
      <alignment horizontal="left" vertical="bottom" textRotation="0" wrapText="false" indent="0" shrinkToFit="false"/>
      <protection locked="true" hidden="false"/>
    </xf>
    <xf numFmtId="172" fontId="6" fillId="0" borderId="2" xfId="24" applyFont="true" applyBorder="true" applyAlignment="false" applyProtection="false">
      <alignment horizontal="general" vertical="bottom" textRotation="0" wrapText="false" indent="0" shrinkToFit="false"/>
      <protection locked="true" hidden="false"/>
    </xf>
    <xf numFmtId="170" fontId="9" fillId="0" borderId="0" xfId="24" applyFont="true" applyBorder="true" applyAlignment="true" applyProtection="false">
      <alignment horizontal="center" vertical="bottom" textRotation="0" wrapText="false" indent="0" shrinkToFit="false"/>
      <protection locked="true" hidden="false"/>
    </xf>
    <xf numFmtId="170" fontId="9" fillId="0" borderId="4" xfId="24" applyFont="true" applyBorder="true" applyAlignment="true" applyProtection="false">
      <alignment horizontal="center" vertical="bottom" textRotation="0" wrapText="false" indent="0" shrinkToFit="false"/>
      <protection locked="true" hidden="false"/>
    </xf>
    <xf numFmtId="169" fontId="6" fillId="0" borderId="4" xfId="24" applyFont="true" applyBorder="true" applyAlignment="true" applyProtection="false">
      <alignment horizontal="center" vertical="bottom" textRotation="0" wrapText="false" indent="0" shrinkToFit="false"/>
      <protection locked="true" hidden="false"/>
    </xf>
    <xf numFmtId="164" fontId="6" fillId="0" borderId="4" xfId="24" applyFont="true" applyBorder="true" applyAlignment="false" applyProtection="false">
      <alignment horizontal="general" vertical="bottom" textRotation="0" wrapText="false" indent="0" shrinkToFit="false"/>
      <protection locked="true" hidden="false"/>
    </xf>
    <xf numFmtId="171" fontId="8" fillId="0" borderId="11" xfId="24" applyFont="true" applyBorder="true" applyAlignment="true" applyProtection="false">
      <alignment horizontal="center" vertical="bottom" textRotation="0" wrapText="false" indent="0" shrinkToFit="false"/>
      <protection locked="true" hidden="false"/>
    </xf>
    <xf numFmtId="167" fontId="8" fillId="0" borderId="12" xfId="24" applyFont="true" applyBorder="true" applyAlignment="true" applyProtection="false">
      <alignment horizontal="center" vertical="bottom" textRotation="0" wrapText="false" indent="0" shrinkToFit="false"/>
      <protection locked="true" hidden="false"/>
    </xf>
    <xf numFmtId="182" fontId="6" fillId="0" borderId="0" xfId="24" applyFont="true" applyBorder="true" applyAlignment="true" applyProtection="false">
      <alignment horizontal="right" vertical="bottom" textRotation="0" wrapText="false" indent="0" shrinkToFit="false"/>
      <protection locked="true" hidden="false"/>
    </xf>
    <xf numFmtId="173" fontId="6" fillId="0" borderId="0" xfId="24" applyFont="true" applyBorder="true" applyAlignment="true" applyProtection="false">
      <alignment horizontal="right" vertical="bottom" textRotation="0" wrapText="false" indent="0" shrinkToFit="false"/>
      <protection locked="true" hidden="false"/>
    </xf>
    <xf numFmtId="169" fontId="6" fillId="0" borderId="0" xfId="0" applyFont="true" applyBorder="false" applyAlignment="true" applyProtection="false">
      <alignment horizontal="right" vertical="bottom" textRotation="0" wrapText="false" indent="0" shrinkToFit="false"/>
      <protection locked="true" hidden="false"/>
    </xf>
    <xf numFmtId="170" fontId="6" fillId="0" borderId="0" xfId="24" applyFont="true" applyBorder="true" applyAlignment="true" applyProtection="false">
      <alignment horizontal="right" vertical="bottom" textRotation="0" wrapText="false" indent="0" shrinkToFit="false"/>
      <protection locked="true" hidden="false"/>
    </xf>
    <xf numFmtId="168" fontId="6" fillId="0" borderId="7" xfId="24" applyFont="true" applyBorder="true" applyAlignment="true" applyProtection="false">
      <alignment horizontal="right" vertical="bottom" textRotation="0" wrapText="false" indent="0" shrinkToFit="false"/>
      <protection locked="true" hidden="false"/>
    </xf>
    <xf numFmtId="171" fontId="6" fillId="0" borderId="0" xfId="24" applyFont="true" applyBorder="true" applyAlignment="true" applyProtection="false">
      <alignment horizontal="left" vertical="bottom" textRotation="0" wrapText="false" indent="0" shrinkToFit="false"/>
      <protection locked="true" hidden="false"/>
    </xf>
    <xf numFmtId="183" fontId="6" fillId="0" borderId="0" xfId="24" applyFont="true" applyBorder="true" applyAlignment="false" applyProtection="false">
      <alignment horizontal="general" vertical="bottom" textRotation="0" wrapText="false" indent="0" shrinkToFit="false"/>
      <protection locked="true" hidden="false"/>
    </xf>
    <xf numFmtId="184" fontId="6" fillId="0" borderId="0" xfId="24" applyFont="true" applyBorder="true" applyAlignment="true" applyProtection="false">
      <alignment horizontal="center" vertical="bottom" textRotation="0" wrapText="false" indent="0" shrinkToFit="false"/>
      <protection locked="true" hidden="false"/>
    </xf>
    <xf numFmtId="184" fontId="6" fillId="0" borderId="1" xfId="24" applyFont="true" applyBorder="true" applyAlignment="true" applyProtection="false">
      <alignment horizontal="center" vertical="bottom" textRotation="0" wrapText="false" indent="0" shrinkToFit="false"/>
      <protection locked="true" hidden="false"/>
    </xf>
    <xf numFmtId="172" fontId="8" fillId="0" borderId="3" xfId="24" applyFont="true" applyBorder="true" applyAlignment="false" applyProtection="false">
      <alignment horizontal="general" vertical="bottom" textRotation="0" wrapText="false" indent="0" shrinkToFit="false"/>
      <protection locked="true" hidden="false"/>
    </xf>
    <xf numFmtId="170" fontId="10" fillId="0" borderId="0" xfId="24" applyFont="true" applyBorder="true" applyAlignment="true" applyProtection="false">
      <alignment horizontal="center" vertical="bottom" textRotation="0" wrapText="false" indent="0" shrinkToFit="false"/>
      <protection locked="true" hidden="false"/>
    </xf>
    <xf numFmtId="170" fontId="10" fillId="0" borderId="4" xfId="24" applyFont="true" applyBorder="true" applyAlignment="true" applyProtection="false">
      <alignment horizontal="center" vertical="bottom" textRotation="0" wrapText="false" indent="0" shrinkToFit="false"/>
      <protection locked="true" hidden="false"/>
    </xf>
    <xf numFmtId="169" fontId="8" fillId="0" borderId="4" xfId="24" applyFont="true" applyBorder="true" applyAlignment="true" applyProtection="false">
      <alignment horizontal="center" vertical="bottom" textRotation="0" wrapText="false" indent="0" shrinkToFit="false"/>
      <protection locked="true" hidden="false"/>
    </xf>
    <xf numFmtId="164" fontId="8" fillId="0" borderId="4" xfId="24" applyFont="true" applyBorder="true" applyAlignment="false" applyProtection="false">
      <alignment horizontal="general" vertical="bottom" textRotation="0" wrapText="false" indent="0" shrinkToFit="false"/>
      <protection locked="true" hidden="false"/>
    </xf>
    <xf numFmtId="171" fontId="8" fillId="0" borderId="4" xfId="24" applyFont="true" applyBorder="true" applyAlignment="false" applyProtection="false">
      <alignment horizontal="general" vertical="bottom" textRotation="0" wrapText="false" indent="0" shrinkToFit="false"/>
      <protection locked="true" hidden="false"/>
    </xf>
    <xf numFmtId="168" fontId="8" fillId="0" borderId="3" xfId="24" applyFont="true" applyBorder="true" applyAlignment="false" applyProtection="false">
      <alignment horizontal="general" vertical="bottom" textRotation="0" wrapText="false" indent="0" shrinkToFit="false"/>
      <protection locked="true" hidden="false"/>
    </xf>
    <xf numFmtId="171" fontId="10" fillId="0" borderId="4" xfId="24" applyFont="true" applyBorder="true" applyAlignment="true" applyProtection="false">
      <alignment horizontal="center" vertical="bottom" textRotation="0" wrapText="false" indent="0" shrinkToFit="false"/>
      <protection locked="true" hidden="false"/>
    </xf>
    <xf numFmtId="171" fontId="8" fillId="0" borderId="4" xfId="24" applyFont="true" applyBorder="true" applyAlignment="true" applyProtection="false">
      <alignment horizontal="center"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true" applyAlignment="true" applyProtection="false">
      <alignment horizontal="center" vertical="bottom" textRotation="0" wrapText="false" indent="0" shrinkToFit="false"/>
      <protection locked="true" hidden="false"/>
    </xf>
    <xf numFmtId="170" fontId="8" fillId="0" borderId="0" xfId="0" applyFont="true" applyBorder="true" applyAlignment="true" applyProtection="false">
      <alignment horizontal="right" vertical="bottom" textRotation="0" wrapText="false" indent="0" shrinkToFit="false"/>
      <protection locked="true" hidden="false"/>
    </xf>
    <xf numFmtId="185" fontId="6" fillId="0" borderId="0" xfId="24" applyFont="true" applyBorder="true" applyAlignment="true" applyProtection="false">
      <alignment horizontal="right" vertical="bottom" textRotation="0" wrapText="false" indent="0" shrinkToFit="false"/>
      <protection locked="true" hidden="false"/>
    </xf>
    <xf numFmtId="184" fontId="6" fillId="2" borderId="13" xfId="24" applyFont="true" applyBorder="true" applyAlignment="true" applyProtection="false">
      <alignment horizontal="right" vertical="bottom" textRotation="0" wrapText="false" indent="0" shrinkToFit="false"/>
      <protection locked="true" hidden="false"/>
    </xf>
    <xf numFmtId="184" fontId="6" fillId="0" borderId="0" xfId="24" applyFont="true" applyBorder="true" applyAlignment="true" applyProtection="false">
      <alignment horizontal="right" vertical="bottom" textRotation="0" wrapText="false" indent="0" shrinkToFit="false"/>
      <protection locked="true" hidden="false"/>
    </xf>
    <xf numFmtId="169" fontId="6" fillId="0" borderId="11" xfId="0" applyFont="true" applyBorder="true" applyAlignment="true" applyProtection="false">
      <alignment horizontal="right" vertical="bottom" textRotation="0" wrapText="false" indent="0" shrinkToFit="false"/>
      <protection locked="true" hidden="false"/>
    </xf>
    <xf numFmtId="170" fontId="0" fillId="0" borderId="0" xfId="24" applyFont="false" applyBorder="true" applyAlignment="false" applyProtection="false">
      <alignment horizontal="general" vertical="bottom" textRotation="0" wrapText="false" indent="0" shrinkToFit="false"/>
      <protection locked="true" hidden="false"/>
    </xf>
    <xf numFmtId="184" fontId="6" fillId="2" borderId="13" xfId="24" applyFont="true" applyBorder="true" applyAlignment="true" applyProtection="false">
      <alignment horizontal="center" vertical="bottom" textRotation="0" wrapText="false" indent="0" shrinkToFit="false"/>
      <protection locked="true" hidden="false"/>
    </xf>
    <xf numFmtId="172" fontId="6" fillId="2" borderId="30" xfId="24" applyFont="true" applyBorder="true" applyAlignment="false" applyProtection="false">
      <alignment horizontal="general" vertical="bottom" textRotation="0" wrapText="false" indent="0" shrinkToFit="false"/>
      <protection locked="true" hidden="false"/>
    </xf>
    <xf numFmtId="173" fontId="6" fillId="0" borderId="0" xfId="24" applyFont="true" applyBorder="true" applyAlignment="true" applyProtection="false">
      <alignment horizontal="center" vertical="bottom" textRotation="0" wrapText="fals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70" fontId="8" fillId="0" borderId="0" xfId="15" applyFont="true" applyBorder="true" applyAlignment="true" applyProtection="true">
      <alignment horizontal="general" vertical="bottom" textRotation="0" wrapText="false" indent="0" shrinkToFit="false"/>
      <protection locked="true" hidden="false"/>
    </xf>
    <xf numFmtId="169" fontId="8" fillId="0" borderId="0" xfId="24" applyFont="true" applyBorder="true" applyAlignment="true" applyProtection="false">
      <alignment horizontal="left" vertical="bottom" textRotation="0" wrapText="false" indent="0" shrinkToFit="false"/>
      <protection locked="true" hidden="false"/>
    </xf>
    <xf numFmtId="167" fontId="8" fillId="0" borderId="0" xfId="15" applyFont="true" applyBorder="true" applyAlignment="true" applyProtection="tru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omma 2" xfId="20"/>
    <cellStyle name="Normal 2" xfId="21"/>
    <cellStyle name="Normal 3" xfId="22"/>
    <cellStyle name="Normal 4" xfId="23"/>
    <cellStyle name="Normal_RIVER054" xfId="24"/>
    <cellStyle name="Percent 2" xfId="25"/>
  </cellStyles>
  <colors>
    <indexedColors>
      <rgbColor rgb="FF000000"/>
      <rgbColor rgb="FFEEEEEC"/>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64648"/>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B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2890625" defaultRowHeight="11.1" zeroHeight="false" outlineLevelRow="0" outlineLevelCol="0"/>
  <cols>
    <col collapsed="false" customWidth="true" hidden="false" outlineLevel="0" max="1" min="1" style="1" width="4.66"/>
    <col collapsed="false" customWidth="true" hidden="false" outlineLevel="0" max="2" min="2" style="1" width="6.99"/>
    <col collapsed="false" customWidth="true" hidden="false" outlineLevel="0" max="3" min="3" style="2" width="6.32"/>
    <col collapsed="false" customWidth="true" hidden="false" outlineLevel="0" max="4" min="4" style="1" width="6.99"/>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3" width="5.66"/>
    <col collapsed="false" customWidth="true" hidden="false" outlineLevel="0" max="11" min="9" style="1" width="6.32"/>
    <col collapsed="false" customWidth="true" hidden="false" outlineLevel="0" max="12" min="12" style="1" width="6.82"/>
    <col collapsed="false" customWidth="true" hidden="false" outlineLevel="0" max="13" min="13" style="4" width="5.49"/>
    <col collapsed="false" customWidth="true" hidden="false" outlineLevel="0" max="14" min="14" style="4" width="4.49"/>
    <col collapsed="false" customWidth="true" hidden="false" outlineLevel="0" max="15" min="15" style="4" width="5.49"/>
    <col collapsed="false" customWidth="true" hidden="false" outlineLevel="0" max="16" min="16" style="5" width="4.82"/>
    <col collapsed="false" customWidth="true" hidden="false" outlineLevel="0" max="18" min="17" style="4" width="4.32"/>
    <col collapsed="false" customWidth="true" hidden="false" outlineLevel="0" max="20" min="19" style="1" width="4.32"/>
    <col collapsed="false" customWidth="true" hidden="false" outlineLevel="0" max="21" min="21" style="6" width="5.16"/>
    <col collapsed="false" customWidth="true" hidden="false" outlineLevel="0" max="23" min="22" style="1" width="5.49"/>
    <col collapsed="false" customWidth="true" hidden="false" outlineLevel="0" max="24" min="24" style="2" width="6.32"/>
    <col collapsed="false" customWidth="true" hidden="false" outlineLevel="0" max="25" min="25" style="4" width="6.32"/>
    <col collapsed="false" customWidth="true" hidden="false" outlineLevel="0" max="26" min="26" style="1" width="5.49"/>
    <col collapsed="false" customWidth="true" hidden="false" outlineLevel="0" max="27" min="27" style="4" width="6.32"/>
    <col collapsed="false" customWidth="true" hidden="false" outlineLevel="0" max="28" min="28" style="1" width="5.49"/>
    <col collapsed="false" customWidth="true" hidden="false" outlineLevel="0" max="29" min="29" style="1" width="5.99"/>
    <col collapsed="false" customWidth="true" hidden="false" outlineLevel="0" max="31" min="30" style="1" width="5.49"/>
    <col collapsed="false" customWidth="true" hidden="false" outlineLevel="0" max="33" min="32" style="2" width="5.49"/>
    <col collapsed="false" customWidth="true" hidden="false" outlineLevel="0" max="34" min="34" style="2" width="6.32"/>
    <col collapsed="false" customWidth="true" hidden="false" outlineLevel="0" max="35" min="35" style="1" width="5.49"/>
    <col collapsed="false" customWidth="true" hidden="false" outlineLevel="0" max="37" min="36" style="1" width="6.32"/>
    <col collapsed="false" customWidth="true" hidden="false" outlineLevel="0" max="38" min="38" style="1" width="6.82"/>
    <col collapsed="false" customWidth="true" hidden="false" outlineLevel="0" max="39" min="39" style="3" width="6.82"/>
    <col collapsed="false" customWidth="true" hidden="false" outlineLevel="0" max="41" min="40" style="4" width="5.49"/>
    <col collapsed="false" customWidth="true" hidden="false" outlineLevel="0" max="42" min="42" style="1" width="6.32"/>
    <col collapsed="false" customWidth="true" hidden="false" outlineLevel="0" max="43" min="43" style="7" width="6.32"/>
    <col collapsed="false" customWidth="true" hidden="false" outlineLevel="0" max="44" min="44" style="7" width="5.49"/>
    <col collapsed="false" customWidth="true" hidden="false" outlineLevel="0" max="45" min="45" style="1" width="5.32"/>
    <col collapsed="false" customWidth="true" hidden="false" outlineLevel="0" max="46" min="46" style="1" width="5.82"/>
    <col collapsed="false" customWidth="true" hidden="false" outlineLevel="0" max="47" min="47" style="8" width="4.99"/>
    <col collapsed="false" customWidth="true" hidden="false" outlineLevel="0" max="48" min="48" style="3" width="5.32"/>
    <col collapsed="false" customWidth="true" hidden="false" outlineLevel="0" max="49" min="49" style="9" width="3.82"/>
    <col collapsed="false" customWidth="true" hidden="false" outlineLevel="0" max="51" min="50" style="10" width="3.82"/>
    <col collapsed="false" customWidth="true" hidden="false" outlineLevel="0" max="52" min="52" style="4" width="5.49"/>
  </cols>
  <sheetData>
    <row r="1" customFormat="false" ht="14.1" hidden="false" customHeight="true" outlineLevel="0" collapsed="false">
      <c r="A1" s="11"/>
      <c r="B1" s="11"/>
      <c r="D1" s="11"/>
      <c r="F1" s="11"/>
      <c r="G1" s="11"/>
      <c r="H1" s="12"/>
      <c r="I1" s="11"/>
      <c r="J1" s="11"/>
      <c r="K1" s="13" t="s">
        <v>0</v>
      </c>
      <c r="L1" s="11"/>
      <c r="M1" s="11"/>
      <c r="N1" s="11"/>
      <c r="O1" s="11"/>
      <c r="Q1" s="11"/>
      <c r="R1" s="11"/>
      <c r="S1" s="11"/>
      <c r="T1" s="11"/>
      <c r="V1" s="11"/>
      <c r="W1" s="11"/>
      <c r="Z1" s="11"/>
      <c r="AB1" s="11"/>
      <c r="AC1" s="11"/>
      <c r="AD1" s="11"/>
      <c r="AE1" s="11"/>
      <c r="AI1" s="11"/>
      <c r="AJ1" s="11"/>
      <c r="AK1" s="11"/>
      <c r="AL1" s="11"/>
      <c r="AM1" s="5"/>
    </row>
    <row r="2" customFormat="false" ht="14.1" hidden="false" customHeight="true" outlineLevel="0" collapsed="false">
      <c r="A2" s="14" t="s">
        <v>1</v>
      </c>
      <c r="B2" s="11"/>
      <c r="D2" s="15" t="n">
        <v>1.9835</v>
      </c>
      <c r="F2" s="11"/>
      <c r="G2" s="11"/>
      <c r="H2" s="12"/>
      <c r="I2" s="11"/>
      <c r="J2" s="11"/>
      <c r="K2" s="11"/>
      <c r="L2" s="13" t="s">
        <v>2</v>
      </c>
      <c r="M2" s="11"/>
      <c r="N2" s="11"/>
      <c r="O2" s="11"/>
      <c r="Q2" s="11"/>
      <c r="R2" s="11"/>
      <c r="S2" s="11"/>
      <c r="T2" s="11"/>
      <c r="V2" s="11"/>
      <c r="W2" s="11"/>
      <c r="Z2" s="11"/>
      <c r="AB2" s="11"/>
      <c r="AC2" s="11"/>
      <c r="AD2" s="11"/>
      <c r="AE2" s="11"/>
      <c r="AI2" s="11"/>
      <c r="AJ2" s="11"/>
      <c r="AK2" s="11"/>
      <c r="AL2" s="11"/>
      <c r="AM2" s="5"/>
    </row>
    <row r="3" customFormat="false" ht="14.1" hidden="false" customHeight="true" outlineLevel="0" collapsed="false">
      <c r="A3" s="16"/>
      <c r="B3" s="16"/>
      <c r="C3" s="17"/>
      <c r="D3" s="18"/>
      <c r="E3" s="17"/>
      <c r="F3" s="16"/>
      <c r="G3" s="16"/>
      <c r="H3" s="19"/>
      <c r="I3" s="16"/>
      <c r="J3" s="16"/>
      <c r="K3" s="16"/>
      <c r="L3" s="16"/>
      <c r="M3" s="16"/>
      <c r="N3" s="16"/>
      <c r="O3" s="16"/>
      <c r="P3" s="20"/>
      <c r="Q3" s="16"/>
      <c r="R3" s="16"/>
      <c r="S3" s="16"/>
      <c r="T3" s="16"/>
      <c r="U3" s="21"/>
      <c r="V3" s="16"/>
      <c r="W3" s="16"/>
      <c r="X3" s="17"/>
      <c r="Y3" s="22"/>
      <c r="Z3" s="16"/>
      <c r="AA3" s="22"/>
      <c r="AB3" s="16"/>
      <c r="AC3" s="16"/>
      <c r="AD3" s="16"/>
      <c r="AE3" s="16"/>
      <c r="AF3" s="17"/>
      <c r="AG3" s="17"/>
      <c r="AH3" s="17"/>
      <c r="AI3" s="16"/>
      <c r="AJ3" s="16"/>
      <c r="AK3" s="16"/>
      <c r="AL3" s="16"/>
      <c r="AM3" s="20"/>
      <c r="AN3" s="22"/>
      <c r="AO3" s="22"/>
      <c r="AP3" s="23"/>
      <c r="AQ3" s="24"/>
      <c r="AR3" s="25"/>
      <c r="AS3" s="26"/>
      <c r="AV3" s="27"/>
      <c r="AW3" s="28"/>
      <c r="AX3" s="29"/>
      <c r="AY3" s="30"/>
      <c r="BA3" s="31"/>
      <c r="BB3" s="31"/>
    </row>
    <row r="4" s="1" customFormat="true" ht="14.1" hidden="false" customHeight="true" outlineLevel="0" collapsed="false">
      <c r="A4" s="32"/>
      <c r="B4" s="33"/>
      <c r="C4" s="34"/>
      <c r="D4" s="35" t="s">
        <v>3</v>
      </c>
      <c r="E4" s="34"/>
      <c r="F4" s="32"/>
      <c r="G4" s="36"/>
      <c r="H4" s="36"/>
      <c r="I4" s="37" t="s">
        <v>4</v>
      </c>
      <c r="J4" s="36"/>
      <c r="K4" s="36"/>
      <c r="L4" s="38"/>
      <c r="M4" s="36"/>
      <c r="N4" s="36"/>
      <c r="O4" s="36"/>
      <c r="P4" s="39"/>
      <c r="Q4" s="36"/>
      <c r="R4" s="36"/>
      <c r="S4" s="36"/>
      <c r="T4" s="36"/>
      <c r="U4" s="39"/>
      <c r="V4" s="36"/>
      <c r="W4" s="36"/>
      <c r="X4" s="40" t="s">
        <v>5</v>
      </c>
      <c r="Y4" s="40"/>
      <c r="Z4" s="41"/>
      <c r="AA4" s="40"/>
      <c r="AB4" s="41"/>
      <c r="AC4" s="41"/>
      <c r="AD4" s="42"/>
      <c r="AE4" s="36"/>
      <c r="AF4" s="36"/>
      <c r="AG4" s="36"/>
      <c r="AH4" s="34"/>
      <c r="AI4" s="36"/>
      <c r="AJ4" s="43"/>
      <c r="AK4" s="36"/>
      <c r="AL4" s="36"/>
      <c r="AM4" s="39"/>
      <c r="AN4" s="44"/>
      <c r="AO4" s="45"/>
      <c r="AP4" s="46" t="s">
        <v>6</v>
      </c>
      <c r="AQ4" s="47"/>
      <c r="AR4" s="48"/>
      <c r="AS4" s="49"/>
      <c r="AT4" s="50"/>
      <c r="AU4" s="51"/>
      <c r="AV4" s="52"/>
      <c r="AW4" s="53" t="s">
        <v>7</v>
      </c>
      <c r="AX4" s="54"/>
      <c r="AY4" s="54"/>
      <c r="AZ4" s="55"/>
      <c r="BA4" s="56"/>
      <c r="BB4" s="57"/>
    </row>
    <row r="5" customFormat="false" ht="12.95" hidden="false" customHeight="true" outlineLevel="0" collapsed="false">
      <c r="A5" s="58" t="s">
        <v>8</v>
      </c>
      <c r="B5" s="59" t="s">
        <v>9</v>
      </c>
      <c r="C5" s="60" t="s">
        <v>9</v>
      </c>
      <c r="D5" s="61" t="s">
        <v>10</v>
      </c>
      <c r="E5" s="60" t="s">
        <v>11</v>
      </c>
      <c r="F5" s="62" t="s">
        <v>12</v>
      </c>
      <c r="G5" s="58" t="s">
        <v>13</v>
      </c>
      <c r="H5" s="58" t="s">
        <v>14</v>
      </c>
      <c r="I5" s="58" t="s">
        <v>15</v>
      </c>
      <c r="J5" s="58" t="s">
        <v>16</v>
      </c>
      <c r="K5" s="58" t="s">
        <v>17</v>
      </c>
      <c r="L5" s="58" t="s">
        <v>16</v>
      </c>
      <c r="M5" s="63" t="s">
        <v>18</v>
      </c>
      <c r="N5" s="63"/>
      <c r="O5" s="63"/>
      <c r="P5" s="63"/>
      <c r="Q5" s="63"/>
      <c r="R5" s="63"/>
      <c r="S5" s="63"/>
      <c r="T5" s="63"/>
      <c r="U5" s="63"/>
      <c r="V5" s="58" t="s">
        <v>19</v>
      </c>
      <c r="W5" s="58" t="s">
        <v>20</v>
      </c>
      <c r="X5" s="58" t="s">
        <v>17</v>
      </c>
      <c r="Y5" s="58" t="s">
        <v>17</v>
      </c>
      <c r="Z5" s="64" t="s">
        <v>21</v>
      </c>
      <c r="AA5" s="58" t="s">
        <v>21</v>
      </c>
      <c r="AB5" s="64" t="s">
        <v>21</v>
      </c>
      <c r="AC5" s="64" t="s">
        <v>22</v>
      </c>
      <c r="AD5" s="65" t="s">
        <v>21</v>
      </c>
      <c r="AE5" s="58" t="s">
        <v>23</v>
      </c>
      <c r="AF5" s="66" t="s">
        <v>24</v>
      </c>
      <c r="AG5" s="67"/>
      <c r="AH5" s="58" t="s">
        <v>25</v>
      </c>
      <c r="AI5" s="68" t="s">
        <v>26</v>
      </c>
      <c r="AJ5" s="68" t="s">
        <v>27</v>
      </c>
      <c r="AK5" s="58" t="s">
        <v>15</v>
      </c>
      <c r="AL5" s="58" t="s">
        <v>16</v>
      </c>
      <c r="AM5" s="61" t="s">
        <v>17</v>
      </c>
      <c r="AN5" s="69" t="s">
        <v>28</v>
      </c>
      <c r="AO5" s="65" t="s">
        <v>21</v>
      </c>
      <c r="AP5" s="64" t="s">
        <v>29</v>
      </c>
      <c r="AQ5" s="70" t="s">
        <v>29</v>
      </c>
      <c r="AR5" s="65" t="s">
        <v>30</v>
      </c>
      <c r="AS5" s="71" t="s">
        <v>31</v>
      </c>
      <c r="AT5" s="71" t="s">
        <v>32</v>
      </c>
      <c r="AU5" s="72" t="s">
        <v>33</v>
      </c>
      <c r="AV5" s="73" t="s">
        <v>34</v>
      </c>
      <c r="AW5" s="74" t="s">
        <v>35</v>
      </c>
      <c r="AX5" s="74" t="s">
        <v>36</v>
      </c>
      <c r="AY5" s="74"/>
      <c r="AZ5" s="75" t="s">
        <v>17</v>
      </c>
      <c r="BA5" s="76" t="s">
        <v>37</v>
      </c>
      <c r="BB5" s="77" t="s">
        <v>37</v>
      </c>
    </row>
    <row r="6" customFormat="false" ht="12.95" hidden="false" customHeight="true" outlineLevel="0" collapsed="false">
      <c r="A6" s="78" t="s">
        <v>38</v>
      </c>
      <c r="B6" s="59" t="s">
        <v>39</v>
      </c>
      <c r="C6" s="60"/>
      <c r="D6" s="61" t="s">
        <v>40</v>
      </c>
      <c r="E6" s="60" t="s">
        <v>41</v>
      </c>
      <c r="F6" s="62" t="s">
        <v>42</v>
      </c>
      <c r="G6" s="58" t="s">
        <v>43</v>
      </c>
      <c r="H6" s="58" t="s">
        <v>44</v>
      </c>
      <c r="I6" s="58" t="s">
        <v>45</v>
      </c>
      <c r="J6" s="58" t="s">
        <v>45</v>
      </c>
      <c r="K6" s="58" t="s">
        <v>45</v>
      </c>
      <c r="L6" s="58" t="s">
        <v>46</v>
      </c>
      <c r="M6" s="79" t="s">
        <v>47</v>
      </c>
      <c r="N6" s="61" t="s">
        <v>48</v>
      </c>
      <c r="O6" s="61" t="s">
        <v>49</v>
      </c>
      <c r="P6" s="80" t="s">
        <v>50</v>
      </c>
      <c r="Q6" s="61" t="s">
        <v>51</v>
      </c>
      <c r="R6" s="61" t="s">
        <v>52</v>
      </c>
      <c r="S6" s="61"/>
      <c r="T6" s="61" t="s">
        <v>49</v>
      </c>
      <c r="U6" s="81" t="s">
        <v>53</v>
      </c>
      <c r="V6" s="58" t="s">
        <v>54</v>
      </c>
      <c r="W6" s="58" t="s">
        <v>55</v>
      </c>
      <c r="X6" s="58" t="s">
        <v>21</v>
      </c>
      <c r="Y6" s="58" t="s">
        <v>21</v>
      </c>
      <c r="Z6" s="64" t="s">
        <v>56</v>
      </c>
      <c r="AA6" s="58" t="s">
        <v>56</v>
      </c>
      <c r="AB6" s="64" t="s">
        <v>57</v>
      </c>
      <c r="AC6" s="64" t="s">
        <v>58</v>
      </c>
      <c r="AD6" s="65" t="s">
        <v>59</v>
      </c>
      <c r="AE6" s="58" t="s">
        <v>60</v>
      </c>
      <c r="AF6" s="79" t="s">
        <v>61</v>
      </c>
      <c r="AG6" s="82" t="s">
        <v>62</v>
      </c>
      <c r="AH6" s="58" t="s">
        <v>63</v>
      </c>
      <c r="AI6" s="68" t="s">
        <v>64</v>
      </c>
      <c r="AJ6" s="68"/>
      <c r="AK6" s="58" t="s">
        <v>65</v>
      </c>
      <c r="AL6" s="58" t="s">
        <v>65</v>
      </c>
      <c r="AM6" s="61" t="s">
        <v>65</v>
      </c>
      <c r="AN6" s="69" t="s">
        <v>66</v>
      </c>
      <c r="AO6" s="65" t="s">
        <v>67</v>
      </c>
      <c r="AP6" s="64" t="s">
        <v>68</v>
      </c>
      <c r="AQ6" s="70" t="s">
        <v>68</v>
      </c>
      <c r="AR6" s="65" t="s">
        <v>69</v>
      </c>
      <c r="AS6" s="71" t="s">
        <v>70</v>
      </c>
      <c r="AT6" s="71" t="s">
        <v>71</v>
      </c>
      <c r="AU6" s="72" t="s">
        <v>72</v>
      </c>
      <c r="AV6" s="83"/>
      <c r="AW6" s="74" t="s">
        <v>73</v>
      </c>
      <c r="AX6" s="74" t="s">
        <v>73</v>
      </c>
      <c r="AY6" s="74"/>
      <c r="AZ6" s="75" t="s">
        <v>74</v>
      </c>
      <c r="BA6" s="76" t="s">
        <v>75</v>
      </c>
      <c r="BB6" s="77" t="s">
        <v>76</v>
      </c>
    </row>
    <row r="7" customFormat="false" ht="12.95" hidden="false" customHeight="true" outlineLevel="0" collapsed="false">
      <c r="A7" s="58"/>
      <c r="B7" s="59"/>
      <c r="C7" s="60"/>
      <c r="D7" s="61"/>
      <c r="E7" s="60"/>
      <c r="F7" s="62"/>
      <c r="G7" s="58"/>
      <c r="H7" s="58"/>
      <c r="I7" s="58"/>
      <c r="J7" s="58"/>
      <c r="K7" s="58"/>
      <c r="L7" s="82"/>
      <c r="M7" s="61"/>
      <c r="N7" s="61" t="s">
        <v>77</v>
      </c>
      <c r="O7" s="61" t="s">
        <v>78</v>
      </c>
      <c r="P7" s="80"/>
      <c r="Q7" s="61" t="s">
        <v>79</v>
      </c>
      <c r="R7" s="61" t="s">
        <v>79</v>
      </c>
      <c r="S7" s="61" t="s">
        <v>62</v>
      </c>
      <c r="T7" s="61" t="s">
        <v>62</v>
      </c>
      <c r="U7" s="81" t="s">
        <v>80</v>
      </c>
      <c r="V7" s="58"/>
      <c r="W7" s="58"/>
      <c r="X7" s="68" t="s">
        <v>81</v>
      </c>
      <c r="Y7" s="60" t="s">
        <v>82</v>
      </c>
      <c r="Z7" s="64" t="s">
        <v>83</v>
      </c>
      <c r="AA7" s="58" t="s">
        <v>84</v>
      </c>
      <c r="AB7" s="64" t="s">
        <v>85</v>
      </c>
      <c r="AC7" s="64"/>
      <c r="AD7" s="65"/>
      <c r="AE7" s="82"/>
      <c r="AF7" s="84" t="n">
        <v>1.7</v>
      </c>
      <c r="AG7" s="84" t="n">
        <v>1.3</v>
      </c>
      <c r="AH7" s="79"/>
      <c r="AI7" s="85" t="n">
        <v>29007</v>
      </c>
      <c r="AJ7" s="68"/>
      <c r="AK7" s="58"/>
      <c r="AL7" s="58"/>
      <c r="AM7" s="61"/>
      <c r="AN7" s="69"/>
      <c r="AO7" s="65"/>
      <c r="AP7" s="64" t="s">
        <v>86</v>
      </c>
      <c r="AQ7" s="70" t="s">
        <v>87</v>
      </c>
      <c r="AR7" s="65" t="s">
        <v>88</v>
      </c>
      <c r="AS7" s="71" t="s">
        <v>89</v>
      </c>
      <c r="AT7" s="71" t="s">
        <v>90</v>
      </c>
      <c r="AU7" s="72" t="s">
        <v>81</v>
      </c>
      <c r="AV7" s="83"/>
      <c r="AW7" s="74"/>
      <c r="AX7" s="74"/>
      <c r="AY7" s="74"/>
      <c r="AZ7" s="75" t="s">
        <v>91</v>
      </c>
      <c r="BA7" s="8"/>
      <c r="BB7" s="86"/>
    </row>
    <row r="8" customFormat="false" ht="12.95" hidden="false" customHeight="true" outlineLevel="0" collapsed="false">
      <c r="A8" s="58"/>
      <c r="B8" s="59"/>
      <c r="C8" s="60"/>
      <c r="D8" s="61"/>
      <c r="E8" s="60"/>
      <c r="F8" s="62"/>
      <c r="G8" s="58"/>
      <c r="H8" s="58"/>
      <c r="I8" s="58"/>
      <c r="J8" s="58"/>
      <c r="K8" s="58"/>
      <c r="L8" s="82"/>
      <c r="M8" s="61"/>
      <c r="N8" s="61"/>
      <c r="O8" s="61"/>
      <c r="P8" s="80"/>
      <c r="Q8" s="61" t="s">
        <v>62</v>
      </c>
      <c r="R8" s="61" t="s">
        <v>62</v>
      </c>
      <c r="S8" s="61"/>
      <c r="T8" s="61"/>
      <c r="U8" s="81"/>
      <c r="V8" s="58"/>
      <c r="W8" s="58"/>
      <c r="X8" s="68" t="s">
        <v>92</v>
      </c>
      <c r="Y8" s="60" t="s">
        <v>81</v>
      </c>
      <c r="Z8" s="64"/>
      <c r="AA8" s="60" t="s">
        <v>93</v>
      </c>
      <c r="AB8" s="64" t="s">
        <v>94</v>
      </c>
      <c r="AC8" s="64"/>
      <c r="AD8" s="65"/>
      <c r="AE8" s="82"/>
      <c r="AF8" s="84"/>
      <c r="AG8" s="84"/>
      <c r="AH8" s="79"/>
      <c r="AI8" s="85"/>
      <c r="AJ8" s="68"/>
      <c r="AK8" s="58"/>
      <c r="AL8" s="58"/>
      <c r="AM8" s="61"/>
      <c r="AN8" s="69"/>
      <c r="AO8" s="65"/>
      <c r="AP8" s="64"/>
      <c r="AQ8" s="70"/>
      <c r="AR8" s="65"/>
      <c r="AS8" s="71"/>
      <c r="AT8" s="71"/>
      <c r="AU8" s="76"/>
      <c r="AV8" s="83"/>
      <c r="AW8" s="74"/>
      <c r="AX8" s="74"/>
      <c r="AY8" s="74"/>
      <c r="AZ8" s="75"/>
      <c r="BA8" s="8"/>
      <c r="BB8" s="86"/>
    </row>
    <row r="9" customFormat="false" ht="12.95" hidden="false" customHeight="true" outlineLevel="0" collapsed="false">
      <c r="A9" s="58"/>
      <c r="B9" s="59"/>
      <c r="C9" s="60"/>
      <c r="D9" s="61"/>
      <c r="E9" s="60"/>
      <c r="F9" s="62"/>
      <c r="G9" s="58"/>
      <c r="H9" s="58"/>
      <c r="I9" s="58"/>
      <c r="J9" s="58"/>
      <c r="K9" s="58"/>
      <c r="L9" s="82"/>
      <c r="M9" s="61"/>
      <c r="N9" s="61"/>
      <c r="O9" s="61"/>
      <c r="P9" s="80"/>
      <c r="Q9" s="61"/>
      <c r="R9" s="87" t="n">
        <v>4.2</v>
      </c>
      <c r="S9" s="61"/>
      <c r="T9" s="61"/>
      <c r="U9" s="81"/>
      <c r="V9" s="58"/>
      <c r="W9" s="58"/>
      <c r="X9" s="68"/>
      <c r="Y9" s="60" t="s">
        <v>92</v>
      </c>
      <c r="Z9" s="64"/>
      <c r="AA9" s="60" t="s">
        <v>92</v>
      </c>
      <c r="AB9" s="64" t="s">
        <v>95</v>
      </c>
      <c r="AC9" s="64"/>
      <c r="AD9" s="65"/>
      <c r="AE9" s="82"/>
      <c r="AF9" s="84"/>
      <c r="AG9" s="84"/>
      <c r="AH9" s="79"/>
      <c r="AI9" s="85"/>
      <c r="AJ9" s="68"/>
      <c r="AK9" s="58"/>
      <c r="AL9" s="58"/>
      <c r="AM9" s="61"/>
      <c r="AN9" s="69"/>
      <c r="AO9" s="65"/>
      <c r="AP9" s="64"/>
      <c r="AQ9" s="70"/>
      <c r="AR9" s="65"/>
      <c r="AS9" s="71"/>
      <c r="AT9" s="71"/>
      <c r="AU9" s="76"/>
      <c r="AV9" s="83"/>
      <c r="AW9" s="74"/>
      <c r="AX9" s="74"/>
      <c r="AY9" s="74"/>
      <c r="AZ9" s="75"/>
      <c r="BA9" s="8"/>
      <c r="BB9" s="77" t="s">
        <v>96</v>
      </c>
    </row>
    <row r="10" customFormat="false" ht="12.95" hidden="false" customHeight="true" outlineLevel="0" collapsed="false">
      <c r="A10" s="58"/>
      <c r="B10" s="59"/>
      <c r="C10" s="60" t="s">
        <v>97</v>
      </c>
      <c r="D10" s="61"/>
      <c r="E10" s="60" t="s">
        <v>98</v>
      </c>
      <c r="F10" s="62"/>
      <c r="G10" s="61" t="s">
        <v>42</v>
      </c>
      <c r="H10" s="61" t="s">
        <v>42</v>
      </c>
      <c r="I10" s="61" t="s">
        <v>42</v>
      </c>
      <c r="J10" s="61" t="s">
        <v>42</v>
      </c>
      <c r="K10" s="61" t="s">
        <v>42</v>
      </c>
      <c r="L10" s="82" t="s">
        <v>42</v>
      </c>
      <c r="M10" s="61" t="s">
        <v>42</v>
      </c>
      <c r="N10" s="61" t="s">
        <v>42</v>
      </c>
      <c r="O10" s="61" t="s">
        <v>42</v>
      </c>
      <c r="P10" s="61" t="s">
        <v>42</v>
      </c>
      <c r="Q10" s="61" t="s">
        <v>42</v>
      </c>
      <c r="R10" s="61" t="s">
        <v>42</v>
      </c>
      <c r="S10" s="61" t="s">
        <v>42</v>
      </c>
      <c r="T10" s="61" t="s">
        <v>42</v>
      </c>
      <c r="U10" s="82" t="s">
        <v>42</v>
      </c>
      <c r="V10" s="61" t="s">
        <v>42</v>
      </c>
      <c r="W10" s="61" t="s">
        <v>42</v>
      </c>
      <c r="X10" s="60" t="n">
        <v>153400</v>
      </c>
      <c r="Y10" s="60" t="n">
        <v>150400</v>
      </c>
      <c r="Z10" s="61"/>
      <c r="AA10" s="60"/>
      <c r="AB10" s="60" t="n">
        <v>72000</v>
      </c>
      <c r="AC10" s="61" t="s">
        <v>42</v>
      </c>
      <c r="AD10" s="61" t="s">
        <v>42</v>
      </c>
      <c r="AE10" s="82" t="s">
        <v>42</v>
      </c>
      <c r="AF10" s="61" t="s">
        <v>42</v>
      </c>
      <c r="AG10" s="61" t="s">
        <v>42</v>
      </c>
      <c r="AH10" s="79" t="s">
        <v>42</v>
      </c>
      <c r="AI10" s="61" t="s">
        <v>42</v>
      </c>
      <c r="AJ10" s="61" t="s">
        <v>42</v>
      </c>
      <c r="AK10" s="61" t="s">
        <v>42</v>
      </c>
      <c r="AL10" s="61" t="s">
        <v>42</v>
      </c>
      <c r="AM10" s="62" t="s">
        <v>42</v>
      </c>
      <c r="AN10" s="65" t="s">
        <v>42</v>
      </c>
      <c r="AO10" s="65" t="s">
        <v>42</v>
      </c>
      <c r="AP10" s="65" t="s">
        <v>42</v>
      </c>
      <c r="AQ10" s="70" t="s">
        <v>99</v>
      </c>
      <c r="AR10" s="65" t="s">
        <v>42</v>
      </c>
      <c r="AS10" s="65" t="s">
        <v>42</v>
      </c>
      <c r="AT10" s="65" t="s">
        <v>42</v>
      </c>
      <c r="AU10" s="70" t="s">
        <v>42</v>
      </c>
      <c r="AV10" s="83"/>
      <c r="AW10" s="74"/>
      <c r="AX10" s="74"/>
      <c r="AY10" s="74"/>
      <c r="AZ10" s="75" t="s">
        <v>100</v>
      </c>
      <c r="BA10" s="76" t="s">
        <v>42</v>
      </c>
      <c r="BB10" s="77" t="s">
        <v>98</v>
      </c>
    </row>
    <row r="11" customFormat="false" ht="12.95" hidden="false" customHeight="true" outlineLevel="0" collapsed="false">
      <c r="A11" s="58"/>
      <c r="B11" s="59"/>
      <c r="C11" s="60"/>
      <c r="D11" s="61"/>
      <c r="E11" s="60"/>
      <c r="F11" s="62"/>
      <c r="G11" s="58"/>
      <c r="H11" s="58"/>
      <c r="I11" s="58"/>
      <c r="J11" s="58"/>
      <c r="K11" s="58"/>
      <c r="L11" s="82"/>
      <c r="M11" s="61"/>
      <c r="N11" s="47" t="n">
        <v>1.03</v>
      </c>
      <c r="O11" s="47" t="n">
        <v>1.05</v>
      </c>
      <c r="P11" s="47" t="n">
        <v>1.02</v>
      </c>
      <c r="Q11" s="88" t="n">
        <v>1.02</v>
      </c>
      <c r="R11" s="89" t="n">
        <v>1.04</v>
      </c>
      <c r="S11" s="61"/>
      <c r="T11" s="88" t="n">
        <v>1.04</v>
      </c>
      <c r="U11" s="81"/>
      <c r="V11" s="58"/>
      <c r="W11" s="58"/>
      <c r="X11" s="61" t="s">
        <v>42</v>
      </c>
      <c r="Y11" s="61" t="s">
        <v>42</v>
      </c>
      <c r="Z11" s="61" t="s">
        <v>42</v>
      </c>
      <c r="AA11" s="60" t="s">
        <v>42</v>
      </c>
      <c r="AB11" s="90" t="s">
        <v>101</v>
      </c>
      <c r="AC11" s="64"/>
      <c r="AD11" s="64"/>
      <c r="AE11" s="91"/>
      <c r="AF11" s="84"/>
      <c r="AG11" s="84"/>
      <c r="AH11" s="79"/>
      <c r="AI11" s="85"/>
      <c r="AJ11" s="92"/>
      <c r="AK11" s="58"/>
      <c r="AL11" s="58"/>
      <c r="AM11" s="61"/>
      <c r="AN11" s="69"/>
      <c r="AO11" s="65"/>
      <c r="AP11" s="64"/>
      <c r="AQ11" s="70"/>
      <c r="AR11" s="70"/>
      <c r="AS11" s="93"/>
      <c r="AT11" s="93"/>
      <c r="AU11" s="94"/>
      <c r="AV11" s="83"/>
      <c r="AW11" s="74"/>
      <c r="AX11" s="74"/>
      <c r="AY11" s="74"/>
      <c r="AZ11" s="75" t="s">
        <v>42</v>
      </c>
      <c r="BA11" s="8"/>
      <c r="BB11" s="86"/>
    </row>
    <row r="12" customFormat="false" ht="12.95" hidden="false" customHeight="true" outlineLevel="0" collapsed="false">
      <c r="A12" s="14" t="s">
        <v>102</v>
      </c>
      <c r="B12" s="95"/>
      <c r="C12" s="96"/>
      <c r="D12" s="96"/>
      <c r="E12" s="96"/>
      <c r="F12" s="97"/>
      <c r="G12" s="2"/>
      <c r="H12" s="9"/>
      <c r="I12" s="2"/>
      <c r="J12" s="2"/>
      <c r="K12" s="2"/>
      <c r="L12" s="2"/>
      <c r="M12" s="98"/>
      <c r="N12" s="96"/>
      <c r="O12" s="96"/>
      <c r="P12" s="99"/>
      <c r="Q12" s="100"/>
      <c r="R12" s="101"/>
      <c r="S12" s="100"/>
      <c r="T12" s="100"/>
      <c r="U12" s="102"/>
      <c r="V12" s="85"/>
      <c r="W12" s="85"/>
      <c r="X12" s="85"/>
      <c r="Y12" s="103"/>
      <c r="Z12" s="85"/>
      <c r="AA12" s="103"/>
      <c r="AB12" s="85"/>
      <c r="AC12" s="85"/>
      <c r="AD12" s="85"/>
      <c r="AE12" s="85"/>
      <c r="AF12" s="104"/>
      <c r="AG12" s="105"/>
      <c r="AH12" s="85"/>
      <c r="AI12" s="92"/>
      <c r="AJ12" s="92"/>
      <c r="AK12" s="85"/>
      <c r="AL12" s="85"/>
      <c r="AM12" s="85"/>
      <c r="AN12" s="106"/>
      <c r="AO12" s="103"/>
      <c r="AP12" s="107"/>
      <c r="AQ12" s="107"/>
      <c r="AR12" s="107"/>
      <c r="AS12" s="107"/>
      <c r="AV12" s="108"/>
      <c r="AW12" s="109"/>
      <c r="AX12" s="109"/>
      <c r="AY12" s="109"/>
      <c r="AZ12" s="110"/>
      <c r="BA12" s="111"/>
      <c r="BB12" s="86"/>
    </row>
    <row r="13" s="116" customFormat="true" ht="12.95" hidden="false" customHeight="true" outlineLevel="0" collapsed="false">
      <c r="A13" s="112" t="s">
        <v>103</v>
      </c>
      <c r="B13" s="113" t="n">
        <v>6869.22</v>
      </c>
      <c r="C13" s="114" t="n">
        <v>185740</v>
      </c>
      <c r="D13" s="96"/>
      <c r="E13" s="96"/>
      <c r="F13" s="97"/>
      <c r="G13" s="2"/>
      <c r="H13" s="9"/>
      <c r="I13" s="2"/>
      <c r="J13" s="2"/>
      <c r="K13" s="2"/>
      <c r="L13" s="2"/>
      <c r="M13" s="98"/>
      <c r="N13" s="96"/>
      <c r="O13" s="96"/>
      <c r="P13" s="99"/>
      <c r="Q13" s="100"/>
      <c r="R13" s="100"/>
      <c r="S13" s="100"/>
      <c r="T13" s="100"/>
      <c r="U13" s="102"/>
      <c r="V13" s="85"/>
      <c r="W13" s="85"/>
      <c r="X13" s="85"/>
      <c r="Y13" s="103"/>
      <c r="Z13" s="85"/>
      <c r="AA13" s="103"/>
      <c r="AB13" s="85"/>
      <c r="AC13" s="85"/>
      <c r="AD13" s="85"/>
      <c r="AE13" s="85"/>
      <c r="AF13" s="104"/>
      <c r="AG13" s="105"/>
      <c r="AH13" s="114"/>
      <c r="AI13" s="114" t="n">
        <v>4134.54923115706</v>
      </c>
      <c r="AJ13" s="114"/>
      <c r="AK13" s="85"/>
      <c r="AL13" s="85"/>
      <c r="AM13" s="85"/>
      <c r="AN13" s="106"/>
      <c r="AO13" s="103"/>
      <c r="AP13" s="85"/>
      <c r="AQ13" s="85"/>
      <c r="AR13" s="85"/>
      <c r="AS13" s="85"/>
      <c r="AT13" s="2"/>
      <c r="AU13" s="8"/>
      <c r="AV13" s="108"/>
      <c r="AW13" s="109"/>
      <c r="AX13" s="109"/>
      <c r="AY13" s="109"/>
      <c r="AZ13" s="110"/>
      <c r="BA13" s="111"/>
      <c r="BB13" s="115"/>
    </row>
    <row r="14" customFormat="false" ht="3" hidden="false" customHeight="true" outlineLevel="0" collapsed="false">
      <c r="A14" s="117"/>
      <c r="B14" s="118"/>
      <c r="C14" s="119"/>
      <c r="D14" s="117"/>
      <c r="E14" s="119"/>
      <c r="F14" s="120"/>
      <c r="G14" s="117"/>
      <c r="H14" s="121"/>
      <c r="I14" s="117"/>
      <c r="J14" s="117"/>
      <c r="K14" s="117"/>
      <c r="L14" s="117"/>
      <c r="M14" s="122"/>
      <c r="N14" s="117"/>
      <c r="O14" s="117"/>
      <c r="P14" s="123"/>
      <c r="Q14" s="124"/>
      <c r="R14" s="124"/>
      <c r="S14" s="124"/>
      <c r="T14" s="124"/>
      <c r="U14" s="125"/>
      <c r="V14" s="124"/>
      <c r="W14" s="124"/>
      <c r="X14" s="124"/>
      <c r="Y14" s="126"/>
      <c r="Z14" s="127"/>
      <c r="AA14" s="126"/>
      <c r="AB14" s="127"/>
      <c r="AC14" s="127"/>
      <c r="AD14" s="127"/>
      <c r="AE14" s="124"/>
      <c r="AF14" s="128"/>
      <c r="AG14" s="129"/>
      <c r="AH14" s="124"/>
      <c r="AI14" s="127"/>
      <c r="AJ14" s="127"/>
      <c r="AK14" s="124"/>
      <c r="AL14" s="124"/>
      <c r="AM14" s="124"/>
      <c r="AN14" s="130"/>
      <c r="AO14" s="126"/>
      <c r="AP14" s="131"/>
      <c r="AQ14" s="131"/>
      <c r="AR14" s="131"/>
      <c r="AS14" s="131"/>
      <c r="AT14" s="131"/>
      <c r="AU14" s="132"/>
      <c r="AV14" s="133"/>
      <c r="AW14" s="131"/>
      <c r="AX14" s="131"/>
      <c r="AY14" s="131"/>
      <c r="AZ14" s="131"/>
      <c r="BA14" s="131"/>
      <c r="BB14" s="131"/>
    </row>
    <row r="15" customFormat="false" ht="12.95" hidden="false" customHeight="true" outlineLevel="0" collapsed="false">
      <c r="A15" s="10" t="n">
        <v>1</v>
      </c>
      <c r="B15" s="134" t="n">
        <v>6869.17</v>
      </c>
      <c r="C15" s="96" t="n">
        <v>185608</v>
      </c>
      <c r="D15" s="135" t="n">
        <f aca="false">C15-C13</f>
        <v>-132</v>
      </c>
      <c r="E15" s="96" t="n">
        <f aca="false">C15-152000</f>
        <v>33608</v>
      </c>
      <c r="F15" s="136" t="n">
        <f aca="false">D15/$D$2</f>
        <v>-66.5490294933199</v>
      </c>
      <c r="G15" s="11" t="n">
        <v>102</v>
      </c>
      <c r="H15" s="12" t="n">
        <v>0</v>
      </c>
      <c r="I15" s="11" t="n">
        <f aca="false">G15+H15</f>
        <v>102</v>
      </c>
      <c r="J15" s="4" t="n">
        <f aca="false">IF(L15&gt;0,L15,0)</f>
        <v>0</v>
      </c>
      <c r="K15" s="11" t="n">
        <f aca="false">I15+J15</f>
        <v>102</v>
      </c>
      <c r="L15" s="11" t="n">
        <f aca="false">F15-(I15-AK15)</f>
        <v>-24.7990294933199</v>
      </c>
      <c r="M15" s="137" t="n">
        <v>4.25</v>
      </c>
      <c r="N15" s="138" t="n">
        <v>0</v>
      </c>
      <c r="O15" s="138" t="n">
        <f aca="false">0*1.05</f>
        <v>0</v>
      </c>
      <c r="P15" s="99" t="n">
        <v>0</v>
      </c>
      <c r="Q15" s="139" t="n">
        <f aca="false">1073500/325851/1.9835*1.02</f>
        <v>1.69414647930041</v>
      </c>
      <c r="R15" s="139" t="n">
        <f aca="false">(3.2*1.04)-T15</f>
        <v>2.7652248</v>
      </c>
      <c r="S15" s="140" t="n">
        <v>0</v>
      </c>
      <c r="T15" s="141" t="n">
        <f aca="false">(0.5105*1.06)*1.04</f>
        <v>0.5627752</v>
      </c>
      <c r="U15" s="102" t="n">
        <f aca="false">M15-(Q15+R15+S15+T15)</f>
        <v>-0.772146479300413</v>
      </c>
      <c r="V15" s="142" t="n">
        <v>100</v>
      </c>
      <c r="W15" s="142" t="n">
        <v>0</v>
      </c>
      <c r="X15" s="143" t="n">
        <f aca="false">M15-N15-O15-P15-Q15-R15-S15-T15-U15+V15+W15-AU15+AR15</f>
        <v>100</v>
      </c>
      <c r="Y15" s="144" t="n">
        <f aca="false">X15-AO15</f>
        <v>100</v>
      </c>
      <c r="Z15" s="85"/>
      <c r="AA15" s="144"/>
      <c r="AB15" s="85"/>
      <c r="AC15" s="142"/>
      <c r="AD15" s="85"/>
      <c r="AE15" s="142" t="n">
        <v>0</v>
      </c>
      <c r="AF15" s="145"/>
      <c r="AG15" s="146"/>
      <c r="AH15" s="142" t="n">
        <v>39.5</v>
      </c>
      <c r="AI15" s="85" t="n">
        <f aca="false">AI13-AH15</f>
        <v>4095.04923115706</v>
      </c>
      <c r="AJ15" s="85"/>
      <c r="AK15" s="142" t="n">
        <f aca="false">N15+O15+P15+Q15+R15+S15+T15+U15+X15+AE15+AH15</f>
        <v>143.75</v>
      </c>
      <c r="AL15" s="142" t="n">
        <f aca="false">IF(L15&lt;0,L15*-1,0)</f>
        <v>24.7990294933199</v>
      </c>
      <c r="AM15" s="142" t="n">
        <f aca="false">AK15+AL15</f>
        <v>168.54902949332</v>
      </c>
      <c r="AN15" s="147" t="n">
        <f aca="false">V15</f>
        <v>100</v>
      </c>
      <c r="AO15" s="103"/>
      <c r="AP15" s="107"/>
      <c r="AQ15" s="107"/>
      <c r="AR15" s="107"/>
      <c r="AS15" s="107"/>
      <c r="AU15" s="5"/>
      <c r="AV15" s="148" t="n">
        <v>0</v>
      </c>
      <c r="AW15" s="109" t="n">
        <v>68</v>
      </c>
      <c r="AX15" s="109" t="n">
        <v>48</v>
      </c>
      <c r="AY15" s="109"/>
      <c r="AZ15" s="110" t="n">
        <f aca="false">SUM(N15,P15:U15)</f>
        <v>4.25</v>
      </c>
      <c r="BA15" s="0" t="n">
        <v>0.2</v>
      </c>
      <c r="BB15" s="149" t="n">
        <v>15448</v>
      </c>
    </row>
    <row r="16" customFormat="false" ht="12.95" hidden="false" customHeight="true" outlineLevel="0" collapsed="false">
      <c r="A16" s="10" t="n">
        <f aca="false">A15+1</f>
        <v>2</v>
      </c>
      <c r="B16" s="134" t="n">
        <v>6869.18</v>
      </c>
      <c r="C16" s="96" t="n">
        <v>185634</v>
      </c>
      <c r="D16" s="135" t="n">
        <f aca="false">C16-C15</f>
        <v>26</v>
      </c>
      <c r="E16" s="96" t="n">
        <f aca="false">C16-152000</f>
        <v>33634</v>
      </c>
      <c r="F16" s="136" t="n">
        <f aca="false">D16/$D$2</f>
        <v>13.1081421729266</v>
      </c>
      <c r="G16" s="11" t="n">
        <v>110</v>
      </c>
      <c r="H16" s="12" t="n">
        <v>0</v>
      </c>
      <c r="I16" s="11" t="n">
        <f aca="false">G16+H16</f>
        <v>110</v>
      </c>
      <c r="J16" s="4" t="n">
        <f aca="false">IF(L16&gt;0,L16,0)</f>
        <v>46.9481421729267</v>
      </c>
      <c r="K16" s="11" t="n">
        <f aca="false">I16+J16</f>
        <v>156.948142172927</v>
      </c>
      <c r="L16" s="11" t="n">
        <f aca="false">F16-(I16-AK16)</f>
        <v>46.9481421729267</v>
      </c>
      <c r="M16" s="137" t="n">
        <v>3.24</v>
      </c>
      <c r="N16" s="138" t="n">
        <v>0</v>
      </c>
      <c r="O16" s="138" t="n">
        <f aca="false">0*1.05</f>
        <v>0</v>
      </c>
      <c r="P16" s="99" t="n">
        <v>0</v>
      </c>
      <c r="Q16" s="139" t="n">
        <f aca="false">1014800/325851/1.9835*1.02</f>
        <v>1.60150894009693</v>
      </c>
      <c r="R16" s="139" t="n">
        <f aca="false">(2*1.04)-T16</f>
        <v>1.5172248</v>
      </c>
      <c r="S16" s="139" t="n">
        <v>0</v>
      </c>
      <c r="T16" s="141" t="n">
        <f aca="false">(0.5105*1.06)*1.04</f>
        <v>0.5627752</v>
      </c>
      <c r="U16" s="102" t="n">
        <f aca="false">M16-(Q16+R16+S16+T16)</f>
        <v>-0.441508940096934</v>
      </c>
      <c r="V16" s="142" t="n">
        <v>101</v>
      </c>
      <c r="W16" s="142" t="n">
        <v>0</v>
      </c>
      <c r="X16" s="143" t="n">
        <f aca="false">M16-N16-O16-P16-Q16-R16-S16-T16-U16+V16+W16-AU16+AR16</f>
        <v>101</v>
      </c>
      <c r="Y16" s="144" t="n">
        <f aca="false">X16-AO16</f>
        <v>101</v>
      </c>
      <c r="Z16" s="85"/>
      <c r="AA16" s="144"/>
      <c r="AB16" s="85"/>
      <c r="AC16" s="142"/>
      <c r="AD16" s="85"/>
      <c r="AE16" s="142" t="n">
        <v>0</v>
      </c>
      <c r="AF16" s="145"/>
      <c r="AG16" s="146"/>
      <c r="AH16" s="142" t="n">
        <v>39.6</v>
      </c>
      <c r="AI16" s="85" t="n">
        <f aca="false">AI15-AH16</f>
        <v>4055.44923115706</v>
      </c>
      <c r="AJ16" s="85"/>
      <c r="AK16" s="142" t="n">
        <f aca="false">N16+O16+P16+Q16+R16+S16+T16+U16+X16+AE16+AH16</f>
        <v>143.84</v>
      </c>
      <c r="AL16" s="142" t="n">
        <f aca="false">IF(L16&lt;0,L16*-1,0)</f>
        <v>0</v>
      </c>
      <c r="AM16" s="142" t="n">
        <f aca="false">AK16+AL16</f>
        <v>143.84</v>
      </c>
      <c r="AN16" s="147" t="n">
        <f aca="false">V16</f>
        <v>101</v>
      </c>
      <c r="AO16" s="103"/>
      <c r="AP16" s="107"/>
      <c r="AQ16" s="107"/>
      <c r="AR16" s="107"/>
      <c r="AS16" s="107"/>
      <c r="AU16" s="5"/>
      <c r="AV16" s="108" t="n">
        <v>0.26</v>
      </c>
      <c r="AW16" s="109" t="n">
        <v>58</v>
      </c>
      <c r="AX16" s="109" t="n">
        <v>36</v>
      </c>
      <c r="AY16" s="109"/>
      <c r="AZ16" s="110" t="n">
        <f aca="false">SUM(N16,P16:U16)</f>
        <v>3.24</v>
      </c>
      <c r="BA16" s="0" t="n">
        <v>0.2</v>
      </c>
      <c r="BB16" s="149" t="n">
        <v>15456</v>
      </c>
    </row>
    <row r="17" customFormat="false" ht="12.95" hidden="false" customHeight="true" outlineLevel="0" collapsed="false">
      <c r="A17" s="10" t="n">
        <f aca="false">A16+1</f>
        <v>3</v>
      </c>
      <c r="B17" s="134" t="n">
        <v>6869.1</v>
      </c>
      <c r="C17" s="96" t="n">
        <v>185423</v>
      </c>
      <c r="D17" s="135" t="n">
        <f aca="false">C17-C16</f>
        <v>-211</v>
      </c>
      <c r="E17" s="96" t="n">
        <f aca="false">C17-152000</f>
        <v>33423</v>
      </c>
      <c r="F17" s="136" t="n">
        <f aca="false">D17/$D$2</f>
        <v>-106.377615326443</v>
      </c>
      <c r="G17" s="11" t="n">
        <v>123</v>
      </c>
      <c r="H17" s="12" t="n">
        <v>0</v>
      </c>
      <c r="I17" s="11" t="n">
        <f aca="false">G17+H17</f>
        <v>123</v>
      </c>
      <c r="J17" s="4" t="n">
        <f aca="false">IF(L17&gt;0,L17,0)</f>
        <v>0</v>
      </c>
      <c r="K17" s="11" t="n">
        <f aca="false">I17+J17</f>
        <v>123</v>
      </c>
      <c r="L17" s="11" t="n">
        <f aca="false">F17-(I17-AK17)</f>
        <v>-47.6576153264432</v>
      </c>
      <c r="M17" s="137" t="n">
        <v>3.22</v>
      </c>
      <c r="N17" s="138" t="n">
        <v>0</v>
      </c>
      <c r="O17" s="138" t="n">
        <f aca="false">2.08*1.05</f>
        <v>2.184</v>
      </c>
      <c r="P17" s="99" t="n">
        <v>0</v>
      </c>
      <c r="Q17" s="139" t="n">
        <f aca="false">1117000/325851/1.9835*1.02</f>
        <v>1.76279610375273</v>
      </c>
      <c r="R17" s="139" t="n">
        <f aca="false">(2.1*1.04)-T17</f>
        <v>1.6212248</v>
      </c>
      <c r="S17" s="139" t="n">
        <v>0</v>
      </c>
      <c r="T17" s="141" t="n">
        <f aca="false">(0.5105*1.06)*1.04</f>
        <v>0.5627752</v>
      </c>
      <c r="U17" s="102" t="n">
        <f aca="false">M17-(Q17+R17+S17+T17)</f>
        <v>-0.726796103752735</v>
      </c>
      <c r="V17" s="142" t="n">
        <v>139</v>
      </c>
      <c r="W17" s="142" t="n">
        <v>0</v>
      </c>
      <c r="X17" s="143" t="n">
        <f aca="false">M17-N17-O17-P17-Q17-R17-S17-T17-U17+V17+W17-AU17+AR17</f>
        <v>136.816</v>
      </c>
      <c r="Y17" s="144" t="n">
        <f aca="false">X17-AO17</f>
        <v>136.816</v>
      </c>
      <c r="Z17" s="85"/>
      <c r="AA17" s="144"/>
      <c r="AB17" s="85"/>
      <c r="AC17" s="142"/>
      <c r="AD17" s="85"/>
      <c r="AE17" s="142" t="n">
        <v>0</v>
      </c>
      <c r="AF17" s="145"/>
      <c r="AG17" s="146"/>
      <c r="AH17" s="142" t="n">
        <v>39.5</v>
      </c>
      <c r="AI17" s="85" t="n">
        <f aca="false">AI16-AH17</f>
        <v>4015.94923115706</v>
      </c>
      <c r="AJ17" s="85"/>
      <c r="AK17" s="142" t="n">
        <f aca="false">N17+O17+P17+Q17+R17+S17+T17+U17+X17+AE17+AH17</f>
        <v>181.72</v>
      </c>
      <c r="AL17" s="142" t="n">
        <f aca="false">IF(L17&lt;0,L17*-1,0)</f>
        <v>47.6576153264432</v>
      </c>
      <c r="AM17" s="142" t="n">
        <f aca="false">AK17+AL17</f>
        <v>229.377615326443</v>
      </c>
      <c r="AN17" s="147" t="n">
        <f aca="false">V17</f>
        <v>139</v>
      </c>
      <c r="AO17" s="103"/>
      <c r="AP17" s="107"/>
      <c r="AQ17" s="107"/>
      <c r="AR17" s="107"/>
      <c r="AS17" s="107"/>
      <c r="AU17" s="5"/>
      <c r="AV17" s="108" t="n">
        <v>0.02</v>
      </c>
      <c r="AW17" s="109" t="n">
        <v>51</v>
      </c>
      <c r="AX17" s="109" t="n">
        <v>32</v>
      </c>
      <c r="AY17" s="109"/>
      <c r="AZ17" s="110" t="n">
        <f aca="false">SUM(N17,P17:U17)</f>
        <v>3.22</v>
      </c>
      <c r="BA17" s="0" t="n">
        <v>0.2</v>
      </c>
      <c r="BB17" s="149" t="n">
        <v>15413</v>
      </c>
    </row>
    <row r="18" customFormat="false" ht="12.95" hidden="false" customHeight="true" outlineLevel="0" collapsed="false">
      <c r="A18" s="10" t="n">
        <f aca="false">A17+1</f>
        <v>4</v>
      </c>
      <c r="B18" s="134" t="n">
        <v>6869</v>
      </c>
      <c r="C18" s="96" t="n">
        <v>185158</v>
      </c>
      <c r="D18" s="135" t="n">
        <f aca="false">C18-C17</f>
        <v>-265</v>
      </c>
      <c r="E18" s="96" t="n">
        <f aca="false">C18-152000</f>
        <v>33158</v>
      </c>
      <c r="F18" s="136" t="n">
        <f aca="false">D18/$D$2</f>
        <v>-133.602218300983</v>
      </c>
      <c r="G18" s="11" t="n">
        <v>105</v>
      </c>
      <c r="H18" s="12" t="n">
        <v>0</v>
      </c>
      <c r="I18" s="11" t="n">
        <f aca="false">G18+H18</f>
        <v>105</v>
      </c>
      <c r="J18" s="4" t="n">
        <f aca="false">IF(L18&gt;0,L18,0)</f>
        <v>0</v>
      </c>
      <c r="K18" s="11" t="n">
        <f aca="false">I18+J18</f>
        <v>105</v>
      </c>
      <c r="L18" s="11" t="n">
        <f aca="false">F18-(I18-AK18)</f>
        <v>-1.78221830098312</v>
      </c>
      <c r="M18" s="137" t="n">
        <v>3.12</v>
      </c>
      <c r="N18" s="138" t="n">
        <v>0</v>
      </c>
      <c r="O18" s="138" t="n">
        <f aca="false">5.44*1.05</f>
        <v>5.712</v>
      </c>
      <c r="P18" s="99" t="n">
        <v>0</v>
      </c>
      <c r="Q18" s="139" t="n">
        <f aca="false">852400/325851/1.9835*1.02</f>
        <v>1.34521700880826</v>
      </c>
      <c r="R18" s="139" t="n">
        <f aca="false">(1.9*1.04)-T18</f>
        <v>1.4132248</v>
      </c>
      <c r="S18" s="139" t="n">
        <v>0</v>
      </c>
      <c r="T18" s="141" t="n">
        <f aca="false">(0.5105*1.06)*1.04</f>
        <v>0.5627752</v>
      </c>
      <c r="U18" s="102" t="n">
        <f aca="false">M18-(Q18+R18+S18+T18)</f>
        <v>-0.201217008808264</v>
      </c>
      <c r="V18" s="142" t="n">
        <v>203</v>
      </c>
      <c r="W18" s="142" t="n">
        <v>0</v>
      </c>
      <c r="X18" s="143" t="n">
        <f aca="false">M18-N18-O18-P18-Q18-R18-S18-T18-U18+V18+W18-AU18+AR18</f>
        <v>197.288</v>
      </c>
      <c r="Y18" s="144" t="n">
        <f aca="false">X18-AO18</f>
        <v>197.288</v>
      </c>
      <c r="Z18" s="85"/>
      <c r="AA18" s="144"/>
      <c r="AB18" s="85"/>
      <c r="AC18" s="142"/>
      <c r="AD18" s="85"/>
      <c r="AE18" s="142" t="n">
        <v>0</v>
      </c>
      <c r="AF18" s="145"/>
      <c r="AG18" s="146"/>
      <c r="AH18" s="142" t="n">
        <v>30.7</v>
      </c>
      <c r="AI18" s="85" t="n">
        <f aca="false">AI17-AH18</f>
        <v>3985.24923115706</v>
      </c>
      <c r="AJ18" s="85"/>
      <c r="AK18" s="142" t="n">
        <f aca="false">N18+O18+P18+Q18+R18+S18+T18+U18+X18+AE18+AH18</f>
        <v>236.82</v>
      </c>
      <c r="AL18" s="142" t="n">
        <f aca="false">IF(L18&lt;0,L18*-1,0)</f>
        <v>1.78221830098312</v>
      </c>
      <c r="AM18" s="142" t="n">
        <f aca="false">AK18+AL18</f>
        <v>238.602218300983</v>
      </c>
      <c r="AN18" s="147" t="n">
        <f aca="false">V18</f>
        <v>203</v>
      </c>
      <c r="AO18" s="103"/>
      <c r="AP18" s="107"/>
      <c r="AQ18" s="107"/>
      <c r="AR18" s="107"/>
      <c r="AS18" s="107"/>
      <c r="AU18" s="5"/>
      <c r="AV18" s="108" t="n">
        <v>0</v>
      </c>
      <c r="AW18" s="109" t="n">
        <v>58</v>
      </c>
      <c r="AX18" s="109" t="n">
        <v>29</v>
      </c>
      <c r="AY18" s="109"/>
      <c r="AZ18" s="110" t="n">
        <f aca="false">SUM(N18,P18:U18)</f>
        <v>3.12</v>
      </c>
      <c r="BA18" s="0" t="n">
        <v>0.2</v>
      </c>
      <c r="BB18" s="149" t="n">
        <v>15389</v>
      </c>
    </row>
    <row r="19" customFormat="false" ht="12.95" hidden="false" customHeight="true" outlineLevel="0" collapsed="false">
      <c r="A19" s="10" t="n">
        <f aca="false">A18+1</f>
        <v>5</v>
      </c>
      <c r="B19" s="134" t="n">
        <v>6868.86</v>
      </c>
      <c r="C19" s="96" t="n">
        <v>184793</v>
      </c>
      <c r="D19" s="135" t="n">
        <f aca="false">C19-C18</f>
        <v>-365</v>
      </c>
      <c r="E19" s="96" t="n">
        <f aca="false">C19-152000</f>
        <v>32793</v>
      </c>
      <c r="F19" s="136" t="n">
        <f aca="false">D19/$D$2</f>
        <v>-184.018149735316</v>
      </c>
      <c r="G19" s="11" t="n">
        <v>91</v>
      </c>
      <c r="H19" s="12" t="n">
        <v>0</v>
      </c>
      <c r="I19" s="11" t="n">
        <f aca="false">G19+H19</f>
        <v>91</v>
      </c>
      <c r="J19" s="4" t="n">
        <f aca="false">IF(L19&gt;0,L19,0)</f>
        <v>0</v>
      </c>
      <c r="K19" s="11" t="n">
        <f aca="false">I19+J19</f>
        <v>91</v>
      </c>
      <c r="L19" s="11" t="n">
        <f aca="false">F19-(I19-AK19)</f>
        <v>-46.2981497353163</v>
      </c>
      <c r="M19" s="137" t="n">
        <v>3.22</v>
      </c>
      <c r="N19" s="138" t="n">
        <v>0</v>
      </c>
      <c r="O19" s="138" t="n">
        <f aca="false">7.52*1.05</f>
        <v>7.896</v>
      </c>
      <c r="P19" s="99" t="n">
        <v>0</v>
      </c>
      <c r="Q19" s="139" t="n">
        <f aca="false">917100/325851/1.9835*1.02</f>
        <v>1.4473234617293</v>
      </c>
      <c r="R19" s="139" t="n">
        <f aca="false">(2*1.04)-T19</f>
        <v>1.5172248</v>
      </c>
      <c r="S19" s="139" t="n">
        <v>0</v>
      </c>
      <c r="T19" s="141" t="n">
        <f aca="false">(0.5105*1.06)*1.04</f>
        <v>0.5627752</v>
      </c>
      <c r="U19" s="102" t="n">
        <f aca="false">M19-(Q19+R19+S19+T19)</f>
        <v>-0.307323461729304</v>
      </c>
      <c r="V19" s="142" t="n">
        <v>200</v>
      </c>
      <c r="W19" s="142" t="n">
        <v>0</v>
      </c>
      <c r="X19" s="143" t="n">
        <f aca="false">M19-N19-O19-P19-Q19-R19-S19-T19-U19+V19+W19-AU19+AR19</f>
        <v>192.104</v>
      </c>
      <c r="Y19" s="144" t="n">
        <f aca="false">X19-AO19</f>
        <v>192.104</v>
      </c>
      <c r="Z19" s="85"/>
      <c r="AA19" s="144"/>
      <c r="AB19" s="85"/>
      <c r="AC19" s="142"/>
      <c r="AD19" s="85"/>
      <c r="AE19" s="142" t="n">
        <v>0</v>
      </c>
      <c r="AF19" s="145"/>
      <c r="AG19" s="146"/>
      <c r="AH19" s="142" t="n">
        <v>25.5</v>
      </c>
      <c r="AI19" s="85" t="n">
        <f aca="false">AI18-AH19</f>
        <v>3959.74923115706</v>
      </c>
      <c r="AJ19" s="85"/>
      <c r="AK19" s="142" t="n">
        <f aca="false">N19+O19+P19+Q19+R19+S19+T19+U19+X19+AE19+AH19</f>
        <v>228.72</v>
      </c>
      <c r="AL19" s="142" t="n">
        <f aca="false">IF(L19&lt;0,L19*-1,0)</f>
        <v>46.2981497353163</v>
      </c>
      <c r="AM19" s="142" t="n">
        <f aca="false">AK19+AL19</f>
        <v>275.018149735316</v>
      </c>
      <c r="AN19" s="147" t="n">
        <f aca="false">V19</f>
        <v>200</v>
      </c>
      <c r="AO19" s="103"/>
      <c r="AP19" s="107"/>
      <c r="AQ19" s="107"/>
      <c r="AR19" s="107"/>
      <c r="AS19" s="107"/>
      <c r="AU19" s="5"/>
      <c r="AV19" s="108" t="n">
        <v>0</v>
      </c>
      <c r="AW19" s="109" t="n">
        <v>65</v>
      </c>
      <c r="AX19" s="109" t="n">
        <v>27</v>
      </c>
      <c r="AY19" s="109"/>
      <c r="AZ19" s="110" t="n">
        <f aca="false">SUM(N19,P19:U19)</f>
        <v>3.22</v>
      </c>
      <c r="BA19" s="0" t="n">
        <v>0.2</v>
      </c>
      <c r="BB19" s="149" t="n">
        <v>15444</v>
      </c>
    </row>
    <row r="20" customFormat="false" ht="12.95" hidden="false" customHeight="true" outlineLevel="0" collapsed="false">
      <c r="A20" s="10" t="n">
        <f aca="false">A19+1</f>
        <v>6</v>
      </c>
      <c r="B20" s="134" t="n">
        <v>6868.74</v>
      </c>
      <c r="C20" s="96" t="n">
        <v>184480</v>
      </c>
      <c r="D20" s="135" t="n">
        <f aca="false">C20-C19</f>
        <v>-313</v>
      </c>
      <c r="E20" s="96" t="n">
        <f aca="false">C20-152000</f>
        <v>32480</v>
      </c>
      <c r="F20" s="136" t="n">
        <f aca="false">D20/$D$2</f>
        <v>-157.801865389463</v>
      </c>
      <c r="G20" s="11" t="n">
        <v>97</v>
      </c>
      <c r="H20" s="12" t="n">
        <v>0</v>
      </c>
      <c r="I20" s="11" t="n">
        <f aca="false">G20+H20</f>
        <v>97</v>
      </c>
      <c r="J20" s="4" t="n">
        <f aca="false">IF(L20&gt;0,L20,0)</f>
        <v>0</v>
      </c>
      <c r="K20" s="11" t="n">
        <f aca="false">I20+J20</f>
        <v>97</v>
      </c>
      <c r="L20" s="11" t="n">
        <f aca="false">F20-(I20-AK20)</f>
        <v>-26.2618653894631</v>
      </c>
      <c r="M20" s="137" t="n">
        <v>3.04</v>
      </c>
      <c r="N20" s="138" t="n">
        <v>0</v>
      </c>
      <c r="O20" s="138" t="n">
        <f aca="false">8.07*1.05</f>
        <v>8.4735</v>
      </c>
      <c r="P20" s="99" t="n">
        <v>0</v>
      </c>
      <c r="Q20" s="139" t="n">
        <f aca="false">844800/325851/1.9835*1.02</f>
        <v>1.33322305143269</v>
      </c>
      <c r="R20" s="139" t="n">
        <f aca="false">(2*1.04)-T20</f>
        <v>1.5172248</v>
      </c>
      <c r="S20" s="139" t="n">
        <v>0</v>
      </c>
      <c r="T20" s="141" t="n">
        <f aca="false">(0.5105*1.06)*1.04</f>
        <v>0.5627752</v>
      </c>
      <c r="U20" s="102" t="n">
        <f aca="false">M20-(Q20+R20+S20+T20)</f>
        <v>-0.373223051432686</v>
      </c>
      <c r="V20" s="142" t="n">
        <v>200</v>
      </c>
      <c r="W20" s="142" t="n">
        <v>0</v>
      </c>
      <c r="X20" s="143" t="n">
        <f aca="false">M20-N20-O20-P20-Q20-R20-S20-T20-U20+V20+W20-AU20+AR20</f>
        <v>191.5265</v>
      </c>
      <c r="Y20" s="144" t="n">
        <f aca="false">X20-AO20</f>
        <v>191.5265</v>
      </c>
      <c r="Z20" s="85"/>
      <c r="AA20" s="144"/>
      <c r="AB20" s="85"/>
      <c r="AC20" s="142"/>
      <c r="AD20" s="85"/>
      <c r="AE20" s="142" t="n">
        <v>0</v>
      </c>
      <c r="AF20" s="145"/>
      <c r="AG20" s="146"/>
      <c r="AH20" s="142" t="n">
        <v>25.5</v>
      </c>
      <c r="AI20" s="85" t="n">
        <f aca="false">AI19-AH20</f>
        <v>3934.24923115706</v>
      </c>
      <c r="AJ20" s="85"/>
      <c r="AK20" s="142" t="n">
        <f aca="false">N20+O20+P20+Q20+R20+S20+T20+U20+X20+AE20+AH20</f>
        <v>228.54</v>
      </c>
      <c r="AL20" s="142" t="n">
        <f aca="false">IF(L20&lt;0,L20*-1,0)</f>
        <v>26.2618653894631</v>
      </c>
      <c r="AM20" s="142" t="n">
        <f aca="false">AK20+AL20</f>
        <v>254.801865389463</v>
      </c>
      <c r="AN20" s="147" t="n">
        <f aca="false">V20</f>
        <v>200</v>
      </c>
      <c r="AO20" s="103"/>
      <c r="AP20" s="107"/>
      <c r="AQ20" s="107"/>
      <c r="AR20" s="107"/>
      <c r="AS20" s="107"/>
      <c r="AU20" s="5"/>
      <c r="AV20" s="108" t="n">
        <v>0</v>
      </c>
      <c r="AW20" s="109" t="n">
        <v>66</v>
      </c>
      <c r="AX20" s="109" t="n">
        <v>31</v>
      </c>
      <c r="AY20" s="109"/>
      <c r="AZ20" s="110" t="n">
        <f aca="false">SUM(N20,P20:U20)</f>
        <v>3.04</v>
      </c>
      <c r="BA20" s="0" t="n">
        <v>0.2</v>
      </c>
      <c r="BB20" s="149" t="n">
        <v>15447</v>
      </c>
    </row>
    <row r="21" customFormat="false" ht="12.75" hidden="false" customHeight="true" outlineLevel="0" collapsed="false">
      <c r="A21" s="10" t="n">
        <f aca="false">A20+1</f>
        <v>7</v>
      </c>
      <c r="B21" s="134" t="n">
        <v>6868.63</v>
      </c>
      <c r="C21" s="96" t="n">
        <v>184193</v>
      </c>
      <c r="D21" s="135" t="n">
        <f aca="false">C21-C20</f>
        <v>-287</v>
      </c>
      <c r="E21" s="96" t="n">
        <f aca="false">C21-152000</f>
        <v>32193</v>
      </c>
      <c r="F21" s="136" t="n">
        <f aca="false">D21/$D$2</f>
        <v>-144.693723216536</v>
      </c>
      <c r="G21" s="11" t="n">
        <v>98</v>
      </c>
      <c r="H21" s="12" t="n">
        <v>0</v>
      </c>
      <c r="I21" s="11" t="n">
        <f aca="false">G21+H21</f>
        <v>98</v>
      </c>
      <c r="J21" s="4" t="n">
        <f aca="false">IF(L21&gt;0,L21,0)</f>
        <v>0</v>
      </c>
      <c r="K21" s="11" t="n">
        <f aca="false">I21+J21</f>
        <v>98</v>
      </c>
      <c r="L21" s="11" t="n">
        <f aca="false">F21-(I21-AK21)</f>
        <v>-16.2937232165364</v>
      </c>
      <c r="M21" s="137" t="n">
        <v>2.9</v>
      </c>
      <c r="N21" s="138" t="n">
        <v>0</v>
      </c>
      <c r="O21" s="138" t="n">
        <f aca="false">3.15*1.05</f>
        <v>3.3075</v>
      </c>
      <c r="P21" s="99" t="n">
        <v>0</v>
      </c>
      <c r="Q21" s="139" t="n">
        <f aca="false">962100/325851/1.9835*1.02</f>
        <v>1.51834031461102</v>
      </c>
      <c r="R21" s="139" t="n">
        <f aca="false">(2*1.04)-T21</f>
        <v>1.52317776</v>
      </c>
      <c r="S21" s="139" t="n">
        <v>0</v>
      </c>
      <c r="T21" s="141" t="n">
        <f aca="false">(0.5051*1.06)*1.04</f>
        <v>0.55682224</v>
      </c>
      <c r="U21" s="102" t="n">
        <f aca="false">M21-(Q21+R21+S21+T21)</f>
        <v>-0.698340314611017</v>
      </c>
      <c r="V21" s="142" t="n">
        <v>198</v>
      </c>
      <c r="W21" s="142" t="n">
        <v>0</v>
      </c>
      <c r="X21" s="143" t="n">
        <f aca="false">M21-N21-O21-P21-Q21-R21-S21-T21-U21+V21+W21-AU21+AR21</f>
        <v>194.6925</v>
      </c>
      <c r="Y21" s="144" t="n">
        <f aca="false">X21-AO21</f>
        <v>194.6925</v>
      </c>
      <c r="Z21" s="85"/>
      <c r="AA21" s="144"/>
      <c r="AB21" s="85"/>
      <c r="AC21" s="142"/>
      <c r="AD21" s="85"/>
      <c r="AE21" s="142" t="n">
        <v>0</v>
      </c>
      <c r="AF21" s="145"/>
      <c r="AG21" s="146"/>
      <c r="AH21" s="142" t="n">
        <v>25.5</v>
      </c>
      <c r="AI21" s="85" t="n">
        <f aca="false">AI20-AH21</f>
        <v>3908.74923115706</v>
      </c>
      <c r="AJ21" s="85"/>
      <c r="AK21" s="142" t="n">
        <f aca="false">N21+O21+P21+Q21+R21+S21+T21+U21+X21+AE21+AH21</f>
        <v>226.4</v>
      </c>
      <c r="AL21" s="142" t="n">
        <f aca="false">IF(L21&lt;0,L21*-1,0)</f>
        <v>16.2937232165364</v>
      </c>
      <c r="AM21" s="142" t="n">
        <f aca="false">AK21+AL21</f>
        <v>242.693723216536</v>
      </c>
      <c r="AN21" s="147" t="n">
        <f aca="false">V21</f>
        <v>198</v>
      </c>
      <c r="AO21" s="103"/>
      <c r="AP21" s="107"/>
      <c r="AQ21" s="107"/>
      <c r="AR21" s="107"/>
      <c r="AS21" s="107"/>
      <c r="AU21" s="5"/>
      <c r="AV21" s="108" t="n">
        <v>0</v>
      </c>
      <c r="AW21" s="109" t="n">
        <v>68</v>
      </c>
      <c r="AX21" s="109" t="n">
        <v>32</v>
      </c>
      <c r="AY21" s="109"/>
      <c r="AZ21" s="110" t="n">
        <f aca="false">SUM(N21,P21:U21)</f>
        <v>2.9</v>
      </c>
      <c r="BA21" s="0" t="n">
        <v>0.2</v>
      </c>
      <c r="BB21" s="149" t="n">
        <v>15421</v>
      </c>
    </row>
    <row r="22" customFormat="false" ht="12.75" hidden="false" customHeight="true" outlineLevel="0" collapsed="false">
      <c r="A22" s="10" t="n">
        <f aca="false">A21+1</f>
        <v>8</v>
      </c>
      <c r="B22" s="134" t="n">
        <v>6868.51</v>
      </c>
      <c r="C22" s="96" t="n">
        <v>183880</v>
      </c>
      <c r="D22" s="135" t="n">
        <f aca="false">C22-C21</f>
        <v>-313</v>
      </c>
      <c r="E22" s="96" t="n">
        <f aca="false">C22-152000</f>
        <v>31880</v>
      </c>
      <c r="F22" s="136" t="n">
        <f aca="false">D22/$D$2</f>
        <v>-157.801865389463</v>
      </c>
      <c r="G22" s="11" t="n">
        <v>95</v>
      </c>
      <c r="H22" s="12" t="n">
        <v>0</v>
      </c>
      <c r="I22" s="11" t="n">
        <f aca="false">G22+H22</f>
        <v>95</v>
      </c>
      <c r="J22" s="4" t="n">
        <f aca="false">IF(L22&gt;0,L22,0)</f>
        <v>0</v>
      </c>
      <c r="K22" s="11" t="n">
        <f aca="false">I22+J22</f>
        <v>95</v>
      </c>
      <c r="L22" s="11" t="n">
        <f aca="false">F22-(I22-AK22)</f>
        <v>-25.4018653894631</v>
      </c>
      <c r="M22" s="137" t="n">
        <v>2.9</v>
      </c>
      <c r="N22" s="138" t="n">
        <v>0</v>
      </c>
      <c r="O22" s="138" t="n">
        <f aca="false">0.058*1.05</f>
        <v>0.0609</v>
      </c>
      <c r="P22" s="99" t="n">
        <v>0</v>
      </c>
      <c r="Q22" s="139" t="n">
        <f aca="false">1158800/325851/1.9835*1.02</f>
        <v>1.82876286931841</v>
      </c>
      <c r="R22" s="139" t="n">
        <f aca="false">(2*1.04)-T22</f>
        <v>1.52317776</v>
      </c>
      <c r="S22" s="139" t="n">
        <v>0</v>
      </c>
      <c r="T22" s="141" t="n">
        <f aca="false">(0.5051*1.06)*1.04</f>
        <v>0.55682224</v>
      </c>
      <c r="U22" s="102" t="n">
        <f aca="false">M22-(Q22+R22+S22+T22)</f>
        <v>-1.00876286931842</v>
      </c>
      <c r="V22" s="142" t="n">
        <v>199</v>
      </c>
      <c r="W22" s="142" t="n">
        <v>0</v>
      </c>
      <c r="X22" s="143" t="n">
        <f aca="false">M22-N22-O22-P22-Q22-R22-S22-T22-U22+V22+W22-AU22+AR22</f>
        <v>198.9391</v>
      </c>
      <c r="Y22" s="144" t="n">
        <f aca="false">X22-AO22</f>
        <v>198.9391</v>
      </c>
      <c r="Z22" s="85"/>
      <c r="AA22" s="144"/>
      <c r="AB22" s="85"/>
      <c r="AC22" s="142"/>
      <c r="AD22" s="85"/>
      <c r="AE22" s="142" t="n">
        <v>0</v>
      </c>
      <c r="AF22" s="145"/>
      <c r="AG22" s="146"/>
      <c r="AH22" s="142" t="n">
        <v>25.5</v>
      </c>
      <c r="AI22" s="85" t="n">
        <f aca="false">AI21-AH22</f>
        <v>3883.24923115706</v>
      </c>
      <c r="AJ22" s="85"/>
      <c r="AK22" s="142" t="n">
        <f aca="false">N22+O22+P22+Q22+R22+S22+T22+U22+X22+AE22+AH22</f>
        <v>227.4</v>
      </c>
      <c r="AL22" s="142" t="n">
        <f aca="false">IF(L22&lt;0,L22*-1,0)</f>
        <v>25.4018653894631</v>
      </c>
      <c r="AM22" s="142" t="n">
        <f aca="false">AK22+AL22</f>
        <v>252.801865389463</v>
      </c>
      <c r="AN22" s="147" t="n">
        <f aca="false">V22</f>
        <v>199</v>
      </c>
      <c r="AO22" s="103"/>
      <c r="AP22" s="107"/>
      <c r="AQ22" s="107"/>
      <c r="AR22" s="107"/>
      <c r="AS22" s="107"/>
      <c r="AU22" s="5"/>
      <c r="AV22" s="108" t="n">
        <v>0</v>
      </c>
      <c r="AW22" s="109" t="n">
        <v>69</v>
      </c>
      <c r="AX22" s="109" t="n">
        <v>35</v>
      </c>
      <c r="AY22" s="109"/>
      <c r="AZ22" s="110" t="n">
        <f aca="false">SUM(N22,P22:U22)</f>
        <v>2.9</v>
      </c>
      <c r="BA22" s="0" t="n">
        <v>0.2</v>
      </c>
      <c r="BB22" s="149" t="n">
        <v>15458</v>
      </c>
    </row>
    <row r="23" customFormat="false" ht="12.75" hidden="false" customHeight="true" outlineLevel="0" collapsed="false">
      <c r="A23" s="10" t="n">
        <f aca="false">A22+1</f>
        <v>9</v>
      </c>
      <c r="B23" s="134" t="n">
        <v>6868.4</v>
      </c>
      <c r="C23" s="96" t="n">
        <v>183593</v>
      </c>
      <c r="D23" s="135" t="n">
        <f aca="false">C23-C22</f>
        <v>-287</v>
      </c>
      <c r="E23" s="96" t="n">
        <f aca="false">C23-152000</f>
        <v>31593</v>
      </c>
      <c r="F23" s="136" t="n">
        <f aca="false">D23/$D$2</f>
        <v>-144.693723216536</v>
      </c>
      <c r="G23" s="11" t="n">
        <v>89</v>
      </c>
      <c r="H23" s="12" t="n">
        <v>0</v>
      </c>
      <c r="I23" s="11" t="n">
        <f aca="false">G23+H23</f>
        <v>89</v>
      </c>
      <c r="J23" s="4" t="n">
        <f aca="false">IF(L23&gt;0,L23,0)</f>
        <v>0</v>
      </c>
      <c r="K23" s="11" t="n">
        <f aca="false">I23+J23</f>
        <v>89</v>
      </c>
      <c r="L23" s="11" t="n">
        <f aca="false">F23-(I23-AK23)</f>
        <v>-6.17372321653642</v>
      </c>
      <c r="M23" s="137" t="n">
        <v>3.02</v>
      </c>
      <c r="N23" s="138" t="n">
        <v>0</v>
      </c>
      <c r="O23" s="138" t="n">
        <f aca="false">0.453*1.05</f>
        <v>0.47565</v>
      </c>
      <c r="P23" s="99" t="n">
        <v>0</v>
      </c>
      <c r="Q23" s="139" t="n">
        <f aca="false">999000/325851/1.9835*1.02</f>
        <v>1.57657413397402</v>
      </c>
      <c r="R23" s="139" t="n">
        <f aca="false">(2*1.04)-T23</f>
        <v>1.52317776</v>
      </c>
      <c r="S23" s="139" t="n">
        <v>0</v>
      </c>
      <c r="T23" s="141" t="n">
        <f aca="false">(0.5051*1.06)*1.04</f>
        <v>0.55682224</v>
      </c>
      <c r="U23" s="102" t="n">
        <f aca="false">M23-(Q23+R23+S23+T23)</f>
        <v>-0.636574133974022</v>
      </c>
      <c r="V23" s="142" t="n">
        <v>199</v>
      </c>
      <c r="W23" s="142" t="n">
        <v>0</v>
      </c>
      <c r="X23" s="143" t="n">
        <f aca="false">M23-N23-O23-P23-Q23-R23-S23-T23-U23+V23+W23-AU23+AR23</f>
        <v>198.52435</v>
      </c>
      <c r="Y23" s="144" t="n">
        <f aca="false">X23-AO23</f>
        <v>198.52435</v>
      </c>
      <c r="Z23" s="85"/>
      <c r="AA23" s="144"/>
      <c r="AB23" s="85"/>
      <c r="AC23" s="142"/>
      <c r="AD23" s="85"/>
      <c r="AE23" s="142" t="n">
        <v>0</v>
      </c>
      <c r="AF23" s="145"/>
      <c r="AG23" s="146"/>
      <c r="AH23" s="142" t="n">
        <v>25.5</v>
      </c>
      <c r="AI23" s="85" t="n">
        <f aca="false">AI22-AH23</f>
        <v>3857.74923115706</v>
      </c>
      <c r="AJ23" s="85"/>
      <c r="AK23" s="142" t="n">
        <f aca="false">N23+O23+P23+Q23+R23+S23+T23+U23+X23+AE23+AH23</f>
        <v>227.52</v>
      </c>
      <c r="AL23" s="142" t="n">
        <f aca="false">IF(L23&lt;0,L23*-1,0)</f>
        <v>6.17372321653642</v>
      </c>
      <c r="AM23" s="142" t="n">
        <f aca="false">AK23+AL23</f>
        <v>233.693723216536</v>
      </c>
      <c r="AN23" s="147" t="n">
        <f aca="false">V23</f>
        <v>199</v>
      </c>
      <c r="AO23" s="103"/>
      <c r="AP23" s="107"/>
      <c r="AQ23" s="107"/>
      <c r="AR23" s="107"/>
      <c r="AS23" s="107"/>
      <c r="AU23" s="5"/>
      <c r="AV23" s="108" t="n">
        <v>0</v>
      </c>
      <c r="AW23" s="109" t="n">
        <v>65</v>
      </c>
      <c r="AX23" s="150" t="n">
        <v>32</v>
      </c>
      <c r="AY23" s="150"/>
      <c r="AZ23" s="110" t="n">
        <f aca="false">SUM(N23,P23:U23)</f>
        <v>3.02</v>
      </c>
      <c r="BA23" s="0" t="n">
        <v>0.2</v>
      </c>
      <c r="BB23" s="149" t="n">
        <v>15473</v>
      </c>
    </row>
    <row r="24" customFormat="false" ht="12.95" hidden="false" customHeight="true" outlineLevel="0" collapsed="false">
      <c r="A24" s="10" t="n">
        <f aca="false">A23+1</f>
        <v>10</v>
      </c>
      <c r="B24" s="134" t="n">
        <v>6868.25</v>
      </c>
      <c r="C24" s="96" t="n">
        <v>183202</v>
      </c>
      <c r="D24" s="135" t="n">
        <f aca="false">C24-C23</f>
        <v>-391</v>
      </c>
      <c r="E24" s="96" t="n">
        <f aca="false">C24-152000</f>
        <v>31202</v>
      </c>
      <c r="F24" s="136" t="n">
        <f aca="false">D24/$D$2</f>
        <v>-197.126291908243</v>
      </c>
      <c r="G24" s="11" t="n">
        <v>88</v>
      </c>
      <c r="H24" s="12" t="n">
        <v>0</v>
      </c>
      <c r="I24" s="11" t="n">
        <f aca="false">G24+H24</f>
        <v>88</v>
      </c>
      <c r="J24" s="4" t="n">
        <f aca="false">IF(L24&gt;0,L24,0)</f>
        <v>0</v>
      </c>
      <c r="K24" s="11" t="n">
        <f aca="false">I24+J24</f>
        <v>88</v>
      </c>
      <c r="L24" s="11" t="n">
        <f aca="false">F24-(I24-AK24)</f>
        <v>-87.406291908243</v>
      </c>
      <c r="M24" s="137" t="n">
        <v>3.22</v>
      </c>
      <c r="N24" s="138" t="n">
        <v>0</v>
      </c>
      <c r="O24" s="138" t="n">
        <f aca="false">1.47*1.05</f>
        <v>1.5435</v>
      </c>
      <c r="P24" s="99" t="n">
        <v>0</v>
      </c>
      <c r="Q24" s="139" t="n">
        <f aca="false">913500/325851/1.9835*1.02</f>
        <v>1.44164211349877</v>
      </c>
      <c r="R24" s="139" t="n">
        <f aca="false">(2*1.04)-T24</f>
        <v>1.52317776</v>
      </c>
      <c r="S24" s="139" t="n">
        <v>0</v>
      </c>
      <c r="T24" s="141" t="n">
        <f aca="false">(0.5051*1.06)*1.04</f>
        <v>0.55682224</v>
      </c>
      <c r="U24" s="102" t="n">
        <f aca="false">M24-(Q24+R24+S24+T24)</f>
        <v>-0.301642113498767</v>
      </c>
      <c r="V24" s="142" t="n">
        <v>169</v>
      </c>
      <c r="W24" s="142" t="n">
        <v>0</v>
      </c>
      <c r="X24" s="143" t="n">
        <f aca="false">M24-N24-O24-P24-Q24-R24-S24-T24-U24+V24+W24-AU24+AR24</f>
        <v>167.4565</v>
      </c>
      <c r="Y24" s="144" t="n">
        <f aca="false">X24-AO24</f>
        <v>167.4565</v>
      </c>
      <c r="Z24" s="85"/>
      <c r="AA24" s="144"/>
      <c r="AB24" s="85"/>
      <c r="AC24" s="142"/>
      <c r="AD24" s="85"/>
      <c r="AE24" s="142" t="n">
        <v>0</v>
      </c>
      <c r="AF24" s="145"/>
      <c r="AG24" s="146"/>
      <c r="AH24" s="142" t="n">
        <v>25.5</v>
      </c>
      <c r="AI24" s="85" t="n">
        <f aca="false">AI23-AH24</f>
        <v>3832.24923115706</v>
      </c>
      <c r="AJ24" s="85"/>
      <c r="AK24" s="142" t="n">
        <f aca="false">N24+O24+P24+Q24+R24+S24+T24+U24+X24+AE24+AH24</f>
        <v>197.72</v>
      </c>
      <c r="AL24" s="142" t="n">
        <f aca="false">IF(L24&lt;0,L24*-1,0)</f>
        <v>87.406291908243</v>
      </c>
      <c r="AM24" s="142" t="n">
        <f aca="false">AK24+AL24</f>
        <v>285.126291908243</v>
      </c>
      <c r="AN24" s="147" t="n">
        <f aca="false">V24</f>
        <v>169</v>
      </c>
      <c r="AO24" s="103"/>
      <c r="AP24" s="107"/>
      <c r="AQ24" s="107"/>
      <c r="AR24" s="107"/>
      <c r="AS24" s="107"/>
      <c r="AU24" s="5"/>
      <c r="AV24" s="108" t="n">
        <v>0</v>
      </c>
      <c r="AW24" s="109" t="n">
        <v>65</v>
      </c>
      <c r="AX24" s="109" t="n">
        <v>29</v>
      </c>
      <c r="AY24" s="109"/>
      <c r="AZ24" s="110" t="n">
        <f aca="false">SUM(N24,P24:U24)</f>
        <v>3.22</v>
      </c>
      <c r="BA24" s="0" t="n">
        <v>0.2</v>
      </c>
      <c r="BB24" s="149" t="n">
        <v>15465</v>
      </c>
    </row>
    <row r="25" customFormat="false" ht="12.75" hidden="false" customHeight="true" outlineLevel="0" collapsed="false">
      <c r="A25" s="10" t="n">
        <f aca="false">A24+1</f>
        <v>11</v>
      </c>
      <c r="B25" s="134" t="n">
        <v>6868.24</v>
      </c>
      <c r="C25" s="96" t="n">
        <v>183176</v>
      </c>
      <c r="D25" s="135" t="n">
        <f aca="false">C25-C24</f>
        <v>-26</v>
      </c>
      <c r="E25" s="96" t="n">
        <f aca="false">C25-152000</f>
        <v>31176</v>
      </c>
      <c r="F25" s="136" t="n">
        <f aca="false">D25/$D$2</f>
        <v>-13.1081421729266</v>
      </c>
      <c r="G25" s="11" t="n">
        <v>85</v>
      </c>
      <c r="H25" s="12" t="n">
        <v>0</v>
      </c>
      <c r="I25" s="11" t="n">
        <f aca="false">G25+H25</f>
        <v>85</v>
      </c>
      <c r="J25" s="4" t="n">
        <f aca="false">IF(L25&gt;0,L25,0)</f>
        <v>16.2118578270733</v>
      </c>
      <c r="K25" s="11" t="n">
        <f aca="false">I25+J25</f>
        <v>101.211857827073</v>
      </c>
      <c r="L25" s="11" t="n">
        <f aca="false">F25-(I25-AK25)</f>
        <v>16.2118578270733</v>
      </c>
      <c r="M25" s="137" t="n">
        <v>3.22</v>
      </c>
      <c r="N25" s="138" t="n">
        <v>0</v>
      </c>
      <c r="O25" s="138" t="n">
        <f aca="false">2.27*1.05</f>
        <v>2.3835</v>
      </c>
      <c r="P25" s="99" t="n">
        <v>0</v>
      </c>
      <c r="Q25" s="139" t="n">
        <f aca="false">1121700/325851/1.9835*1.02</f>
        <v>1.77021341949816</v>
      </c>
      <c r="R25" s="139" t="n">
        <f aca="false">(2*1.04)-T25</f>
        <v>1.52317776</v>
      </c>
      <c r="S25" s="139" t="n">
        <v>0</v>
      </c>
      <c r="T25" s="141" t="n">
        <f aca="false">(0.5051*1.06)*1.04</f>
        <v>0.55682224</v>
      </c>
      <c r="U25" s="102" t="n">
        <f aca="false">M25-(Q25+R25+S25+T25)</f>
        <v>-0.630213419498158</v>
      </c>
      <c r="V25" s="142" t="n">
        <v>85.6</v>
      </c>
      <c r="W25" s="142" t="n">
        <v>0</v>
      </c>
      <c r="X25" s="143" t="n">
        <f aca="false">M25-N25-O25-P25-Q25-R25-S25-T25-U25+V25+W25-AU25+AR25</f>
        <v>83.2165</v>
      </c>
      <c r="Y25" s="144" t="n">
        <f aca="false">X25-AO25</f>
        <v>83.2165</v>
      </c>
      <c r="Z25" s="85"/>
      <c r="AA25" s="144"/>
      <c r="AB25" s="85"/>
      <c r="AC25" s="142"/>
      <c r="AD25" s="85"/>
      <c r="AE25" s="142" t="n">
        <v>0</v>
      </c>
      <c r="AF25" s="145"/>
      <c r="AG25" s="146"/>
      <c r="AH25" s="142" t="n">
        <v>25.5</v>
      </c>
      <c r="AI25" s="85" t="n">
        <f aca="false">AI24-AH25</f>
        <v>3806.74923115706</v>
      </c>
      <c r="AJ25" s="85"/>
      <c r="AK25" s="142" t="n">
        <f aca="false">N25+O25+P25+Q25+R25+S25+T25+U25+X25+AE25+AH25</f>
        <v>114.32</v>
      </c>
      <c r="AL25" s="142" t="n">
        <f aca="false">IF(L25&lt;0,L25*-1,0)</f>
        <v>0</v>
      </c>
      <c r="AM25" s="142" t="n">
        <f aca="false">AK25+AL25</f>
        <v>114.32</v>
      </c>
      <c r="AN25" s="147" t="n">
        <f aca="false">V25</f>
        <v>85.6</v>
      </c>
      <c r="AO25" s="103"/>
      <c r="AP25" s="107"/>
      <c r="AQ25" s="107"/>
      <c r="AR25" s="107"/>
      <c r="AS25" s="107"/>
      <c r="AU25" s="5"/>
      <c r="AV25" s="108" t="n">
        <v>0</v>
      </c>
      <c r="AW25" s="109" t="n">
        <v>60</v>
      </c>
      <c r="AX25" s="109" t="n">
        <v>24</v>
      </c>
      <c r="AY25" s="109"/>
      <c r="AZ25" s="110" t="n">
        <f aca="false">SUM(N25,P25:U25)</f>
        <v>3.22</v>
      </c>
      <c r="BA25" s="0" t="n">
        <v>0.2</v>
      </c>
      <c r="BB25" s="149" t="n">
        <v>15464</v>
      </c>
    </row>
    <row r="26" customFormat="false" ht="12.95" hidden="false" customHeight="true" outlineLevel="0" collapsed="false">
      <c r="A26" s="10" t="n">
        <f aca="false">A25+1</f>
        <v>12</v>
      </c>
      <c r="B26" s="134" t="n">
        <v>6868.21</v>
      </c>
      <c r="C26" s="96" t="n">
        <v>183098</v>
      </c>
      <c r="D26" s="135" t="n">
        <f aca="false">C26-C25</f>
        <v>-78</v>
      </c>
      <c r="E26" s="96" t="n">
        <f aca="false">C26-152000</f>
        <v>31098</v>
      </c>
      <c r="F26" s="136" t="n">
        <f aca="false">D26/$D$2</f>
        <v>-39.3244265187799</v>
      </c>
      <c r="G26" s="11" t="n">
        <v>84</v>
      </c>
      <c r="H26" s="12" t="n">
        <v>0</v>
      </c>
      <c r="I26" s="11" t="n">
        <f aca="false">G26+H26</f>
        <v>84</v>
      </c>
      <c r="J26" s="4" t="n">
        <f aca="false">IF(L26&gt;0,L26,0)</f>
        <v>0</v>
      </c>
      <c r="K26" s="11" t="n">
        <f aca="false">I26+J26</f>
        <v>84</v>
      </c>
      <c r="L26" s="11" t="n">
        <f aca="false">F26-(I26-AK26)</f>
        <v>-9.00442651877994</v>
      </c>
      <c r="M26" s="137" t="n">
        <v>3.22</v>
      </c>
      <c r="N26" s="138" t="n">
        <v>0</v>
      </c>
      <c r="O26" s="138" t="n">
        <f aca="false">0*1.05</f>
        <v>0</v>
      </c>
      <c r="P26" s="99" t="n">
        <v>0</v>
      </c>
      <c r="Q26" s="139" t="n">
        <f aca="false">849400/325851/1.9835*1.02</f>
        <v>1.34048255194948</v>
      </c>
      <c r="R26" s="139" t="n">
        <f aca="false">(2*1.04)-T26</f>
        <v>1.52317776</v>
      </c>
      <c r="S26" s="139" t="n">
        <v>0</v>
      </c>
      <c r="T26" s="141" t="n">
        <f aca="false">(0.5051*1.06)*1.04</f>
        <v>0.55682224</v>
      </c>
      <c r="U26" s="102" t="n">
        <f aca="false">M26-(Q26+R26+S26+T26)</f>
        <v>-0.200482551949483</v>
      </c>
      <c r="V26" s="142" t="n">
        <v>85.6</v>
      </c>
      <c r="W26" s="142" t="n">
        <v>0</v>
      </c>
      <c r="X26" s="143" t="n">
        <f aca="false">M26-N26-O26-P26-Q26-R26-S26-T26-U26+V26+W26-AU26+AR26</f>
        <v>85.6</v>
      </c>
      <c r="Y26" s="144" t="n">
        <f aca="false">X26-AO26</f>
        <v>85.6</v>
      </c>
      <c r="Z26" s="85"/>
      <c r="AA26" s="144"/>
      <c r="AB26" s="85"/>
      <c r="AC26" s="142"/>
      <c r="AD26" s="85"/>
      <c r="AE26" s="142" t="n">
        <v>0</v>
      </c>
      <c r="AF26" s="145"/>
      <c r="AG26" s="146"/>
      <c r="AH26" s="142" t="n">
        <v>25.5</v>
      </c>
      <c r="AI26" s="85" t="n">
        <f aca="false">AI25-AH26</f>
        <v>3781.24923115706</v>
      </c>
      <c r="AJ26" s="85"/>
      <c r="AK26" s="142" t="n">
        <f aca="false">N26+O26+P26+Q26+R26+S26+T26+U26+X26+AE26+AH26</f>
        <v>114.32</v>
      </c>
      <c r="AL26" s="142" t="n">
        <f aca="false">IF(L26&lt;0,L26*-1,0)</f>
        <v>9.00442651877994</v>
      </c>
      <c r="AM26" s="142" t="n">
        <f aca="false">AK26+AL26</f>
        <v>123.32442651878</v>
      </c>
      <c r="AN26" s="147" t="n">
        <f aca="false">V26</f>
        <v>85.6</v>
      </c>
      <c r="AO26" s="103"/>
      <c r="AP26" s="107"/>
      <c r="AQ26" s="107"/>
      <c r="AR26" s="107"/>
      <c r="AS26" s="107"/>
      <c r="AU26" s="5"/>
      <c r="AV26" s="108" t="n">
        <v>0</v>
      </c>
      <c r="AW26" s="109" t="n">
        <v>56</v>
      </c>
      <c r="AX26" s="109" t="n">
        <v>35</v>
      </c>
      <c r="AY26" s="109"/>
      <c r="AZ26" s="110" t="n">
        <f aca="false">SUM(N26,P26:U26)</f>
        <v>3.22</v>
      </c>
      <c r="BA26" s="0" t="n">
        <v>0.2</v>
      </c>
      <c r="BB26" s="149" t="n">
        <v>15463</v>
      </c>
    </row>
    <row r="27" customFormat="false" ht="12.95" hidden="false" customHeight="true" outlineLevel="0" collapsed="false">
      <c r="A27" s="10" t="n">
        <f aca="false">A26+1</f>
        <v>13</v>
      </c>
      <c r="B27" s="134" t="n">
        <v>6868.16</v>
      </c>
      <c r="C27" s="96" t="n">
        <v>182967</v>
      </c>
      <c r="D27" s="135" t="n">
        <f aca="false">C27-C26</f>
        <v>-131</v>
      </c>
      <c r="E27" s="96" t="n">
        <f aca="false">C27-152000</f>
        <v>30967</v>
      </c>
      <c r="F27" s="136" t="n">
        <f aca="false">D27/$D$2</f>
        <v>-66.0448701789766</v>
      </c>
      <c r="G27" s="11" t="n">
        <v>85</v>
      </c>
      <c r="H27" s="12" t="n">
        <v>0</v>
      </c>
      <c r="I27" s="11" t="n">
        <f aca="false">G27+H27</f>
        <v>85</v>
      </c>
      <c r="J27" s="4" t="n">
        <f aca="false">IF(L27&gt;0,L27,0)</f>
        <v>0</v>
      </c>
      <c r="K27" s="11" t="n">
        <f aca="false">I27+J27</f>
        <v>85</v>
      </c>
      <c r="L27" s="11" t="n">
        <f aca="false">F27-(I27-AK27)</f>
        <v>-43.9248701789766</v>
      </c>
      <c r="M27" s="137" t="n">
        <v>3.22</v>
      </c>
      <c r="N27" s="138" t="n">
        <v>0</v>
      </c>
      <c r="O27" s="138" t="n">
        <f aca="false">0*1.05</f>
        <v>0</v>
      </c>
      <c r="P27" s="99" t="n">
        <v>0</v>
      </c>
      <c r="Q27" s="139" t="n">
        <f aca="false">874600/325851/1.9835*1.02</f>
        <v>1.38025198956324</v>
      </c>
      <c r="R27" s="139" t="n">
        <f aca="false">(2*1.04)-T27</f>
        <v>1.52317776</v>
      </c>
      <c r="S27" s="139" t="n">
        <v>0</v>
      </c>
      <c r="T27" s="141" t="n">
        <f aca="false">(0.5051*1.06)*1.04</f>
        <v>0.55682224</v>
      </c>
      <c r="U27" s="102" t="n">
        <f aca="false">M27-(Q27+R27+S27+T27)</f>
        <v>-0.240251989563242</v>
      </c>
      <c r="V27" s="142" t="n">
        <v>78.4</v>
      </c>
      <c r="W27" s="142" t="n">
        <v>0</v>
      </c>
      <c r="X27" s="143" t="n">
        <f aca="false">M27-N27-O27-P27-Q27-R27-S27-T27-U27+V27+W27-AU27+AR27</f>
        <v>78.4</v>
      </c>
      <c r="Y27" s="144" t="n">
        <f aca="false">X27-AO27</f>
        <v>78.4</v>
      </c>
      <c r="Z27" s="85"/>
      <c r="AA27" s="144"/>
      <c r="AB27" s="85"/>
      <c r="AC27" s="142"/>
      <c r="AD27" s="85"/>
      <c r="AE27" s="142" t="n">
        <v>0</v>
      </c>
      <c r="AF27" s="145"/>
      <c r="AG27" s="146"/>
      <c r="AH27" s="142" t="n">
        <v>25.5</v>
      </c>
      <c r="AI27" s="85" t="n">
        <f aca="false">AI26-AH27</f>
        <v>3755.74923115706</v>
      </c>
      <c r="AJ27" s="85"/>
      <c r="AK27" s="142" t="n">
        <f aca="false">N27+O27+P27+Q27+R27+S27+T27+U27+X27+AE27+AH27</f>
        <v>107.12</v>
      </c>
      <c r="AL27" s="142" t="n">
        <f aca="false">IF(L27&lt;0,L27*-1,0)</f>
        <v>43.9248701789766</v>
      </c>
      <c r="AM27" s="142" t="n">
        <f aca="false">AK27+AL27</f>
        <v>151.044870178977</v>
      </c>
      <c r="AN27" s="147" t="n">
        <f aca="false">V27</f>
        <v>78.4</v>
      </c>
      <c r="AO27" s="103"/>
      <c r="AP27" s="107"/>
      <c r="AQ27" s="107"/>
      <c r="AR27" s="107"/>
      <c r="AS27" s="107"/>
      <c r="AU27" s="5"/>
      <c r="AV27" s="108" t="n">
        <v>0</v>
      </c>
      <c r="AW27" s="109" t="n">
        <v>51</v>
      </c>
      <c r="AX27" s="109" t="n">
        <v>34</v>
      </c>
      <c r="AY27" s="109"/>
      <c r="AZ27" s="110" t="n">
        <f aca="false">SUM(N27,P27:U27)</f>
        <v>3.22</v>
      </c>
      <c r="BA27" s="0" t="n">
        <v>0.2</v>
      </c>
      <c r="BB27" s="149" t="n">
        <v>15466</v>
      </c>
    </row>
    <row r="28" customFormat="false" ht="12.95" hidden="false" customHeight="true" outlineLevel="0" collapsed="false">
      <c r="A28" s="10" t="n">
        <f aca="false">A27+1</f>
        <v>14</v>
      </c>
      <c r="B28" s="134" t="n">
        <v>6868.2</v>
      </c>
      <c r="C28" s="96" t="n">
        <v>183072</v>
      </c>
      <c r="D28" s="135" t="n">
        <f aca="false">C28-C27</f>
        <v>105</v>
      </c>
      <c r="E28" s="96" t="n">
        <f aca="false">C28-152000</f>
        <v>31072</v>
      </c>
      <c r="F28" s="136" t="n">
        <f aca="false">D28/$D$2</f>
        <v>52.9367280060499</v>
      </c>
      <c r="G28" s="11" t="n">
        <v>93</v>
      </c>
      <c r="H28" s="12" t="n">
        <v>0</v>
      </c>
      <c r="I28" s="11" t="n">
        <f aca="false">G28+H28</f>
        <v>93</v>
      </c>
      <c r="J28" s="4" t="n">
        <f aca="false">IF(L28&gt;0,L28,0)</f>
        <v>63.9667280060499</v>
      </c>
      <c r="K28" s="11" t="n">
        <f aca="false">I28+J28</f>
        <v>156.96672800605</v>
      </c>
      <c r="L28" s="11" t="n">
        <f aca="false">F28-(I28-AK28)</f>
        <v>63.9667280060499</v>
      </c>
      <c r="M28" s="137" t="n">
        <v>3.13</v>
      </c>
      <c r="N28" s="138" t="n">
        <v>0</v>
      </c>
      <c r="O28" s="138" t="n">
        <f aca="false">0*1.05</f>
        <v>0</v>
      </c>
      <c r="P28" s="99" t="n">
        <v>0</v>
      </c>
      <c r="Q28" s="139" t="n">
        <f aca="false">766400/325851/1.9835*1.02</f>
        <v>1.20949591218988</v>
      </c>
      <c r="R28" s="139" t="n">
        <f aca="false">(2*1.04)-T28</f>
        <v>1.57631344</v>
      </c>
      <c r="S28" s="139" t="n">
        <v>0</v>
      </c>
      <c r="T28" s="141" t="n">
        <f aca="false">(0.4569*1.06)*1.04</f>
        <v>0.50368656</v>
      </c>
      <c r="U28" s="102" t="n">
        <f aca="false">M28-(Q28+R28+S28+T28)</f>
        <v>-0.159495912189881</v>
      </c>
      <c r="V28" s="142" t="n">
        <v>75.1</v>
      </c>
      <c r="W28" s="142" t="n">
        <v>0</v>
      </c>
      <c r="X28" s="143" t="n">
        <f aca="false">M28-N28-O28-P28-Q28-R28-S28-T28-U28+V28+W28-AU28+AR28</f>
        <v>75.1</v>
      </c>
      <c r="Y28" s="144" t="n">
        <f aca="false">X28-AO28</f>
        <v>75.1</v>
      </c>
      <c r="Z28" s="85"/>
      <c r="AA28" s="144"/>
      <c r="AB28" s="85"/>
      <c r="AC28" s="142"/>
      <c r="AD28" s="85"/>
      <c r="AE28" s="142" t="n">
        <v>0</v>
      </c>
      <c r="AF28" s="145"/>
      <c r="AG28" s="146"/>
      <c r="AH28" s="142" t="n">
        <v>25.8</v>
      </c>
      <c r="AI28" s="85" t="n">
        <f aca="false">AI27-AH28</f>
        <v>3729.94923115706</v>
      </c>
      <c r="AJ28" s="85"/>
      <c r="AK28" s="142" t="n">
        <f aca="false">N28+O28+P28+Q28+R28+S28+T28+U28+X28+AE28+AH28</f>
        <v>104.03</v>
      </c>
      <c r="AL28" s="142" t="n">
        <f aca="false">IF(L28&lt;0,L28*-1,0)</f>
        <v>0</v>
      </c>
      <c r="AM28" s="142" t="n">
        <f aca="false">AK28+AL28</f>
        <v>104.03</v>
      </c>
      <c r="AN28" s="147" t="n">
        <f aca="false">V28</f>
        <v>75.1</v>
      </c>
      <c r="AO28" s="103"/>
      <c r="AP28" s="107"/>
      <c r="AQ28" s="107"/>
      <c r="AR28" s="107"/>
      <c r="AS28" s="107"/>
      <c r="AU28" s="5"/>
      <c r="AV28" s="108" t="n">
        <v>0.35</v>
      </c>
      <c r="AW28" s="109" t="n">
        <v>47</v>
      </c>
      <c r="AX28" s="109" t="n">
        <v>32</v>
      </c>
      <c r="AY28" s="109"/>
      <c r="AZ28" s="110" t="n">
        <f aca="false">SUM(N28,P28:U28)</f>
        <v>3.13</v>
      </c>
      <c r="BA28" s="0" t="n">
        <v>0.2</v>
      </c>
      <c r="BB28" s="149" t="n">
        <v>15493</v>
      </c>
    </row>
    <row r="29" customFormat="false" ht="12.95" hidden="false" customHeight="true" outlineLevel="0" collapsed="false">
      <c r="A29" s="10" t="n">
        <f aca="false">A28+1</f>
        <v>15</v>
      </c>
      <c r="B29" s="134" t="n">
        <v>6868.18</v>
      </c>
      <c r="C29" s="96" t="n">
        <v>183019</v>
      </c>
      <c r="D29" s="135" t="n">
        <f aca="false">C29-C28</f>
        <v>-53</v>
      </c>
      <c r="E29" s="96" t="n">
        <f aca="false">C29-152000</f>
        <v>31019</v>
      </c>
      <c r="F29" s="136" t="n">
        <f aca="false">D29/$D$2</f>
        <v>-26.7204436601966</v>
      </c>
      <c r="G29" s="11" t="n">
        <v>101</v>
      </c>
      <c r="H29" s="12" t="n">
        <v>0</v>
      </c>
      <c r="I29" s="11" t="n">
        <f aca="false">G29+H29</f>
        <v>101</v>
      </c>
      <c r="J29" s="4" t="n">
        <f aca="false">IF(L29&gt;0,L29,0)</f>
        <v>0</v>
      </c>
      <c r="K29" s="11" t="n">
        <f aca="false">I29+J29</f>
        <v>101</v>
      </c>
      <c r="L29" s="11" t="n">
        <f aca="false">F29-(I29-AK29)</f>
        <v>-24.2204436601966</v>
      </c>
      <c r="M29" s="137" t="n">
        <v>2.9</v>
      </c>
      <c r="N29" s="138" t="n">
        <v>0</v>
      </c>
      <c r="O29" s="138" t="n">
        <f aca="false">0*1.05</f>
        <v>0</v>
      </c>
      <c r="P29" s="99" t="n">
        <v>0</v>
      </c>
      <c r="Q29" s="139" t="n">
        <f aca="false">926500/325851/1.9835*1.02</f>
        <v>1.46215809322015</v>
      </c>
      <c r="R29" s="139" t="n">
        <f aca="false">(2*1.04)-T29</f>
        <v>1.57631344</v>
      </c>
      <c r="S29" s="139" t="n">
        <v>0</v>
      </c>
      <c r="T29" s="141" t="n">
        <f aca="false">(0.4569*1.06)*1.04</f>
        <v>0.50368656</v>
      </c>
      <c r="U29" s="102" t="n">
        <f aca="false">M29-(Q29+R29+S29+T29)</f>
        <v>-0.642158093220151</v>
      </c>
      <c r="V29" s="142" t="n">
        <v>75.1</v>
      </c>
      <c r="W29" s="142" t="n">
        <v>0</v>
      </c>
      <c r="X29" s="143" t="n">
        <f aca="false">M29-N29-O29-P29-Q29-R29-S29-T29-U29+V29+W29-AU29+AR29</f>
        <v>75.1</v>
      </c>
      <c r="Y29" s="144" t="n">
        <f aca="false">X29-AO29</f>
        <v>75.1</v>
      </c>
      <c r="Z29" s="85"/>
      <c r="AA29" s="144"/>
      <c r="AB29" s="85"/>
      <c r="AC29" s="142"/>
      <c r="AD29" s="85"/>
      <c r="AE29" s="142" t="n">
        <v>0</v>
      </c>
      <c r="AF29" s="145"/>
      <c r="AG29" s="146"/>
      <c r="AH29" s="142" t="n">
        <v>25.5</v>
      </c>
      <c r="AI29" s="85" t="n">
        <f aca="false">AI28-AH29</f>
        <v>3704.44923115706</v>
      </c>
      <c r="AJ29" s="85"/>
      <c r="AK29" s="142" t="n">
        <f aca="false">N29+O29+P29+Q29+R29+S29+T29+U29+X29+AE29+AH29</f>
        <v>103.5</v>
      </c>
      <c r="AL29" s="142" t="n">
        <f aca="false">IF(L29&lt;0,L29*-1,0)</f>
        <v>24.2204436601966</v>
      </c>
      <c r="AM29" s="142" t="n">
        <f aca="false">AK29+AL29</f>
        <v>127.720443660197</v>
      </c>
      <c r="AN29" s="147" t="n">
        <f aca="false">V29</f>
        <v>75.1</v>
      </c>
      <c r="AO29" s="103"/>
      <c r="AP29" s="107"/>
      <c r="AQ29" s="107"/>
      <c r="AR29" s="107"/>
      <c r="AS29" s="107"/>
      <c r="AU29" s="5"/>
      <c r="AV29" s="108" t="n">
        <v>0.15</v>
      </c>
      <c r="AW29" s="109" t="n">
        <v>50</v>
      </c>
      <c r="AX29" s="109" t="n">
        <v>30</v>
      </c>
      <c r="AY29" s="109"/>
      <c r="AZ29" s="110" t="n">
        <f aca="false">SUM(N29,P29:U29)</f>
        <v>2.9</v>
      </c>
      <c r="BA29" s="0" t="n">
        <v>0.2</v>
      </c>
      <c r="BB29" s="149" t="n">
        <v>15517</v>
      </c>
    </row>
    <row r="30" customFormat="false" ht="12.95" hidden="false" customHeight="true" outlineLevel="0" collapsed="false">
      <c r="A30" s="10" t="n">
        <f aca="false">A29+1</f>
        <v>16</v>
      </c>
      <c r="B30" s="134" t="n">
        <v>6868.17</v>
      </c>
      <c r="C30" s="96" t="n">
        <v>182993</v>
      </c>
      <c r="D30" s="135" t="n">
        <f aca="false">C30-C29</f>
        <v>-26</v>
      </c>
      <c r="E30" s="96" t="n">
        <f aca="false">C30-152000</f>
        <v>30993</v>
      </c>
      <c r="F30" s="136" t="n">
        <f aca="false">D30/$D$2</f>
        <v>-13.1081421729266</v>
      </c>
      <c r="G30" s="11" t="n">
        <v>96</v>
      </c>
      <c r="H30" s="12" t="n">
        <v>0</v>
      </c>
      <c r="I30" s="11" t="n">
        <f aca="false">G30+H30</f>
        <v>96</v>
      </c>
      <c r="J30" s="4" t="n">
        <f aca="false">IF(L30&gt;0,L30,0)</f>
        <v>0</v>
      </c>
      <c r="K30" s="11" t="n">
        <f aca="false">I30+J30</f>
        <v>96</v>
      </c>
      <c r="L30" s="11" t="n">
        <f aca="false">F30-(I30-AK30)</f>
        <v>-5.50814217292665</v>
      </c>
      <c r="M30" s="137" t="n">
        <v>2.9</v>
      </c>
      <c r="N30" s="138" t="n">
        <v>0</v>
      </c>
      <c r="O30" s="138" t="n">
        <f aca="false">0*1.05</f>
        <v>0</v>
      </c>
      <c r="P30" s="99" t="n">
        <v>0</v>
      </c>
      <c r="Q30" s="139" t="n">
        <f aca="false">920100/325851/1.9835*1.02</f>
        <v>1.45205791858809</v>
      </c>
      <c r="R30" s="139" t="n">
        <f aca="false">(1.9*1.04)-T30</f>
        <v>1.47231344</v>
      </c>
      <c r="S30" s="139" t="n">
        <v>0</v>
      </c>
      <c r="T30" s="141" t="n">
        <f aca="false">(0.4569*1.06)*1.04</f>
        <v>0.50368656</v>
      </c>
      <c r="U30" s="102" t="n">
        <f aca="false">M30-(Q30+R30+S30+T30)</f>
        <v>-0.528057918588086</v>
      </c>
      <c r="V30" s="142" t="n">
        <v>75.1</v>
      </c>
      <c r="W30" s="142" t="n">
        <v>0</v>
      </c>
      <c r="X30" s="143" t="n">
        <f aca="false">M30-N30-O30-P30-Q30-R30-S30-T30-U30+V30+W30-AU30+AR30</f>
        <v>75.1</v>
      </c>
      <c r="Y30" s="144" t="n">
        <f aca="false">X30-AO30</f>
        <v>75.1</v>
      </c>
      <c r="Z30" s="85"/>
      <c r="AA30" s="144"/>
      <c r="AB30" s="85"/>
      <c r="AC30" s="142"/>
      <c r="AD30" s="85"/>
      <c r="AE30" s="142" t="n">
        <v>0</v>
      </c>
      <c r="AF30" s="145"/>
      <c r="AG30" s="146"/>
      <c r="AH30" s="142" t="n">
        <v>25.6</v>
      </c>
      <c r="AI30" s="85" t="n">
        <f aca="false">AI29-AH30</f>
        <v>3678.84923115706</v>
      </c>
      <c r="AJ30" s="85"/>
      <c r="AK30" s="142" t="n">
        <f aca="false">N30+O30+P30+Q30+R30+S30+T30+U30+X30+AE30+AH30</f>
        <v>103.6</v>
      </c>
      <c r="AL30" s="142" t="n">
        <f aca="false">IF(L30&lt;0,L30*-1,0)</f>
        <v>5.50814217292665</v>
      </c>
      <c r="AM30" s="142" t="n">
        <f aca="false">AK30+AL30</f>
        <v>109.108142172927</v>
      </c>
      <c r="AN30" s="147" t="n">
        <f aca="false">V30</f>
        <v>75.1</v>
      </c>
      <c r="AO30" s="103"/>
      <c r="AP30" s="107"/>
      <c r="AQ30" s="107"/>
      <c r="AR30" s="107"/>
      <c r="AS30" s="107"/>
      <c r="AU30" s="5"/>
      <c r="AV30" s="108" t="n">
        <v>0</v>
      </c>
      <c r="AW30" s="109" t="n">
        <v>34</v>
      </c>
      <c r="AX30" s="109" t="n">
        <v>17</v>
      </c>
      <c r="AY30" s="109"/>
      <c r="AZ30" s="110" t="n">
        <f aca="false">SUM(N30,P30:U30)</f>
        <v>2.9</v>
      </c>
      <c r="BA30" s="0" t="n">
        <v>0.2</v>
      </c>
      <c r="BB30" s="149" t="n">
        <v>15564</v>
      </c>
    </row>
    <row r="31" customFormat="false" ht="12.95" hidden="false" customHeight="true" outlineLevel="0" collapsed="false">
      <c r="A31" s="10" t="n">
        <f aca="false">A30+1</f>
        <v>17</v>
      </c>
      <c r="B31" s="134" t="n">
        <v>6868.11</v>
      </c>
      <c r="C31" s="96" t="n">
        <v>182837</v>
      </c>
      <c r="D31" s="135" t="n">
        <f aca="false">C31-C30</f>
        <v>-156</v>
      </c>
      <c r="E31" s="96" t="n">
        <f aca="false">C31-152000</f>
        <v>30837</v>
      </c>
      <c r="F31" s="136" t="n">
        <f aca="false">D31/$D$2</f>
        <v>-78.6488530375599</v>
      </c>
      <c r="G31" s="11" t="n">
        <v>74</v>
      </c>
      <c r="H31" s="12" t="n">
        <v>0</v>
      </c>
      <c r="I31" s="11" t="n">
        <f aca="false">G31+H31</f>
        <v>74</v>
      </c>
      <c r="J31" s="4" t="n">
        <f aca="false">IF(L31&gt;0,L31,0)</f>
        <v>0</v>
      </c>
      <c r="K31" s="11" t="n">
        <f aca="false">I31+J31</f>
        <v>74</v>
      </c>
      <c r="L31" s="11" t="n">
        <f aca="false">F31-(I31-AK31)</f>
        <v>-49.0488530375599</v>
      </c>
      <c r="M31" s="137" t="n">
        <v>2.9</v>
      </c>
      <c r="N31" s="138" t="n">
        <v>0</v>
      </c>
      <c r="O31" s="138" t="n">
        <f aca="false">0*1.05</f>
        <v>0</v>
      </c>
      <c r="P31" s="99" t="n">
        <v>0</v>
      </c>
      <c r="Q31" s="139" t="n">
        <f aca="false">936700/325851/1.9835*1.02</f>
        <v>1.47825524654001</v>
      </c>
      <c r="R31" s="139" t="n">
        <f aca="false">(2*1.04)-T31</f>
        <v>1.57631344</v>
      </c>
      <c r="S31" s="139" t="n">
        <v>0</v>
      </c>
      <c r="T31" s="141" t="n">
        <f aca="false">(0.4569*1.06)*1.04</f>
        <v>0.50368656</v>
      </c>
      <c r="U31" s="102" t="n">
        <f aca="false">M31-(Q31+R31+S31+T31)</f>
        <v>-0.658255246540006</v>
      </c>
      <c r="V31" s="142" t="n">
        <v>75.1</v>
      </c>
      <c r="W31" s="142" t="n">
        <v>0</v>
      </c>
      <c r="X31" s="143" t="n">
        <f aca="false">M31-N31-O31-P31-Q31-R31-S31-T31-U31+V31+W31-AU31+AR31</f>
        <v>75.1</v>
      </c>
      <c r="Y31" s="144" t="n">
        <f aca="false">X31-AO31</f>
        <v>75.1</v>
      </c>
      <c r="Z31" s="85"/>
      <c r="AA31" s="144"/>
      <c r="AB31" s="85"/>
      <c r="AC31" s="142"/>
      <c r="AD31" s="85"/>
      <c r="AE31" s="142" t="n">
        <v>0</v>
      </c>
      <c r="AF31" s="145"/>
      <c r="AG31" s="146"/>
      <c r="AH31" s="142" t="n">
        <v>25.6</v>
      </c>
      <c r="AI31" s="85" t="n">
        <f aca="false">AI30-AH31</f>
        <v>3653.24923115706</v>
      </c>
      <c r="AJ31" s="85"/>
      <c r="AK31" s="142" t="n">
        <f aca="false">N31+O31+P31+Q31+R31+S31+T31+U31+X31+AE31+AH31</f>
        <v>103.6</v>
      </c>
      <c r="AL31" s="142" t="n">
        <f aca="false">IF(L31&lt;0,L31*-1,0)</f>
        <v>49.0488530375599</v>
      </c>
      <c r="AM31" s="142" t="n">
        <f aca="false">AK31+AL31</f>
        <v>152.64885303756</v>
      </c>
      <c r="AN31" s="147" t="n">
        <f aca="false">V31</f>
        <v>75.1</v>
      </c>
      <c r="AO31" s="103"/>
      <c r="AP31" s="107"/>
      <c r="AQ31" s="107"/>
      <c r="AR31" s="107"/>
      <c r="AS31" s="107"/>
      <c r="AU31" s="5"/>
      <c r="AV31" s="108" t="n">
        <v>0</v>
      </c>
      <c r="AW31" s="109" t="n">
        <v>43</v>
      </c>
      <c r="AX31" s="109" t="n">
        <v>14</v>
      </c>
      <c r="AY31" s="109"/>
      <c r="AZ31" s="110" t="n">
        <f aca="false">SUM(N31,P31:U31)</f>
        <v>2.9</v>
      </c>
      <c r="BA31" s="0" t="n">
        <v>0.2</v>
      </c>
      <c r="BB31" s="149" t="n">
        <v>15564</v>
      </c>
    </row>
    <row r="32" customFormat="false" ht="12.95" hidden="false" customHeight="true" outlineLevel="0" collapsed="false">
      <c r="A32" s="10" t="n">
        <f aca="false">A31+1</f>
        <v>18</v>
      </c>
      <c r="B32" s="134" t="n">
        <v>6868.04</v>
      </c>
      <c r="C32" s="96" t="n">
        <v>182654</v>
      </c>
      <c r="D32" s="135" t="n">
        <f aca="false">C32-C31</f>
        <v>-183</v>
      </c>
      <c r="E32" s="96" t="n">
        <f aca="false">C32-152000</f>
        <v>30654</v>
      </c>
      <c r="F32" s="136" t="n">
        <f aca="false">D32/$D$2</f>
        <v>-92.2611545248298</v>
      </c>
      <c r="G32" s="11" t="n">
        <v>79</v>
      </c>
      <c r="H32" s="12" t="n">
        <v>0</v>
      </c>
      <c r="I32" s="11" t="n">
        <f aca="false">G32+H32</f>
        <v>79</v>
      </c>
      <c r="J32" s="4" t="n">
        <f aca="false">IF(L32&gt;0,L32,0)</f>
        <v>0</v>
      </c>
      <c r="K32" s="11" t="n">
        <f aca="false">I32+J32</f>
        <v>79</v>
      </c>
      <c r="L32" s="11" t="n">
        <f aca="false">F32-(I32-AK32)</f>
        <v>-68.1111545248299</v>
      </c>
      <c r="M32" s="137" t="n">
        <v>3.05</v>
      </c>
      <c r="N32" s="138" t="n">
        <v>0</v>
      </c>
      <c r="O32" s="138" t="n">
        <f aca="false">0*1.05</f>
        <v>0</v>
      </c>
      <c r="P32" s="99" t="n">
        <v>0</v>
      </c>
      <c r="Q32" s="139" t="n">
        <f aca="false">855000/325851/1.9835*1.02</f>
        <v>1.34932020475254</v>
      </c>
      <c r="R32" s="139" t="n">
        <f aca="false">(1.9*1.04)-T32</f>
        <v>1.47231344</v>
      </c>
      <c r="S32" s="139" t="n">
        <v>0</v>
      </c>
      <c r="T32" s="141" t="n">
        <f aca="false">(0.4569*1.06)*1.04</f>
        <v>0.50368656</v>
      </c>
      <c r="U32" s="102" t="n">
        <f aca="false">M32-(Q32+R32+S32+T32)</f>
        <v>-0.275320204752542</v>
      </c>
      <c r="V32" s="142" t="n">
        <v>74.6</v>
      </c>
      <c r="W32" s="142" t="n">
        <v>0</v>
      </c>
      <c r="X32" s="143" t="n">
        <f aca="false">M32-N32-O32-P32-Q32-R32-S32-T32-U32+V32+W32-AU32+AR32</f>
        <v>74.6</v>
      </c>
      <c r="Y32" s="144" t="n">
        <f aca="false">X32-AO32</f>
        <v>74.6</v>
      </c>
      <c r="Z32" s="85"/>
      <c r="AA32" s="144"/>
      <c r="AB32" s="85"/>
      <c r="AC32" s="142"/>
      <c r="AD32" s="85"/>
      <c r="AE32" s="142" t="n">
        <v>0</v>
      </c>
      <c r="AF32" s="145"/>
      <c r="AG32" s="146"/>
      <c r="AH32" s="142" t="n">
        <v>25.5</v>
      </c>
      <c r="AI32" s="85" t="n">
        <f aca="false">AI31-AH32</f>
        <v>3627.74923115706</v>
      </c>
      <c r="AJ32" s="85"/>
      <c r="AK32" s="142" t="n">
        <f aca="false">N32+O32+P32+Q32+R32+S32+T32+U32+X32+AE32+AH32</f>
        <v>103.15</v>
      </c>
      <c r="AL32" s="142" t="n">
        <f aca="false">IF(L32&lt;0,L32*-1,0)</f>
        <v>68.1111545248299</v>
      </c>
      <c r="AM32" s="142" t="n">
        <f aca="false">AK32+AL32</f>
        <v>171.26115452483</v>
      </c>
      <c r="AN32" s="147" t="n">
        <f aca="false">V32</f>
        <v>74.6</v>
      </c>
      <c r="AO32" s="103"/>
      <c r="AP32" s="107"/>
      <c r="AQ32" s="107"/>
      <c r="AR32" s="107"/>
      <c r="AS32" s="107"/>
      <c r="AU32" s="5"/>
      <c r="AV32" s="108" t="n">
        <v>0</v>
      </c>
      <c r="AW32" s="109" t="n">
        <v>47</v>
      </c>
      <c r="AX32" s="109" t="n">
        <v>15</v>
      </c>
      <c r="AY32" s="109"/>
      <c r="AZ32" s="110" t="n">
        <f aca="false">SUM(N32,P32:U32)</f>
        <v>3.05</v>
      </c>
      <c r="BA32" s="0" t="n">
        <v>0.2</v>
      </c>
      <c r="BB32" s="149" t="n">
        <v>15527</v>
      </c>
    </row>
    <row r="33" customFormat="false" ht="12.95" hidden="false" customHeight="true" outlineLevel="0" collapsed="false">
      <c r="A33" s="10" t="n">
        <f aca="false">A32+1</f>
        <v>19</v>
      </c>
      <c r="B33" s="134" t="n">
        <v>6867.99</v>
      </c>
      <c r="C33" s="96" t="n">
        <v>182524</v>
      </c>
      <c r="D33" s="135" t="n">
        <f aca="false">C33-C32</f>
        <v>-130</v>
      </c>
      <c r="E33" s="96" t="n">
        <f aca="false">C33-152000</f>
        <v>30524</v>
      </c>
      <c r="F33" s="136" t="n">
        <f aca="false">D33/$D$2</f>
        <v>-65.5407108646332</v>
      </c>
      <c r="G33" s="11" t="n">
        <v>95</v>
      </c>
      <c r="H33" s="12" t="n">
        <v>0</v>
      </c>
      <c r="I33" s="11" t="n">
        <f aca="false">G33+H33</f>
        <v>95</v>
      </c>
      <c r="J33" s="4" t="n">
        <f aca="false">IF(L33&gt;0,L33,0)</f>
        <v>0</v>
      </c>
      <c r="K33" s="11" t="n">
        <f aca="false">I33+J33</f>
        <v>95</v>
      </c>
      <c r="L33" s="11" t="n">
        <f aca="false">F33-(I33-AK33)</f>
        <v>-57.6207108646332</v>
      </c>
      <c r="M33" s="137" t="n">
        <v>3.22</v>
      </c>
      <c r="N33" s="138" t="n">
        <v>0</v>
      </c>
      <c r="O33" s="138" t="n">
        <f aca="false">0*1.05</f>
        <v>0</v>
      </c>
      <c r="P33" s="99" t="n">
        <v>0</v>
      </c>
      <c r="Q33" s="139" t="n">
        <f aca="false">820800/325851/1.9835*1.02</f>
        <v>1.29534739656244</v>
      </c>
      <c r="R33" s="139" t="n">
        <f aca="false">(2*1.04)-T33</f>
        <v>1.57631344</v>
      </c>
      <c r="S33" s="139" t="n">
        <v>0</v>
      </c>
      <c r="T33" s="141" t="n">
        <f aca="false">(0.4569*1.06)*1.04</f>
        <v>0.50368656</v>
      </c>
      <c r="U33" s="102" t="n">
        <f aca="false">M33-(Q33+R33+S33+T33)</f>
        <v>-0.155347396562439</v>
      </c>
      <c r="V33" s="142" t="n">
        <v>74.2</v>
      </c>
      <c r="W33" s="142" t="n">
        <v>0</v>
      </c>
      <c r="X33" s="143" t="n">
        <f aca="false">M33-N33-O33-P33-Q33-R33-S33-T33-U33+V33+W33-AU33+AR33</f>
        <v>74.2</v>
      </c>
      <c r="Y33" s="144" t="n">
        <f aca="false">X33-AO33</f>
        <v>74.2</v>
      </c>
      <c r="Z33" s="85"/>
      <c r="AA33" s="144"/>
      <c r="AB33" s="85"/>
      <c r="AC33" s="142"/>
      <c r="AD33" s="85"/>
      <c r="AE33" s="142" t="n">
        <v>0</v>
      </c>
      <c r="AF33" s="145"/>
      <c r="AG33" s="146"/>
      <c r="AH33" s="142" t="n">
        <v>25.5</v>
      </c>
      <c r="AI33" s="85" t="n">
        <f aca="false">AI32-AH33</f>
        <v>3602.24923115706</v>
      </c>
      <c r="AJ33" s="85"/>
      <c r="AK33" s="142" t="n">
        <f aca="false">N33+O33+P33+Q33+R33+S33+T33+U33+X33+AE33+AH33</f>
        <v>102.92</v>
      </c>
      <c r="AL33" s="142" t="n">
        <f aca="false">IF(L33&lt;0,L33*-1,0)</f>
        <v>57.6207108646332</v>
      </c>
      <c r="AM33" s="142" t="n">
        <f aca="false">AK33+AL33</f>
        <v>160.540710864633</v>
      </c>
      <c r="AN33" s="147" t="n">
        <f aca="false">V33</f>
        <v>74.2</v>
      </c>
      <c r="AO33" s="103"/>
      <c r="AP33" s="107"/>
      <c r="AQ33" s="107"/>
      <c r="AR33" s="107"/>
      <c r="AS33" s="107"/>
      <c r="AU33" s="5"/>
      <c r="AV33" s="108" t="n">
        <v>0</v>
      </c>
      <c r="AW33" s="109" t="n">
        <v>50</v>
      </c>
      <c r="AX33" s="109" t="n">
        <v>19</v>
      </c>
      <c r="AY33" s="109"/>
      <c r="AZ33" s="110" t="n">
        <f aca="false">SUM(N33,P33:U33)</f>
        <v>3.22</v>
      </c>
      <c r="BA33" s="0" t="n">
        <v>0.2</v>
      </c>
      <c r="BB33" s="149" t="n">
        <v>15515</v>
      </c>
    </row>
    <row r="34" customFormat="false" ht="12.95" hidden="false" customHeight="true" outlineLevel="0" collapsed="false">
      <c r="A34" s="10" t="n">
        <f aca="false">A33+1</f>
        <v>20</v>
      </c>
      <c r="B34" s="134" t="n">
        <v>6867.93</v>
      </c>
      <c r="C34" s="96" t="n">
        <v>182370</v>
      </c>
      <c r="D34" s="135" t="n">
        <f aca="false">C34-C33</f>
        <v>-154</v>
      </c>
      <c r="E34" s="96" t="n">
        <f aca="false">C34-152000</f>
        <v>30370</v>
      </c>
      <c r="F34" s="136" t="n">
        <f aca="false">D34/$D$2</f>
        <v>-77.6405344088732</v>
      </c>
      <c r="G34" s="11" t="n">
        <v>97</v>
      </c>
      <c r="H34" s="12" t="n">
        <v>0</v>
      </c>
      <c r="I34" s="11" t="n">
        <f aca="false">G34+H34</f>
        <v>97</v>
      </c>
      <c r="J34" s="4" t="n">
        <f aca="false">IF(L34&gt;0,L34,0)</f>
        <v>0</v>
      </c>
      <c r="K34" s="11" t="n">
        <f aca="false">I34+J34</f>
        <v>97</v>
      </c>
      <c r="L34" s="11" t="n">
        <f aca="false">F34-(I34-AK34)</f>
        <v>-64.3205344088732</v>
      </c>
      <c r="M34" s="137" t="n">
        <v>3.22</v>
      </c>
      <c r="N34" s="138" t="n">
        <v>0</v>
      </c>
      <c r="O34" s="138" t="n">
        <f aca="false">0*1.05</f>
        <v>0</v>
      </c>
      <c r="P34" s="99" t="n">
        <v>0</v>
      </c>
      <c r="Q34" s="139" t="n">
        <f aca="false">813900/325851/1.9835*1.02</f>
        <v>1.28445814578724</v>
      </c>
      <c r="R34" s="139" t="n">
        <f aca="false">(2*1.04)-T34</f>
        <v>1.57631344</v>
      </c>
      <c r="S34" s="139" t="n">
        <v>0</v>
      </c>
      <c r="T34" s="141" t="n">
        <f aca="false">(0.4569*1.06)*1.04</f>
        <v>0.50368656</v>
      </c>
      <c r="U34" s="102" t="n">
        <f aca="false">M34-(Q34+R34+S34+T34)</f>
        <v>-0.144458145787243</v>
      </c>
      <c r="V34" s="142" t="n">
        <v>81.6</v>
      </c>
      <c r="W34" s="142" t="n">
        <v>0</v>
      </c>
      <c r="X34" s="143" t="n">
        <f aca="false">M34-N34-O34-P34-Q34-R34-S34-T34-U34+V34+W34-AU34+AR34</f>
        <v>81.6</v>
      </c>
      <c r="Y34" s="144" t="n">
        <f aca="false">X34-AO34</f>
        <v>81.6</v>
      </c>
      <c r="Z34" s="85"/>
      <c r="AA34" s="144"/>
      <c r="AB34" s="85"/>
      <c r="AC34" s="142"/>
      <c r="AD34" s="85"/>
      <c r="AE34" s="142" t="n">
        <v>0</v>
      </c>
      <c r="AF34" s="145"/>
      <c r="AG34" s="146"/>
      <c r="AH34" s="142" t="n">
        <v>25.5</v>
      </c>
      <c r="AI34" s="85" t="n">
        <f aca="false">AI33-AH34</f>
        <v>3576.74923115706</v>
      </c>
      <c r="AJ34" s="85"/>
      <c r="AK34" s="142" t="n">
        <f aca="false">N34+O34+P34+Q34+R34+S34+T34+U34+X34+AE34+AH34</f>
        <v>110.32</v>
      </c>
      <c r="AL34" s="142" t="n">
        <f aca="false">IF(L34&lt;0,L34*-1,0)</f>
        <v>64.3205344088732</v>
      </c>
      <c r="AM34" s="142" t="n">
        <f aca="false">AK34+AL34</f>
        <v>174.640534408873</v>
      </c>
      <c r="AN34" s="147" t="n">
        <f aca="false">V34</f>
        <v>81.6</v>
      </c>
      <c r="AO34" s="103"/>
      <c r="AP34" s="107"/>
      <c r="AQ34" s="107"/>
      <c r="AR34" s="107"/>
      <c r="AS34" s="107"/>
      <c r="AU34" s="5"/>
      <c r="AV34" s="108" t="n">
        <v>0</v>
      </c>
      <c r="AW34" s="109" t="n">
        <v>51</v>
      </c>
      <c r="AX34" s="109" t="n">
        <v>24</v>
      </c>
      <c r="AY34" s="109"/>
      <c r="AZ34" s="110" t="n">
        <f aca="false">SUM(N34,P34:U34)</f>
        <v>3.22</v>
      </c>
      <c r="BA34" s="0" t="n">
        <v>0.2</v>
      </c>
      <c r="BB34" s="149" t="n">
        <v>15537</v>
      </c>
    </row>
    <row r="35" customFormat="false" ht="12.95" hidden="false" customHeight="true" outlineLevel="0" collapsed="false">
      <c r="A35" s="10" t="n">
        <f aca="false">A34+1</f>
        <v>21</v>
      </c>
      <c r="B35" s="134" t="n">
        <v>6867.94</v>
      </c>
      <c r="C35" s="96" t="n">
        <v>182396</v>
      </c>
      <c r="D35" s="135" t="n">
        <f aca="false">C35-C34</f>
        <v>26</v>
      </c>
      <c r="E35" s="96" t="n">
        <f aca="false">C35-152000</f>
        <v>30396</v>
      </c>
      <c r="F35" s="136" t="n">
        <f aca="false">D35/$D$2</f>
        <v>13.1081421729266</v>
      </c>
      <c r="G35" s="11" t="n">
        <v>104</v>
      </c>
      <c r="H35" s="12" t="n">
        <v>0</v>
      </c>
      <c r="I35" s="11" t="n">
        <f aca="false">G35+H35</f>
        <v>104</v>
      </c>
      <c r="J35" s="4" t="n">
        <f aca="false">IF(L35&gt;0,L35,0)</f>
        <v>7.42814217292664</v>
      </c>
      <c r="K35" s="11" t="n">
        <f aca="false">I35+J35</f>
        <v>111.428142172927</v>
      </c>
      <c r="L35" s="11" t="n">
        <f aca="false">F35-(I35-AK35)</f>
        <v>7.42814217292664</v>
      </c>
      <c r="M35" s="137" t="n">
        <v>3.22</v>
      </c>
      <c r="N35" s="138" t="n">
        <v>0</v>
      </c>
      <c r="O35" s="138" t="n">
        <f aca="false">0*1.05</f>
        <v>0</v>
      </c>
      <c r="P35" s="99" t="n">
        <v>0</v>
      </c>
      <c r="Q35" s="139" t="n">
        <f aca="false">868800/325851/1.9835*1.02</f>
        <v>1.37109870630293</v>
      </c>
      <c r="R35" s="139" t="n">
        <f aca="false">(2*1.04)-T35</f>
        <v>1.62074016</v>
      </c>
      <c r="S35" s="139" t="n">
        <v>0</v>
      </c>
      <c r="T35" s="141" t="n">
        <f aca="false">(0.4166*1.06)*1.04</f>
        <v>0.45925984</v>
      </c>
      <c r="U35" s="102" t="n">
        <f aca="false">M35-(Q35+R35+S35+T35)</f>
        <v>-0.231098706302933</v>
      </c>
      <c r="V35" s="142" t="n">
        <v>69.6</v>
      </c>
      <c r="W35" s="142" t="n">
        <v>0</v>
      </c>
      <c r="X35" s="143" t="n">
        <f aca="false">M35-N35-O35-P35-Q35-R35-S35-T35-U35+V35+W35-AU35+AR35</f>
        <v>69.6</v>
      </c>
      <c r="Y35" s="144" t="n">
        <f aca="false">X35-AO35</f>
        <v>69.6</v>
      </c>
      <c r="Z35" s="85"/>
      <c r="AA35" s="144"/>
      <c r="AB35" s="85"/>
      <c r="AC35" s="142"/>
      <c r="AD35" s="85"/>
      <c r="AE35" s="142" t="n">
        <v>0</v>
      </c>
      <c r="AF35" s="145"/>
      <c r="AG35" s="146"/>
      <c r="AH35" s="142" t="n">
        <v>25.5</v>
      </c>
      <c r="AI35" s="85" t="n">
        <f aca="false">AI34-AH35</f>
        <v>3551.24923115706</v>
      </c>
      <c r="AJ35" s="85"/>
      <c r="AK35" s="142" t="n">
        <f aca="false">N35+O35+P35+Q35+R35+S35+T35+U35+X35+AE35+AH35</f>
        <v>98.32</v>
      </c>
      <c r="AL35" s="142" t="n">
        <f aca="false">IF(L35&lt;0,L35*-1,0)</f>
        <v>0</v>
      </c>
      <c r="AM35" s="142" t="n">
        <f aca="false">AK35+AL35</f>
        <v>98.32</v>
      </c>
      <c r="AN35" s="147" t="n">
        <f aca="false">V35</f>
        <v>69.6</v>
      </c>
      <c r="AO35" s="103"/>
      <c r="AP35" s="107"/>
      <c r="AQ35" s="107"/>
      <c r="AR35" s="107"/>
      <c r="AS35" s="107"/>
      <c r="AU35" s="5"/>
      <c r="AV35" s="108" t="n">
        <v>0</v>
      </c>
      <c r="AW35" s="109" t="n">
        <v>56</v>
      </c>
      <c r="AX35" s="109" t="n">
        <v>26</v>
      </c>
      <c r="AY35" s="109"/>
      <c r="AZ35" s="110" t="n">
        <f aca="false">SUM(N35,P35:U35)</f>
        <v>3.22</v>
      </c>
      <c r="BA35" s="0" t="n">
        <v>0.2</v>
      </c>
      <c r="BB35" s="149" t="n">
        <v>15547</v>
      </c>
    </row>
    <row r="36" customFormat="false" ht="12.95" hidden="false" customHeight="true" outlineLevel="0" collapsed="false">
      <c r="A36" s="10" t="n">
        <f aca="false">A35+1</f>
        <v>22</v>
      </c>
      <c r="B36" s="134" t="n">
        <v>6867.88</v>
      </c>
      <c r="C36" s="96" t="n">
        <v>182241</v>
      </c>
      <c r="D36" s="135" t="n">
        <f aca="false">C36-C35</f>
        <v>-155</v>
      </c>
      <c r="E36" s="96" t="n">
        <f aca="false">C36-152000</f>
        <v>30241</v>
      </c>
      <c r="F36" s="136" t="n">
        <f aca="false">D36/$D$2</f>
        <v>-78.1446937232165</v>
      </c>
      <c r="G36" s="11" t="n">
        <v>98</v>
      </c>
      <c r="H36" s="12" t="n">
        <v>0</v>
      </c>
      <c r="I36" s="11" t="n">
        <f aca="false">G36+H36</f>
        <v>98</v>
      </c>
      <c r="J36" s="4" t="n">
        <f aca="false">IF(L36&gt;0,L36,0)</f>
        <v>0</v>
      </c>
      <c r="K36" s="11" t="n">
        <f aca="false">I36+J36</f>
        <v>98</v>
      </c>
      <c r="L36" s="11" t="n">
        <f aca="false">F36-(I36-AK36)</f>
        <v>-78.0246937232166</v>
      </c>
      <c r="M36" s="137" t="n">
        <v>3.02</v>
      </c>
      <c r="N36" s="138" t="n">
        <v>0</v>
      </c>
      <c r="O36" s="138" t="n">
        <f aca="false">0*1.05</f>
        <v>0</v>
      </c>
      <c r="P36" s="99" t="n">
        <v>0</v>
      </c>
      <c r="Q36" s="139" t="n">
        <f aca="false">917000/325851/1.9835*1.02</f>
        <v>1.44716564650068</v>
      </c>
      <c r="R36" s="139" t="n">
        <f aca="false">(2*1.04)-T36</f>
        <v>1.62074016</v>
      </c>
      <c r="S36" s="139" t="n">
        <v>0</v>
      </c>
      <c r="T36" s="141" t="n">
        <f aca="false">(0.4166*1.06)*1.04</f>
        <v>0.45925984</v>
      </c>
      <c r="U36" s="102" t="n">
        <f aca="false">M36-(Q36+R36+S36+T36)</f>
        <v>-0.507165646500678</v>
      </c>
      <c r="V36" s="142" t="n">
        <v>69.6</v>
      </c>
      <c r="W36" s="142" t="n">
        <v>0</v>
      </c>
      <c r="X36" s="143" t="n">
        <f aca="false">M36-N36-O36-P36-Q36-R36-S36-T36-U36+V36+W36-AU36+AR36</f>
        <v>69.6</v>
      </c>
      <c r="Y36" s="144" t="n">
        <f aca="false">X36-AO36</f>
        <v>69.6</v>
      </c>
      <c r="Z36" s="85"/>
      <c r="AA36" s="144"/>
      <c r="AB36" s="85"/>
      <c r="AC36" s="142" t="n">
        <v>22.3320941934993</v>
      </c>
      <c r="AD36" s="85"/>
      <c r="AE36" s="142" t="n">
        <v>0</v>
      </c>
      <c r="AF36" s="145"/>
      <c r="AG36" s="146"/>
      <c r="AH36" s="142" t="n">
        <v>25.5</v>
      </c>
      <c r="AI36" s="85" t="n">
        <f aca="false">AI35-AH36</f>
        <v>3525.74923115706</v>
      </c>
      <c r="AJ36" s="85"/>
      <c r="AK36" s="142" t="n">
        <f aca="false">N36+O36+P36+Q36+R36+S36+T36+U36+X36+AE36+AH36</f>
        <v>98.12</v>
      </c>
      <c r="AL36" s="142" t="n">
        <f aca="false">IF(L36&lt;0,L36*-1,0)</f>
        <v>78.0246937232166</v>
      </c>
      <c r="AM36" s="142" t="n">
        <f aca="false">AK36+AL36</f>
        <v>176.144693723217</v>
      </c>
      <c r="AN36" s="147" t="n">
        <f aca="false">V36</f>
        <v>69.6</v>
      </c>
      <c r="AO36" s="103"/>
      <c r="AP36" s="107"/>
      <c r="AQ36" s="107"/>
      <c r="AR36" s="107"/>
      <c r="AS36" s="107"/>
      <c r="AU36" s="5"/>
      <c r="AV36" s="108" t="n">
        <v>0</v>
      </c>
      <c r="AW36" s="109" t="n">
        <v>53</v>
      </c>
      <c r="AX36" s="109" t="n">
        <v>26</v>
      </c>
      <c r="AY36" s="109"/>
      <c r="AZ36" s="110" t="n">
        <f aca="false">SUM(N36,P36:U36)</f>
        <v>3.02</v>
      </c>
      <c r="BA36" s="0" t="n">
        <v>0.2</v>
      </c>
      <c r="BB36" s="149" t="n">
        <v>15533</v>
      </c>
    </row>
    <row r="37" customFormat="false" ht="12.95" hidden="false" customHeight="true" outlineLevel="0" collapsed="false">
      <c r="A37" s="10" t="n">
        <f aca="false">A36+1</f>
        <v>23</v>
      </c>
      <c r="B37" s="134" t="n">
        <v>6867.9</v>
      </c>
      <c r="C37" s="96" t="n">
        <v>182293</v>
      </c>
      <c r="D37" s="135" t="n">
        <f aca="false">C37-C36</f>
        <v>52</v>
      </c>
      <c r="E37" s="96" t="n">
        <f aca="false">C37-152000</f>
        <v>30293</v>
      </c>
      <c r="F37" s="136" t="n">
        <f aca="false">D37/$D$2</f>
        <v>26.2162843458533</v>
      </c>
      <c r="G37" s="11" t="n">
        <v>91</v>
      </c>
      <c r="H37" s="12" t="n">
        <v>0</v>
      </c>
      <c r="I37" s="11" t="n">
        <f aca="false">G37+H37</f>
        <v>91</v>
      </c>
      <c r="J37" s="4" t="n">
        <f aca="false">IF(L37&gt;0,L37,0)</f>
        <v>33.4362843458533</v>
      </c>
      <c r="K37" s="11" t="n">
        <f aca="false">I37+J37</f>
        <v>124.436284345853</v>
      </c>
      <c r="L37" s="11" t="n">
        <f aca="false">F37-(I37-AK37)</f>
        <v>33.4362843458533</v>
      </c>
      <c r="M37" s="137" t="n">
        <v>3.12</v>
      </c>
      <c r="N37" s="138" t="n">
        <v>0</v>
      </c>
      <c r="O37" s="138" t="n">
        <f aca="false">0*1.05</f>
        <v>0</v>
      </c>
      <c r="P37" s="99" t="n">
        <v>0</v>
      </c>
      <c r="Q37" s="139" t="n">
        <f aca="false">898100/325851/1.9835*1.02</f>
        <v>1.41733856829036</v>
      </c>
      <c r="R37" s="139" t="n">
        <f aca="false">(2*1.04)-T37</f>
        <v>1.62074016</v>
      </c>
      <c r="S37" s="139" t="n">
        <v>0</v>
      </c>
      <c r="T37" s="141" t="n">
        <f aca="false">(0.4166*1.06)*1.04</f>
        <v>0.45925984</v>
      </c>
      <c r="U37" s="102" t="n">
        <f aca="false">M37-(Q37+R37+S37+T37)</f>
        <v>-0.377338568290359</v>
      </c>
      <c r="V37" s="142" t="n">
        <v>69.6</v>
      </c>
      <c r="W37" s="142" t="n">
        <v>0</v>
      </c>
      <c r="X37" s="143" t="n">
        <f aca="false">M37-N37-O37-P37-Q37-R37-S37-T37-U37+V37+W37-AU37+AR37</f>
        <v>69.6</v>
      </c>
      <c r="Y37" s="144" t="n">
        <f aca="false">X37-AO37</f>
        <v>69.6</v>
      </c>
      <c r="Z37" s="85"/>
      <c r="AA37" s="144"/>
      <c r="AB37" s="85"/>
      <c r="AC37" s="142" t="n">
        <v>21.3619212717096</v>
      </c>
      <c r="AD37" s="85"/>
      <c r="AE37" s="142" t="n">
        <v>0</v>
      </c>
      <c r="AF37" s="145"/>
      <c r="AG37" s="146"/>
      <c r="AH37" s="142" t="n">
        <v>25.5</v>
      </c>
      <c r="AI37" s="85" t="n">
        <f aca="false">AI36-AH37</f>
        <v>3500.24923115706</v>
      </c>
      <c r="AJ37" s="85"/>
      <c r="AK37" s="142" t="n">
        <f aca="false">N37+O37+P37+Q37+R37+S37+T37+U37+X37+AE37+AH37</f>
        <v>98.22</v>
      </c>
      <c r="AL37" s="142" t="n">
        <f aca="false">IF(L37&lt;0,L37*-1,0)</f>
        <v>0</v>
      </c>
      <c r="AM37" s="142" t="n">
        <f aca="false">AK37+AL37</f>
        <v>98.22</v>
      </c>
      <c r="AN37" s="147" t="n">
        <f aca="false">V37</f>
        <v>69.6</v>
      </c>
      <c r="AO37" s="103"/>
      <c r="AP37" s="107"/>
      <c r="AQ37" s="107"/>
      <c r="AR37" s="107"/>
      <c r="AS37" s="107"/>
      <c r="AU37" s="5"/>
      <c r="AV37" s="108" t="n">
        <v>0.01</v>
      </c>
      <c r="AW37" s="109" t="n">
        <v>42</v>
      </c>
      <c r="AX37" s="150" t="n">
        <v>14</v>
      </c>
      <c r="AY37" s="150"/>
      <c r="AZ37" s="110" t="n">
        <f aca="false">SUM(N37,P37:U37)</f>
        <v>3.12</v>
      </c>
      <c r="BA37" s="0" t="n">
        <v>0.2</v>
      </c>
      <c r="BB37" s="149" t="n">
        <v>15521</v>
      </c>
    </row>
    <row r="38" customFormat="false" ht="12.95" hidden="false" customHeight="true" outlineLevel="0" collapsed="false">
      <c r="A38" s="10" t="n">
        <f aca="false">A37+1</f>
        <v>24</v>
      </c>
      <c r="B38" s="134" t="n">
        <v>6867.84</v>
      </c>
      <c r="C38" s="96" t="n">
        <v>182139</v>
      </c>
      <c r="D38" s="135" t="n">
        <f aca="false">C38-C37</f>
        <v>-154</v>
      </c>
      <c r="E38" s="96" t="n">
        <f aca="false">C38-152000</f>
        <v>30139</v>
      </c>
      <c r="F38" s="136" t="n">
        <f aca="false">D38/$D$2</f>
        <v>-77.6405344088732</v>
      </c>
      <c r="G38" s="11" t="n">
        <v>73</v>
      </c>
      <c r="H38" s="11" t="n">
        <v>0</v>
      </c>
      <c r="I38" s="11" t="n">
        <f aca="false">G38+H38</f>
        <v>73</v>
      </c>
      <c r="J38" s="4" t="n">
        <f aca="false">IF(L38&gt;0,L38,0)</f>
        <v>0</v>
      </c>
      <c r="K38" s="11" t="n">
        <f aca="false">I38+J38</f>
        <v>73</v>
      </c>
      <c r="L38" s="11" t="n">
        <f aca="false">F38-(I38-AK38)</f>
        <v>-52.2205344088732</v>
      </c>
      <c r="M38" s="137" t="n">
        <v>3.22</v>
      </c>
      <c r="N38" s="138" t="n">
        <v>0</v>
      </c>
      <c r="O38" s="138" t="n">
        <f aca="false">0*1.05</f>
        <v>0</v>
      </c>
      <c r="P38" s="99" t="n">
        <v>0</v>
      </c>
      <c r="Q38" s="139" t="n">
        <f aca="false">961100/325851/1.9835*1.02</f>
        <v>1.51676216232476</v>
      </c>
      <c r="R38" s="139" t="n">
        <f aca="false">(2*1.04)-T38</f>
        <v>1.62074016</v>
      </c>
      <c r="S38" s="139" t="n">
        <v>0</v>
      </c>
      <c r="T38" s="141" t="n">
        <f aca="false">(0.4166*1.06)*1.04</f>
        <v>0.45925984</v>
      </c>
      <c r="U38" s="102" t="n">
        <f aca="false">M38-(Q38+R38+S38+T38)</f>
        <v>-0.376762162324757</v>
      </c>
      <c r="V38" s="142" t="n">
        <v>69.6</v>
      </c>
      <c r="W38" s="142" t="n">
        <v>0</v>
      </c>
      <c r="X38" s="143" t="n">
        <f aca="false">M38-N38-O38-P38-Q38-R38-S38-T38-U38+V38+W38-AU38+AR38</f>
        <v>69.6</v>
      </c>
      <c r="Y38" s="144" t="n">
        <f aca="false">X38-AO38</f>
        <v>69.6</v>
      </c>
      <c r="Z38" s="85"/>
      <c r="AA38" s="144"/>
      <c r="AB38" s="85"/>
      <c r="AC38" s="142" t="n">
        <v>0</v>
      </c>
      <c r="AD38" s="85"/>
      <c r="AE38" s="142" t="n">
        <v>0</v>
      </c>
      <c r="AF38" s="145"/>
      <c r="AG38" s="146"/>
      <c r="AH38" s="142" t="n">
        <v>25.6</v>
      </c>
      <c r="AI38" s="85" t="n">
        <f aca="false">AI37-AH38</f>
        <v>3474.64923115706</v>
      </c>
      <c r="AJ38" s="85"/>
      <c r="AK38" s="142" t="n">
        <f aca="false">N38+O38+P38+Q38+R38+S38+T38+U38+X38+AE38+AH38</f>
        <v>98.42</v>
      </c>
      <c r="AL38" s="142" t="n">
        <f aca="false">IF(L38&lt;0,L38*-1,0)</f>
        <v>52.2205344088732</v>
      </c>
      <c r="AM38" s="142" t="n">
        <f aca="false">AK38+AL38</f>
        <v>150.640534408873</v>
      </c>
      <c r="AN38" s="147" t="n">
        <f aca="false">V38</f>
        <v>69.6</v>
      </c>
      <c r="AO38" s="103"/>
      <c r="AP38" s="107"/>
      <c r="AQ38" s="107"/>
      <c r="AR38" s="107"/>
      <c r="AS38" s="107"/>
      <c r="AU38" s="5"/>
      <c r="AV38" s="108" t="n">
        <v>0</v>
      </c>
      <c r="AW38" s="109" t="n">
        <v>42</v>
      </c>
      <c r="AX38" s="150" t="n">
        <v>14</v>
      </c>
      <c r="AY38" s="150"/>
      <c r="AZ38" s="110" t="n">
        <f aca="false">SUM(N38,P38:U38)</f>
        <v>3.22</v>
      </c>
      <c r="BA38" s="0" t="n">
        <v>0.2</v>
      </c>
      <c r="BB38" s="149" t="n">
        <v>15556</v>
      </c>
    </row>
    <row r="39" customFormat="false" ht="12.95" hidden="false" customHeight="true" outlineLevel="0" collapsed="false">
      <c r="A39" s="10" t="n">
        <f aca="false">A38+1</f>
        <v>25</v>
      </c>
      <c r="B39" s="134" t="n">
        <v>6867.8</v>
      </c>
      <c r="C39" s="96" t="n">
        <v>182036</v>
      </c>
      <c r="D39" s="135" t="n">
        <f aca="false">C39-C38</f>
        <v>-103</v>
      </c>
      <c r="E39" s="96" t="n">
        <f aca="false">C39-152000</f>
        <v>30036</v>
      </c>
      <c r="F39" s="136" t="n">
        <f aca="false">D39/$D$2</f>
        <v>-51.9284093773632</v>
      </c>
      <c r="G39" s="11" t="n">
        <v>88</v>
      </c>
      <c r="H39" s="12" t="n">
        <v>0</v>
      </c>
      <c r="I39" s="11" t="n">
        <f aca="false">G39+H39</f>
        <v>88</v>
      </c>
      <c r="J39" s="4" t="n">
        <f aca="false">IF(L39&gt;0,L39,0)</f>
        <v>0</v>
      </c>
      <c r="K39" s="11" t="n">
        <f aca="false">I39+J39</f>
        <v>88</v>
      </c>
      <c r="L39" s="11" t="n">
        <f aca="false">F39-(I39-AK39)</f>
        <v>-41.5084093773633</v>
      </c>
      <c r="M39" s="137" t="n">
        <v>3.22</v>
      </c>
      <c r="N39" s="138" t="n">
        <v>0</v>
      </c>
      <c r="O39" s="138" t="n">
        <f aca="false">0*1.05</f>
        <v>0</v>
      </c>
      <c r="P39" s="99" t="n">
        <v>0</v>
      </c>
      <c r="Q39" s="139" t="n">
        <f aca="false">814000/325851/1.9835*1.02</f>
        <v>1.28461596101587</v>
      </c>
      <c r="R39" s="139" t="n">
        <f aca="false">(2*1.04)-T39</f>
        <v>1.62074016</v>
      </c>
      <c r="S39" s="139" t="n">
        <v>0</v>
      </c>
      <c r="T39" s="141" t="n">
        <f aca="false">(0.4166*1.06)*1.04</f>
        <v>0.45925984</v>
      </c>
      <c r="U39" s="102" t="n">
        <f aca="false">M39-(Q39+R39+S39+T39)</f>
        <v>-0.14461596101587</v>
      </c>
      <c r="V39" s="142" t="n">
        <v>69.6</v>
      </c>
      <c r="W39" s="142" t="n">
        <v>0</v>
      </c>
      <c r="X39" s="143" t="n">
        <f aca="false">M39-N39-O39-P39-Q39-R39-S39-T39-U39+V39+W39-AU39+AR39</f>
        <v>69.6</v>
      </c>
      <c r="Y39" s="144" t="n">
        <f aca="false">X39-AO39</f>
        <v>69.6</v>
      </c>
      <c r="Z39" s="85"/>
      <c r="AA39" s="144"/>
      <c r="AB39" s="85"/>
      <c r="AC39" s="142" t="n">
        <v>12.4946438789841</v>
      </c>
      <c r="AD39" s="85"/>
      <c r="AE39" s="142" t="n">
        <v>0</v>
      </c>
      <c r="AF39" s="145"/>
      <c r="AG39" s="146"/>
      <c r="AH39" s="142" t="n">
        <v>25.6</v>
      </c>
      <c r="AI39" s="85" t="n">
        <f aca="false">AI38-AH39</f>
        <v>3449.04923115706</v>
      </c>
      <c r="AJ39" s="85"/>
      <c r="AK39" s="142" t="n">
        <f aca="false">N39+O39+P39+Q39+R39+S39+T39+U39+X39+AE39+AH39</f>
        <v>98.42</v>
      </c>
      <c r="AL39" s="142" t="n">
        <f aca="false">IF(L39&lt;0,L39*-1,0)</f>
        <v>41.5084093773633</v>
      </c>
      <c r="AM39" s="142" t="n">
        <f aca="false">AK39+AL39</f>
        <v>139.928409377363</v>
      </c>
      <c r="AN39" s="147" t="n">
        <f aca="false">V39</f>
        <v>69.6</v>
      </c>
      <c r="AO39" s="103"/>
      <c r="AP39" s="107"/>
      <c r="AQ39" s="107"/>
      <c r="AR39" s="107"/>
      <c r="AS39" s="107"/>
      <c r="AU39" s="5"/>
      <c r="AV39" s="108" t="n">
        <v>0</v>
      </c>
      <c r="AW39" s="109" t="n">
        <v>46</v>
      </c>
      <c r="AX39" s="150" t="n">
        <v>15</v>
      </c>
      <c r="AY39" s="150"/>
      <c r="AZ39" s="110" t="n">
        <f aca="false">SUM(N39,P39:U39)</f>
        <v>3.22</v>
      </c>
      <c r="BA39" s="0" t="n">
        <v>0.2</v>
      </c>
      <c r="BB39" s="149" t="n">
        <v>15572</v>
      </c>
    </row>
    <row r="40" customFormat="false" ht="12.95" hidden="false" customHeight="true" outlineLevel="0" collapsed="false">
      <c r="A40" s="10" t="n">
        <f aca="false">A39+1</f>
        <v>26</v>
      </c>
      <c r="B40" s="134" t="n">
        <v>6867.77</v>
      </c>
      <c r="C40" s="96" t="n">
        <v>181959</v>
      </c>
      <c r="D40" s="135" t="n">
        <f aca="false">C40-C39</f>
        <v>-77</v>
      </c>
      <c r="E40" s="96" t="n">
        <f aca="false">C40-152000</f>
        <v>29959</v>
      </c>
      <c r="F40" s="136" t="n">
        <f aca="false">D40/$D$2</f>
        <v>-38.8202672044366</v>
      </c>
      <c r="G40" s="11" t="n">
        <v>102</v>
      </c>
      <c r="H40" s="12" t="n">
        <v>0</v>
      </c>
      <c r="I40" s="11" t="n">
        <f aca="false">G40+H40</f>
        <v>102</v>
      </c>
      <c r="J40" s="4" t="n">
        <f aca="false">IF(L40&gt;0,L40,0)</f>
        <v>0</v>
      </c>
      <c r="K40" s="11" t="n">
        <f aca="false">I40+J40</f>
        <v>102</v>
      </c>
      <c r="L40" s="11" t="n">
        <f aca="false">F40-(I40-AK40)</f>
        <v>-42.3002672044366</v>
      </c>
      <c r="M40" s="137" t="n">
        <v>3.22</v>
      </c>
      <c r="N40" s="138" t="n">
        <v>0</v>
      </c>
      <c r="O40" s="138" t="n">
        <f aca="false">0*1.05</f>
        <v>0</v>
      </c>
      <c r="P40" s="99" t="n">
        <v>0</v>
      </c>
      <c r="Q40" s="139" t="n">
        <f aca="false">865900/325851/1.9835*1.04</f>
        <v>1.39331661496048</v>
      </c>
      <c r="R40" s="139" t="n">
        <f aca="false">(2*1.04)-T40</f>
        <v>1.62074016</v>
      </c>
      <c r="S40" s="139" t="n">
        <v>0</v>
      </c>
      <c r="T40" s="141" t="n">
        <f aca="false">(0.4166*1.06)*1.04</f>
        <v>0.45925984</v>
      </c>
      <c r="U40" s="102" t="n">
        <f aca="false">M40-(Q40+R40+S40+T40)</f>
        <v>-0.25331661496048</v>
      </c>
      <c r="V40" s="142" t="n">
        <v>69.6</v>
      </c>
      <c r="W40" s="142" t="n">
        <v>0</v>
      </c>
      <c r="X40" s="143" t="n">
        <f aca="false">M40-N40-O40-P40-Q40-R40-S40-T40-U40+V40+W40-AU40+AR40</f>
        <v>69.6</v>
      </c>
      <c r="Y40" s="144" t="n">
        <f aca="false">X40-AO40</f>
        <v>69.6</v>
      </c>
      <c r="Z40" s="85"/>
      <c r="AA40" s="144"/>
      <c r="AB40" s="85"/>
      <c r="AC40" s="142" t="n">
        <v>40.3859432250395</v>
      </c>
      <c r="AD40" s="85"/>
      <c r="AE40" s="142" t="n">
        <v>0</v>
      </c>
      <c r="AF40" s="145"/>
      <c r="AG40" s="146"/>
      <c r="AH40" s="142" t="n">
        <v>25.7</v>
      </c>
      <c r="AI40" s="85" t="n">
        <f aca="false">AI39-AH40</f>
        <v>3423.34923115706</v>
      </c>
      <c r="AJ40" s="85"/>
      <c r="AK40" s="142" t="n">
        <f aca="false">N40+O40+P40+Q40+R40+S40+T40+U40+X40+AE40+AH40</f>
        <v>98.52</v>
      </c>
      <c r="AL40" s="142" t="n">
        <f aca="false">IF(L40&lt;0,L40*-1,0)</f>
        <v>42.3002672044366</v>
      </c>
      <c r="AM40" s="142" t="n">
        <f aca="false">AK40+AL40</f>
        <v>140.820267204437</v>
      </c>
      <c r="AN40" s="147" t="n">
        <f aca="false">V40</f>
        <v>69.6</v>
      </c>
      <c r="AO40" s="103"/>
      <c r="AP40" s="107"/>
      <c r="AQ40" s="107"/>
      <c r="AR40" s="107"/>
      <c r="AS40" s="107"/>
      <c r="AU40" s="5"/>
      <c r="AV40" s="108" t="n">
        <v>0</v>
      </c>
      <c r="AW40" s="109" t="n">
        <v>58</v>
      </c>
      <c r="AX40" s="109" t="n">
        <v>28</v>
      </c>
      <c r="AY40" s="109"/>
      <c r="AZ40" s="110" t="n">
        <f aca="false">SUM(N40,P40:U40)</f>
        <v>3.22</v>
      </c>
      <c r="BA40" s="0" t="n">
        <v>0.2</v>
      </c>
      <c r="BB40" s="149" t="n">
        <v>15579</v>
      </c>
    </row>
    <row r="41" customFormat="false" ht="12.95" hidden="false" customHeight="true" outlineLevel="0" collapsed="false">
      <c r="A41" s="10" t="n">
        <f aca="false">A40+1</f>
        <v>27</v>
      </c>
      <c r="B41" s="134" t="n">
        <v>6867.75</v>
      </c>
      <c r="C41" s="96" t="n">
        <v>181907</v>
      </c>
      <c r="D41" s="135" t="n">
        <f aca="false">C41-C40</f>
        <v>-52</v>
      </c>
      <c r="E41" s="96" t="n">
        <f aca="false">C41-152000</f>
        <v>29907</v>
      </c>
      <c r="F41" s="136" t="n">
        <f aca="false">D41/$D$2</f>
        <v>-26.2162843458533</v>
      </c>
      <c r="G41" s="11" t="n">
        <v>97</v>
      </c>
      <c r="H41" s="12" t="n">
        <v>0</v>
      </c>
      <c r="I41" s="11" t="n">
        <f aca="false">G41+H41</f>
        <v>97</v>
      </c>
      <c r="J41" s="4" t="n">
        <f aca="false">IF(L41&gt;0,L41,0)</f>
        <v>0</v>
      </c>
      <c r="K41" s="11" t="n">
        <f aca="false">I41+J41</f>
        <v>97</v>
      </c>
      <c r="L41" s="11" t="n">
        <f aca="false">F41-(I41-AK41)</f>
        <v>-24.7562843458533</v>
      </c>
      <c r="M41" s="137" t="n">
        <v>2.96</v>
      </c>
      <c r="N41" s="138" t="n">
        <v>0</v>
      </c>
      <c r="O41" s="138" t="n">
        <f aca="false">0*1.05</f>
        <v>0</v>
      </c>
      <c r="P41" s="99" t="n">
        <v>0</v>
      </c>
      <c r="Q41" s="139" t="n">
        <f aca="false">945000/325851/1.9835*1.02</f>
        <v>1.49135391051597</v>
      </c>
      <c r="R41" s="139" t="n">
        <f aca="false">(2*1.04)-T41</f>
        <v>1.62074016</v>
      </c>
      <c r="S41" s="139" t="n">
        <v>0</v>
      </c>
      <c r="T41" s="141" t="n">
        <f aca="false">(0.4166*1.06)*1.04</f>
        <v>0.45925984</v>
      </c>
      <c r="U41" s="102" t="n">
        <f aca="false">M41-(Q41+R41+S41+T41)</f>
        <v>-0.611353910515966</v>
      </c>
      <c r="V41" s="142" t="n">
        <v>69.6</v>
      </c>
      <c r="W41" s="142" t="n">
        <v>0</v>
      </c>
      <c r="X41" s="143" t="n">
        <f aca="false">M41-N41-O41-P41-Q41-R41-S41-T41-U41+V41+W41-AU41+AR41</f>
        <v>69.6</v>
      </c>
      <c r="Y41" s="144" t="n">
        <f aca="false">X41-AO41</f>
        <v>69.6</v>
      </c>
      <c r="Z41" s="85"/>
      <c r="AA41" s="144"/>
      <c r="AB41" s="85"/>
      <c r="AC41" s="142" t="n">
        <v>31.287905929484</v>
      </c>
      <c r="AD41" s="85"/>
      <c r="AE41" s="142" t="n">
        <v>0</v>
      </c>
      <c r="AF41" s="145"/>
      <c r="AG41" s="146"/>
      <c r="AH41" s="142" t="n">
        <v>25.9</v>
      </c>
      <c r="AI41" s="85" t="n">
        <f aca="false">AI40-AH41</f>
        <v>3397.44923115706</v>
      </c>
      <c r="AJ41" s="85"/>
      <c r="AK41" s="142" t="n">
        <f aca="false">N41+O41+P41+Q41+R41+S41+T41+U41+X41+AE41+AH41</f>
        <v>98.46</v>
      </c>
      <c r="AL41" s="142" t="n">
        <f aca="false">IF(L41&lt;0,L41*-1,0)</f>
        <v>24.7562843458533</v>
      </c>
      <c r="AM41" s="142" t="n">
        <f aca="false">AK41+AL41</f>
        <v>123.216284345853</v>
      </c>
      <c r="AN41" s="147" t="n">
        <f aca="false">V41</f>
        <v>69.6</v>
      </c>
      <c r="AO41" s="103"/>
      <c r="AP41" s="107"/>
      <c r="AQ41" s="107"/>
      <c r="AR41" s="107"/>
      <c r="AS41" s="107"/>
      <c r="AU41" s="5"/>
      <c r="AV41" s="108" t="n">
        <v>0</v>
      </c>
      <c r="AW41" s="109" t="n">
        <v>62</v>
      </c>
      <c r="AX41" s="109" t="n">
        <v>28</v>
      </c>
      <c r="AY41" s="109"/>
      <c r="AZ41" s="110" t="n">
        <f aca="false">SUM(N41,P41:U41)</f>
        <v>2.96</v>
      </c>
      <c r="BA41" s="0" t="n">
        <v>0.2</v>
      </c>
      <c r="BB41" s="149" t="n">
        <v>15580</v>
      </c>
    </row>
    <row r="42" customFormat="false" ht="12.95" hidden="false" customHeight="true" outlineLevel="0" collapsed="false">
      <c r="A42" s="10" t="n">
        <f aca="false">A41+1</f>
        <v>28</v>
      </c>
      <c r="B42" s="134" t="n">
        <v>6867.73</v>
      </c>
      <c r="C42" s="96" t="n">
        <v>181856</v>
      </c>
      <c r="D42" s="135" t="n">
        <f aca="false">C42-C41</f>
        <v>-51</v>
      </c>
      <c r="E42" s="96" t="n">
        <f aca="false">C42-152000</f>
        <v>29856</v>
      </c>
      <c r="F42" s="136" t="n">
        <f aca="false">D42/$D$2</f>
        <v>-25.71212503151</v>
      </c>
      <c r="G42" s="11" t="n">
        <v>87</v>
      </c>
      <c r="H42" s="12" t="n">
        <v>0</v>
      </c>
      <c r="I42" s="11" t="n">
        <f aca="false">G42+H42</f>
        <v>87</v>
      </c>
      <c r="J42" s="4" t="n">
        <f aca="false">IF(L42&gt;0,L42,0)</f>
        <v>0</v>
      </c>
      <c r="K42" s="11" t="n">
        <f aca="false">I42+J42</f>
        <v>87</v>
      </c>
      <c r="L42" s="11" t="n">
        <f aca="false">F42-(I42-AK42)</f>
        <v>-14.66212503151</v>
      </c>
      <c r="M42" s="137" t="n">
        <v>2.65</v>
      </c>
      <c r="N42" s="138" t="n">
        <v>0</v>
      </c>
      <c r="O42" s="138" t="n">
        <f aca="false">0*1.05</f>
        <v>0</v>
      </c>
      <c r="P42" s="99" t="n">
        <v>0</v>
      </c>
      <c r="Q42" s="139" t="n">
        <f aca="false">997900/325851/1.9835*1.02</f>
        <v>1.57483816645914</v>
      </c>
      <c r="R42" s="139" t="n">
        <f aca="false">(2*1.04)-T42</f>
        <v>1.58303808</v>
      </c>
      <c r="S42" s="139" t="n">
        <v>0</v>
      </c>
      <c r="T42" s="141" t="n">
        <f aca="false">(0.4508*1.06)*1.04</f>
        <v>0.49696192</v>
      </c>
      <c r="U42" s="102" t="n">
        <f aca="false">M42-(Q42+R42+S42+T42)</f>
        <v>-1.00483816645914</v>
      </c>
      <c r="V42" s="142" t="n">
        <v>69.6</v>
      </c>
      <c r="W42" s="142" t="n">
        <v>0</v>
      </c>
      <c r="X42" s="143" t="n">
        <f aca="false">M42-N42-O42-P42-Q42-R42-S42-T42-U42+V42+W42-AU42+AR42</f>
        <v>69.6</v>
      </c>
      <c r="Y42" s="144" t="n">
        <f aca="false">X42-AO42</f>
        <v>69.6</v>
      </c>
      <c r="Z42" s="85"/>
      <c r="AA42" s="144"/>
      <c r="AB42" s="85"/>
      <c r="AC42" s="142" t="n">
        <v>10.2421237535409</v>
      </c>
      <c r="AD42" s="85"/>
      <c r="AE42" s="142" t="n">
        <v>0</v>
      </c>
      <c r="AF42" s="145"/>
      <c r="AG42" s="146"/>
      <c r="AH42" s="142" t="n">
        <v>25.8</v>
      </c>
      <c r="AI42" s="85" t="n">
        <f aca="false">AI41-AH42</f>
        <v>3371.64923115706</v>
      </c>
      <c r="AJ42" s="85"/>
      <c r="AK42" s="142" t="n">
        <f aca="false">N42+O42+P42+Q42+R42+S42+T42+U42+X42+AE42+AH42</f>
        <v>98.05</v>
      </c>
      <c r="AL42" s="142" t="n">
        <f aca="false">IF(L42&lt;0,L42*-1,0)</f>
        <v>14.66212503151</v>
      </c>
      <c r="AM42" s="142" t="n">
        <f aca="false">AK42+AL42</f>
        <v>112.71212503151</v>
      </c>
      <c r="AN42" s="147" t="n">
        <f aca="false">V42</f>
        <v>69.6</v>
      </c>
      <c r="AO42" s="103"/>
      <c r="AP42" s="107"/>
      <c r="AQ42" s="107"/>
      <c r="AR42" s="107"/>
      <c r="AS42" s="107"/>
      <c r="AU42" s="5"/>
      <c r="AV42" s="108" t="n">
        <v>0</v>
      </c>
      <c r="AW42" s="109" t="n">
        <v>65</v>
      </c>
      <c r="AX42" s="109" t="n">
        <v>29</v>
      </c>
      <c r="AY42" s="109"/>
      <c r="AZ42" s="110" t="n">
        <f aca="false">SUM(N42,P42:U42)</f>
        <v>2.65</v>
      </c>
      <c r="BA42" s="0" t="n">
        <v>0.2</v>
      </c>
      <c r="BB42" s="149" t="n">
        <v>15584</v>
      </c>
    </row>
    <row r="43" customFormat="false" ht="12.95" hidden="false" customHeight="true" outlineLevel="0" collapsed="false">
      <c r="A43" s="10" t="n">
        <f aca="false">A42+1</f>
        <v>29</v>
      </c>
      <c r="B43" s="134" t="n">
        <v>6867.71</v>
      </c>
      <c r="C43" s="96" t="n">
        <v>181804</v>
      </c>
      <c r="D43" s="135" t="n">
        <f aca="false">C43-C42</f>
        <v>-52</v>
      </c>
      <c r="E43" s="96" t="n">
        <f aca="false">C43-152000</f>
        <v>29804</v>
      </c>
      <c r="F43" s="136" t="n">
        <f aca="false">D43/$D$2</f>
        <v>-26.2162843458533</v>
      </c>
      <c r="G43" s="11" t="n">
        <v>88</v>
      </c>
      <c r="H43" s="12" t="n">
        <v>0</v>
      </c>
      <c r="I43" s="11" t="n">
        <f aca="false">G43+H43</f>
        <v>88</v>
      </c>
      <c r="J43" s="4" t="n">
        <f aca="false">IF(L43&gt;0,L43,0)</f>
        <v>0</v>
      </c>
      <c r="K43" s="11" t="n">
        <f aca="false">I43+J43</f>
        <v>88</v>
      </c>
      <c r="L43" s="11" t="n">
        <f aca="false">F43-(I43-AK43)</f>
        <v>-16.0662843458533</v>
      </c>
      <c r="M43" s="137" t="n">
        <v>3.35</v>
      </c>
      <c r="N43" s="138" t="n">
        <v>0</v>
      </c>
      <c r="O43" s="138" t="n">
        <f aca="false">0*1.05</f>
        <v>0</v>
      </c>
      <c r="P43" s="99" t="n">
        <v>0</v>
      </c>
      <c r="Q43" s="139" t="n">
        <f aca="false">832300/325851/1.9835*1.02</f>
        <v>1.31349614785443</v>
      </c>
      <c r="R43" s="139" t="n">
        <f aca="false">(2*1.04)-T43</f>
        <v>1.58303808</v>
      </c>
      <c r="S43" s="139" t="n">
        <v>0</v>
      </c>
      <c r="T43" s="141" t="n">
        <f aca="false">(0.4508*1.06)*1.04</f>
        <v>0.49696192</v>
      </c>
      <c r="U43" s="102" t="n">
        <f aca="false">M43-(Q43+R43+S43+T43)</f>
        <v>-0.0434961478544329</v>
      </c>
      <c r="V43" s="142" t="n">
        <v>69.6</v>
      </c>
      <c r="W43" s="142" t="n">
        <v>0</v>
      </c>
      <c r="X43" s="143" t="n">
        <f aca="false">M43-N43-O43-P43-Q43-R43-S43-T43-U43+V43+W43-AU43+AR43</f>
        <v>69.6</v>
      </c>
      <c r="Y43" s="144" t="n">
        <f aca="false">X43-AO43</f>
        <v>69.6</v>
      </c>
      <c r="Z43" s="85"/>
      <c r="AA43" s="144"/>
      <c r="AB43" s="85"/>
      <c r="AC43" s="142" t="n">
        <v>12.5034657721456</v>
      </c>
      <c r="AD43" s="85"/>
      <c r="AE43" s="142" t="n">
        <v>0</v>
      </c>
      <c r="AF43" s="145"/>
      <c r="AG43" s="146"/>
      <c r="AH43" s="142" t="n">
        <v>25.2</v>
      </c>
      <c r="AI43" s="85" t="n">
        <f aca="false">AI42-AH43</f>
        <v>3346.44923115706</v>
      </c>
      <c r="AJ43" s="85"/>
      <c r="AK43" s="142" t="n">
        <f aca="false">N43+O43+P43+Q43+R43+S43+T43+U43+X43+AE43+AH43</f>
        <v>98.15</v>
      </c>
      <c r="AL43" s="142" t="n">
        <f aca="false">IF(L43&lt;0,L43*-1,0)</f>
        <v>16.0662843458533</v>
      </c>
      <c r="AM43" s="142" t="n">
        <f aca="false">AK43+AL43</f>
        <v>114.216284345853</v>
      </c>
      <c r="AN43" s="147" t="n">
        <f aca="false">V43</f>
        <v>69.6</v>
      </c>
      <c r="AO43" s="103"/>
      <c r="AP43" s="107"/>
      <c r="AQ43" s="107"/>
      <c r="AR43" s="107"/>
      <c r="AS43" s="107"/>
      <c r="AU43" s="5"/>
      <c r="AV43" s="108" t="n">
        <v>0</v>
      </c>
      <c r="AW43" s="109" t="n">
        <v>61</v>
      </c>
      <c r="AX43" s="109" t="n">
        <v>29</v>
      </c>
      <c r="AY43" s="109"/>
      <c r="AZ43" s="110" t="n">
        <f aca="false">SUM(N43,P43:U43)</f>
        <v>3.35</v>
      </c>
      <c r="BA43" s="0" t="n">
        <v>0.2</v>
      </c>
      <c r="BB43" s="149" t="n">
        <v>15584</v>
      </c>
    </row>
    <row r="44" customFormat="false" ht="12.95" hidden="false" customHeight="true" outlineLevel="0" collapsed="false">
      <c r="A44" s="10" t="n">
        <v>30</v>
      </c>
      <c r="B44" s="134" t="n">
        <v>6867.69</v>
      </c>
      <c r="C44" s="96" t="n">
        <v>181753</v>
      </c>
      <c r="D44" s="135" t="n">
        <f aca="false">C44-C43</f>
        <v>-51</v>
      </c>
      <c r="E44" s="96" t="n">
        <f aca="false">C44-152000</f>
        <v>29753</v>
      </c>
      <c r="F44" s="136" t="n">
        <f aca="false">D44/$D$2</f>
        <v>-25.71212503151</v>
      </c>
      <c r="G44" s="11" t="n">
        <v>83</v>
      </c>
      <c r="H44" s="12" t="n">
        <v>0</v>
      </c>
      <c r="I44" s="11" t="n">
        <f aca="false">G44+H44</f>
        <v>83</v>
      </c>
      <c r="J44" s="4" t="n">
        <f aca="false">IF(L44&gt;0,L44,0)</f>
        <v>0</v>
      </c>
      <c r="K44" s="11" t="n">
        <f aca="false">I44+J44</f>
        <v>83</v>
      </c>
      <c r="L44" s="11" t="n">
        <f aca="false">F44-(I44-AK44)</f>
        <v>-10.44212503151</v>
      </c>
      <c r="M44" s="137" t="n">
        <v>3.67</v>
      </c>
      <c r="N44" s="138" t="n">
        <v>0</v>
      </c>
      <c r="O44" s="138" t="n">
        <f aca="false">0*1.05</f>
        <v>0</v>
      </c>
      <c r="P44" s="99" t="n">
        <v>0</v>
      </c>
      <c r="Q44" s="139" t="n">
        <f aca="false">1135800/325851/1.9835*1.02</f>
        <v>1.79246536673443</v>
      </c>
      <c r="R44" s="139" t="n">
        <f aca="false">(2*1.04)-T44</f>
        <v>1.58303808</v>
      </c>
      <c r="S44" s="139" t="n">
        <v>0</v>
      </c>
      <c r="T44" s="141" t="n">
        <f aca="false">(0.4508*1.06)*1.04</f>
        <v>0.49696192</v>
      </c>
      <c r="U44" s="102" t="n">
        <f aca="false">M44-(Q44+R44+S44+T44)</f>
        <v>-0.202465366734428</v>
      </c>
      <c r="V44" s="142" t="n">
        <v>69.6</v>
      </c>
      <c r="W44" s="142" t="n">
        <v>0</v>
      </c>
      <c r="X44" s="143" t="n">
        <f aca="false">M44-N44-O44-P44-Q44-R44-S44-T44-U44+V44+W44-AU44+AR44</f>
        <v>69.6</v>
      </c>
      <c r="Y44" s="144" t="n">
        <f aca="false">X44-AO44</f>
        <v>69.6</v>
      </c>
      <c r="Z44" s="85"/>
      <c r="AA44" s="144"/>
      <c r="AB44" s="85"/>
      <c r="AC44" s="142" t="n">
        <v>7.02449655326558</v>
      </c>
      <c r="AD44" s="85"/>
      <c r="AE44" s="142" t="n">
        <v>0</v>
      </c>
      <c r="AF44" s="145"/>
      <c r="AG44" s="146"/>
      <c r="AH44" s="142" t="n">
        <v>25</v>
      </c>
      <c r="AI44" s="85" t="n">
        <f aca="false">AI43-AH44</f>
        <v>3321.44923115706</v>
      </c>
      <c r="AJ44" s="85"/>
      <c r="AK44" s="142" t="n">
        <f aca="false">N44+O44+P44+Q44+R44+S44+T44+U44+X44+AE44+AH44</f>
        <v>98.27</v>
      </c>
      <c r="AL44" s="142" t="n">
        <f aca="false">IF(L44&lt;0,L44*-1,0)</f>
        <v>10.44212503151</v>
      </c>
      <c r="AM44" s="151" t="n">
        <f aca="false">AK44+AL44</f>
        <v>108.71212503151</v>
      </c>
      <c r="AN44" s="147" t="n">
        <f aca="false">V44</f>
        <v>69.6</v>
      </c>
      <c r="AO44" s="103"/>
      <c r="AP44" s="107"/>
      <c r="AQ44" s="107"/>
      <c r="AR44" s="107"/>
      <c r="AS44" s="107"/>
      <c r="AU44" s="5"/>
      <c r="AV44" s="108" t="n">
        <v>0</v>
      </c>
      <c r="AW44" s="109" t="n">
        <v>57</v>
      </c>
      <c r="AX44" s="109" t="n">
        <v>29</v>
      </c>
      <c r="AY44" s="109"/>
      <c r="AZ44" s="110" t="n">
        <f aca="false">SUM(N44,P44:U44)</f>
        <v>3.67</v>
      </c>
      <c r="BA44" s="0" t="n">
        <v>0.2</v>
      </c>
      <c r="BB44" s="149" t="n">
        <v>15582</v>
      </c>
    </row>
    <row r="45" customFormat="false" ht="3" hidden="false" customHeight="true" outlineLevel="0" collapsed="false">
      <c r="A45" s="117"/>
      <c r="B45" s="152"/>
      <c r="C45" s="119"/>
      <c r="D45" s="117"/>
      <c r="E45" s="119"/>
      <c r="F45" s="120"/>
      <c r="G45" s="117"/>
      <c r="H45" s="121" t="n">
        <v>0.62</v>
      </c>
      <c r="I45" s="117"/>
      <c r="J45" s="117"/>
      <c r="K45" s="117"/>
      <c r="L45" s="117"/>
      <c r="M45" s="122"/>
      <c r="N45" s="117"/>
      <c r="O45" s="117"/>
      <c r="P45" s="123"/>
      <c r="Q45" s="124"/>
      <c r="R45" s="124"/>
      <c r="S45" s="124"/>
      <c r="T45" s="124"/>
      <c r="U45" s="125"/>
      <c r="V45" s="124"/>
      <c r="W45" s="124"/>
      <c r="X45" s="124"/>
      <c r="Y45" s="131"/>
      <c r="Z45" s="127"/>
      <c r="AA45" s="131"/>
      <c r="AB45" s="127"/>
      <c r="AC45" s="127"/>
      <c r="AD45" s="127"/>
      <c r="AE45" s="124"/>
      <c r="AF45" s="128"/>
      <c r="AG45" s="129"/>
      <c r="AH45" s="124"/>
      <c r="AI45" s="124"/>
      <c r="AJ45" s="124"/>
      <c r="AK45" s="124"/>
      <c r="AL45" s="124"/>
      <c r="AM45" s="153"/>
      <c r="AN45" s="126"/>
      <c r="AO45" s="126"/>
      <c r="AP45" s="131"/>
      <c r="AQ45" s="131"/>
      <c r="AR45" s="131"/>
      <c r="AS45" s="131"/>
      <c r="AT45" s="131"/>
      <c r="AU45" s="132"/>
      <c r="AV45" s="133"/>
      <c r="AW45" s="131" t="n">
        <v>4</v>
      </c>
      <c r="AX45" s="131"/>
      <c r="AY45" s="131"/>
      <c r="AZ45" s="131"/>
      <c r="BA45" s="131"/>
      <c r="BB45" s="131"/>
    </row>
    <row r="46" customFormat="false" ht="12.95" hidden="false" customHeight="true" outlineLevel="0" collapsed="false">
      <c r="A46" s="11" t="s">
        <v>104</v>
      </c>
      <c r="B46" s="95"/>
      <c r="C46" s="96"/>
      <c r="D46" s="96"/>
      <c r="E46" s="96"/>
      <c r="F46" s="97" t="n">
        <f aca="false">SUM(F15:F44)</f>
        <v>-2010.08318628687</v>
      </c>
      <c r="G46" s="2" t="n">
        <f aca="false">SUM(G15:G44)</f>
        <v>2798</v>
      </c>
      <c r="H46" s="2" t="n">
        <f aca="false">SUM(H15:H45)</f>
        <v>0.62</v>
      </c>
      <c r="I46" s="2" t="n">
        <f aca="false">SUM(I15:I44)</f>
        <v>2798</v>
      </c>
      <c r="J46" s="2" t="n">
        <f aca="false">SUM(J15:J44)</f>
        <v>167.99115452483</v>
      </c>
      <c r="K46" s="2" t="n">
        <f aca="false">SUM(K15:K44)</f>
        <v>2965.99115452483</v>
      </c>
      <c r="L46" s="2" t="n">
        <f aca="false">SUM(L15:L44)</f>
        <v>-715.823186286867</v>
      </c>
      <c r="M46" s="98" t="n">
        <f aca="false">SUM(M15:M44)</f>
        <v>94.76</v>
      </c>
      <c r="N46" s="96" t="n">
        <f aca="false">SUM(N15:N44)</f>
        <v>0</v>
      </c>
      <c r="O46" s="100" t="n">
        <f aca="false">SUM(O15:O44)-32.1</f>
        <v>-0.063449999999996</v>
      </c>
      <c r="P46" s="100" t="n">
        <f aca="false">SUM(P15:P44)</f>
        <v>0</v>
      </c>
      <c r="Q46" s="100" t="n">
        <f aca="false">SUM(Q15:Q44)</f>
        <v>44.1740266061328</v>
      </c>
      <c r="R46" s="100" t="n">
        <f aca="false">SUM(R15:R44)</f>
        <v>47.93408256</v>
      </c>
      <c r="S46" s="100" t="n">
        <f aca="false">SUM(S15:S44)</f>
        <v>0</v>
      </c>
      <c r="T46" s="100" t="n">
        <f aca="false">SUM(T15:T44)</f>
        <v>15.50591744</v>
      </c>
      <c r="U46" s="154" t="n">
        <f aca="false">SUM(U15:U44)</f>
        <v>-12.8540266061328</v>
      </c>
      <c r="V46" s="85" t="n">
        <f aca="false">SUM(V15:V44)</f>
        <v>3184.4</v>
      </c>
      <c r="W46" s="85" t="n">
        <f aca="false">SUM(W15:W44)</f>
        <v>0</v>
      </c>
      <c r="X46" s="85" t="n">
        <f aca="false">SUM(X15:X44)</f>
        <v>3152.36345</v>
      </c>
      <c r="Y46" s="85" t="n">
        <f aca="false">SUM(Y15:Y44)</f>
        <v>3152.36345</v>
      </c>
      <c r="Z46" s="85"/>
      <c r="AA46" s="85"/>
      <c r="AB46" s="85"/>
      <c r="AC46" s="85" t="n">
        <f aca="false">SUM(AC15:AC44)</f>
        <v>157.632594577669</v>
      </c>
      <c r="AD46" s="85"/>
      <c r="AE46" s="155" t="n">
        <f aca="false">SUM(AE15:AE44)</f>
        <v>0</v>
      </c>
      <c r="AF46" s="142" t="n">
        <f aca="false">SUM(AF15:AF44)</f>
        <v>0</v>
      </c>
      <c r="AG46" s="155" t="n">
        <f aca="false">SUM(AG15:AG44)</f>
        <v>0</v>
      </c>
      <c r="AH46" s="85" t="n">
        <f aca="false">SUM(AH15:AH44)</f>
        <v>813.1</v>
      </c>
      <c r="AI46" s="85"/>
      <c r="AJ46" s="85" t="n">
        <f aca="false">SUM(AJ15:AJ44)</f>
        <v>0</v>
      </c>
      <c r="AK46" s="85" t="n">
        <f aca="false">SUM(AK15:AK44)</f>
        <v>4092.26</v>
      </c>
      <c r="AL46" s="85" t="n">
        <f aca="false">SUM(AL15:AL44)</f>
        <v>883.814340811697</v>
      </c>
      <c r="AM46" s="156" t="n">
        <f aca="false">SUM(AM15:AM44)</f>
        <v>4976.0743408117</v>
      </c>
      <c r="AN46" s="157" t="n">
        <f aca="false">SUM(AN15:AN44)</f>
        <v>3184.4</v>
      </c>
      <c r="AO46" s="103" t="n">
        <f aca="false">SUM(AO15:AO44)</f>
        <v>0</v>
      </c>
      <c r="AP46" s="107"/>
      <c r="AQ46" s="107"/>
      <c r="AR46" s="107"/>
      <c r="AS46" s="107"/>
      <c r="AU46" s="158" t="n">
        <f aca="false">SUM(AU15:AU44)</f>
        <v>0</v>
      </c>
      <c r="AV46" s="148" t="n">
        <f aca="false">SUM(AV15:AV44)</f>
        <v>0.79</v>
      </c>
      <c r="AW46" s="109" t="n">
        <f aca="false">AVERAGE(AW15:AW44)</f>
        <v>55.4666666666667</v>
      </c>
      <c r="AX46" s="109" t="n">
        <f aca="false">AVERAGE(AX15:AX44)</f>
        <v>27.1</v>
      </c>
      <c r="AY46" s="159" t="s">
        <v>105</v>
      </c>
      <c r="AZ46" s="160" t="n">
        <f aca="false">SUM(AZ15:AZ44)</f>
        <v>94.76</v>
      </c>
      <c r="BA46" s="161" t="n">
        <f aca="false">SUM(BA14:BA44)</f>
        <v>6</v>
      </c>
      <c r="BB46" s="149"/>
    </row>
    <row r="47" customFormat="false" ht="12.95" hidden="false" customHeight="true" outlineLevel="0" collapsed="false">
      <c r="A47" s="11" t="s">
        <v>106</v>
      </c>
      <c r="B47" s="95"/>
      <c r="C47" s="96"/>
      <c r="D47" s="96" t="n">
        <f aca="false">SUM(D15:D44)</f>
        <v>-3987</v>
      </c>
      <c r="E47" s="96"/>
      <c r="F47" s="97" t="n">
        <f aca="false">F46*$D$2</f>
        <v>-3987</v>
      </c>
      <c r="G47" s="2" t="n">
        <f aca="false">G46*$D$2</f>
        <v>5549.833</v>
      </c>
      <c r="H47" s="2" t="n">
        <f aca="false">H46*$D$2</f>
        <v>1.22977</v>
      </c>
      <c r="I47" s="2" t="n">
        <f aca="false">I46*$D$2</f>
        <v>5549.833</v>
      </c>
      <c r="J47" s="2" t="n">
        <f aca="false">J46*$D$2</f>
        <v>333.210455</v>
      </c>
      <c r="K47" s="2" t="n">
        <f aca="false">K46*$D$2</f>
        <v>5883.043455</v>
      </c>
      <c r="L47" s="2" t="n">
        <f aca="false">L46*$D$2</f>
        <v>-1419.83529</v>
      </c>
      <c r="M47" s="98" t="n">
        <f aca="false">M46*$D$2</f>
        <v>187.95646</v>
      </c>
      <c r="N47" s="96" t="n">
        <f aca="false">N46*$D$2</f>
        <v>0</v>
      </c>
      <c r="O47" s="96" t="n">
        <f aca="false">O46*$D$2</f>
        <v>-0.125853074999992</v>
      </c>
      <c r="P47" s="100" t="n">
        <f aca="false">P46*$D$2</f>
        <v>0</v>
      </c>
      <c r="Q47" s="100" t="n">
        <f aca="false">Q46*$D$2</f>
        <v>87.6191817732645</v>
      </c>
      <c r="R47" s="100" t="n">
        <f aca="false">R46*$D$2</f>
        <v>95.07725275776</v>
      </c>
      <c r="S47" s="100" t="n">
        <f aca="false">S46*$D$2</f>
        <v>0</v>
      </c>
      <c r="T47" s="100" t="n">
        <f aca="false">T46*$D$2</f>
        <v>30.75598724224</v>
      </c>
      <c r="U47" s="154" t="n">
        <f aca="false">U46*$D$2</f>
        <v>-25.4959617732645</v>
      </c>
      <c r="V47" s="85" t="n">
        <f aca="false">V46*$D$2</f>
        <v>6316.2574</v>
      </c>
      <c r="W47" s="85" t="n">
        <f aca="false">W46*$D$2</f>
        <v>0</v>
      </c>
      <c r="X47" s="85" t="n">
        <f aca="false">X46*$D$2</f>
        <v>6252.712903075</v>
      </c>
      <c r="Y47" s="85" t="n">
        <f aca="false">Y46*$D$2</f>
        <v>6252.712903075</v>
      </c>
      <c r="Z47" s="85"/>
      <c r="AA47" s="85"/>
      <c r="AB47" s="85"/>
      <c r="AC47" s="85" t="n">
        <f aca="false">AC46*$D$2</f>
        <v>312.664251344806</v>
      </c>
      <c r="AD47" s="85"/>
      <c r="AE47" s="162" t="n">
        <f aca="false">AE46*$D$2</f>
        <v>0</v>
      </c>
      <c r="AF47" s="85" t="n">
        <f aca="false">AF46*$D$2</f>
        <v>0</v>
      </c>
      <c r="AG47" s="162" t="n">
        <f aca="false">AG46*$D$2</f>
        <v>0</v>
      </c>
      <c r="AH47" s="85" t="n">
        <f aca="false">AH46*$D$2</f>
        <v>1612.78385</v>
      </c>
      <c r="AI47" s="85"/>
      <c r="AJ47" s="85" t="n">
        <f aca="false">AJ46*$D$2</f>
        <v>0</v>
      </c>
      <c r="AK47" s="85" t="n">
        <f aca="false">AK46*$D$2</f>
        <v>8116.99771</v>
      </c>
      <c r="AL47" s="85" t="n">
        <f aca="false">AL46*$D$2</f>
        <v>1753.045745</v>
      </c>
      <c r="AM47" s="156" t="n">
        <f aca="false">AM46*$D$2</f>
        <v>9870.043455</v>
      </c>
      <c r="AN47" s="157" t="n">
        <f aca="false">AN46*$D$2</f>
        <v>6316.2574</v>
      </c>
      <c r="AO47" s="103" t="n">
        <f aca="false">AO46*$D$2</f>
        <v>0</v>
      </c>
      <c r="AP47" s="107"/>
      <c r="AQ47" s="107"/>
      <c r="AR47" s="107"/>
      <c r="AS47" s="107"/>
      <c r="AU47" s="157" t="n">
        <f aca="false">AU46*$D$2</f>
        <v>0</v>
      </c>
      <c r="AV47" s="108"/>
      <c r="AW47" s="109" t="n">
        <f aca="false">MAX(AW15:AW44)</f>
        <v>69</v>
      </c>
      <c r="AX47" s="109" t="n">
        <f aca="false">MAX(AX15:AX44)</f>
        <v>48</v>
      </c>
      <c r="AY47" s="163" t="s">
        <v>107</v>
      </c>
      <c r="AZ47" s="160" t="n">
        <f aca="false">AZ46*$D$2</f>
        <v>187.95646</v>
      </c>
      <c r="BA47" s="161" t="n">
        <f aca="false">BA46*$D$2</f>
        <v>11.901</v>
      </c>
      <c r="BB47" s="149"/>
    </row>
    <row r="48" customFormat="false" ht="3" hidden="false" customHeight="true" outlineLevel="0" collapsed="false">
      <c r="A48" s="117"/>
      <c r="B48" s="152"/>
      <c r="C48" s="119"/>
      <c r="D48" s="119"/>
      <c r="E48" s="119"/>
      <c r="F48" s="164"/>
      <c r="G48" s="119"/>
      <c r="H48" s="119"/>
      <c r="I48" s="119"/>
      <c r="J48" s="119"/>
      <c r="K48" s="119"/>
      <c r="L48" s="119"/>
      <c r="M48" s="165"/>
      <c r="N48" s="119"/>
      <c r="O48" s="119"/>
      <c r="P48" s="123"/>
      <c r="Q48" s="127"/>
      <c r="R48" s="127"/>
      <c r="S48" s="127"/>
      <c r="T48" s="127"/>
      <c r="U48" s="166"/>
      <c r="V48" s="127"/>
      <c r="W48" s="127"/>
      <c r="X48" s="127"/>
      <c r="Y48" s="127"/>
      <c r="Z48" s="127"/>
      <c r="AA48" s="127"/>
      <c r="AB48" s="127"/>
      <c r="AC48" s="127"/>
      <c r="AD48" s="127"/>
      <c r="AE48" s="127"/>
      <c r="AF48" s="167"/>
      <c r="AG48" s="168"/>
      <c r="AH48" s="127"/>
      <c r="AI48" s="124"/>
      <c r="AJ48" s="127"/>
      <c r="AK48" s="127"/>
      <c r="AL48" s="127"/>
      <c r="AM48" s="169"/>
      <c r="AN48" s="126"/>
      <c r="AO48" s="126"/>
      <c r="AP48" s="127"/>
      <c r="AQ48" s="127"/>
      <c r="AR48" s="127"/>
      <c r="AS48" s="127"/>
      <c r="AT48" s="127"/>
      <c r="AU48" s="132"/>
      <c r="AV48" s="170"/>
      <c r="AW48" s="131"/>
      <c r="AX48" s="127"/>
      <c r="AY48" s="127"/>
      <c r="AZ48" s="127"/>
      <c r="BA48" s="127"/>
      <c r="BB48" s="127"/>
    </row>
    <row r="49" customFormat="false" ht="12.95" hidden="false" customHeight="true" outlineLevel="0" collapsed="false">
      <c r="A49" s="11" t="s">
        <v>108</v>
      </c>
      <c r="B49" s="95"/>
      <c r="C49" s="96"/>
      <c r="D49" s="96"/>
      <c r="E49" s="96"/>
      <c r="F49" s="97"/>
      <c r="G49" s="2"/>
      <c r="H49" s="9"/>
      <c r="I49" s="2"/>
      <c r="J49" s="2"/>
      <c r="K49" s="2"/>
      <c r="L49" s="2"/>
      <c r="M49" s="98"/>
      <c r="N49" s="96"/>
      <c r="O49" s="96"/>
      <c r="P49" s="99"/>
      <c r="Q49" s="100"/>
      <c r="R49" s="100"/>
      <c r="S49" s="100"/>
      <c r="T49" s="100"/>
      <c r="U49" s="154"/>
      <c r="V49" s="85"/>
      <c r="W49" s="85"/>
      <c r="X49" s="85"/>
      <c r="Y49" s="85"/>
      <c r="Z49" s="85"/>
      <c r="AA49" s="85"/>
      <c r="AB49" s="85"/>
      <c r="AC49" s="85"/>
      <c r="AD49" s="85"/>
      <c r="AE49" s="85"/>
      <c r="AF49" s="104"/>
      <c r="AG49" s="105"/>
      <c r="AH49" s="85"/>
      <c r="AI49" s="85"/>
      <c r="AJ49" s="85"/>
      <c r="AK49" s="85"/>
      <c r="AL49" s="85"/>
      <c r="AM49" s="156"/>
      <c r="AN49" s="103"/>
      <c r="AO49" s="103"/>
      <c r="AP49" s="107"/>
      <c r="AQ49" s="107"/>
      <c r="AR49" s="107"/>
      <c r="AS49" s="107"/>
      <c r="AU49" s="5"/>
      <c r="AV49" s="108"/>
      <c r="AW49" s="109" t="n">
        <f aca="false">MIN(AW15:AW44)</f>
        <v>34</v>
      </c>
      <c r="AX49" s="109" t="n">
        <f aca="false">MIN(AX15:AX44)</f>
        <v>14</v>
      </c>
      <c r="AY49" s="163" t="s">
        <v>109</v>
      </c>
      <c r="AZ49" s="160"/>
      <c r="BA49" s="161"/>
      <c r="BB49" s="149"/>
    </row>
    <row r="50" customFormat="false" ht="12.95" hidden="false" customHeight="true" outlineLevel="0" collapsed="false">
      <c r="A50" s="11" t="s">
        <v>110</v>
      </c>
      <c r="B50" s="95"/>
      <c r="C50" s="96"/>
      <c r="D50" s="96"/>
      <c r="E50" s="96"/>
      <c r="F50" s="97"/>
      <c r="G50" s="2"/>
      <c r="H50" s="9"/>
      <c r="I50" s="2"/>
      <c r="J50" s="2"/>
      <c r="K50" s="2"/>
      <c r="L50" s="2"/>
      <c r="M50" s="98"/>
      <c r="N50" s="96"/>
      <c r="O50" s="96"/>
      <c r="P50" s="99"/>
      <c r="Q50" s="100"/>
      <c r="R50" s="100"/>
      <c r="S50" s="100"/>
      <c r="T50" s="100"/>
      <c r="U50" s="154"/>
      <c r="V50" s="85"/>
      <c r="W50" s="85"/>
      <c r="X50" s="85"/>
      <c r="Y50" s="85"/>
      <c r="Z50" s="85"/>
      <c r="AA50" s="85"/>
      <c r="AB50" s="85"/>
      <c r="AC50" s="85"/>
      <c r="AD50" s="85"/>
      <c r="AE50" s="85"/>
      <c r="AF50" s="104"/>
      <c r="AG50" s="105"/>
      <c r="AH50" s="85"/>
      <c r="AI50" s="85"/>
      <c r="AJ50" s="85"/>
      <c r="AK50" s="85"/>
      <c r="AL50" s="85"/>
      <c r="AM50" s="156"/>
      <c r="AN50" s="103"/>
      <c r="AO50" s="103"/>
      <c r="AP50" s="107"/>
      <c r="AQ50" s="107"/>
      <c r="AR50" s="107"/>
      <c r="AS50" s="107"/>
      <c r="AU50" s="171"/>
      <c r="AV50" s="172"/>
      <c r="AW50" s="109"/>
      <c r="AX50" s="109"/>
      <c r="AY50" s="109"/>
      <c r="AZ50" s="160"/>
      <c r="BA50" s="161"/>
      <c r="BB50" s="149"/>
    </row>
    <row r="51" customFormat="false" ht="3" hidden="false" customHeight="true" outlineLevel="0" collapsed="false">
      <c r="A51" s="117"/>
      <c r="B51" s="152"/>
      <c r="C51" s="119"/>
      <c r="D51" s="119"/>
      <c r="E51" s="119"/>
      <c r="F51" s="164"/>
      <c r="G51" s="119"/>
      <c r="H51" s="173"/>
      <c r="I51" s="119"/>
      <c r="J51" s="119"/>
      <c r="K51" s="119"/>
      <c r="L51" s="119"/>
      <c r="M51" s="165"/>
      <c r="N51" s="119"/>
      <c r="O51" s="119"/>
      <c r="P51" s="123"/>
      <c r="Q51" s="127"/>
      <c r="R51" s="127"/>
      <c r="S51" s="127"/>
      <c r="T51" s="127"/>
      <c r="U51" s="166"/>
      <c r="V51" s="127"/>
      <c r="W51" s="127"/>
      <c r="X51" s="127"/>
      <c r="Y51" s="127"/>
      <c r="Z51" s="127"/>
      <c r="AA51" s="127"/>
      <c r="AB51" s="127"/>
      <c r="AC51" s="127"/>
      <c r="AD51" s="127"/>
      <c r="AE51" s="127"/>
      <c r="AF51" s="167"/>
      <c r="AG51" s="168"/>
      <c r="AH51" s="127"/>
      <c r="AI51" s="127"/>
      <c r="AJ51" s="127"/>
      <c r="AK51" s="127"/>
      <c r="AL51" s="127"/>
      <c r="AM51" s="169"/>
      <c r="AN51" s="126"/>
      <c r="AO51" s="126"/>
      <c r="AP51" s="127"/>
      <c r="AQ51" s="127"/>
      <c r="AR51" s="127"/>
      <c r="AS51" s="127"/>
      <c r="AT51" s="127"/>
      <c r="AU51" s="132"/>
      <c r="AV51" s="133"/>
      <c r="AW51" s="131"/>
      <c r="AX51" s="127"/>
      <c r="AY51" s="127"/>
      <c r="AZ51" s="127"/>
      <c r="BA51" s="127"/>
      <c r="BB51" s="127"/>
    </row>
    <row r="52" customFormat="false" ht="12.95" hidden="false" customHeight="true" outlineLevel="0" collapsed="false">
      <c r="A52" s="11" t="s">
        <v>111</v>
      </c>
      <c r="B52" s="95"/>
      <c r="C52" s="96"/>
      <c r="D52" s="96"/>
      <c r="E52" s="96"/>
      <c r="F52" s="97" t="n">
        <f aca="false">F13+F46</f>
        <v>-2010.08318628687</v>
      </c>
      <c r="G52" s="2" t="n">
        <f aca="false">G13+G46</f>
        <v>2798</v>
      </c>
      <c r="H52" s="9" t="n">
        <f aca="false">H13+H46</f>
        <v>0.62</v>
      </c>
      <c r="I52" s="2" t="n">
        <f aca="false">I13+I46</f>
        <v>2798</v>
      </c>
      <c r="J52" s="2" t="n">
        <f aca="false">J13+J46</f>
        <v>167.99115452483</v>
      </c>
      <c r="K52" s="2" t="n">
        <f aca="false">K13+K46</f>
        <v>2965.99115452483</v>
      </c>
      <c r="L52" s="2" t="n">
        <f aca="false">L13+L46</f>
        <v>-715.823186286867</v>
      </c>
      <c r="M52" s="98" t="n">
        <f aca="false">M13+M46</f>
        <v>94.76</v>
      </c>
      <c r="N52" s="96" t="n">
        <f aca="false">N13+N46</f>
        <v>0</v>
      </c>
      <c r="O52" s="96" t="n">
        <v>0</v>
      </c>
      <c r="P52" s="100" t="n">
        <f aca="false">P13+P46</f>
        <v>0</v>
      </c>
      <c r="Q52" s="100" t="n">
        <f aca="false">Q13+Q46</f>
        <v>44.1740266061328</v>
      </c>
      <c r="R52" s="100" t="n">
        <f aca="false">R13+R46</f>
        <v>47.93408256</v>
      </c>
      <c r="S52" s="100" t="n">
        <f aca="false">S13+S46</f>
        <v>0</v>
      </c>
      <c r="T52" s="100" t="n">
        <f aca="false">T13+T46</f>
        <v>15.50591744</v>
      </c>
      <c r="U52" s="154" t="n">
        <f aca="false">U13+U46</f>
        <v>-12.8540266061328</v>
      </c>
      <c r="V52" s="85" t="n">
        <f aca="false">V13+V46</f>
        <v>3184.4</v>
      </c>
      <c r="W52" s="85" t="n">
        <f aca="false">W13+W46</f>
        <v>0</v>
      </c>
      <c r="X52" s="85" t="n">
        <f aca="false">X13+X46</f>
        <v>3152.36345</v>
      </c>
      <c r="Y52" s="85" t="n">
        <f aca="false">Y13+Y46</f>
        <v>3152.36345</v>
      </c>
      <c r="Z52" s="85"/>
      <c r="AA52" s="85"/>
      <c r="AB52" s="85"/>
      <c r="AC52" s="85" t="n">
        <f aca="false">AC13+AC46</f>
        <v>157.632594577669</v>
      </c>
      <c r="AD52" s="85"/>
      <c r="AE52" s="155" t="n">
        <f aca="false">AE13+AE46</f>
        <v>0</v>
      </c>
      <c r="AF52" s="142" t="n">
        <f aca="false">AF13+AF46</f>
        <v>0</v>
      </c>
      <c r="AG52" s="155" t="n">
        <f aca="false">AG13+AG46</f>
        <v>0</v>
      </c>
      <c r="AH52" s="85" t="n">
        <f aca="false">AH13+AH46</f>
        <v>813.1</v>
      </c>
      <c r="AI52" s="85" t="n">
        <f aca="false">AI44</f>
        <v>3321.44923115706</v>
      </c>
      <c r="AJ52" s="85" t="n">
        <f aca="false">AJ13+AJ46</f>
        <v>0</v>
      </c>
      <c r="AK52" s="85" t="n">
        <f aca="false">AK13+AK46</f>
        <v>4092.26</v>
      </c>
      <c r="AL52" s="85" t="n">
        <f aca="false">AL13+AL46</f>
        <v>883.814340811697</v>
      </c>
      <c r="AM52" s="156" t="n">
        <f aca="false">AM13+AM46</f>
        <v>4976.0743408117</v>
      </c>
      <c r="AN52" s="157" t="n">
        <f aca="false">AN13+AN46</f>
        <v>3184.4</v>
      </c>
      <c r="AO52" s="103" t="n">
        <f aca="false">AO13+AO46</f>
        <v>0</v>
      </c>
      <c r="AP52" s="107"/>
      <c r="AQ52" s="107"/>
      <c r="AR52" s="107"/>
      <c r="AS52" s="107"/>
      <c r="AU52" s="5"/>
      <c r="AV52" s="108" t="n">
        <f aca="false">AV13+AV46</f>
        <v>0.79</v>
      </c>
      <c r="AW52" s="109"/>
      <c r="AX52" s="109"/>
      <c r="AY52" s="109"/>
      <c r="AZ52" s="160" t="n">
        <f aca="false">AZ13+AZ46</f>
        <v>94.76</v>
      </c>
      <c r="BA52" s="161" t="n">
        <f aca="false">BA13+BA46</f>
        <v>6</v>
      </c>
      <c r="BB52" s="149"/>
    </row>
    <row r="53" customFormat="false" ht="12.95" hidden="false" customHeight="true" outlineLevel="0" collapsed="false">
      <c r="A53" s="11" t="s">
        <v>112</v>
      </c>
      <c r="B53" s="95"/>
      <c r="C53" s="96"/>
      <c r="D53" s="96" t="n">
        <f aca="false">D13+D47</f>
        <v>-3987</v>
      </c>
      <c r="E53" s="96" t="n">
        <f aca="false">E44</f>
        <v>29753</v>
      </c>
      <c r="F53" s="97" t="n">
        <f aca="false">F52*$D$2</f>
        <v>-3987</v>
      </c>
      <c r="G53" s="2" t="n">
        <f aca="false">G52*$D$2</f>
        <v>5549.833</v>
      </c>
      <c r="H53" s="9" t="n">
        <f aca="false">H52*$D$2</f>
        <v>1.22977</v>
      </c>
      <c r="I53" s="2" t="n">
        <f aca="false">I52*$D$2</f>
        <v>5549.833</v>
      </c>
      <c r="J53" s="2" t="n">
        <f aca="false">J52*$D$2</f>
        <v>333.210455</v>
      </c>
      <c r="K53" s="2" t="n">
        <f aca="false">K52*$D$2</f>
        <v>5883.043455</v>
      </c>
      <c r="L53" s="2" t="n">
        <f aca="false">L52*$D$2</f>
        <v>-1419.83529</v>
      </c>
      <c r="M53" s="98" t="n">
        <f aca="false">M52*$D$2</f>
        <v>187.95646</v>
      </c>
      <c r="N53" s="96" t="n">
        <f aca="false">N52*$D$2</f>
        <v>0</v>
      </c>
      <c r="O53" s="96" t="n">
        <f aca="false">O52*$D$2</f>
        <v>0</v>
      </c>
      <c r="P53" s="100" t="n">
        <f aca="false">P52*$D$2</f>
        <v>0</v>
      </c>
      <c r="Q53" s="100" t="n">
        <f aca="false">Q52*$D$2</f>
        <v>87.6191817732645</v>
      </c>
      <c r="R53" s="100" t="n">
        <f aca="false">R52*$D$2</f>
        <v>95.07725275776</v>
      </c>
      <c r="S53" s="100" t="n">
        <f aca="false">S52*$D$2</f>
        <v>0</v>
      </c>
      <c r="T53" s="100" t="n">
        <f aca="false">T52*$D$2</f>
        <v>30.75598724224</v>
      </c>
      <c r="U53" s="154" t="n">
        <f aca="false">U52*$D$2</f>
        <v>-25.4959617732645</v>
      </c>
      <c r="V53" s="85" t="n">
        <f aca="false">V52*$D$2</f>
        <v>6316.2574</v>
      </c>
      <c r="W53" s="85" t="n">
        <f aca="false">W52*$D$2</f>
        <v>0</v>
      </c>
      <c r="X53" s="85" t="n">
        <f aca="false">X52*$D$2</f>
        <v>6252.712903075</v>
      </c>
      <c r="Y53" s="85" t="n">
        <f aca="false">Y52*$D$2</f>
        <v>6252.712903075</v>
      </c>
      <c r="Z53" s="85"/>
      <c r="AA53" s="85"/>
      <c r="AB53" s="85"/>
      <c r="AC53" s="85" t="n">
        <f aca="false">AC52*$D$2</f>
        <v>312.664251344806</v>
      </c>
      <c r="AD53" s="85"/>
      <c r="AE53" s="162" t="n">
        <f aca="false">AE52*$D$2</f>
        <v>0</v>
      </c>
      <c r="AF53" s="85" t="n">
        <f aca="false">AF52*$D$2</f>
        <v>0</v>
      </c>
      <c r="AG53" s="162" t="n">
        <f aca="false">AG52*$D$2</f>
        <v>0</v>
      </c>
      <c r="AH53" s="85" t="n">
        <f aca="false">AH52*$D$2</f>
        <v>1612.78385</v>
      </c>
      <c r="AI53" s="85" t="n">
        <f aca="false">AI52*$D$2</f>
        <v>6588.09455000003</v>
      </c>
      <c r="AJ53" s="85" t="n">
        <f aca="false">AJ52*$D$2</f>
        <v>0</v>
      </c>
      <c r="AK53" s="85" t="n">
        <f aca="false">AK52*$D$2</f>
        <v>8116.99771</v>
      </c>
      <c r="AL53" s="85" t="n">
        <f aca="false">AL52*$D$2</f>
        <v>1753.045745</v>
      </c>
      <c r="AM53" s="174" t="n">
        <f aca="false">AM52*$D$2</f>
        <v>9870.043455</v>
      </c>
      <c r="AN53" s="157" t="n">
        <f aca="false">AN52*$D$2</f>
        <v>6316.2574</v>
      </c>
      <c r="AO53" s="103" t="n">
        <f aca="false">AO52*$D$2</f>
        <v>0</v>
      </c>
      <c r="AP53" s="107"/>
      <c r="AQ53" s="107"/>
      <c r="AR53" s="107"/>
      <c r="AS53" s="107"/>
      <c r="AV53" s="108"/>
      <c r="AW53" s="109"/>
      <c r="AX53" s="175"/>
      <c r="AY53" s="175"/>
      <c r="AZ53" s="176" t="n">
        <f aca="false">AZ52*$D$2</f>
        <v>187.95646</v>
      </c>
      <c r="BA53" s="161" t="n">
        <f aca="false">BA52*$D$2</f>
        <v>11.901</v>
      </c>
      <c r="BB53" s="149"/>
    </row>
    <row r="54" customFormat="false" ht="3" hidden="false" customHeight="true" outlineLevel="0" collapsed="false">
      <c r="A54" s="117"/>
      <c r="B54" s="152"/>
      <c r="C54" s="119"/>
      <c r="D54" s="117"/>
      <c r="E54" s="119"/>
      <c r="F54" s="120"/>
      <c r="G54" s="117"/>
      <c r="H54" s="121"/>
      <c r="I54" s="117"/>
      <c r="J54" s="117"/>
      <c r="K54" s="117"/>
      <c r="L54" s="117"/>
      <c r="M54" s="122"/>
      <c r="N54" s="117"/>
      <c r="O54" s="117"/>
      <c r="P54" s="123"/>
      <c r="Q54" s="117"/>
      <c r="R54" s="117"/>
      <c r="S54" s="117"/>
      <c r="T54" s="117"/>
      <c r="U54" s="125"/>
      <c r="V54" s="117"/>
      <c r="W54" s="117"/>
      <c r="X54" s="117"/>
      <c r="Y54" s="177"/>
      <c r="Z54" s="119"/>
      <c r="AA54" s="177"/>
      <c r="AB54" s="119"/>
      <c r="AC54" s="119"/>
      <c r="AD54" s="119"/>
      <c r="AE54" s="117"/>
      <c r="AF54" s="122"/>
      <c r="AG54" s="178"/>
      <c r="AH54" s="117"/>
      <c r="AI54" s="119"/>
      <c r="AJ54" s="119"/>
      <c r="AK54" s="117"/>
      <c r="AL54" s="117"/>
      <c r="AM54" s="117"/>
      <c r="AN54" s="179"/>
      <c r="AO54" s="177"/>
      <c r="AP54" s="117"/>
      <c r="AQ54" s="180"/>
      <c r="AR54" s="180"/>
      <c r="AS54" s="181"/>
      <c r="AT54" s="181"/>
      <c r="AU54" s="132"/>
      <c r="AV54" s="117"/>
      <c r="AW54" s="173"/>
      <c r="AX54" s="117"/>
      <c r="AY54" s="117"/>
      <c r="AZ54" s="117"/>
      <c r="BA54" s="117"/>
      <c r="BB54" s="117"/>
    </row>
    <row r="55" customFormat="false" ht="14.1" hidden="false" customHeight="true" outlineLevel="0" collapsed="false">
      <c r="A55" s="182"/>
      <c r="B55" s="183"/>
      <c r="D55" s="11"/>
      <c r="F55" s="11"/>
      <c r="G55" s="11"/>
      <c r="I55" s="11"/>
      <c r="J55" s="11"/>
      <c r="K55" s="11"/>
      <c r="L55" s="11"/>
      <c r="M55" s="11"/>
      <c r="N55" s="11"/>
      <c r="O55" s="11"/>
      <c r="Q55" s="11"/>
      <c r="R55" s="11"/>
      <c r="S55" s="11"/>
      <c r="T55" s="11"/>
      <c r="V55" s="11"/>
      <c r="W55" s="11"/>
      <c r="X55" s="11"/>
      <c r="Z55" s="2"/>
      <c r="AB55" s="2"/>
      <c r="AC55" s="2"/>
      <c r="AD55" s="2"/>
      <c r="AE55" s="11"/>
      <c r="AF55" s="11"/>
      <c r="AG55" s="11"/>
      <c r="AH55" s="11"/>
      <c r="AI55" s="2"/>
      <c r="AJ55" s="2"/>
      <c r="AK55" s="11"/>
      <c r="AL55" s="11"/>
      <c r="AN55" s="184"/>
      <c r="AO55" s="184"/>
      <c r="AU55" s="6"/>
      <c r="AX55" s="9"/>
      <c r="AY55" s="9"/>
    </row>
    <row r="56" customFormat="false" ht="11.1" hidden="false" customHeight="true" outlineLevel="0" collapsed="false">
      <c r="A56" s="11"/>
      <c r="B56" s="185"/>
      <c r="F56" s="11"/>
      <c r="G56" s="11"/>
      <c r="I56" s="12"/>
      <c r="J56" s="11"/>
      <c r="K56" s="186"/>
      <c r="L56" s="11"/>
      <c r="M56" s="11"/>
      <c r="N56" s="11"/>
      <c r="O56" s="11"/>
      <c r="Q56" s="11"/>
      <c r="R56" s="11"/>
      <c r="S56" s="11"/>
      <c r="T56" s="11"/>
      <c r="V56" s="11"/>
      <c r="W56" s="11"/>
      <c r="X56" s="11"/>
      <c r="Z56" s="2"/>
      <c r="AB56" s="2"/>
      <c r="AC56" s="2"/>
      <c r="AD56" s="2"/>
      <c r="AE56" s="11"/>
      <c r="AF56" s="11"/>
      <c r="AG56" s="11"/>
      <c r="AH56" s="11"/>
      <c r="AI56" s="2"/>
      <c r="AJ56" s="2"/>
      <c r="AK56" s="11"/>
      <c r="AL56" s="11"/>
      <c r="AN56" s="184"/>
      <c r="AO56" s="184"/>
      <c r="AU56" s="5"/>
      <c r="AX56" s="9"/>
      <c r="AY56" s="9"/>
    </row>
    <row r="57" customFormat="false" ht="11.1" hidden="false" customHeight="true" outlineLevel="0" collapsed="false">
      <c r="D57" s="2"/>
      <c r="S57" s="4"/>
      <c r="T57" s="4"/>
      <c r="X57" s="1"/>
      <c r="Z57" s="2"/>
      <c r="AB57" s="2"/>
      <c r="AC57" s="2"/>
      <c r="AD57" s="2"/>
      <c r="AF57" s="1"/>
      <c r="AG57" s="1"/>
      <c r="AH57" s="1"/>
      <c r="AI57" s="2"/>
      <c r="AJ57" s="2"/>
      <c r="AN57" s="184"/>
      <c r="AO57" s="184"/>
      <c r="AX57" s="9"/>
      <c r="AY57" s="9"/>
    </row>
    <row r="58" customFormat="false" ht="11.1" hidden="false" customHeight="true" outlineLevel="0" collapsed="false">
      <c r="B58" s="5"/>
      <c r="D58" s="2"/>
      <c r="S58" s="4"/>
      <c r="T58" s="4"/>
      <c r="X58" s="1"/>
      <c r="Z58" s="2"/>
      <c r="AB58" s="2"/>
      <c r="AC58" s="2"/>
      <c r="AD58" s="2"/>
      <c r="AF58" s="1"/>
      <c r="AG58" s="1"/>
      <c r="AH58" s="1"/>
      <c r="AI58" s="2"/>
      <c r="AJ58" s="2"/>
      <c r="AN58" s="184"/>
      <c r="AO58" s="184"/>
      <c r="AX58" s="9"/>
      <c r="AY58" s="9"/>
    </row>
    <row r="59" customFormat="false" ht="11.1" hidden="false" customHeight="true" outlineLevel="0" collapsed="false">
      <c r="G59" s="187"/>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6" width="4.66"/>
    <col collapsed="false" customWidth="true" hidden="false" outlineLevel="0" max="2" min="2" style="56" width="6.99"/>
    <col collapsed="false" customWidth="true" hidden="false" outlineLevel="0" max="3" min="3" style="161" width="6.32"/>
    <col collapsed="false" customWidth="true" hidden="false" outlineLevel="0" max="4" min="4" style="56" width="6.32"/>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188" width="5.66"/>
    <col collapsed="false" customWidth="true" hidden="false" outlineLevel="0" max="11" min="9" style="56" width="6.32"/>
    <col collapsed="false" customWidth="true" hidden="false" outlineLevel="0" max="12" min="12" style="56" width="6.82"/>
    <col collapsed="false" customWidth="true" hidden="false" outlineLevel="0" max="13" min="13" style="111" width="5.49"/>
    <col collapsed="false" customWidth="true" hidden="false" outlineLevel="0" max="14" min="14" style="111" width="4.49"/>
    <col collapsed="false" customWidth="true" hidden="false" outlineLevel="0" max="15" min="15" style="111" width="5.49"/>
    <col collapsed="false" customWidth="true" hidden="false" outlineLevel="0" max="16" min="16" style="8" width="4.82"/>
    <col collapsed="false" customWidth="true" hidden="false" outlineLevel="0" max="20" min="17" style="56" width="4.32"/>
    <col collapsed="false" customWidth="true" hidden="false" outlineLevel="0" max="21" min="21" style="8" width="5.99"/>
    <col collapsed="false" customWidth="true" hidden="false" outlineLevel="0" max="23" min="22" style="56" width="5.49"/>
    <col collapsed="false" customWidth="true" hidden="false" outlineLevel="0" max="25" min="24" style="161" width="6.32"/>
    <col collapsed="false" customWidth="true" hidden="false" outlineLevel="0" max="26" min="26" style="111" width="5.49"/>
    <col collapsed="false" customWidth="true" hidden="false" outlineLevel="0" max="27" min="27" style="161" width="6.32"/>
    <col collapsed="false" customWidth="true" hidden="false" outlineLevel="0" max="28" min="28" style="111" width="5.49"/>
    <col collapsed="false" customWidth="true" hidden="false" outlineLevel="0" max="29" min="29" style="111" width="5.99"/>
    <col collapsed="false" customWidth="true" hidden="false" outlineLevel="0" max="33" min="30" style="56" width="5.49"/>
    <col collapsed="false" customWidth="true" hidden="false" outlineLevel="0" max="34" min="34" style="161" width="6.32"/>
    <col collapsed="false" customWidth="true" hidden="false" outlineLevel="0" max="35" min="35" style="56" width="5.49"/>
    <col collapsed="false" customWidth="true" hidden="false" outlineLevel="0" max="36" min="36" style="189" width="6.32"/>
    <col collapsed="false" customWidth="true" hidden="false" outlineLevel="0" max="37" min="37" style="56" width="6.32"/>
    <col collapsed="false" customWidth="true" hidden="false" outlineLevel="0" max="38" min="38" style="56" width="6.82"/>
    <col collapsed="false" customWidth="true" hidden="false" outlineLevel="0" max="39" min="39" style="8" width="6.82"/>
    <col collapsed="false" customWidth="true" hidden="false" outlineLevel="0" max="40" min="40" style="56" width="5.49"/>
    <col collapsed="false" customWidth="true" hidden="false" outlineLevel="0" max="41" min="41" style="111" width="5.49"/>
    <col collapsed="false" customWidth="true" hidden="false" outlineLevel="0" max="42" min="42" style="56" width="6.32"/>
    <col collapsed="false" customWidth="true" hidden="false" outlineLevel="0" max="43" min="43" style="190" width="6.32"/>
    <col collapsed="false" customWidth="true" hidden="false" outlineLevel="0" max="44" min="44" style="190" width="5.49"/>
    <col collapsed="false" customWidth="true" hidden="false" outlineLevel="0" max="45" min="45" style="190" width="5.32"/>
    <col collapsed="false" customWidth="true" hidden="false" outlineLevel="0" max="46" min="46" style="190" width="5.82"/>
    <col collapsed="false" customWidth="true" hidden="false" outlineLevel="0" max="47" min="47" style="56" width="4.99"/>
    <col collapsed="false" customWidth="true" hidden="false" outlineLevel="0" max="48" min="48" style="188" width="5.32"/>
    <col collapsed="false" customWidth="true" hidden="false" outlineLevel="0" max="49" min="49" style="191" width="3.82"/>
    <col collapsed="false" customWidth="true" hidden="false" outlineLevel="0" max="51" min="50" style="192" width="3.82"/>
    <col collapsed="false" customWidth="true" hidden="false" outlineLevel="0" max="52" min="52" style="189" width="5.49"/>
    <col collapsed="false" customWidth="false" hidden="false" outlineLevel="0" max="257" min="53" style="193" width="9.32"/>
  </cols>
  <sheetData>
    <row r="1" customFormat="false" ht="14.1" hidden="false" customHeight="true" outlineLevel="0" collapsed="false">
      <c r="A1" s="194"/>
      <c r="B1" s="194"/>
      <c r="D1" s="194"/>
      <c r="F1" s="194"/>
      <c r="G1" s="194"/>
      <c r="H1" s="195"/>
      <c r="I1" s="194"/>
      <c r="J1" s="194"/>
      <c r="K1" s="196" t="s">
        <v>0</v>
      </c>
      <c r="L1" s="194"/>
      <c r="M1" s="194"/>
      <c r="N1" s="194"/>
      <c r="O1" s="194"/>
      <c r="Q1" s="194"/>
      <c r="R1" s="194"/>
      <c r="S1" s="194"/>
      <c r="T1" s="194"/>
      <c r="V1" s="194"/>
      <c r="W1" s="194"/>
      <c r="AD1" s="194"/>
      <c r="AE1" s="194"/>
      <c r="AF1" s="194"/>
      <c r="AG1" s="194"/>
      <c r="AI1" s="194"/>
      <c r="AJ1" s="197"/>
      <c r="AK1" s="194"/>
      <c r="AL1" s="194"/>
    </row>
    <row r="2" customFormat="false" ht="14.1" hidden="false" customHeight="true" outlineLevel="0" collapsed="false">
      <c r="A2" s="197" t="s">
        <v>1</v>
      </c>
      <c r="B2" s="194"/>
      <c r="D2" s="198" t="n">
        <v>1.9835</v>
      </c>
      <c r="F2" s="194"/>
      <c r="G2" s="194"/>
      <c r="H2" s="195"/>
      <c r="I2" s="194"/>
      <c r="J2" s="194"/>
      <c r="K2" s="199" t="s">
        <v>113</v>
      </c>
      <c r="L2" s="199"/>
      <c r="M2" s="199"/>
      <c r="N2" s="199"/>
      <c r="O2" s="199"/>
      <c r="P2" s="199"/>
      <c r="Q2" s="199"/>
      <c r="R2" s="199"/>
      <c r="S2" s="199"/>
      <c r="T2" s="199"/>
      <c r="U2" s="199"/>
      <c r="V2" s="199"/>
      <c r="W2" s="200"/>
      <c r="X2" s="90"/>
      <c r="Y2" s="90"/>
      <c r="Z2" s="201"/>
      <c r="AA2" s="90"/>
      <c r="AB2" s="201"/>
      <c r="AC2" s="201"/>
      <c r="AD2" s="200"/>
      <c r="AE2" s="194"/>
      <c r="AF2" s="194"/>
      <c r="AG2" s="194"/>
      <c r="AI2" s="194"/>
      <c r="AJ2" s="197"/>
      <c r="AK2" s="194"/>
      <c r="AL2" s="194"/>
    </row>
    <row r="3" customFormat="false" ht="14.1" hidden="false" customHeight="true" outlineLevel="0" collapsed="false">
      <c r="A3" s="202"/>
      <c r="B3" s="202"/>
      <c r="C3" s="203"/>
      <c r="D3" s="204"/>
      <c r="E3" s="203"/>
      <c r="F3" s="202"/>
      <c r="G3" s="202"/>
      <c r="H3" s="205"/>
      <c r="I3" s="202"/>
      <c r="J3" s="202"/>
      <c r="K3" s="202"/>
      <c r="L3" s="202"/>
      <c r="M3" s="202"/>
      <c r="N3" s="202"/>
      <c r="O3" s="202"/>
      <c r="P3" s="206"/>
      <c r="Q3" s="202"/>
      <c r="R3" s="202"/>
      <c r="S3" s="202"/>
      <c r="T3" s="202"/>
      <c r="U3" s="206"/>
      <c r="V3" s="202"/>
      <c r="W3" s="202"/>
      <c r="X3" s="203"/>
      <c r="Y3" s="203"/>
      <c r="Z3" s="207"/>
      <c r="AA3" s="203"/>
      <c r="AB3" s="207"/>
      <c r="AC3" s="207"/>
      <c r="AD3" s="202"/>
      <c r="AE3" s="202"/>
      <c r="AF3" s="202"/>
      <c r="AG3" s="202"/>
      <c r="AH3" s="203"/>
      <c r="AI3" s="202"/>
      <c r="AJ3" s="208"/>
      <c r="AK3" s="202"/>
      <c r="AL3" s="202"/>
      <c r="AM3" s="206"/>
      <c r="AN3" s="209"/>
      <c r="AO3" s="207"/>
      <c r="AP3" s="209"/>
      <c r="AQ3" s="210"/>
      <c r="AV3" s="211"/>
      <c r="AW3" s="212"/>
      <c r="AX3" s="213"/>
      <c r="BA3" s="214"/>
      <c r="BB3" s="214"/>
    </row>
    <row r="4" s="1" customFormat="true" ht="14.1" hidden="false" customHeight="true" outlineLevel="0" collapsed="false">
      <c r="A4" s="32"/>
      <c r="B4" s="33"/>
      <c r="C4" s="34"/>
      <c r="D4" s="35" t="s">
        <v>3</v>
      </c>
      <c r="E4" s="34"/>
      <c r="F4" s="32"/>
      <c r="G4" s="36"/>
      <c r="H4" s="36"/>
      <c r="I4" s="37" t="s">
        <v>114</v>
      </c>
      <c r="J4" s="36"/>
      <c r="K4" s="36"/>
      <c r="L4" s="38"/>
      <c r="M4" s="36"/>
      <c r="N4" s="36"/>
      <c r="O4" s="36"/>
      <c r="P4" s="39"/>
      <c r="Q4" s="36"/>
      <c r="R4" s="36"/>
      <c r="S4" s="36"/>
      <c r="T4" s="36"/>
      <c r="U4" s="39"/>
      <c r="V4" s="36"/>
      <c r="W4" s="36"/>
      <c r="X4" s="40" t="s">
        <v>5</v>
      </c>
      <c r="Y4" s="40"/>
      <c r="Z4" s="41"/>
      <c r="AA4" s="40"/>
      <c r="AB4" s="41"/>
      <c r="AC4" s="41"/>
      <c r="AD4" s="42"/>
      <c r="AE4" s="36"/>
      <c r="AF4" s="36"/>
      <c r="AG4" s="36"/>
      <c r="AH4" s="34"/>
      <c r="AI4" s="36"/>
      <c r="AJ4" s="43"/>
      <c r="AK4" s="36"/>
      <c r="AL4" s="36"/>
      <c r="AM4" s="39"/>
      <c r="AN4" s="44"/>
      <c r="AO4" s="45"/>
      <c r="AP4" s="46" t="s">
        <v>6</v>
      </c>
      <c r="AQ4" s="47"/>
      <c r="AR4" s="48"/>
      <c r="AS4" s="49"/>
      <c r="AT4" s="50"/>
      <c r="AU4" s="50"/>
      <c r="AV4" s="52"/>
      <c r="AW4" s="53" t="s">
        <v>7</v>
      </c>
      <c r="AX4" s="54"/>
      <c r="AY4" s="215"/>
      <c r="AZ4" s="216"/>
      <c r="BA4" s="71"/>
      <c r="BB4" s="217"/>
    </row>
    <row r="5" customFormat="false" ht="12.95" hidden="false" customHeight="true" outlineLevel="0" collapsed="false">
      <c r="A5" s="58" t="s">
        <v>8</v>
      </c>
      <c r="B5" s="59" t="s">
        <v>9</v>
      </c>
      <c r="C5" s="60" t="s">
        <v>9</v>
      </c>
      <c r="D5" s="61" t="s">
        <v>10</v>
      </c>
      <c r="E5" s="60" t="s">
        <v>11</v>
      </c>
      <c r="F5" s="62" t="s">
        <v>12</v>
      </c>
      <c r="G5" s="58" t="s">
        <v>13</v>
      </c>
      <c r="H5" s="58" t="s">
        <v>14</v>
      </c>
      <c r="I5" s="58" t="s">
        <v>15</v>
      </c>
      <c r="J5" s="58" t="s">
        <v>16</v>
      </c>
      <c r="K5" s="58" t="s">
        <v>17</v>
      </c>
      <c r="L5" s="82" t="s">
        <v>16</v>
      </c>
      <c r="M5" s="218" t="s">
        <v>18</v>
      </c>
      <c r="N5" s="218"/>
      <c r="O5" s="218"/>
      <c r="P5" s="218"/>
      <c r="Q5" s="218"/>
      <c r="R5" s="218"/>
      <c r="S5" s="218"/>
      <c r="T5" s="218"/>
      <c r="U5" s="218"/>
      <c r="V5" s="58" t="s">
        <v>19</v>
      </c>
      <c r="W5" s="58" t="s">
        <v>20</v>
      </c>
      <c r="X5" s="58" t="s">
        <v>17</v>
      </c>
      <c r="Y5" s="58" t="s">
        <v>17</v>
      </c>
      <c r="Z5" s="64" t="s">
        <v>21</v>
      </c>
      <c r="AA5" s="58" t="s">
        <v>21</v>
      </c>
      <c r="AB5" s="64" t="s">
        <v>21</v>
      </c>
      <c r="AC5" s="64" t="s">
        <v>22</v>
      </c>
      <c r="AD5" s="65" t="s">
        <v>21</v>
      </c>
      <c r="AE5" s="58" t="s">
        <v>23</v>
      </c>
      <c r="AF5" s="66" t="s">
        <v>24</v>
      </c>
      <c r="AG5" s="67"/>
      <c r="AH5" s="58" t="s">
        <v>25</v>
      </c>
      <c r="AI5" s="68" t="s">
        <v>26</v>
      </c>
      <c r="AJ5" s="68" t="s">
        <v>27</v>
      </c>
      <c r="AK5" s="58" t="s">
        <v>15</v>
      </c>
      <c r="AL5" s="58" t="s">
        <v>16</v>
      </c>
      <c r="AM5" s="61" t="s">
        <v>17</v>
      </c>
      <c r="AN5" s="69" t="s">
        <v>28</v>
      </c>
      <c r="AO5" s="65" t="s">
        <v>21</v>
      </c>
      <c r="AP5" s="64" t="s">
        <v>29</v>
      </c>
      <c r="AQ5" s="70" t="s">
        <v>29</v>
      </c>
      <c r="AR5" s="65" t="s">
        <v>30</v>
      </c>
      <c r="AS5" s="71" t="s">
        <v>31</v>
      </c>
      <c r="AT5" s="71" t="s">
        <v>32</v>
      </c>
      <c r="AU5" s="72" t="s">
        <v>33</v>
      </c>
      <c r="AV5" s="73" t="s">
        <v>34</v>
      </c>
      <c r="AW5" s="74" t="s">
        <v>35</v>
      </c>
      <c r="AX5" s="74" t="s">
        <v>36</v>
      </c>
      <c r="AY5" s="219"/>
      <c r="AZ5" s="220" t="s">
        <v>17</v>
      </c>
      <c r="BA5" s="221" t="s">
        <v>37</v>
      </c>
      <c r="BB5" s="222" t="s">
        <v>37</v>
      </c>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78" t="s">
        <v>115</v>
      </c>
      <c r="B6" s="59" t="s">
        <v>39</v>
      </c>
      <c r="C6" s="60"/>
      <c r="D6" s="61" t="s">
        <v>40</v>
      </c>
      <c r="E6" s="60" t="s">
        <v>41</v>
      </c>
      <c r="F6" s="62" t="s">
        <v>42</v>
      </c>
      <c r="G6" s="58" t="s">
        <v>43</v>
      </c>
      <c r="H6" s="58" t="s">
        <v>44</v>
      </c>
      <c r="I6" s="58" t="s">
        <v>45</v>
      </c>
      <c r="J6" s="58" t="s">
        <v>45</v>
      </c>
      <c r="K6" s="58" t="s">
        <v>45</v>
      </c>
      <c r="L6" s="82" t="s">
        <v>46</v>
      </c>
      <c r="M6" s="61" t="s">
        <v>47</v>
      </c>
      <c r="N6" s="61" t="s">
        <v>48</v>
      </c>
      <c r="O6" s="61" t="s">
        <v>49</v>
      </c>
      <c r="P6" s="80" t="s">
        <v>50</v>
      </c>
      <c r="Q6" s="61" t="s">
        <v>51</v>
      </c>
      <c r="R6" s="61" t="s">
        <v>52</v>
      </c>
      <c r="S6" s="61"/>
      <c r="T6" s="61" t="s">
        <v>49</v>
      </c>
      <c r="U6" s="81" t="s">
        <v>53</v>
      </c>
      <c r="V6" s="58" t="s">
        <v>54</v>
      </c>
      <c r="W6" s="58" t="s">
        <v>55</v>
      </c>
      <c r="X6" s="58" t="s">
        <v>21</v>
      </c>
      <c r="Y6" s="58" t="s">
        <v>21</v>
      </c>
      <c r="Z6" s="64" t="s">
        <v>56</v>
      </c>
      <c r="AA6" s="58" t="s">
        <v>56</v>
      </c>
      <c r="AB6" s="64" t="s">
        <v>57</v>
      </c>
      <c r="AC6" s="64" t="s">
        <v>58</v>
      </c>
      <c r="AD6" s="65" t="s">
        <v>59</v>
      </c>
      <c r="AE6" s="58" t="s">
        <v>60</v>
      </c>
      <c r="AF6" s="79" t="s">
        <v>61</v>
      </c>
      <c r="AG6" s="82" t="s">
        <v>62</v>
      </c>
      <c r="AH6" s="58" t="s">
        <v>63</v>
      </c>
      <c r="AI6" s="68" t="s">
        <v>64</v>
      </c>
      <c r="AJ6" s="68"/>
      <c r="AK6" s="58" t="s">
        <v>65</v>
      </c>
      <c r="AL6" s="58" t="s">
        <v>65</v>
      </c>
      <c r="AM6" s="61" t="s">
        <v>65</v>
      </c>
      <c r="AN6" s="69" t="s">
        <v>116</v>
      </c>
      <c r="AO6" s="65" t="s">
        <v>67</v>
      </c>
      <c r="AP6" s="64" t="s">
        <v>68</v>
      </c>
      <c r="AQ6" s="70" t="s">
        <v>68</v>
      </c>
      <c r="AR6" s="65" t="s">
        <v>69</v>
      </c>
      <c r="AS6" s="71" t="s">
        <v>70</v>
      </c>
      <c r="AT6" s="71" t="s">
        <v>71</v>
      </c>
      <c r="AU6" s="72" t="s">
        <v>72</v>
      </c>
      <c r="AV6" s="83"/>
      <c r="AW6" s="74" t="s">
        <v>73</v>
      </c>
      <c r="AX6" s="74" t="s">
        <v>73</v>
      </c>
      <c r="AY6" s="219"/>
      <c r="AZ6" s="220" t="s">
        <v>74</v>
      </c>
      <c r="BA6" s="221" t="s">
        <v>75</v>
      </c>
      <c r="BB6" s="222" t="s">
        <v>76</v>
      </c>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58"/>
      <c r="B7" s="59"/>
      <c r="C7" s="60"/>
      <c r="D7" s="61"/>
      <c r="E7" s="60"/>
      <c r="F7" s="62"/>
      <c r="G7" s="58"/>
      <c r="H7" s="58"/>
      <c r="I7" s="58"/>
      <c r="J7" s="58"/>
      <c r="K7" s="58"/>
      <c r="L7" s="82"/>
      <c r="M7" s="61"/>
      <c r="N7" s="61" t="s">
        <v>77</v>
      </c>
      <c r="O7" s="61" t="s">
        <v>78</v>
      </c>
      <c r="P7" s="80"/>
      <c r="Q7" s="61" t="s">
        <v>79</v>
      </c>
      <c r="R7" s="61" t="s">
        <v>79</v>
      </c>
      <c r="S7" s="61" t="s">
        <v>62</v>
      </c>
      <c r="T7" s="61" t="s">
        <v>62</v>
      </c>
      <c r="U7" s="81" t="s">
        <v>80</v>
      </c>
      <c r="V7" s="58"/>
      <c r="W7" s="58"/>
      <c r="X7" s="68" t="s">
        <v>81</v>
      </c>
      <c r="Y7" s="60" t="s">
        <v>82</v>
      </c>
      <c r="Z7" s="64" t="s">
        <v>83</v>
      </c>
      <c r="AA7" s="58" t="s">
        <v>84</v>
      </c>
      <c r="AB7" s="64" t="s">
        <v>85</v>
      </c>
      <c r="AC7" s="64"/>
      <c r="AD7" s="65"/>
      <c r="AE7" s="82"/>
      <c r="AF7" s="84" t="n">
        <v>1.7</v>
      </c>
      <c r="AG7" s="84" t="n">
        <v>1.3</v>
      </c>
      <c r="AH7" s="79"/>
      <c r="AI7" s="85" t="n">
        <v>29007</v>
      </c>
      <c r="AJ7" s="68"/>
      <c r="AK7" s="58"/>
      <c r="AL7" s="58"/>
      <c r="AM7" s="61"/>
      <c r="AN7" s="69"/>
      <c r="AO7" s="65"/>
      <c r="AP7" s="64" t="s">
        <v>86</v>
      </c>
      <c r="AQ7" s="70" t="s">
        <v>87</v>
      </c>
      <c r="AR7" s="65" t="s">
        <v>88</v>
      </c>
      <c r="AS7" s="71" t="s">
        <v>89</v>
      </c>
      <c r="AT7" s="71" t="s">
        <v>90</v>
      </c>
      <c r="AU7" s="72" t="s">
        <v>81</v>
      </c>
      <c r="AV7" s="83"/>
      <c r="AW7" s="74"/>
      <c r="AX7" s="74"/>
      <c r="AY7" s="219"/>
      <c r="AZ7" s="220" t="s">
        <v>91</v>
      </c>
      <c r="BA7" s="221"/>
      <c r="BB7" s="222"/>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58"/>
      <c r="B8" s="59"/>
      <c r="C8" s="60"/>
      <c r="D8" s="61"/>
      <c r="E8" s="60"/>
      <c r="F8" s="62"/>
      <c r="G8" s="58"/>
      <c r="H8" s="58"/>
      <c r="I8" s="58"/>
      <c r="J8" s="58"/>
      <c r="K8" s="58"/>
      <c r="L8" s="82"/>
      <c r="M8" s="61"/>
      <c r="N8" s="61"/>
      <c r="O8" s="61"/>
      <c r="P8" s="80"/>
      <c r="Q8" s="61" t="s">
        <v>62</v>
      </c>
      <c r="R8" s="61" t="s">
        <v>62</v>
      </c>
      <c r="S8" s="61"/>
      <c r="T8" s="61"/>
      <c r="U8" s="81"/>
      <c r="V8" s="58"/>
      <c r="W8" s="58"/>
      <c r="X8" s="68" t="s">
        <v>92</v>
      </c>
      <c r="Y8" s="60" t="s">
        <v>81</v>
      </c>
      <c r="Z8" s="64"/>
      <c r="AA8" s="60" t="s">
        <v>93</v>
      </c>
      <c r="AB8" s="64" t="s">
        <v>94</v>
      </c>
      <c r="AC8" s="64"/>
      <c r="AD8" s="65"/>
      <c r="AE8" s="82"/>
      <c r="AF8" s="84"/>
      <c r="AG8" s="84"/>
      <c r="AH8" s="79"/>
      <c r="AI8" s="85"/>
      <c r="AJ8" s="68"/>
      <c r="AK8" s="58"/>
      <c r="AL8" s="58"/>
      <c r="AM8" s="61"/>
      <c r="AN8" s="69"/>
      <c r="AO8" s="65"/>
      <c r="AP8" s="64"/>
      <c r="AQ8" s="70"/>
      <c r="AR8" s="65"/>
      <c r="AS8" s="71"/>
      <c r="AT8" s="71"/>
      <c r="AU8" s="72"/>
      <c r="AV8" s="83"/>
      <c r="AW8" s="74"/>
      <c r="AX8" s="74"/>
      <c r="AY8" s="219"/>
      <c r="AZ8" s="220"/>
      <c r="BA8" s="221"/>
      <c r="BB8" s="222"/>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58"/>
      <c r="B9" s="59"/>
      <c r="C9" s="60"/>
      <c r="D9" s="61"/>
      <c r="E9" s="60"/>
      <c r="F9" s="62"/>
      <c r="G9" s="58"/>
      <c r="H9" s="58"/>
      <c r="I9" s="58"/>
      <c r="J9" s="58"/>
      <c r="K9" s="58"/>
      <c r="L9" s="82"/>
      <c r="M9" s="61"/>
      <c r="N9" s="61"/>
      <c r="O9" s="61"/>
      <c r="P9" s="80"/>
      <c r="Q9" s="61"/>
      <c r="R9" s="87" t="n">
        <v>4.2</v>
      </c>
      <c r="S9" s="61"/>
      <c r="T9" s="61"/>
      <c r="U9" s="81"/>
      <c r="V9" s="58"/>
      <c r="W9" s="58"/>
      <c r="X9" s="68"/>
      <c r="Y9" s="60" t="s">
        <v>92</v>
      </c>
      <c r="Z9" s="64"/>
      <c r="AA9" s="60" t="s">
        <v>92</v>
      </c>
      <c r="AB9" s="64" t="s">
        <v>95</v>
      </c>
      <c r="AC9" s="64"/>
      <c r="AD9" s="65"/>
      <c r="AE9" s="82"/>
      <c r="AF9" s="84"/>
      <c r="AG9" s="84"/>
      <c r="AH9" s="79"/>
      <c r="AI9" s="85"/>
      <c r="AJ9" s="68"/>
      <c r="AK9" s="58"/>
      <c r="AL9" s="58"/>
      <c r="AM9" s="61"/>
      <c r="AN9" s="69"/>
      <c r="AO9" s="65"/>
      <c r="AP9" s="64"/>
      <c r="AQ9" s="70"/>
      <c r="AR9" s="65"/>
      <c r="AS9" s="71"/>
      <c r="AT9" s="71"/>
      <c r="AU9" s="72"/>
      <c r="AV9" s="83"/>
      <c r="AW9" s="74"/>
      <c r="AX9" s="74"/>
      <c r="AY9" s="219"/>
      <c r="AZ9" s="220"/>
      <c r="BA9" s="221"/>
      <c r="BB9" s="222" t="s">
        <v>96</v>
      </c>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58"/>
      <c r="B10" s="59"/>
      <c r="C10" s="60" t="s">
        <v>97</v>
      </c>
      <c r="D10" s="61"/>
      <c r="E10" s="60" t="s">
        <v>98</v>
      </c>
      <c r="F10" s="62"/>
      <c r="G10" s="61" t="s">
        <v>42</v>
      </c>
      <c r="H10" s="61" t="s">
        <v>42</v>
      </c>
      <c r="I10" s="61" t="s">
        <v>42</v>
      </c>
      <c r="J10" s="61" t="s">
        <v>42</v>
      </c>
      <c r="K10" s="61" t="s">
        <v>42</v>
      </c>
      <c r="L10" s="82" t="s">
        <v>42</v>
      </c>
      <c r="M10" s="61" t="s">
        <v>42</v>
      </c>
      <c r="N10" s="61" t="s">
        <v>42</v>
      </c>
      <c r="O10" s="61" t="s">
        <v>42</v>
      </c>
      <c r="P10" s="61" t="s">
        <v>42</v>
      </c>
      <c r="Q10" s="61" t="s">
        <v>42</v>
      </c>
      <c r="R10" s="61" t="s">
        <v>42</v>
      </c>
      <c r="S10" s="61" t="s">
        <v>42</v>
      </c>
      <c r="T10" s="61" t="s">
        <v>42</v>
      </c>
      <c r="U10" s="82" t="s">
        <v>42</v>
      </c>
      <c r="V10" s="61" t="s">
        <v>42</v>
      </c>
      <c r="W10" s="61" t="s">
        <v>42</v>
      </c>
      <c r="X10" s="60" t="n">
        <v>153400</v>
      </c>
      <c r="Y10" s="60" t="n">
        <v>150400</v>
      </c>
      <c r="Z10" s="61"/>
      <c r="AA10" s="60"/>
      <c r="AB10" s="60" t="n">
        <v>72000</v>
      </c>
      <c r="AC10" s="61" t="s">
        <v>42</v>
      </c>
      <c r="AD10" s="61" t="s">
        <v>42</v>
      </c>
      <c r="AE10" s="82" t="s">
        <v>42</v>
      </c>
      <c r="AF10" s="61" t="s">
        <v>42</v>
      </c>
      <c r="AG10" s="61" t="s">
        <v>42</v>
      </c>
      <c r="AH10" s="79" t="s">
        <v>42</v>
      </c>
      <c r="AI10" s="61" t="s">
        <v>42</v>
      </c>
      <c r="AJ10" s="61" t="s">
        <v>42</v>
      </c>
      <c r="AK10" s="61" t="s">
        <v>42</v>
      </c>
      <c r="AL10" s="61" t="s">
        <v>42</v>
      </c>
      <c r="AM10" s="62" t="s">
        <v>42</v>
      </c>
      <c r="AN10" s="65" t="s">
        <v>42</v>
      </c>
      <c r="AO10" s="65" t="s">
        <v>42</v>
      </c>
      <c r="AP10" s="65" t="s">
        <v>42</v>
      </c>
      <c r="AQ10" s="70" t="s">
        <v>99</v>
      </c>
      <c r="AR10" s="65" t="s">
        <v>42</v>
      </c>
      <c r="AS10" s="65" t="s">
        <v>42</v>
      </c>
      <c r="AT10" s="65" t="s">
        <v>42</v>
      </c>
      <c r="AU10" s="65" t="s">
        <v>42</v>
      </c>
      <c r="AV10" s="83"/>
      <c r="AW10" s="74"/>
      <c r="AX10" s="74"/>
      <c r="AY10" s="219"/>
      <c r="AZ10" s="220" t="s">
        <v>100</v>
      </c>
      <c r="BA10" s="221" t="s">
        <v>42</v>
      </c>
      <c r="BB10" s="222" t="s">
        <v>98</v>
      </c>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row>
    <row r="11" customFormat="false" ht="12.95" hidden="false" customHeight="true" outlineLevel="0" collapsed="false">
      <c r="A11" s="58"/>
      <c r="B11" s="59"/>
      <c r="C11" s="60"/>
      <c r="D11" s="61"/>
      <c r="E11" s="60"/>
      <c r="F11" s="62"/>
      <c r="G11" s="58"/>
      <c r="H11" s="58"/>
      <c r="I11" s="58"/>
      <c r="J11" s="58"/>
      <c r="K11" s="58"/>
      <c r="L11" s="82"/>
      <c r="M11" s="61"/>
      <c r="N11" s="47" t="n">
        <v>1.03</v>
      </c>
      <c r="O11" s="47" t="n">
        <v>1.05</v>
      </c>
      <c r="P11" s="47" t="n">
        <v>1.02</v>
      </c>
      <c r="Q11" s="88" t="n">
        <v>1.02</v>
      </c>
      <c r="R11" s="89" t="n">
        <v>1.04</v>
      </c>
      <c r="S11" s="61"/>
      <c r="T11" s="88" t="n">
        <v>1.04</v>
      </c>
      <c r="U11" s="81"/>
      <c r="V11" s="58"/>
      <c r="W11" s="58"/>
      <c r="X11" s="61" t="s">
        <v>42</v>
      </c>
      <c r="Y11" s="61" t="s">
        <v>42</v>
      </c>
      <c r="Z11" s="61" t="s">
        <v>42</v>
      </c>
      <c r="AA11" s="60" t="s">
        <v>42</v>
      </c>
      <c r="AB11" s="90" t="s">
        <v>101</v>
      </c>
      <c r="AC11" s="64"/>
      <c r="AD11" s="64"/>
      <c r="AE11" s="91"/>
      <c r="AF11" s="84"/>
      <c r="AG11" s="84"/>
      <c r="AH11" s="79"/>
      <c r="AI11" s="85"/>
      <c r="AJ11" s="92"/>
      <c r="AK11" s="58"/>
      <c r="AL11" s="58"/>
      <c r="AM11" s="61"/>
      <c r="AN11" s="69"/>
      <c r="AO11" s="65"/>
      <c r="AP11" s="64"/>
      <c r="AQ11" s="70"/>
      <c r="AR11" s="70"/>
      <c r="AS11" s="93"/>
      <c r="AT11" s="93"/>
      <c r="AU11" s="93"/>
      <c r="AV11" s="83"/>
      <c r="AW11" s="74"/>
      <c r="AX11" s="74"/>
      <c r="AY11" s="219"/>
      <c r="AZ11" s="220" t="s">
        <v>42</v>
      </c>
      <c r="BA11" s="221"/>
      <c r="BB11" s="222"/>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row>
    <row r="12" customFormat="false" ht="12.95" hidden="false" customHeight="true" outlineLevel="0" collapsed="false">
      <c r="A12" s="197" t="s">
        <v>102</v>
      </c>
      <c r="B12" s="223"/>
      <c r="C12" s="114"/>
      <c r="D12" s="114"/>
      <c r="E12" s="114"/>
      <c r="F12" s="224"/>
      <c r="G12" s="114"/>
      <c r="H12" s="225"/>
      <c r="I12" s="114"/>
      <c r="J12" s="114"/>
      <c r="K12" s="114"/>
      <c r="L12" s="114"/>
      <c r="M12" s="226"/>
      <c r="N12" s="114"/>
      <c r="O12" s="114"/>
      <c r="P12" s="171"/>
      <c r="Q12" s="114"/>
      <c r="R12" s="114"/>
      <c r="S12" s="114"/>
      <c r="T12" s="114"/>
      <c r="U12" s="227"/>
      <c r="V12" s="114"/>
      <c r="W12" s="114"/>
      <c r="X12" s="114"/>
      <c r="Y12" s="114"/>
      <c r="Z12" s="144"/>
      <c r="AA12" s="114"/>
      <c r="AB12" s="144"/>
      <c r="AC12" s="144"/>
      <c r="AD12" s="114"/>
      <c r="AE12" s="114"/>
      <c r="AF12" s="226"/>
      <c r="AG12" s="228"/>
      <c r="AH12" s="114"/>
      <c r="AI12" s="114"/>
      <c r="AJ12" s="229"/>
      <c r="AK12" s="114"/>
      <c r="AL12" s="114"/>
      <c r="AM12" s="114"/>
      <c r="AN12" s="230"/>
      <c r="AO12" s="144"/>
      <c r="AP12" s="231"/>
      <c r="AV12" s="232"/>
      <c r="AW12" s="225"/>
      <c r="AX12" s="225"/>
      <c r="AY12" s="233"/>
      <c r="AZ12" s="234"/>
      <c r="BA12" s="235"/>
      <c r="BB12" s="236"/>
    </row>
    <row r="13" s="243" customFormat="true" ht="12.95" hidden="false" customHeight="true" outlineLevel="0" collapsed="false">
      <c r="A13" s="237" t="s">
        <v>103</v>
      </c>
      <c r="B13" s="113" t="n">
        <f aca="false">NOV!B44</f>
        <v>6867.69</v>
      </c>
      <c r="C13" s="114" t="n">
        <f aca="false">NOV!C44</f>
        <v>181753</v>
      </c>
      <c r="D13" s="114" t="n">
        <f aca="false">NOV!D53</f>
        <v>-3987</v>
      </c>
      <c r="E13" s="114" t="n">
        <f aca="false">NOV!E53</f>
        <v>29753</v>
      </c>
      <c r="F13" s="224" t="n">
        <f aca="false">NOV!F52</f>
        <v>-2010.08318628687</v>
      </c>
      <c r="G13" s="114" t="n">
        <f aca="false">NOV!G52</f>
        <v>2798</v>
      </c>
      <c r="H13" s="225" t="n">
        <f aca="false">NOV!H52</f>
        <v>0.62</v>
      </c>
      <c r="I13" s="114" t="n">
        <f aca="false">NOV!I52</f>
        <v>2798</v>
      </c>
      <c r="J13" s="114" t="n">
        <f aca="false">NOV!J52</f>
        <v>167.99115452483</v>
      </c>
      <c r="K13" s="114" t="n">
        <f aca="false">NOV!K52</f>
        <v>2965.99115452483</v>
      </c>
      <c r="L13" s="114" t="n">
        <f aca="false">NOV!L52</f>
        <v>-715.823186286867</v>
      </c>
      <c r="M13" s="226" t="n">
        <f aca="false">NOV!M52</f>
        <v>94.76</v>
      </c>
      <c r="N13" s="114" t="n">
        <f aca="false">NOV!N52</f>
        <v>0</v>
      </c>
      <c r="O13" s="114" t="n">
        <f aca="false">NOV!O52</f>
        <v>0</v>
      </c>
      <c r="P13" s="114" t="n">
        <f aca="false">NOV!P52</f>
        <v>0</v>
      </c>
      <c r="Q13" s="114" t="n">
        <f aca="false">NOV!Q52</f>
        <v>44.1740266061328</v>
      </c>
      <c r="R13" s="114" t="n">
        <f aca="false">NOV!R52</f>
        <v>47.93408256</v>
      </c>
      <c r="S13" s="238" t="n">
        <f aca="false">NOV!S52</f>
        <v>0</v>
      </c>
      <c r="T13" s="238" t="n">
        <f aca="false">NOV!T52</f>
        <v>15.50591744</v>
      </c>
      <c r="U13" s="239" t="n">
        <f aca="false">NOV!U52</f>
        <v>-12.8540266061328</v>
      </c>
      <c r="V13" s="114" t="n">
        <f aca="false">NOV!V52</f>
        <v>3184.4</v>
      </c>
      <c r="W13" s="114" t="n">
        <f aca="false">NOV!W52</f>
        <v>0</v>
      </c>
      <c r="X13" s="114" t="n">
        <f aca="false">NOV!X52</f>
        <v>3152.36345</v>
      </c>
      <c r="Y13" s="114" t="n">
        <f aca="false">NOV!Y52</f>
        <v>3152.36345</v>
      </c>
      <c r="Z13" s="144"/>
      <c r="AA13" s="114"/>
      <c r="AB13" s="144"/>
      <c r="AC13" s="114" t="n">
        <f aca="false">NOV!AC52</f>
        <v>157.632594577669</v>
      </c>
      <c r="AD13" s="114"/>
      <c r="AE13" s="114"/>
      <c r="AF13" s="226"/>
      <c r="AG13" s="228"/>
      <c r="AH13" s="114" t="n">
        <f aca="false">NOV!AH52</f>
        <v>813.1</v>
      </c>
      <c r="AI13" s="114" t="n">
        <f aca="false">NOV!AI52</f>
        <v>3321.44923115706</v>
      </c>
      <c r="AJ13" s="114"/>
      <c r="AK13" s="114" t="n">
        <f aca="false">NOV!AK52</f>
        <v>4092.26</v>
      </c>
      <c r="AL13" s="114" t="n">
        <f aca="false">NOV!AL52</f>
        <v>883.814340811697</v>
      </c>
      <c r="AM13" s="114" t="n">
        <f aca="false">NOV!AM52</f>
        <v>4976.0743408117</v>
      </c>
      <c r="AN13" s="230" t="n">
        <f aca="false">NOV!AN52</f>
        <v>3184.4</v>
      </c>
      <c r="AO13" s="144" t="n">
        <f aca="false">NOV!AO52</f>
        <v>0</v>
      </c>
      <c r="AP13" s="114"/>
      <c r="AQ13" s="240"/>
      <c r="AR13" s="240"/>
      <c r="AS13" s="240"/>
      <c r="AT13" s="240"/>
      <c r="AU13" s="161"/>
      <c r="AV13" s="232" t="n">
        <f aca="false">NOV!AV52</f>
        <v>0.79</v>
      </c>
      <c r="AW13" s="225"/>
      <c r="AX13" s="225"/>
      <c r="AY13" s="233"/>
      <c r="AZ13" s="241" t="n">
        <f aca="false">NOV!AZ52</f>
        <v>94.76</v>
      </c>
      <c r="BA13" s="235" t="n">
        <f aca="false">NOV!BA52</f>
        <v>6</v>
      </c>
      <c r="BB13" s="242"/>
    </row>
    <row r="14" customFormat="false" ht="3" hidden="false" customHeight="true" outlineLevel="0" collapsed="false">
      <c r="A14" s="244"/>
      <c r="B14" s="245"/>
      <c r="C14" s="246"/>
      <c r="D14" s="247"/>
      <c r="E14" s="246"/>
      <c r="F14" s="248"/>
      <c r="G14" s="247"/>
      <c r="H14" s="249"/>
      <c r="I14" s="247"/>
      <c r="J14" s="247"/>
      <c r="K14" s="247"/>
      <c r="L14" s="247"/>
      <c r="M14" s="250"/>
      <c r="N14" s="247"/>
      <c r="O14" s="247"/>
      <c r="P14" s="251"/>
      <c r="Q14" s="247"/>
      <c r="R14" s="247"/>
      <c r="S14" s="247"/>
      <c r="T14" s="247"/>
      <c r="U14" s="252"/>
      <c r="V14" s="247"/>
      <c r="W14" s="247"/>
      <c r="X14" s="247"/>
      <c r="Y14" s="247"/>
      <c r="Z14" s="253"/>
      <c r="AA14" s="247"/>
      <c r="AB14" s="253"/>
      <c r="AC14" s="253"/>
      <c r="AD14" s="246"/>
      <c r="AE14" s="247"/>
      <c r="AF14" s="250"/>
      <c r="AG14" s="254"/>
      <c r="AH14" s="247"/>
      <c r="AI14" s="246"/>
      <c r="AJ14" s="246"/>
      <c r="AK14" s="247"/>
      <c r="AL14" s="247"/>
      <c r="AM14" s="247"/>
      <c r="AN14" s="255"/>
      <c r="AO14" s="253"/>
      <c r="AP14" s="256"/>
      <c r="AQ14" s="257"/>
      <c r="AR14" s="257"/>
      <c r="AS14" s="257"/>
      <c r="AT14" s="257"/>
      <c r="AU14" s="256"/>
      <c r="AV14" s="258"/>
      <c r="AW14" s="256"/>
      <c r="AX14" s="256"/>
      <c r="AY14" s="256"/>
      <c r="AZ14" s="256"/>
      <c r="BA14" s="256"/>
      <c r="BB14" s="256"/>
    </row>
    <row r="15" customFormat="false" ht="12.95" hidden="false" customHeight="true" outlineLevel="0" collapsed="false">
      <c r="A15" s="192" t="n">
        <v>1</v>
      </c>
      <c r="B15" s="113" t="n">
        <v>6867.65</v>
      </c>
      <c r="C15" s="114" t="n">
        <v>181650</v>
      </c>
      <c r="D15" s="225" t="n">
        <f aca="false">C15-C13</f>
        <v>-103</v>
      </c>
      <c r="E15" s="114" t="n">
        <f aca="false">C15-152000</f>
        <v>29650</v>
      </c>
      <c r="F15" s="259" t="n">
        <f aca="false">D15/$D$2</f>
        <v>-51.9284093773632</v>
      </c>
      <c r="G15" s="143" t="n">
        <v>83</v>
      </c>
      <c r="H15" s="260" t="n">
        <v>0</v>
      </c>
      <c r="I15" s="143" t="n">
        <f aca="false">G15+H15</f>
        <v>83</v>
      </c>
      <c r="J15" s="144" t="n">
        <f aca="false">IF(L15&gt;0,L15,0)</f>
        <v>0</v>
      </c>
      <c r="K15" s="143" t="n">
        <f aca="false">I15+J15</f>
        <v>83</v>
      </c>
      <c r="L15" s="143" t="n">
        <f aca="false">F15-(I15-AK15)</f>
        <v>-37.1684093773633</v>
      </c>
      <c r="M15" s="261" t="n">
        <v>3.16</v>
      </c>
      <c r="N15" s="143" t="n">
        <v>0</v>
      </c>
      <c r="O15" s="143" t="n">
        <f aca="false">0*1.05</f>
        <v>0</v>
      </c>
      <c r="P15" s="171" t="n">
        <v>0</v>
      </c>
      <c r="Q15" s="139" t="n">
        <f aca="false">841300/325851/1.9835*1.02</f>
        <v>1.32769951843078</v>
      </c>
      <c r="R15" s="139" t="n">
        <f aca="false">(2*1.04)-T15</f>
        <v>1.57851824</v>
      </c>
      <c r="S15" s="139" t="n">
        <v>0</v>
      </c>
      <c r="T15" s="139" t="n">
        <f aca="false">(0.4549*1.06)*1.04</f>
        <v>0.50148176</v>
      </c>
      <c r="U15" s="102" t="n">
        <f aca="false">M15-(Q15+R15+S15+T15)</f>
        <v>-0.247699518430775</v>
      </c>
      <c r="V15" s="143" t="n">
        <v>69.6</v>
      </c>
      <c r="W15" s="143" t="n">
        <v>0</v>
      </c>
      <c r="X15" s="143" t="n">
        <f aca="false">M15-N15-P15-O15-Q15-R15-S15-T15-U15+V15+W15</f>
        <v>69.6</v>
      </c>
      <c r="Y15" s="143" t="n">
        <f aca="false">X15-AO15</f>
        <v>69.6</v>
      </c>
      <c r="Z15" s="144"/>
      <c r="AA15" s="143"/>
      <c r="AB15" s="144"/>
      <c r="AC15" s="144" t="n">
        <v>7.49378224156924</v>
      </c>
      <c r="AD15" s="114"/>
      <c r="AE15" s="143" t="n">
        <v>0</v>
      </c>
      <c r="AF15" s="261"/>
      <c r="AG15" s="262"/>
      <c r="AH15" s="143" t="n">
        <v>25</v>
      </c>
      <c r="AI15" s="114" t="n">
        <f aca="false">AI13-AH15</f>
        <v>3296.44923115706</v>
      </c>
      <c r="AJ15" s="114"/>
      <c r="AK15" s="142" t="n">
        <f aca="false">N15+O15+P15+Q15+R15+S15+T15+U15+X15+AE15+AH15</f>
        <v>97.76</v>
      </c>
      <c r="AL15" s="143" t="n">
        <f aca="false">IF(L15&lt;0,L15*-1,0)</f>
        <v>37.1684093773633</v>
      </c>
      <c r="AM15" s="143" t="n">
        <f aca="false">AK15+AL15</f>
        <v>134.928409377363</v>
      </c>
      <c r="AN15" s="147" t="n">
        <f aca="false">V15</f>
        <v>69.6</v>
      </c>
      <c r="AO15" s="144"/>
      <c r="AP15" s="231"/>
      <c r="AV15" s="232" t="n">
        <v>0</v>
      </c>
      <c r="AW15" s="225" t="n">
        <v>54</v>
      </c>
      <c r="AX15" s="225" t="n">
        <v>25</v>
      </c>
      <c r="AY15" s="233"/>
      <c r="AZ15" s="263" t="n">
        <f aca="false">SUM(N15,P15:U15)</f>
        <v>3.16</v>
      </c>
      <c r="BA15" s="0" t="n">
        <v>0.2</v>
      </c>
      <c r="BB15" s="264" t="n">
        <v>15586</v>
      </c>
    </row>
    <row r="16" customFormat="false" ht="12.95" hidden="false" customHeight="true" outlineLevel="0" collapsed="false">
      <c r="A16" s="192" t="n">
        <f aca="false">A15+1</f>
        <v>2</v>
      </c>
      <c r="B16" s="113" t="n">
        <v>6867.63</v>
      </c>
      <c r="C16" s="114" t="n">
        <v>181599</v>
      </c>
      <c r="D16" s="225" t="n">
        <f aca="false">C16-C15</f>
        <v>-51</v>
      </c>
      <c r="E16" s="114" t="n">
        <f aca="false">C16-152000</f>
        <v>29599</v>
      </c>
      <c r="F16" s="259" t="n">
        <f aca="false">D16/$D$2</f>
        <v>-25.71212503151</v>
      </c>
      <c r="G16" s="143" t="n">
        <v>77</v>
      </c>
      <c r="H16" s="260" t="n">
        <v>0</v>
      </c>
      <c r="I16" s="143" t="n">
        <f aca="false">G16+H16</f>
        <v>77</v>
      </c>
      <c r="J16" s="144" t="n">
        <f aca="false">IF(L16&gt;0,L16,0)</f>
        <v>0</v>
      </c>
      <c r="K16" s="143" t="n">
        <f aca="false">I16+J16</f>
        <v>77</v>
      </c>
      <c r="L16" s="143" t="n">
        <f aca="false">F16-(I16-AK16)</f>
        <v>-5.09212503150995</v>
      </c>
      <c r="M16" s="261" t="n">
        <v>3.22</v>
      </c>
      <c r="N16" s="143" t="n">
        <v>0</v>
      </c>
      <c r="O16" s="143" t="n">
        <f aca="false">0*1.05</f>
        <v>0</v>
      </c>
      <c r="P16" s="171" t="n">
        <v>0</v>
      </c>
      <c r="Q16" s="139" t="n">
        <f aca="false">809100/325851/1.9835*1.02</f>
        <v>1.27688301481319</v>
      </c>
      <c r="R16" s="139" t="n">
        <f aca="false">(1.8*1.04)-T16</f>
        <v>1.37051824</v>
      </c>
      <c r="S16" s="139" t="n">
        <v>0</v>
      </c>
      <c r="T16" s="139" t="n">
        <f aca="false">(0.4549*1.06)*1.04</f>
        <v>0.50148176</v>
      </c>
      <c r="U16" s="102" t="n">
        <f aca="false">M16-(Q16+R16+S16+T16)</f>
        <v>0.0711169851868063</v>
      </c>
      <c r="V16" s="143" t="n">
        <v>69.5</v>
      </c>
      <c r="W16" s="143" t="n">
        <v>0</v>
      </c>
      <c r="X16" s="143" t="n">
        <f aca="false">M16-N16-P16-O16-Q16-R16-S16-T16-U16+V16+W16</f>
        <v>69.5</v>
      </c>
      <c r="Y16" s="143" t="n">
        <f aca="false">X16-AO16</f>
        <v>69.5</v>
      </c>
      <c r="Z16" s="144"/>
      <c r="AA16" s="143"/>
      <c r="AB16" s="144"/>
      <c r="AC16" s="144" t="n">
        <v>0</v>
      </c>
      <c r="AD16" s="114"/>
      <c r="AE16" s="143" t="n">
        <v>0</v>
      </c>
      <c r="AF16" s="261"/>
      <c r="AG16" s="262"/>
      <c r="AH16" s="143" t="n">
        <v>24.9</v>
      </c>
      <c r="AI16" s="114" t="n">
        <f aca="false">AI15-AH16</f>
        <v>3271.54923115706</v>
      </c>
      <c r="AJ16" s="114"/>
      <c r="AK16" s="142" t="n">
        <f aca="false">N16+O16+P16+Q16+R16+S16+T16+U16+X16+AE16+AH16</f>
        <v>97.62</v>
      </c>
      <c r="AL16" s="143" t="n">
        <f aca="false">IF(L16&lt;0,L16*-1,0)</f>
        <v>5.09212503150995</v>
      </c>
      <c r="AM16" s="143" t="n">
        <f aca="false">AK16+AL16</f>
        <v>102.71212503151</v>
      </c>
      <c r="AN16" s="147" t="n">
        <f aca="false">V16</f>
        <v>69.5</v>
      </c>
      <c r="AO16" s="144"/>
      <c r="AP16" s="231"/>
      <c r="AV16" s="232" t="n">
        <v>0.01</v>
      </c>
      <c r="AW16" s="225" t="n">
        <v>50</v>
      </c>
      <c r="AX16" s="225" t="n">
        <v>29</v>
      </c>
      <c r="AY16" s="233"/>
      <c r="AZ16" s="263" t="n">
        <f aca="false">SUM(N16,P16:U16)</f>
        <v>3.22</v>
      </c>
      <c r="BA16" s="0" t="n">
        <v>0.2</v>
      </c>
      <c r="BB16" s="264" t="n">
        <v>15585</v>
      </c>
    </row>
    <row r="17" customFormat="false" ht="12.95" hidden="false" customHeight="true" outlineLevel="0" collapsed="false">
      <c r="A17" s="192" t="n">
        <f aca="false">A16+1</f>
        <v>3</v>
      </c>
      <c r="B17" s="113" t="n">
        <v>6867.62</v>
      </c>
      <c r="C17" s="114" t="n">
        <v>181573</v>
      </c>
      <c r="D17" s="225" t="n">
        <f aca="false">C17-C16</f>
        <v>-26</v>
      </c>
      <c r="E17" s="114" t="n">
        <f aca="false">C17-152000</f>
        <v>29573</v>
      </c>
      <c r="F17" s="259" t="n">
        <f aca="false">D17/$D$2</f>
        <v>-13.1081421729266</v>
      </c>
      <c r="G17" s="143" t="n">
        <v>81</v>
      </c>
      <c r="H17" s="260" t="n">
        <v>0</v>
      </c>
      <c r="I17" s="143" t="n">
        <f aca="false">G17+H17</f>
        <v>81</v>
      </c>
      <c r="J17" s="144" t="n">
        <f aca="false">IF(L17&gt;0,L17,0)</f>
        <v>3.55185782707335</v>
      </c>
      <c r="K17" s="143" t="n">
        <f aca="false">I17+J17</f>
        <v>84.5518578270734</v>
      </c>
      <c r="L17" s="143" t="n">
        <f aca="false">F17-(I17-AK17)</f>
        <v>3.55185782707335</v>
      </c>
      <c r="M17" s="261" t="n">
        <v>3.16</v>
      </c>
      <c r="N17" s="143" t="n">
        <v>0</v>
      </c>
      <c r="O17" s="143" t="n">
        <f aca="false">0*1.05</f>
        <v>0</v>
      </c>
      <c r="P17" s="171" t="n">
        <v>0</v>
      </c>
      <c r="Q17" s="139" t="n">
        <f aca="false">904200/325851/1.9835*1.02</f>
        <v>1.42696529723655</v>
      </c>
      <c r="R17" s="139" t="n">
        <f aca="false">(1.9*1.04)-T17</f>
        <v>1.47451824</v>
      </c>
      <c r="S17" s="139" t="n">
        <v>0</v>
      </c>
      <c r="T17" s="139" t="n">
        <f aca="false">(0.4549*1.06)*1.04</f>
        <v>0.50148176</v>
      </c>
      <c r="U17" s="102" t="n">
        <f aca="false">M17-(Q17+R17+S17+T17)</f>
        <v>-0.242965297236546</v>
      </c>
      <c r="V17" s="143" t="n">
        <v>69.5</v>
      </c>
      <c r="W17" s="143" t="n">
        <v>0</v>
      </c>
      <c r="X17" s="143" t="n">
        <f aca="false">M17-N17-P17-O17-Q17-R17-S17-T17-U17+V17+W17</f>
        <v>69.5</v>
      </c>
      <c r="Y17" s="143" t="n">
        <f aca="false">X17-AO17</f>
        <v>69.5</v>
      </c>
      <c r="Z17" s="144"/>
      <c r="AA17" s="143"/>
      <c r="AB17" s="144"/>
      <c r="AC17" s="144" t="n">
        <v>1.59851646276346</v>
      </c>
      <c r="AD17" s="114"/>
      <c r="AE17" s="143" t="n">
        <v>0</v>
      </c>
      <c r="AF17" s="261"/>
      <c r="AG17" s="262"/>
      <c r="AH17" s="143" t="n">
        <v>25</v>
      </c>
      <c r="AI17" s="114" t="n">
        <f aca="false">AI16-AH17</f>
        <v>3246.54923115706</v>
      </c>
      <c r="AJ17" s="114"/>
      <c r="AK17" s="142" t="n">
        <f aca="false">N17+O17+P17+Q17+R17+S17+T17+U17+X17+AE17+AH17</f>
        <v>97.66</v>
      </c>
      <c r="AL17" s="143" t="n">
        <f aca="false">IF(L17&lt;0,L17*-1,0)</f>
        <v>0</v>
      </c>
      <c r="AM17" s="143" t="n">
        <f aca="false">AK17+AL17</f>
        <v>97.66</v>
      </c>
      <c r="AN17" s="147" t="n">
        <f aca="false">V17</f>
        <v>69.5</v>
      </c>
      <c r="AO17" s="144"/>
      <c r="AP17" s="231"/>
      <c r="AV17" s="232" t="n">
        <v>0</v>
      </c>
      <c r="AW17" s="225" t="n">
        <v>53</v>
      </c>
      <c r="AX17" s="225" t="n">
        <v>28</v>
      </c>
      <c r="AY17" s="233"/>
      <c r="AZ17" s="263" t="n">
        <f aca="false">SUM(N17,P17:U17)</f>
        <v>3.16</v>
      </c>
      <c r="BA17" s="0" t="n">
        <v>0.2</v>
      </c>
      <c r="BB17" s="264" t="n">
        <v>15591</v>
      </c>
    </row>
    <row r="18" customFormat="false" ht="12.95" hidden="false" customHeight="true" outlineLevel="0" collapsed="false">
      <c r="A18" s="192" t="n">
        <f aca="false">A17+1</f>
        <v>4</v>
      </c>
      <c r="B18" s="113" t="n">
        <v>6867.6</v>
      </c>
      <c r="C18" s="114" t="n">
        <v>181521</v>
      </c>
      <c r="D18" s="225" t="n">
        <f aca="false">C18-C17</f>
        <v>-52</v>
      </c>
      <c r="E18" s="114" t="n">
        <f aca="false">C18-152000</f>
        <v>29521</v>
      </c>
      <c r="F18" s="259" t="n">
        <f aca="false">D18/$D$2</f>
        <v>-26.2162843458533</v>
      </c>
      <c r="G18" s="143" t="n">
        <v>84</v>
      </c>
      <c r="H18" s="260" t="n">
        <v>0</v>
      </c>
      <c r="I18" s="143" t="n">
        <f aca="false">G18+H18</f>
        <v>84</v>
      </c>
      <c r="J18" s="144" t="n">
        <f aca="false">IF(L18&gt;0,L18,0)</f>
        <v>0</v>
      </c>
      <c r="K18" s="143" t="n">
        <f aca="false">I18+J18</f>
        <v>84</v>
      </c>
      <c r="L18" s="143" t="n">
        <f aca="false">F18-(I18-AK18)</f>
        <v>-12.3962843458533</v>
      </c>
      <c r="M18" s="261" t="n">
        <v>3.22</v>
      </c>
      <c r="N18" s="143" t="n">
        <v>0</v>
      </c>
      <c r="O18" s="143" t="n">
        <f aca="false">0*1.05</f>
        <v>0</v>
      </c>
      <c r="P18" s="171" t="n">
        <v>0</v>
      </c>
      <c r="Q18" s="139" t="n">
        <f aca="false">804900/325851/1.9835*1.02</f>
        <v>1.2702547752109</v>
      </c>
      <c r="R18" s="139" t="n">
        <f aca="false">(2*1.04)-T18</f>
        <v>1.57851824</v>
      </c>
      <c r="S18" s="139" t="n">
        <v>0</v>
      </c>
      <c r="T18" s="139" t="n">
        <f aca="false">(0.4549*1.06)*1.04</f>
        <v>0.50148176</v>
      </c>
      <c r="U18" s="102" t="n">
        <f aca="false">M18-(Q18+R18+S18+T18)</f>
        <v>-0.1302547752109</v>
      </c>
      <c r="V18" s="143" t="n">
        <v>69.6</v>
      </c>
      <c r="W18" s="143" t="n">
        <v>0</v>
      </c>
      <c r="X18" s="143" t="n">
        <f aca="false">M18-N18-P18-O18-Q18-R18-S18-T18-U18+V18+W18</f>
        <v>69.6</v>
      </c>
      <c r="Y18" s="143" t="n">
        <f aca="false">X18-AO18</f>
        <v>69.6</v>
      </c>
      <c r="Z18" s="144"/>
      <c r="AA18" s="143"/>
      <c r="AB18" s="144"/>
      <c r="AC18" s="144" t="n">
        <v>6.55122698478911</v>
      </c>
      <c r="AD18" s="114"/>
      <c r="AE18" s="143" t="n">
        <v>0</v>
      </c>
      <c r="AF18" s="261"/>
      <c r="AG18" s="262"/>
      <c r="AH18" s="143" t="n">
        <v>25</v>
      </c>
      <c r="AI18" s="114" t="n">
        <f aca="false">AI17-AH18</f>
        <v>3221.54923115706</v>
      </c>
      <c r="AJ18" s="114"/>
      <c r="AK18" s="142" t="n">
        <f aca="false">N18+O18+P18+Q18+R18+S18+T18+U18+X18+AE18+AH18</f>
        <v>97.82</v>
      </c>
      <c r="AL18" s="143" t="n">
        <f aca="false">IF(L18&lt;0,L18*-1,0)</f>
        <v>12.3962843458533</v>
      </c>
      <c r="AM18" s="143" t="n">
        <f aca="false">AK18+AL18</f>
        <v>110.216284345853</v>
      </c>
      <c r="AN18" s="147" t="n">
        <f aca="false">V18</f>
        <v>69.6</v>
      </c>
      <c r="AO18" s="144"/>
      <c r="AP18" s="231"/>
      <c r="AV18" s="232" t="n">
        <v>0.11</v>
      </c>
      <c r="AW18" s="225" t="n">
        <v>47</v>
      </c>
      <c r="AX18" s="225" t="n">
        <v>37</v>
      </c>
      <c r="AY18" s="233"/>
      <c r="AZ18" s="263" t="n">
        <f aca="false">SUM(N18,P18:U18)</f>
        <v>3.22</v>
      </c>
      <c r="BA18" s="0" t="n">
        <v>0.2</v>
      </c>
      <c r="BB18" s="264" t="n">
        <v>15600</v>
      </c>
    </row>
    <row r="19" customFormat="false" ht="12.95" hidden="false" customHeight="true" outlineLevel="0" collapsed="false">
      <c r="A19" s="192" t="n">
        <f aca="false">A18+1</f>
        <v>5</v>
      </c>
      <c r="B19" s="113" t="n">
        <v>6867.6</v>
      </c>
      <c r="C19" s="114" t="n">
        <v>181521</v>
      </c>
      <c r="D19" s="225" t="n">
        <f aca="false">C19-C18</f>
        <v>0</v>
      </c>
      <c r="E19" s="114" t="n">
        <f aca="false">C19-152000</f>
        <v>29521</v>
      </c>
      <c r="F19" s="259" t="n">
        <f aca="false">D19/$D$2</f>
        <v>0</v>
      </c>
      <c r="G19" s="143" t="n">
        <v>84</v>
      </c>
      <c r="H19" s="260" t="n">
        <v>0</v>
      </c>
      <c r="I19" s="143" t="n">
        <f aca="false">G19+H19</f>
        <v>84</v>
      </c>
      <c r="J19" s="144" t="n">
        <f aca="false">IF(L19&gt;0,L19,0)</f>
        <v>13.72</v>
      </c>
      <c r="K19" s="143" t="n">
        <f aca="false">I19+J19</f>
        <v>97.72</v>
      </c>
      <c r="L19" s="143" t="n">
        <f aca="false">F19-(I19-AK19)</f>
        <v>13.72</v>
      </c>
      <c r="M19" s="261" t="n">
        <v>3.22</v>
      </c>
      <c r="N19" s="143" t="n">
        <v>0</v>
      </c>
      <c r="O19" s="143" t="n">
        <f aca="false">0*1.05</f>
        <v>0</v>
      </c>
      <c r="P19" s="171" t="n">
        <v>0</v>
      </c>
      <c r="Q19" s="139" t="n">
        <f aca="false">801500/325851/1.9835*1.02</f>
        <v>1.26488905743762</v>
      </c>
      <c r="R19" s="139" t="n">
        <f aca="false">(2*1.04)-T19</f>
        <v>1.61269264</v>
      </c>
      <c r="S19" s="139" t="n">
        <v>0</v>
      </c>
      <c r="T19" s="139" t="n">
        <f aca="false">(0.4239*1.06)*1.04</f>
        <v>0.46730736</v>
      </c>
      <c r="U19" s="102" t="n">
        <f aca="false">M19-(Q19+R19+S19+T19)</f>
        <v>-0.124889057437616</v>
      </c>
      <c r="V19" s="143" t="n">
        <v>69.6</v>
      </c>
      <c r="W19" s="143" t="n">
        <v>0</v>
      </c>
      <c r="X19" s="143" t="n">
        <f aca="false">M19-N19-P19-O19-Q19-R19-S19-T19-U19+V19+W19</f>
        <v>69.6</v>
      </c>
      <c r="Y19" s="143" t="n">
        <f aca="false">X19-AO19</f>
        <v>69.6</v>
      </c>
      <c r="Z19" s="144"/>
      <c r="AA19" s="143"/>
      <c r="AB19" s="144"/>
      <c r="AC19" s="144" t="n">
        <v>3.52241830256239</v>
      </c>
      <c r="AD19" s="114"/>
      <c r="AE19" s="143" t="n">
        <v>0</v>
      </c>
      <c r="AF19" s="261"/>
      <c r="AG19" s="262"/>
      <c r="AH19" s="143" t="n">
        <v>24.9</v>
      </c>
      <c r="AI19" s="114" t="n">
        <f aca="false">AI18-AH19</f>
        <v>3196.64923115706</v>
      </c>
      <c r="AJ19" s="114"/>
      <c r="AK19" s="142" t="n">
        <f aca="false">N19+O19+P19+Q19+R19+S19+T19+U19+X19+AE19+AH19</f>
        <v>97.72</v>
      </c>
      <c r="AL19" s="143" t="n">
        <f aca="false">IF(L19&lt;0,L19*-1,0)</f>
        <v>0</v>
      </c>
      <c r="AM19" s="143" t="n">
        <f aca="false">AK19+AL19</f>
        <v>97.72</v>
      </c>
      <c r="AN19" s="147" t="n">
        <f aca="false">V19</f>
        <v>69.6</v>
      </c>
      <c r="AO19" s="144"/>
      <c r="AP19" s="231"/>
      <c r="AV19" s="232" t="n">
        <v>0.01</v>
      </c>
      <c r="AW19" s="225" t="n">
        <v>51</v>
      </c>
      <c r="AX19" s="225" t="n">
        <v>33</v>
      </c>
      <c r="AY19" s="233"/>
      <c r="AZ19" s="263" t="n">
        <f aca="false">SUM(N19,P19:U19)</f>
        <v>3.22</v>
      </c>
      <c r="BA19" s="0" t="n">
        <v>0.2</v>
      </c>
      <c r="BB19" s="264" t="n">
        <v>15610</v>
      </c>
    </row>
    <row r="20" customFormat="false" ht="12.95" hidden="false" customHeight="true" outlineLevel="0" collapsed="false">
      <c r="A20" s="192" t="n">
        <f aca="false">A19+1</f>
        <v>6</v>
      </c>
      <c r="B20" s="113" t="n">
        <v>6867.58</v>
      </c>
      <c r="C20" s="114" t="n">
        <v>181470</v>
      </c>
      <c r="D20" s="225" t="n">
        <f aca="false">C20-C19</f>
        <v>-51</v>
      </c>
      <c r="E20" s="114" t="n">
        <f aca="false">C20-152000</f>
        <v>29470</v>
      </c>
      <c r="F20" s="259" t="n">
        <f aca="false">D20/$D$2</f>
        <v>-25.71212503151</v>
      </c>
      <c r="G20" s="143" t="n">
        <v>80</v>
      </c>
      <c r="H20" s="260" t="n">
        <v>0</v>
      </c>
      <c r="I20" s="143" t="n">
        <f aca="false">G20+H20</f>
        <v>80</v>
      </c>
      <c r="J20" s="144" t="n">
        <f aca="false">IF(L20&gt;0,L20,0)</f>
        <v>0</v>
      </c>
      <c r="K20" s="143" t="n">
        <f aca="false">I20+J20</f>
        <v>80</v>
      </c>
      <c r="L20" s="143" t="n">
        <f aca="false">F20-(I20-AK20)</f>
        <v>-8.19212503150996</v>
      </c>
      <c r="M20" s="261" t="n">
        <v>3.22</v>
      </c>
      <c r="N20" s="143" t="n">
        <v>0</v>
      </c>
      <c r="O20" s="143" t="n">
        <f aca="false">0*1.05</f>
        <v>0</v>
      </c>
      <c r="P20" s="171" t="n">
        <v>0</v>
      </c>
      <c r="Q20" s="139" t="n">
        <f aca="false">800200/325851/1.9835*1.02</f>
        <v>1.26283745946548</v>
      </c>
      <c r="R20" s="139" t="n">
        <f aca="false">(2*1.04)-T20</f>
        <v>1.61269264</v>
      </c>
      <c r="S20" s="139" t="n">
        <v>0</v>
      </c>
      <c r="T20" s="139" t="n">
        <f aca="false">(0.4239*1.06)*1.04</f>
        <v>0.46730736</v>
      </c>
      <c r="U20" s="102" t="n">
        <f aca="false">M20-(Q20+R20+S20+T20)</f>
        <v>-0.122837459465478</v>
      </c>
      <c r="V20" s="143" t="n">
        <v>69.3</v>
      </c>
      <c r="W20" s="143" t="n">
        <v>0</v>
      </c>
      <c r="X20" s="143" t="n">
        <f aca="false">M20-N20-P20-O20-Q20-R20-S20-T20-U20+V20+W20</f>
        <v>69.3</v>
      </c>
      <c r="Y20" s="143" t="n">
        <f aca="false">X20-AO20</f>
        <v>69.3</v>
      </c>
      <c r="Z20" s="144"/>
      <c r="AA20" s="143"/>
      <c r="AB20" s="144"/>
      <c r="AC20" s="144" t="n">
        <v>0</v>
      </c>
      <c r="AD20" s="114"/>
      <c r="AE20" s="143" t="n">
        <v>0</v>
      </c>
      <c r="AF20" s="261"/>
      <c r="AG20" s="262"/>
      <c r="AH20" s="143" t="n">
        <v>25</v>
      </c>
      <c r="AI20" s="114" t="n">
        <f aca="false">AI19-AH20</f>
        <v>3171.64923115706</v>
      </c>
      <c r="AJ20" s="114"/>
      <c r="AK20" s="142" t="n">
        <f aca="false">N20+O20+P20+Q20+R20+S20+T20+U20+X20+AE20+AH20</f>
        <v>97.52</v>
      </c>
      <c r="AL20" s="143" t="n">
        <f aca="false">IF(L20&lt;0,L20*-1,0)</f>
        <v>8.19212503150996</v>
      </c>
      <c r="AM20" s="143" t="n">
        <f aca="false">AK20+AL20</f>
        <v>105.71212503151</v>
      </c>
      <c r="AN20" s="147" t="n">
        <f aca="false">V20</f>
        <v>69.3</v>
      </c>
      <c r="AO20" s="144"/>
      <c r="AP20" s="231"/>
      <c r="AV20" s="232" t="n">
        <v>0</v>
      </c>
      <c r="AW20" s="225" t="n">
        <v>52</v>
      </c>
      <c r="AX20" s="225" t="n">
        <v>32</v>
      </c>
      <c r="AY20" s="233"/>
      <c r="AZ20" s="263" t="n">
        <f aca="false">SUM(N20,P20:U20)</f>
        <v>3.22</v>
      </c>
      <c r="BA20" s="0" t="n">
        <v>0.2</v>
      </c>
      <c r="BB20" s="264" t="n">
        <v>15618</v>
      </c>
    </row>
    <row r="21" customFormat="false" ht="12.95" hidden="false" customHeight="true" outlineLevel="0" collapsed="false">
      <c r="A21" s="192" t="n">
        <f aca="false">A20+1</f>
        <v>7</v>
      </c>
      <c r="B21" s="113" t="n">
        <v>6867.55</v>
      </c>
      <c r="C21" s="114" t="n">
        <v>181393</v>
      </c>
      <c r="D21" s="225" t="n">
        <f aca="false">C21-C20</f>
        <v>-77</v>
      </c>
      <c r="E21" s="114" t="n">
        <f aca="false">C21-152000</f>
        <v>29393</v>
      </c>
      <c r="F21" s="259" t="n">
        <f aca="false">D21/$D$2</f>
        <v>-38.8202672044366</v>
      </c>
      <c r="G21" s="143" t="n">
        <v>72</v>
      </c>
      <c r="H21" s="260" t="n">
        <v>0</v>
      </c>
      <c r="I21" s="143" t="n">
        <f aca="false">G21+H21</f>
        <v>72</v>
      </c>
      <c r="J21" s="144" t="n">
        <f aca="false">IF(L21&gt;0,L21,0)</f>
        <v>0</v>
      </c>
      <c r="K21" s="143" t="n">
        <f aca="false">I21+J21</f>
        <v>72</v>
      </c>
      <c r="L21" s="143" t="n">
        <f aca="false">F21-(I21-AK21)</f>
        <v>-14.0602672044366</v>
      </c>
      <c r="M21" s="261" t="n">
        <v>2.76</v>
      </c>
      <c r="N21" s="143" t="n">
        <v>0</v>
      </c>
      <c r="O21" s="143" t="n">
        <f aca="false">0*1.05</f>
        <v>0</v>
      </c>
      <c r="P21" s="171" t="n">
        <v>0</v>
      </c>
      <c r="Q21" s="139" t="n">
        <f aca="false">983800/325851/1.9835*1.02</f>
        <v>1.55258621922287</v>
      </c>
      <c r="R21" s="139" t="n">
        <f aca="false">(1.9*1.04)-T21</f>
        <v>1.50869264</v>
      </c>
      <c r="S21" s="139" t="n">
        <v>0</v>
      </c>
      <c r="T21" s="139" t="n">
        <f aca="false">(0.4239*1.06)*1.04</f>
        <v>0.46730736</v>
      </c>
      <c r="U21" s="102" t="n">
        <f aca="false">M21-(Q21+R21+S21+T21)</f>
        <v>-0.768586219222866</v>
      </c>
      <c r="V21" s="143" t="n">
        <v>69</v>
      </c>
      <c r="W21" s="143" t="n">
        <v>0</v>
      </c>
      <c r="X21" s="143" t="n">
        <f aca="false">M21-N21-P21-O21-Q21-R21-S21-T21-U21+V21+W21</f>
        <v>69</v>
      </c>
      <c r="Y21" s="143" t="n">
        <f aca="false">X21-AO21</f>
        <v>69</v>
      </c>
      <c r="Z21" s="144"/>
      <c r="AA21" s="143"/>
      <c r="AB21" s="144"/>
      <c r="AC21" s="144" t="n">
        <v>0</v>
      </c>
      <c r="AD21" s="114"/>
      <c r="AE21" s="143" t="n">
        <v>0</v>
      </c>
      <c r="AF21" s="261"/>
      <c r="AG21" s="262"/>
      <c r="AH21" s="143" t="n">
        <v>25</v>
      </c>
      <c r="AI21" s="114" t="n">
        <f aca="false">AI20-AH21</f>
        <v>3146.64923115706</v>
      </c>
      <c r="AJ21" s="114"/>
      <c r="AK21" s="142" t="n">
        <f aca="false">N21+O21+P21+Q21+R21+S21+T21+U21+X21+AE21+AH21</f>
        <v>96.76</v>
      </c>
      <c r="AL21" s="143" t="n">
        <f aca="false">IF(L21&lt;0,L21*-1,0)</f>
        <v>14.0602672044366</v>
      </c>
      <c r="AM21" s="143" t="n">
        <f aca="false">AK21+AL21</f>
        <v>110.820267204437</v>
      </c>
      <c r="AN21" s="147" t="n">
        <f aca="false">V21</f>
        <v>69</v>
      </c>
      <c r="AO21" s="144"/>
      <c r="AP21" s="231"/>
      <c r="AV21" s="232" t="n">
        <v>0</v>
      </c>
      <c r="AW21" s="225" t="n">
        <v>56</v>
      </c>
      <c r="AX21" s="225" t="n">
        <v>28</v>
      </c>
      <c r="AY21" s="233"/>
      <c r="AZ21" s="263" t="n">
        <f aca="false">SUM(N21,P21:U21)</f>
        <v>2.76</v>
      </c>
      <c r="BA21" s="0" t="n">
        <v>0.2</v>
      </c>
      <c r="BB21" s="264" t="n">
        <v>15635</v>
      </c>
    </row>
    <row r="22" customFormat="false" ht="12.95" hidden="false" customHeight="true" outlineLevel="0" collapsed="false">
      <c r="A22" s="192" t="n">
        <f aca="false">A21+1</f>
        <v>8</v>
      </c>
      <c r="B22" s="113" t="n">
        <v>6867.52</v>
      </c>
      <c r="C22" s="114" t="n">
        <v>181316</v>
      </c>
      <c r="D22" s="225" t="n">
        <f aca="false">C22-C21</f>
        <v>-77</v>
      </c>
      <c r="E22" s="114" t="n">
        <f aca="false">C22-152000</f>
        <v>29316</v>
      </c>
      <c r="F22" s="259" t="n">
        <f aca="false">D22/$D$2</f>
        <v>-38.8202672044366</v>
      </c>
      <c r="G22" s="143" t="n">
        <v>65</v>
      </c>
      <c r="H22" s="260" t="n">
        <v>0</v>
      </c>
      <c r="I22" s="143" t="n">
        <f aca="false">G22+H22</f>
        <v>65</v>
      </c>
      <c r="J22" s="144" t="n">
        <f aca="false">IF(L22&gt;0,L22,0)</f>
        <v>0</v>
      </c>
      <c r="K22" s="143" t="n">
        <f aca="false">I22+J22</f>
        <v>65</v>
      </c>
      <c r="L22" s="143" t="n">
        <f aca="false">F22-(I22-AK22)</f>
        <v>-7.16026720443661</v>
      </c>
      <c r="M22" s="261" t="n">
        <v>2.76</v>
      </c>
      <c r="N22" s="143" t="n">
        <v>0</v>
      </c>
      <c r="O22" s="143" t="n">
        <f aca="false">0*1.05</f>
        <v>0</v>
      </c>
      <c r="P22" s="171" t="n">
        <v>0</v>
      </c>
      <c r="Q22" s="139" t="n">
        <f aca="false">778900/325851/1.9835*1.02</f>
        <v>1.22922281576813</v>
      </c>
      <c r="R22" s="139" t="n">
        <f aca="false">(2*1.04)-T22</f>
        <v>1.61269264</v>
      </c>
      <c r="S22" s="139" t="n">
        <v>0</v>
      </c>
      <c r="T22" s="139" t="n">
        <f aca="false">(0.4239*1.06)*1.04</f>
        <v>0.46730736</v>
      </c>
      <c r="U22" s="102" t="n">
        <f aca="false">M22-(Q22+R22+S22+T22)</f>
        <v>-0.549222815768134</v>
      </c>
      <c r="V22" s="143" t="n">
        <v>68.8</v>
      </c>
      <c r="W22" s="143" t="n">
        <v>0</v>
      </c>
      <c r="X22" s="143" t="n">
        <f aca="false">M22-N22-P22-O22-Q22-R22-S22-T22-U22+V22+W22</f>
        <v>68.8</v>
      </c>
      <c r="Y22" s="143" t="n">
        <f aca="false">X22-AO22</f>
        <v>68.8</v>
      </c>
      <c r="Z22" s="144"/>
      <c r="AA22" s="143"/>
      <c r="AB22" s="144"/>
      <c r="AC22" s="144" t="n">
        <v>0</v>
      </c>
      <c r="AD22" s="114"/>
      <c r="AE22" s="143" t="n">
        <v>0</v>
      </c>
      <c r="AF22" s="261"/>
      <c r="AG22" s="262"/>
      <c r="AH22" s="143" t="n">
        <v>25.1</v>
      </c>
      <c r="AI22" s="114" t="n">
        <f aca="false">AI21-AH22</f>
        <v>3121.54923115706</v>
      </c>
      <c r="AJ22" s="114"/>
      <c r="AK22" s="142" t="n">
        <f aca="false">N22+O22+P22+Q22+R22+S22+T22+U22+X22+AE22+AH22</f>
        <v>96.66</v>
      </c>
      <c r="AL22" s="143" t="n">
        <f aca="false">IF(L22&lt;0,L22*-1,0)</f>
        <v>7.16026720443661</v>
      </c>
      <c r="AM22" s="143" t="n">
        <f aca="false">AK22+AL22</f>
        <v>103.820267204437</v>
      </c>
      <c r="AN22" s="147" t="n">
        <f aca="false">V22</f>
        <v>68.8</v>
      </c>
      <c r="AO22" s="144"/>
      <c r="AP22" s="231"/>
      <c r="AV22" s="232" t="n">
        <v>0</v>
      </c>
      <c r="AW22" s="114" t="n">
        <v>59</v>
      </c>
      <c r="AX22" s="225" t="n">
        <v>28</v>
      </c>
      <c r="AY22" s="233"/>
      <c r="AZ22" s="263" t="n">
        <f aca="false">SUM(N22,P22:U22)</f>
        <v>2.76</v>
      </c>
      <c r="BA22" s="0" t="n">
        <v>0.2</v>
      </c>
      <c r="BB22" s="264" t="n">
        <v>15765</v>
      </c>
    </row>
    <row r="23" customFormat="false" ht="12.95" hidden="false" customHeight="true" outlineLevel="0" collapsed="false">
      <c r="A23" s="192" t="n">
        <f aca="false">A22+1</f>
        <v>9</v>
      </c>
      <c r="B23" s="113" t="n">
        <v>6867.47</v>
      </c>
      <c r="C23" s="114" t="n">
        <v>181187</v>
      </c>
      <c r="D23" s="225" t="n">
        <f aca="false">C23-C22</f>
        <v>-129</v>
      </c>
      <c r="E23" s="114" t="n">
        <f aca="false">C23-152000</f>
        <v>29187</v>
      </c>
      <c r="F23" s="259" t="n">
        <f aca="false">D23/$D$2</f>
        <v>-65.0365515502899</v>
      </c>
      <c r="G23" s="143" t="n">
        <v>64</v>
      </c>
      <c r="H23" s="260" t="n">
        <v>0</v>
      </c>
      <c r="I23" s="143" t="n">
        <f aca="false">G23+H23</f>
        <v>64</v>
      </c>
      <c r="J23" s="144" t="n">
        <f aca="false">IF(L23&gt;0,L23,0)</f>
        <v>0</v>
      </c>
      <c r="K23" s="143" t="n">
        <f aca="false">I23+J23</f>
        <v>64</v>
      </c>
      <c r="L23" s="143" t="n">
        <f aca="false">F23-(I23-AK23)</f>
        <v>-31.5565515502899</v>
      </c>
      <c r="M23" s="261" t="n">
        <v>3.58</v>
      </c>
      <c r="N23" s="143" t="n">
        <v>0</v>
      </c>
      <c r="O23" s="143" t="n">
        <f aca="false">0*1.05</f>
        <v>0</v>
      </c>
      <c r="P23" s="171" t="n">
        <v>0</v>
      </c>
      <c r="Q23" s="139" t="n">
        <f aca="false">836800/325851/1.9835*1.02</f>
        <v>1.3205978331426</v>
      </c>
      <c r="R23" s="139" t="n">
        <f aca="false">(1.9*1.04)-T23</f>
        <v>1.50869264</v>
      </c>
      <c r="S23" s="139" t="n">
        <v>0</v>
      </c>
      <c r="T23" s="139" t="n">
        <f aca="false">(0.4239*1.06)*1.04</f>
        <v>0.46730736</v>
      </c>
      <c r="U23" s="102" t="n">
        <f aca="false">M23-(Q23+R23+S23+T23)</f>
        <v>0.283402166857396</v>
      </c>
      <c r="V23" s="143" t="n">
        <v>68.7</v>
      </c>
      <c r="W23" s="143" t="n">
        <v>0</v>
      </c>
      <c r="X23" s="143" t="n">
        <f aca="false">M23-N23-P23-O23-Q23-R23-S23-T23-U23+V23+W23</f>
        <v>68.7</v>
      </c>
      <c r="Y23" s="143" t="n">
        <f aca="false">X23-AO23</f>
        <v>68.7</v>
      </c>
      <c r="Z23" s="144"/>
      <c r="AA23" s="143"/>
      <c r="AB23" s="144"/>
      <c r="AC23" s="144" t="n">
        <v>0</v>
      </c>
      <c r="AD23" s="114"/>
      <c r="AE23" s="143" t="n">
        <v>0</v>
      </c>
      <c r="AF23" s="261"/>
      <c r="AG23" s="262"/>
      <c r="AH23" s="143" t="n">
        <v>25.2</v>
      </c>
      <c r="AI23" s="114" t="n">
        <f aca="false">AI22-AH23</f>
        <v>3096.34923115706</v>
      </c>
      <c r="AJ23" s="114"/>
      <c r="AK23" s="142" t="n">
        <f aca="false">N23+O23+P23+Q23+R23+S23+T23+U23+X23+AE23+AH23</f>
        <v>97.48</v>
      </c>
      <c r="AL23" s="143" t="n">
        <f aca="false">IF(L23&lt;0,L23*-1,0)</f>
        <v>31.5565515502899</v>
      </c>
      <c r="AM23" s="143" t="n">
        <f aca="false">AK23+AL23</f>
        <v>129.03655155029</v>
      </c>
      <c r="AN23" s="147" t="n">
        <f aca="false">V23</f>
        <v>68.7</v>
      </c>
      <c r="AO23" s="144"/>
      <c r="AP23" s="231"/>
      <c r="AV23" s="232" t="n">
        <v>0</v>
      </c>
      <c r="AW23" s="114" t="n">
        <v>58</v>
      </c>
      <c r="AX23" s="225" t="n">
        <v>26</v>
      </c>
      <c r="AY23" s="233"/>
      <c r="AZ23" s="263" t="n">
        <f aca="false">SUM(N23,P23:U23)</f>
        <v>3.58</v>
      </c>
      <c r="BA23" s="0" t="n">
        <v>0.2</v>
      </c>
      <c r="BB23" s="264" t="n">
        <v>15808</v>
      </c>
    </row>
    <row r="24" customFormat="false" ht="12.95" hidden="false" customHeight="true" outlineLevel="0" collapsed="false">
      <c r="A24" s="192" t="n">
        <f aca="false">A23+1</f>
        <v>10</v>
      </c>
      <c r="B24" s="113" t="n">
        <v>6867.4</v>
      </c>
      <c r="C24" s="114" t="n">
        <v>181007</v>
      </c>
      <c r="D24" s="225" t="n">
        <f aca="false">C24-C23</f>
        <v>-180</v>
      </c>
      <c r="E24" s="114" t="n">
        <f aca="false">C24-152000</f>
        <v>29007</v>
      </c>
      <c r="F24" s="259" t="n">
        <f aca="false">D24/$D$2</f>
        <v>-90.7486765817998</v>
      </c>
      <c r="G24" s="143" t="n">
        <v>65</v>
      </c>
      <c r="H24" s="260" t="n">
        <v>0</v>
      </c>
      <c r="I24" s="143" t="n">
        <f aca="false">G24+H24</f>
        <v>65</v>
      </c>
      <c r="J24" s="144" t="n">
        <f aca="false">IF(L24&gt;0,L24,0)</f>
        <v>0</v>
      </c>
      <c r="K24" s="143" t="n">
        <f aca="false">I24+J24</f>
        <v>65</v>
      </c>
      <c r="L24" s="143" t="n">
        <f aca="false">F24-(I24-AK24)</f>
        <v>-58.7786765817998</v>
      </c>
      <c r="M24" s="261" t="n">
        <v>3.07</v>
      </c>
      <c r="N24" s="143" t="n">
        <v>0</v>
      </c>
      <c r="O24" s="143" t="n">
        <f aca="false">0*1.05</f>
        <v>0</v>
      </c>
      <c r="P24" s="171" t="n">
        <v>0</v>
      </c>
      <c r="Q24" s="139" t="n">
        <f aca="false">823200/325851/1.9835*1.02</f>
        <v>1.29913496204946</v>
      </c>
      <c r="R24" s="139" t="n">
        <f aca="false">(1.8*1.04)-T24</f>
        <v>1.40469264</v>
      </c>
      <c r="S24" s="139" t="n">
        <v>0</v>
      </c>
      <c r="T24" s="139" t="n">
        <f aca="false">(0.4239*1.06)*1.04</f>
        <v>0.46730736</v>
      </c>
      <c r="U24" s="102" t="n">
        <f aca="false">M24-(Q24+R24+S24+T24)</f>
        <v>-0.101134962049464</v>
      </c>
      <c r="V24" s="143" t="n">
        <v>68.7</v>
      </c>
      <c r="W24" s="143" t="n">
        <v>0</v>
      </c>
      <c r="X24" s="143" t="n">
        <f aca="false">M24-N24-P24-O24-Q24-R24-S24-T24-U24+V24+W24</f>
        <v>68.7</v>
      </c>
      <c r="Y24" s="143" t="n">
        <f aca="false">X24-AO24</f>
        <v>68.7</v>
      </c>
      <c r="Z24" s="144"/>
      <c r="AA24" s="143"/>
      <c r="AB24" s="144"/>
      <c r="AC24" s="144" t="n">
        <v>0</v>
      </c>
      <c r="AD24" s="114"/>
      <c r="AE24" s="143" t="n">
        <v>0</v>
      </c>
      <c r="AF24" s="261"/>
      <c r="AG24" s="262"/>
      <c r="AH24" s="143" t="n">
        <v>25.2</v>
      </c>
      <c r="AI24" s="114" t="n">
        <f aca="false">AI23-AH24</f>
        <v>3071.14923115706</v>
      </c>
      <c r="AJ24" s="114"/>
      <c r="AK24" s="142" t="n">
        <f aca="false">N24+O24+P24+Q24+R24+S24+T24+U24+X24+AE24+AH24</f>
        <v>96.97</v>
      </c>
      <c r="AL24" s="143" t="n">
        <f aca="false">IF(L24&lt;0,L24*-1,0)</f>
        <v>58.7786765817998</v>
      </c>
      <c r="AM24" s="143" t="n">
        <f aca="false">AK24+AL24</f>
        <v>155.7486765818</v>
      </c>
      <c r="AN24" s="147" t="n">
        <f aca="false">V24</f>
        <v>68.7</v>
      </c>
      <c r="AO24" s="144"/>
      <c r="AP24" s="231"/>
      <c r="AV24" s="232" t="n">
        <v>0</v>
      </c>
      <c r="AW24" s="114" t="n">
        <v>55</v>
      </c>
      <c r="AX24" s="225" t="n">
        <v>26</v>
      </c>
      <c r="AY24" s="233"/>
      <c r="AZ24" s="263" t="n">
        <f aca="false">SUM(N24,P24:U24)</f>
        <v>3.07</v>
      </c>
      <c r="BA24" s="0" t="n">
        <v>0.2</v>
      </c>
      <c r="BB24" s="264" t="n">
        <v>15863</v>
      </c>
    </row>
    <row r="25" customFormat="false" ht="12.95" hidden="false" customHeight="true" outlineLevel="0" collapsed="false">
      <c r="A25" s="192" t="n">
        <f aca="false">A24+1</f>
        <v>11</v>
      </c>
      <c r="B25" s="113" t="n">
        <v>6867.36</v>
      </c>
      <c r="C25" s="114" t="n">
        <v>180904</v>
      </c>
      <c r="D25" s="225" t="n">
        <f aca="false">C25-C24</f>
        <v>-103</v>
      </c>
      <c r="E25" s="114" t="n">
        <f aca="false">C25-152000</f>
        <v>28904</v>
      </c>
      <c r="F25" s="259" t="n">
        <f aca="false">D25/$D$2</f>
        <v>-51.9284093773632</v>
      </c>
      <c r="G25" s="143" t="n">
        <v>68</v>
      </c>
      <c r="H25" s="260" t="n">
        <v>0</v>
      </c>
      <c r="I25" s="143" t="n">
        <f aca="false">G25+H25</f>
        <v>68</v>
      </c>
      <c r="J25" s="144" t="n">
        <f aca="false">IF(L25&gt;0,L25,0)</f>
        <v>0</v>
      </c>
      <c r="K25" s="143" t="n">
        <f aca="false">I25+J25</f>
        <v>68</v>
      </c>
      <c r="L25" s="143" t="n">
        <f aca="false">F25-(I25-AK25)</f>
        <v>-23.0284093773632</v>
      </c>
      <c r="M25" s="261" t="n">
        <v>2.9</v>
      </c>
      <c r="N25" s="143" t="n">
        <v>0</v>
      </c>
      <c r="O25" s="143" t="n">
        <f aca="false">0*1.05</f>
        <v>0</v>
      </c>
      <c r="P25" s="171" t="n">
        <v>0</v>
      </c>
      <c r="Q25" s="139" t="n">
        <f aca="false">823400/325851/1.9835*1.02</f>
        <v>1.29945059250672</v>
      </c>
      <c r="R25" s="139" t="n">
        <f aca="false">(2*1.04)-T25</f>
        <v>1.61269264</v>
      </c>
      <c r="S25" s="139" t="n">
        <v>0</v>
      </c>
      <c r="T25" s="139" t="n">
        <f aca="false">(0.4239*1.06)*1.04</f>
        <v>0.46730736</v>
      </c>
      <c r="U25" s="102" t="n">
        <f aca="false">M25-(Q25+R25+S25+T25)</f>
        <v>-0.479450592506717</v>
      </c>
      <c r="V25" s="143" t="n">
        <v>68.7</v>
      </c>
      <c r="W25" s="143" t="n">
        <v>0</v>
      </c>
      <c r="X25" s="143" t="n">
        <f aca="false">M25-N25-P25-O25-Q25-R25-S25-T25-U25+V25+W25</f>
        <v>68.7</v>
      </c>
      <c r="Y25" s="143" t="n">
        <f aca="false">X25-AO25</f>
        <v>68.7</v>
      </c>
      <c r="Z25" s="144"/>
      <c r="AA25" s="143"/>
      <c r="AB25" s="144"/>
      <c r="AC25" s="144" t="n">
        <v>0</v>
      </c>
      <c r="AD25" s="114"/>
      <c r="AE25" s="143" t="n">
        <v>0</v>
      </c>
      <c r="AF25" s="261"/>
      <c r="AG25" s="262"/>
      <c r="AH25" s="143" t="n">
        <v>25.3</v>
      </c>
      <c r="AI25" s="114" t="n">
        <f aca="false">AI24-AH25</f>
        <v>3045.84923115706</v>
      </c>
      <c r="AJ25" s="114"/>
      <c r="AK25" s="142" t="n">
        <f aca="false">N25+O25+P25+Q25+R25+S25+T25+U25+X25+AE25+AH25</f>
        <v>96.9</v>
      </c>
      <c r="AL25" s="143" t="n">
        <f aca="false">IF(L25&lt;0,L25*-1,0)</f>
        <v>23.0284093773632</v>
      </c>
      <c r="AM25" s="143" t="n">
        <f aca="false">AK25+AL25</f>
        <v>119.928409377363</v>
      </c>
      <c r="AN25" s="147" t="n">
        <f aca="false">V25</f>
        <v>68.7</v>
      </c>
      <c r="AO25" s="144"/>
      <c r="AP25" s="231"/>
      <c r="AV25" s="232" t="n">
        <v>0</v>
      </c>
      <c r="AW25" s="114" t="n">
        <v>58</v>
      </c>
      <c r="AX25" s="225" t="n">
        <v>27</v>
      </c>
      <c r="AY25" s="233"/>
      <c r="AZ25" s="263" t="n">
        <f aca="false">SUM(N25,P25:U25)</f>
        <v>2.9</v>
      </c>
      <c r="BA25" s="0" t="n">
        <v>0.2</v>
      </c>
      <c r="BB25" s="264" t="n">
        <v>15860</v>
      </c>
    </row>
    <row r="26" customFormat="false" ht="12.95" hidden="false" customHeight="true" outlineLevel="0" collapsed="false">
      <c r="A26" s="192" t="n">
        <f aca="false">A25+1</f>
        <v>12</v>
      </c>
      <c r="B26" s="113" t="n">
        <v>6867.35</v>
      </c>
      <c r="C26" s="114" t="n">
        <v>180879</v>
      </c>
      <c r="D26" s="225" t="n">
        <f aca="false">C26-C25</f>
        <v>-25</v>
      </c>
      <c r="E26" s="114" t="n">
        <f aca="false">C26-152000</f>
        <v>28879</v>
      </c>
      <c r="F26" s="259" t="n">
        <f aca="false">D26/$D$2</f>
        <v>-12.6039828585833</v>
      </c>
      <c r="G26" s="143" t="n">
        <v>71</v>
      </c>
      <c r="H26" s="260" t="n">
        <v>0</v>
      </c>
      <c r="I26" s="143" t="n">
        <f aca="false">G26+H26</f>
        <v>71</v>
      </c>
      <c r="J26" s="144" t="n">
        <f aca="false">IF(L26&gt;0,L26,0)</f>
        <v>13.5760171414167</v>
      </c>
      <c r="K26" s="143" t="n">
        <f aca="false">I26+J26</f>
        <v>84.5760171414167</v>
      </c>
      <c r="L26" s="143" t="n">
        <f aca="false">F26-(I26-AK26)</f>
        <v>13.5760171414167</v>
      </c>
      <c r="M26" s="261" t="n">
        <v>3.18</v>
      </c>
      <c r="N26" s="143" t="n">
        <v>0</v>
      </c>
      <c r="O26" s="143" t="n">
        <f aca="false">0*1.05</f>
        <v>0</v>
      </c>
      <c r="P26" s="171" t="n">
        <v>0</v>
      </c>
      <c r="Q26" s="139" t="n">
        <f aca="false">801900/325851/1.9835*1.02</f>
        <v>1.26552031835212</v>
      </c>
      <c r="R26" s="139" t="n">
        <f aca="false">(2*1.04)-T26</f>
        <v>1.619748</v>
      </c>
      <c r="S26" s="139" t="n">
        <v>0</v>
      </c>
      <c r="T26" s="139" t="n">
        <f aca="false">(0.4175*1.06)*1.04</f>
        <v>0.460252</v>
      </c>
      <c r="U26" s="102" t="n">
        <f aca="false">M26-(Q26+R26+S26+T26)</f>
        <v>-0.16552031835212</v>
      </c>
      <c r="V26" s="143" t="n">
        <v>68.7</v>
      </c>
      <c r="W26" s="143" t="n">
        <v>0</v>
      </c>
      <c r="X26" s="143" t="n">
        <f aca="false">M26-N26-P26-O26-Q26-R26-S26-T26-U26+V26+W26</f>
        <v>68.7</v>
      </c>
      <c r="Y26" s="143" t="n">
        <f aca="false">X26-AO26</f>
        <v>68.7</v>
      </c>
      <c r="Z26" s="144"/>
      <c r="AA26" s="143"/>
      <c r="AB26" s="144"/>
      <c r="AC26" s="144" t="n">
        <v>0</v>
      </c>
      <c r="AD26" s="114"/>
      <c r="AE26" s="143" t="n">
        <v>0</v>
      </c>
      <c r="AF26" s="261"/>
      <c r="AG26" s="262"/>
      <c r="AH26" s="143" t="n">
        <v>25.3</v>
      </c>
      <c r="AI26" s="114" t="n">
        <f aca="false">AI25-AH26</f>
        <v>3020.54923115706</v>
      </c>
      <c r="AJ26" s="114"/>
      <c r="AK26" s="142" t="n">
        <f aca="false">N26+O26+P26+Q26+R26+S26+T26+U26+X26+AE26+AH26</f>
        <v>97.18</v>
      </c>
      <c r="AL26" s="143" t="n">
        <f aca="false">IF(L26&lt;0,L26*-1,0)</f>
        <v>0</v>
      </c>
      <c r="AM26" s="143" t="n">
        <f aca="false">AK26+AL26</f>
        <v>97.18</v>
      </c>
      <c r="AN26" s="147" t="n">
        <f aca="false">V26</f>
        <v>68.7</v>
      </c>
      <c r="AO26" s="144"/>
      <c r="AP26" s="231"/>
      <c r="AV26" s="232" t="n">
        <v>0</v>
      </c>
      <c r="AW26" s="114" t="n">
        <v>61</v>
      </c>
      <c r="AX26" s="225" t="n">
        <v>30</v>
      </c>
      <c r="AY26" s="233"/>
      <c r="AZ26" s="263" t="n">
        <f aca="false">SUM(N26,P26:U26)</f>
        <v>3.18</v>
      </c>
      <c r="BA26" s="0" t="n">
        <v>0.2</v>
      </c>
      <c r="BB26" s="264" t="n">
        <v>15741</v>
      </c>
    </row>
    <row r="27" customFormat="false" ht="12.95" hidden="false" customHeight="true" outlineLevel="0" collapsed="false">
      <c r="A27" s="192" t="n">
        <f aca="false">A26+1</f>
        <v>13</v>
      </c>
      <c r="B27" s="113" t="n">
        <v>6867.36</v>
      </c>
      <c r="C27" s="114" t="n">
        <v>180904</v>
      </c>
      <c r="D27" s="225" t="n">
        <f aca="false">C27-C26</f>
        <v>25</v>
      </c>
      <c r="E27" s="114" t="n">
        <f aca="false">C27-152000</f>
        <v>28904</v>
      </c>
      <c r="F27" s="259" t="n">
        <f aca="false">D27/$D$2</f>
        <v>12.6039828585833</v>
      </c>
      <c r="G27" s="143" t="n">
        <v>73</v>
      </c>
      <c r="H27" s="260" t="n">
        <v>0</v>
      </c>
      <c r="I27" s="143" t="n">
        <f aca="false">G27+H27</f>
        <v>73</v>
      </c>
      <c r="J27" s="144" t="n">
        <f aca="false">IF(L27&gt;0,L27,0)</f>
        <v>36.6939828585833</v>
      </c>
      <c r="K27" s="143" t="n">
        <f aca="false">I27+J27</f>
        <v>109.693982858583</v>
      </c>
      <c r="L27" s="143" t="n">
        <f aca="false">F27-(I27-AK27)</f>
        <v>36.6939828585833</v>
      </c>
      <c r="M27" s="261" t="n">
        <v>2.99</v>
      </c>
      <c r="N27" s="143" t="n">
        <v>0</v>
      </c>
      <c r="O27" s="143" t="n">
        <f aca="false">0*1.05</f>
        <v>0</v>
      </c>
      <c r="P27" s="171" t="n">
        <v>0</v>
      </c>
      <c r="Q27" s="139" t="n">
        <f aca="false">777000/325851/1.9835*1.02</f>
        <v>1.22622432642424</v>
      </c>
      <c r="R27" s="139" t="n">
        <f aca="false">(2*1.04)-T27</f>
        <v>1.619748</v>
      </c>
      <c r="S27" s="139" t="n">
        <v>0</v>
      </c>
      <c r="T27" s="139" t="n">
        <f aca="false">(0.4175*1.06)*1.04</f>
        <v>0.460252</v>
      </c>
      <c r="U27" s="102" t="n">
        <f aca="false">M27-(Q27+R27+S27+T27)</f>
        <v>-0.316224326424239</v>
      </c>
      <c r="V27" s="143" t="n">
        <v>68.7</v>
      </c>
      <c r="W27" s="143" t="n">
        <v>0</v>
      </c>
      <c r="X27" s="143" t="n">
        <f aca="false">M27-N27-P27-O27-Q27-R27-S27-T27-U27+V27+W27</f>
        <v>68.7</v>
      </c>
      <c r="Y27" s="143" t="n">
        <f aca="false">X27-AO27</f>
        <v>68.7</v>
      </c>
      <c r="Z27" s="144"/>
      <c r="AA27" s="143"/>
      <c r="AB27" s="144"/>
      <c r="AC27" s="144" t="n">
        <v>0</v>
      </c>
      <c r="AD27" s="114"/>
      <c r="AE27" s="143" t="n">
        <v>0</v>
      </c>
      <c r="AF27" s="261"/>
      <c r="AG27" s="262"/>
      <c r="AH27" s="143" t="n">
        <v>25.4</v>
      </c>
      <c r="AI27" s="114" t="n">
        <f aca="false">AI26-AH27</f>
        <v>2995.14923115706</v>
      </c>
      <c r="AJ27" s="114"/>
      <c r="AK27" s="142" t="n">
        <f aca="false">N27+O27+P27+Q27+R27+S27+T27+U27+X27+AE27+AH27</f>
        <v>97.09</v>
      </c>
      <c r="AL27" s="143" t="n">
        <f aca="false">IF(L27&lt;0,L27*-1,0)</f>
        <v>0</v>
      </c>
      <c r="AM27" s="143" t="n">
        <f aca="false">AK27+AL27</f>
        <v>97.09</v>
      </c>
      <c r="AN27" s="147" t="n">
        <f aca="false">V27</f>
        <v>68.7</v>
      </c>
      <c r="AO27" s="144"/>
      <c r="AP27" s="231"/>
      <c r="AV27" s="232" t="n">
        <v>0.26</v>
      </c>
      <c r="AW27" s="114" t="n">
        <v>52</v>
      </c>
      <c r="AX27" s="225" t="n">
        <v>25</v>
      </c>
      <c r="AY27" s="233"/>
      <c r="AZ27" s="263" t="n">
        <f aca="false">SUM(N27,P27:U27)</f>
        <v>2.99</v>
      </c>
      <c r="BA27" s="0" t="n">
        <v>0.2</v>
      </c>
      <c r="BB27" s="264" t="n">
        <v>15730</v>
      </c>
    </row>
    <row r="28" customFormat="false" ht="12.95" hidden="false" customHeight="true" outlineLevel="0" collapsed="false">
      <c r="A28" s="192" t="n">
        <f aca="false">A27+1</f>
        <v>14</v>
      </c>
      <c r="B28" s="113" t="n">
        <v>6867.36</v>
      </c>
      <c r="C28" s="114" t="n">
        <v>180904</v>
      </c>
      <c r="D28" s="225" t="n">
        <f aca="false">C28-C27</f>
        <v>0</v>
      </c>
      <c r="E28" s="114" t="n">
        <f aca="false">C28-152000</f>
        <v>28904</v>
      </c>
      <c r="F28" s="259" t="n">
        <f aca="false">D28/$D$2</f>
        <v>0</v>
      </c>
      <c r="G28" s="143" t="n">
        <v>69</v>
      </c>
      <c r="H28" s="260" t="n">
        <v>0</v>
      </c>
      <c r="I28" s="143" t="n">
        <f aca="false">G28+H28</f>
        <v>69</v>
      </c>
      <c r="J28" s="144" t="n">
        <f aca="false">IF(L28&gt;0,L28,0)</f>
        <v>27.56</v>
      </c>
      <c r="K28" s="143" t="n">
        <f aca="false">I28+J28</f>
        <v>96.56</v>
      </c>
      <c r="L28" s="143" t="n">
        <f aca="false">F28-(I28-AK28)</f>
        <v>27.56</v>
      </c>
      <c r="M28" s="261" t="n">
        <v>2.36</v>
      </c>
      <c r="N28" s="143" t="n">
        <v>0</v>
      </c>
      <c r="O28" s="143" t="n">
        <f aca="false">0*1.05</f>
        <v>0</v>
      </c>
      <c r="P28" s="171" t="n">
        <v>0</v>
      </c>
      <c r="Q28" s="139" t="n">
        <f aca="false">944000/325851/1.9835*1.02</f>
        <v>1.48977575822971</v>
      </c>
      <c r="R28" s="139" t="n">
        <f aca="false">(2*1.04)-T28</f>
        <v>1.619748</v>
      </c>
      <c r="S28" s="139" t="n">
        <v>0</v>
      </c>
      <c r="T28" s="139" t="n">
        <f aca="false">(0.4175*1.06)*1.04</f>
        <v>0.460252</v>
      </c>
      <c r="U28" s="102" t="n">
        <f aca="false">M28-(Q28+R28+S28+T28)</f>
        <v>-1.20977575822971</v>
      </c>
      <c r="V28" s="143" t="n">
        <v>68.7</v>
      </c>
      <c r="W28" s="143" t="n">
        <v>0</v>
      </c>
      <c r="X28" s="143" t="n">
        <f aca="false">M28-N28-P28-O28-Q28-R28-S28-T28-U28+V28+W28</f>
        <v>68.7</v>
      </c>
      <c r="Y28" s="143" t="n">
        <f aca="false">X28-AO28</f>
        <v>68.7</v>
      </c>
      <c r="Z28" s="144"/>
      <c r="AA28" s="143"/>
      <c r="AB28" s="144"/>
      <c r="AC28" s="144" t="n">
        <v>0</v>
      </c>
      <c r="AD28" s="114"/>
      <c r="AE28" s="143" t="n">
        <v>0</v>
      </c>
      <c r="AF28" s="261"/>
      <c r="AG28" s="262"/>
      <c r="AH28" s="143" t="n">
        <v>25.5</v>
      </c>
      <c r="AI28" s="114" t="n">
        <f aca="false">AI27-AH28</f>
        <v>2969.64923115706</v>
      </c>
      <c r="AJ28" s="114"/>
      <c r="AK28" s="142" t="n">
        <f aca="false">N28+O28+P28+Q28+R28+S28+T28+U28+X28+AE28+AH28</f>
        <v>96.56</v>
      </c>
      <c r="AL28" s="143" t="n">
        <f aca="false">IF(L28&lt;0,L28*-1,0)</f>
        <v>0</v>
      </c>
      <c r="AM28" s="143" t="n">
        <f aca="false">AK28+AL28</f>
        <v>96.56</v>
      </c>
      <c r="AN28" s="147" t="n">
        <f aca="false">V28</f>
        <v>68.7</v>
      </c>
      <c r="AO28" s="144"/>
      <c r="AP28" s="231"/>
      <c r="AV28" s="232" t="n">
        <v>0.11</v>
      </c>
      <c r="AW28" s="114" t="n">
        <v>37</v>
      </c>
      <c r="AX28" s="225" t="n">
        <v>18</v>
      </c>
      <c r="AY28" s="233"/>
      <c r="AZ28" s="263" t="n">
        <f aca="false">SUM(N28,P28:U28)</f>
        <v>2.36</v>
      </c>
      <c r="BA28" s="0" t="n">
        <v>0.2</v>
      </c>
      <c r="BB28" s="264" t="n">
        <v>15763</v>
      </c>
    </row>
    <row r="29" customFormat="false" ht="12.95" hidden="false" customHeight="true" outlineLevel="0" collapsed="false">
      <c r="A29" s="192" t="n">
        <f aca="false">A28+1</f>
        <v>15</v>
      </c>
      <c r="B29" s="113" t="n">
        <v>6867.33</v>
      </c>
      <c r="C29" s="114" t="n">
        <v>180827</v>
      </c>
      <c r="D29" s="225" t="n">
        <f aca="false">C29-C28</f>
        <v>-77</v>
      </c>
      <c r="E29" s="114" t="n">
        <f aca="false">C29-152000</f>
        <v>28827</v>
      </c>
      <c r="F29" s="259" t="n">
        <f aca="false">D29/$D$2</f>
        <v>-38.8202672044366</v>
      </c>
      <c r="G29" s="143" t="n">
        <v>63</v>
      </c>
      <c r="H29" s="260" t="n">
        <v>0</v>
      </c>
      <c r="I29" s="143" t="n">
        <f aca="false">G29+H29</f>
        <v>63</v>
      </c>
      <c r="J29" s="144" t="n">
        <f aca="false">IF(L29&gt;0,L29,0)</f>
        <v>0</v>
      </c>
      <c r="K29" s="143" t="n">
        <f aca="false">I29+J29</f>
        <v>63</v>
      </c>
      <c r="L29" s="143" t="n">
        <f aca="false">F29-(I29-AK29)</f>
        <v>-41.9702672044366</v>
      </c>
      <c r="M29" s="261" t="n">
        <v>3.55</v>
      </c>
      <c r="N29" s="143" t="n">
        <v>0</v>
      </c>
      <c r="O29" s="143" t="n">
        <f aca="false">0*1.05</f>
        <v>0</v>
      </c>
      <c r="P29" s="171" t="n">
        <v>0</v>
      </c>
      <c r="Q29" s="139" t="n">
        <f aca="false">747300/325851/1.9835*1.02</f>
        <v>1.17935320352231</v>
      </c>
      <c r="R29" s="139" t="n">
        <f aca="false">(2.1*1.04)-T29</f>
        <v>1.723748</v>
      </c>
      <c r="S29" s="139" t="n">
        <v>0</v>
      </c>
      <c r="T29" s="139" t="n">
        <f aca="false">(0.4175*1.06)*1.04</f>
        <v>0.460252</v>
      </c>
      <c r="U29" s="102" t="n">
        <f aca="false">M29-(Q29+R29+S29+T29)</f>
        <v>0.186646796477691</v>
      </c>
      <c r="V29" s="143" t="n">
        <v>30.8</v>
      </c>
      <c r="W29" s="143" t="n">
        <v>0</v>
      </c>
      <c r="X29" s="143" t="n">
        <f aca="false">M29-N29-P29-O29-Q29-R29-S29-T29-U29+V29+W29</f>
        <v>30.8</v>
      </c>
      <c r="Y29" s="143" t="n">
        <f aca="false">X29-AO29</f>
        <v>30.8</v>
      </c>
      <c r="Z29" s="144"/>
      <c r="AA29" s="143"/>
      <c r="AB29" s="144"/>
      <c r="AC29" s="144" t="n">
        <v>26.2968987964777</v>
      </c>
      <c r="AD29" s="114"/>
      <c r="AE29" s="143" t="n">
        <v>0</v>
      </c>
      <c r="AF29" s="261"/>
      <c r="AG29" s="262"/>
      <c r="AH29" s="143" t="n">
        <v>25.5</v>
      </c>
      <c r="AI29" s="114" t="n">
        <f aca="false">AI28-AH29</f>
        <v>2944.14923115706</v>
      </c>
      <c r="AJ29" s="114"/>
      <c r="AK29" s="142" t="n">
        <f aca="false">N29+O29+P29+Q29+R29+S29+T29+U29+X29+AE29+AH29</f>
        <v>59.85</v>
      </c>
      <c r="AL29" s="143" t="n">
        <f aca="false">IF(L29&lt;0,L29*-1,0)</f>
        <v>41.9702672044366</v>
      </c>
      <c r="AM29" s="143" t="n">
        <f aca="false">AK29+AL29</f>
        <v>101.820267204437</v>
      </c>
      <c r="AN29" s="147" t="n">
        <f aca="false">V29</f>
        <v>30.8</v>
      </c>
      <c r="AO29" s="144"/>
      <c r="AP29" s="231"/>
      <c r="AV29" s="232" t="n">
        <v>0.01</v>
      </c>
      <c r="AW29" s="114" t="n">
        <v>41</v>
      </c>
      <c r="AX29" s="225" t="n">
        <v>15</v>
      </c>
      <c r="AY29" s="233"/>
      <c r="AZ29" s="263" t="n">
        <f aca="false">SUM(N29,P29:U29)</f>
        <v>3.55</v>
      </c>
      <c r="BA29" s="0" t="n">
        <v>0.2</v>
      </c>
      <c r="BB29" s="264" t="n">
        <v>15794</v>
      </c>
    </row>
    <row r="30" customFormat="false" ht="12.95" hidden="false" customHeight="true" outlineLevel="0" collapsed="false">
      <c r="A30" s="192" t="n">
        <f aca="false">A29+1</f>
        <v>16</v>
      </c>
      <c r="B30" s="113" t="n">
        <v>6867.33</v>
      </c>
      <c r="C30" s="114" t="n">
        <v>180827</v>
      </c>
      <c r="D30" s="225" t="n">
        <f aca="false">C30-C29</f>
        <v>0</v>
      </c>
      <c r="E30" s="114" t="n">
        <f aca="false">C30-152000</f>
        <v>28827</v>
      </c>
      <c r="F30" s="259" t="n">
        <f aca="false">D30/$D$2</f>
        <v>0</v>
      </c>
      <c r="G30" s="143" t="n">
        <v>66</v>
      </c>
      <c r="H30" s="260" t="n">
        <v>0</v>
      </c>
      <c r="I30" s="143" t="n">
        <f aca="false">G30+H30</f>
        <v>66</v>
      </c>
      <c r="J30" s="144" t="n">
        <f aca="false">IF(L30&gt;0,L30,0)</f>
        <v>0</v>
      </c>
      <c r="K30" s="143" t="n">
        <f aca="false">I30+J30</f>
        <v>66</v>
      </c>
      <c r="L30" s="143" t="n">
        <f aca="false">F30-(I30-AK30)</f>
        <v>-35.89</v>
      </c>
      <c r="M30" s="261" t="n">
        <v>2.92</v>
      </c>
      <c r="N30" s="143" t="n">
        <v>0</v>
      </c>
      <c r="O30" s="143" t="n">
        <f aca="false">0*1.05</f>
        <v>0</v>
      </c>
      <c r="P30" s="171" t="n">
        <v>0</v>
      </c>
      <c r="Q30" s="139" t="n">
        <f aca="false">856600/325851/1.9835*1.02</f>
        <v>1.35184524841056</v>
      </c>
      <c r="R30" s="139" t="n">
        <f aca="false">(2.6*1.04)-T30</f>
        <v>2.243748</v>
      </c>
      <c r="S30" s="139" t="n">
        <v>0</v>
      </c>
      <c r="T30" s="139" t="n">
        <f aca="false">(0.4175*1.06)*1.04</f>
        <v>0.460252</v>
      </c>
      <c r="U30" s="102" t="n">
        <f aca="false">M30-(Q30+R30+S30+T30)</f>
        <v>-1.13584524841056</v>
      </c>
      <c r="V30" s="143" t="n">
        <v>1.69</v>
      </c>
      <c r="W30" s="143" t="n">
        <v>0</v>
      </c>
      <c r="X30" s="143" t="n">
        <f aca="false">M30-N30-P30-O30-Q30-R30-S30-T30-U30+V30+W30</f>
        <v>1.69</v>
      </c>
      <c r="Y30" s="143" t="n">
        <f aca="false">X30-AO30</f>
        <v>1.69</v>
      </c>
      <c r="Z30" s="144"/>
      <c r="AA30" s="143"/>
      <c r="AB30" s="144"/>
      <c r="AC30" s="144" t="n">
        <v>57.7144067515894</v>
      </c>
      <c r="AD30" s="114"/>
      <c r="AE30" s="143" t="n">
        <v>0</v>
      </c>
      <c r="AF30" s="261"/>
      <c r="AG30" s="262"/>
      <c r="AH30" s="143" t="n">
        <v>25.5</v>
      </c>
      <c r="AI30" s="114" t="n">
        <f aca="false">AI29-AH30</f>
        <v>2918.64923115706</v>
      </c>
      <c r="AJ30" s="114"/>
      <c r="AK30" s="142" t="n">
        <f aca="false">N30+O30+P30+Q30+R30+S30+T30+U30+X30+AE30+AH30</f>
        <v>30.11</v>
      </c>
      <c r="AL30" s="143" t="n">
        <f aca="false">IF(L30&lt;0,L30*-1,0)</f>
        <v>35.89</v>
      </c>
      <c r="AM30" s="143" t="n">
        <f aca="false">AK30+AL30</f>
        <v>66</v>
      </c>
      <c r="AN30" s="147" t="n">
        <f aca="false">V30</f>
        <v>1.69</v>
      </c>
      <c r="AO30" s="144"/>
      <c r="AP30" s="231"/>
      <c r="AV30" s="232" t="n">
        <v>0</v>
      </c>
      <c r="AW30" s="114" t="n">
        <v>48</v>
      </c>
      <c r="AX30" s="225" t="n">
        <v>23</v>
      </c>
      <c r="AY30" s="233"/>
      <c r="AZ30" s="263" t="n">
        <f aca="false">SUM(N30,P30:U30)</f>
        <v>2.92</v>
      </c>
      <c r="BA30" s="0" t="n">
        <v>0.2</v>
      </c>
      <c r="BB30" s="264" t="n">
        <v>15851</v>
      </c>
    </row>
    <row r="31" customFormat="false" ht="12.95" hidden="false" customHeight="true" outlineLevel="0" collapsed="false">
      <c r="A31" s="192" t="n">
        <f aca="false">A30+1</f>
        <v>17</v>
      </c>
      <c r="B31" s="113" t="n">
        <v>6867.39</v>
      </c>
      <c r="C31" s="114" t="n">
        <v>180982</v>
      </c>
      <c r="D31" s="225" t="n">
        <f aca="false">C31-C30</f>
        <v>155</v>
      </c>
      <c r="E31" s="114" t="n">
        <f aca="false">C31-152000</f>
        <v>28982</v>
      </c>
      <c r="F31" s="259" t="n">
        <f aca="false">D31/$D$2</f>
        <v>78.1446937232165</v>
      </c>
      <c r="G31" s="143" t="n">
        <v>64</v>
      </c>
      <c r="H31" s="260" t="n">
        <v>0.399</v>
      </c>
      <c r="I31" s="143" t="n">
        <f aca="false">G31+H31</f>
        <v>64.399</v>
      </c>
      <c r="J31" s="144" t="n">
        <f aca="false">IF(L31&gt;0,L31,0)</f>
        <v>42.1256937232165</v>
      </c>
      <c r="K31" s="143" t="n">
        <f aca="false">I31+J31</f>
        <v>106.524693723217</v>
      </c>
      <c r="L31" s="143" t="n">
        <f aca="false">F31-(I31-AK31)</f>
        <v>42.1256937232165</v>
      </c>
      <c r="M31" s="261" t="n">
        <v>2.88</v>
      </c>
      <c r="N31" s="143" t="n">
        <v>0</v>
      </c>
      <c r="O31" s="143" t="n">
        <f aca="false">0*1.05</f>
        <v>0</v>
      </c>
      <c r="P31" s="171" t="n">
        <v>0</v>
      </c>
      <c r="Q31" s="139" t="n">
        <f aca="false">822600/325851/1.9835*1.02</f>
        <v>1.29818807067771</v>
      </c>
      <c r="R31" s="139" t="n">
        <f aca="false">(1.2*1.04)-T31</f>
        <v>0.787748</v>
      </c>
      <c r="S31" s="139" t="n">
        <v>0</v>
      </c>
      <c r="T31" s="139" t="n">
        <f aca="false">(0.4175*1.06)*1.04</f>
        <v>0.460252</v>
      </c>
      <c r="U31" s="102" t="n">
        <f aca="false">M31-(Q31+R31+S31+T31)</f>
        <v>0.333811929322292</v>
      </c>
      <c r="V31" s="143" t="n">
        <v>0</v>
      </c>
      <c r="W31" s="143" t="n">
        <v>0</v>
      </c>
      <c r="X31" s="143" t="n">
        <f aca="false">M31-N31-P31-O31-Q31-R31-S31-T31-U31+V31+W31</f>
        <v>0</v>
      </c>
      <c r="Y31" s="143" t="n">
        <f aca="false">X31-AO31</f>
        <v>0</v>
      </c>
      <c r="Z31" s="144"/>
      <c r="AA31" s="143"/>
      <c r="AB31" s="144"/>
      <c r="AC31" s="144" t="n">
        <v>58.9140639293223</v>
      </c>
      <c r="AD31" s="114"/>
      <c r="AE31" s="143" t="n">
        <v>0</v>
      </c>
      <c r="AF31" s="261"/>
      <c r="AG31" s="262"/>
      <c r="AH31" s="143" t="n">
        <v>25.5</v>
      </c>
      <c r="AI31" s="114" t="n">
        <f aca="false">AI30-AH31</f>
        <v>2893.14923115706</v>
      </c>
      <c r="AJ31" s="114"/>
      <c r="AK31" s="142" t="n">
        <f aca="false">N31+O31+P31+Q31+R31+S31+T31+U31+X31+AE31+AH31</f>
        <v>28.38</v>
      </c>
      <c r="AL31" s="143" t="n">
        <f aca="false">IF(L31&lt;0,L31*-1,0)</f>
        <v>0</v>
      </c>
      <c r="AM31" s="143" t="n">
        <f aca="false">AK31+AL31</f>
        <v>28.38</v>
      </c>
      <c r="AN31" s="147" t="n">
        <f aca="false">V31</f>
        <v>0</v>
      </c>
      <c r="AO31" s="144"/>
      <c r="AP31" s="231"/>
      <c r="AV31" s="232" t="n">
        <v>0.17</v>
      </c>
      <c r="AW31" s="114" t="n">
        <v>42</v>
      </c>
      <c r="AX31" s="225" t="n">
        <v>28</v>
      </c>
      <c r="AY31" s="233"/>
      <c r="AZ31" s="263" t="n">
        <f aca="false">SUM(N31,P31:U31)</f>
        <v>2.88</v>
      </c>
      <c r="BA31" s="0" t="n">
        <v>0.2</v>
      </c>
      <c r="BB31" s="264" t="n">
        <v>15870</v>
      </c>
    </row>
    <row r="32" customFormat="false" ht="12.95" hidden="false" customHeight="true" outlineLevel="0" collapsed="false">
      <c r="A32" s="192" t="n">
        <f aca="false">A31+1</f>
        <v>18</v>
      </c>
      <c r="B32" s="113" t="n">
        <v>6867.45</v>
      </c>
      <c r="C32" s="114" t="n">
        <v>181136</v>
      </c>
      <c r="D32" s="225" t="n">
        <f aca="false">C32-C31</f>
        <v>154</v>
      </c>
      <c r="E32" s="114" t="n">
        <f aca="false">C32-152000</f>
        <v>29136</v>
      </c>
      <c r="F32" s="259" t="n">
        <f aca="false">D32/$D$2</f>
        <v>77.6405344088732</v>
      </c>
      <c r="G32" s="143" t="n">
        <v>63</v>
      </c>
      <c r="H32" s="260" t="n">
        <v>1.21</v>
      </c>
      <c r="I32" s="143" t="n">
        <f aca="false">G32+H32</f>
        <v>64.21</v>
      </c>
      <c r="J32" s="144" t="n">
        <f aca="false">IF(L32&gt;0,L32,0)</f>
        <v>42.4705344088732</v>
      </c>
      <c r="K32" s="143" t="n">
        <f aca="false">I32+J32</f>
        <v>106.680534408873</v>
      </c>
      <c r="L32" s="143" t="n">
        <f aca="false">F32-(I32-AK32)</f>
        <v>42.4705344088732</v>
      </c>
      <c r="M32" s="261" t="n">
        <v>3.54</v>
      </c>
      <c r="N32" s="143" t="n">
        <v>0</v>
      </c>
      <c r="O32" s="143" t="n">
        <f aca="false">0*1.05</f>
        <v>0</v>
      </c>
      <c r="P32" s="171" t="n">
        <v>0</v>
      </c>
      <c r="Q32" s="139" t="n">
        <f aca="false">871100/325851/1.9835*1.02</f>
        <v>1.37472845656133</v>
      </c>
      <c r="R32" s="139" t="n">
        <f aca="false">(2*1.04)-T32</f>
        <v>1.619748</v>
      </c>
      <c r="S32" s="139" t="n">
        <v>0</v>
      </c>
      <c r="T32" s="139" t="n">
        <f aca="false">(0.4175*1.06)*1.04</f>
        <v>0.460252</v>
      </c>
      <c r="U32" s="102" t="n">
        <f aca="false">M32-(Q32+R32+S32+T32)</f>
        <v>0.0852715434386684</v>
      </c>
      <c r="V32" s="143" t="n">
        <v>0</v>
      </c>
      <c r="W32" s="143" t="n">
        <v>0</v>
      </c>
      <c r="X32" s="143" t="n">
        <f aca="false">M32-N32-P32-O32-Q32-R32-S32-T32-U32+V32+W32</f>
        <v>0</v>
      </c>
      <c r="Y32" s="143" t="n">
        <f aca="false">X32-AO32</f>
        <v>0</v>
      </c>
      <c r="Z32" s="144"/>
      <c r="AA32" s="143"/>
      <c r="AB32" s="144"/>
      <c r="AC32" s="144" t="n">
        <v>57.0055235434387</v>
      </c>
      <c r="AD32" s="114"/>
      <c r="AE32" s="143" t="n">
        <v>0</v>
      </c>
      <c r="AF32" s="261"/>
      <c r="AG32" s="262"/>
      <c r="AH32" s="143" t="n">
        <v>25.5</v>
      </c>
      <c r="AI32" s="114" t="n">
        <f aca="false">AI31-AH32</f>
        <v>2867.64923115706</v>
      </c>
      <c r="AJ32" s="114"/>
      <c r="AK32" s="142" t="n">
        <f aca="false">N32+O32+P32+Q32+R32+S32+T32+U32+X32+AE32+AH32</f>
        <v>29.04</v>
      </c>
      <c r="AL32" s="143" t="n">
        <f aca="false">IF(L32&lt;0,L32*-1,0)</f>
        <v>0</v>
      </c>
      <c r="AM32" s="143" t="n">
        <f aca="false">AK32+AL32</f>
        <v>29.04</v>
      </c>
      <c r="AN32" s="147" t="n">
        <f aca="false">V32</f>
        <v>0</v>
      </c>
      <c r="AO32" s="144"/>
      <c r="AP32" s="231"/>
      <c r="AV32" s="232" t="n">
        <v>0.05</v>
      </c>
      <c r="AW32" s="114" t="n">
        <v>39</v>
      </c>
      <c r="AX32" s="225" t="n">
        <v>19</v>
      </c>
      <c r="AY32" s="233"/>
      <c r="AZ32" s="263" t="n">
        <f aca="false">SUM(N32,P32:U32)</f>
        <v>3.54</v>
      </c>
      <c r="BA32" s="0" t="n">
        <v>0.2</v>
      </c>
      <c r="BB32" s="264" t="n">
        <v>15891</v>
      </c>
    </row>
    <row r="33" customFormat="false" ht="12.95" hidden="false" customHeight="true" outlineLevel="0" collapsed="false">
      <c r="A33" s="192" t="n">
        <f aca="false">A32+1</f>
        <v>19</v>
      </c>
      <c r="B33" s="113" t="n">
        <v>6867.42</v>
      </c>
      <c r="C33" s="114" t="n">
        <v>181059</v>
      </c>
      <c r="D33" s="225" t="n">
        <f aca="false">C33-C32</f>
        <v>-77</v>
      </c>
      <c r="E33" s="114" t="n">
        <f aca="false">C33-152000</f>
        <v>29059</v>
      </c>
      <c r="F33" s="259" t="n">
        <f aca="false">D33/$D$2</f>
        <v>-38.8202672044366</v>
      </c>
      <c r="G33" s="143" t="n">
        <v>63</v>
      </c>
      <c r="H33" s="260" t="n">
        <v>0.99</v>
      </c>
      <c r="I33" s="143" t="n">
        <f aca="false">G33+H33</f>
        <v>63.99</v>
      </c>
      <c r="J33" s="144" t="n">
        <f aca="false">IF(L33&gt;0,L33,0)</f>
        <v>0</v>
      </c>
      <c r="K33" s="143" t="n">
        <f aca="false">I33+J33</f>
        <v>63.99</v>
      </c>
      <c r="L33" s="143" t="n">
        <f aca="false">F33-(I33-AK33)</f>
        <v>-74.0902672044366</v>
      </c>
      <c r="M33" s="261" t="n">
        <v>3.22</v>
      </c>
      <c r="N33" s="143" t="n">
        <v>0</v>
      </c>
      <c r="O33" s="143" t="n">
        <f aca="false">0*1.05</f>
        <v>0</v>
      </c>
      <c r="P33" s="171" t="n">
        <v>0</v>
      </c>
      <c r="Q33" s="139" t="n">
        <f aca="false">809900/325851/1.9835*1.02</f>
        <v>1.2781455366422</v>
      </c>
      <c r="R33" s="139" t="n">
        <f aca="false">(2*1.04)-T33</f>
        <v>1.586676</v>
      </c>
      <c r="S33" s="139" t="n">
        <v>0</v>
      </c>
      <c r="T33" s="139" t="n">
        <f aca="false">(0.4475*1.06)*1.04</f>
        <v>0.493324</v>
      </c>
      <c r="U33" s="102" t="n">
        <f aca="false">M33-(Q33+R33+S33+T33)</f>
        <v>-0.138145536642202</v>
      </c>
      <c r="V33" s="143" t="n">
        <v>0</v>
      </c>
      <c r="W33" s="143" t="n">
        <v>0</v>
      </c>
      <c r="X33" s="143" t="n">
        <f aca="false">M33-N33-P33-O33-Q33-R33-S33-T33-U33+V33+W33</f>
        <v>0</v>
      </c>
      <c r="Y33" s="143" t="n">
        <f aca="false">X33-AO33</f>
        <v>0</v>
      </c>
      <c r="Z33" s="144"/>
      <c r="AA33" s="143"/>
      <c r="AB33" s="144"/>
      <c r="AC33" s="144" t="n">
        <v>57.1351784633578</v>
      </c>
      <c r="AD33" s="114"/>
      <c r="AE33" s="143" t="n">
        <v>0</v>
      </c>
      <c r="AF33" s="261"/>
      <c r="AG33" s="262"/>
      <c r="AH33" s="143" t="n">
        <v>25.5</v>
      </c>
      <c r="AI33" s="114" t="n">
        <f aca="false">AI32-AH33</f>
        <v>2842.14923115706</v>
      </c>
      <c r="AJ33" s="114"/>
      <c r="AK33" s="142" t="n">
        <f aca="false">N33+O33+P33+Q33+R33+S33+T33+U33+X33+AE33+AH33</f>
        <v>28.72</v>
      </c>
      <c r="AL33" s="143" t="n">
        <f aca="false">IF(L33&lt;0,L33*-1,0)</f>
        <v>74.0902672044366</v>
      </c>
      <c r="AM33" s="143" t="n">
        <f aca="false">AK33+AL33</f>
        <v>102.810267204437</v>
      </c>
      <c r="AN33" s="147" t="n">
        <f aca="false">V33</f>
        <v>0</v>
      </c>
      <c r="AO33" s="144"/>
      <c r="AP33" s="231"/>
      <c r="AV33" s="232" t="n">
        <v>0.01</v>
      </c>
      <c r="AW33" s="114" t="n">
        <v>42</v>
      </c>
      <c r="AX33" s="225" t="n">
        <v>15</v>
      </c>
      <c r="AY33" s="233"/>
      <c r="AZ33" s="263" t="n">
        <f aca="false">SUM(N33,P33:U33)</f>
        <v>3.22</v>
      </c>
      <c r="BA33" s="0" t="n">
        <v>0.2</v>
      </c>
      <c r="BB33" s="264" t="n">
        <v>15900</v>
      </c>
    </row>
    <row r="34" customFormat="false" ht="12.95" hidden="false" customHeight="true" outlineLevel="0" collapsed="false">
      <c r="A34" s="192" t="n">
        <f aca="false">A33+1</f>
        <v>20</v>
      </c>
      <c r="B34" s="113" t="n">
        <v>6867.41</v>
      </c>
      <c r="C34" s="114" t="n">
        <v>181033</v>
      </c>
      <c r="D34" s="225" t="n">
        <f aca="false">C34-C33</f>
        <v>-26</v>
      </c>
      <c r="E34" s="114" t="n">
        <f aca="false">C34-152000</f>
        <v>29033</v>
      </c>
      <c r="F34" s="259" t="n">
        <f aca="false">D34/$D$2</f>
        <v>-13.1081421729266</v>
      </c>
      <c r="G34" s="143" t="n">
        <v>63</v>
      </c>
      <c r="H34" s="260" t="n">
        <v>1.09</v>
      </c>
      <c r="I34" s="143" t="n">
        <f aca="false">G34+H34</f>
        <v>64.09</v>
      </c>
      <c r="J34" s="144" t="n">
        <f aca="false">IF(L34&gt;0,L34,0)</f>
        <v>0</v>
      </c>
      <c r="K34" s="143" t="n">
        <f aca="false">I34+J34</f>
        <v>64.09</v>
      </c>
      <c r="L34" s="143" t="n">
        <f aca="false">F34-(I34-AK34)</f>
        <v>-48.7681421729266</v>
      </c>
      <c r="M34" s="261" t="n">
        <v>2.93</v>
      </c>
      <c r="N34" s="143" t="n">
        <v>0</v>
      </c>
      <c r="O34" s="143" t="n">
        <f aca="false">0*1.05</f>
        <v>0</v>
      </c>
      <c r="P34" s="171" t="n">
        <v>0</v>
      </c>
      <c r="Q34" s="139" t="n">
        <f aca="false">817700/325851/1.9835*1.02</f>
        <v>1.29045512447503</v>
      </c>
      <c r="R34" s="139" t="n">
        <f aca="false">(2*1.04)-T34</f>
        <v>1.586676</v>
      </c>
      <c r="S34" s="139" t="n">
        <v>0</v>
      </c>
      <c r="T34" s="139" t="n">
        <f aca="false">(0.4475*1.06)*1.04</f>
        <v>0.493324</v>
      </c>
      <c r="U34" s="102" t="n">
        <f aca="false">M34-(Q34+R34+S34+T34)</f>
        <v>-0.440455124475033</v>
      </c>
      <c r="V34" s="143" t="n">
        <v>0</v>
      </c>
      <c r="W34" s="143" t="n">
        <v>0</v>
      </c>
      <c r="X34" s="143" t="n">
        <f aca="false">M34-N34-P34-O34-Q34-R34-S34-T34-U34+V34+W34</f>
        <v>0</v>
      </c>
      <c r="Y34" s="143" t="n">
        <f aca="false">X34-AO34</f>
        <v>0</v>
      </c>
      <c r="Z34" s="144"/>
      <c r="AA34" s="143"/>
      <c r="AB34" s="144"/>
      <c r="AC34" s="144" t="n">
        <v>57.122868875525</v>
      </c>
      <c r="AD34" s="114"/>
      <c r="AE34" s="143" t="n">
        <v>0</v>
      </c>
      <c r="AF34" s="261"/>
      <c r="AG34" s="262"/>
      <c r="AH34" s="143" t="n">
        <v>25.5</v>
      </c>
      <c r="AI34" s="114" t="n">
        <f aca="false">AI33-AH34</f>
        <v>2816.64923115706</v>
      </c>
      <c r="AJ34" s="114"/>
      <c r="AK34" s="142" t="n">
        <f aca="false">N34+O34+P34+Q34+R34+S34+T34+U34+X34+AE34+AH34</f>
        <v>28.43</v>
      </c>
      <c r="AL34" s="143" t="n">
        <f aca="false">IF(L34&lt;0,L34*-1,0)</f>
        <v>48.7681421729266</v>
      </c>
      <c r="AM34" s="143" t="n">
        <f aca="false">AK34+AL34</f>
        <v>77.1981421729267</v>
      </c>
      <c r="AN34" s="147" t="n">
        <f aca="false">V34</f>
        <v>0</v>
      </c>
      <c r="AO34" s="144"/>
      <c r="AP34" s="231"/>
      <c r="AV34" s="232" t="n">
        <v>0</v>
      </c>
      <c r="AW34" s="114" t="n">
        <v>41</v>
      </c>
      <c r="AX34" s="225" t="n">
        <v>20</v>
      </c>
      <c r="AY34" s="233"/>
      <c r="AZ34" s="263" t="n">
        <f aca="false">SUM(N34,P34:U34)</f>
        <v>2.93</v>
      </c>
      <c r="BA34" s="0" t="n">
        <v>0.2</v>
      </c>
      <c r="BB34" s="264" t="n">
        <v>15914</v>
      </c>
    </row>
    <row r="35" customFormat="false" ht="13.5" hidden="false" customHeight="true" outlineLevel="0" collapsed="false">
      <c r="A35" s="192" t="n">
        <f aca="false">A34+1</f>
        <v>21</v>
      </c>
      <c r="B35" s="113" t="n">
        <v>6867.43</v>
      </c>
      <c r="C35" s="114" t="n">
        <v>181084</v>
      </c>
      <c r="D35" s="225" t="n">
        <f aca="false">C35-C34</f>
        <v>51</v>
      </c>
      <c r="E35" s="114" t="n">
        <f aca="false">C35-152000</f>
        <v>29084</v>
      </c>
      <c r="F35" s="259" t="n">
        <f aca="false">D35/$D$2</f>
        <v>25.71212503151</v>
      </c>
      <c r="G35" s="143" t="n">
        <v>62</v>
      </c>
      <c r="H35" s="260" t="n">
        <v>1.3</v>
      </c>
      <c r="I35" s="143" t="n">
        <f aca="false">G35+H35</f>
        <v>63.3</v>
      </c>
      <c r="J35" s="144" t="n">
        <f aca="false">IF(L35&gt;0,L35,0)</f>
        <v>0</v>
      </c>
      <c r="K35" s="143" t="n">
        <f aca="false">I35+J35</f>
        <v>63.3</v>
      </c>
      <c r="L35" s="143" t="n">
        <f aca="false">F35-(I35-AK35)</f>
        <v>-9.35787496849004</v>
      </c>
      <c r="M35" s="261" t="n">
        <v>2.73</v>
      </c>
      <c r="N35" s="143" t="n">
        <v>0</v>
      </c>
      <c r="O35" s="143" t="n">
        <f aca="false">0*1.05</f>
        <v>0</v>
      </c>
      <c r="P35" s="171" t="n">
        <v>0</v>
      </c>
      <c r="Q35" s="139" t="n">
        <f aca="false">1036600/325851/1.9835*1.02</f>
        <v>1.63591265993741</v>
      </c>
      <c r="R35" s="139" t="n">
        <f aca="false">(1.9*1.04)-T35</f>
        <v>1.482676</v>
      </c>
      <c r="S35" s="139" t="n">
        <v>0</v>
      </c>
      <c r="T35" s="139" t="n">
        <f aca="false">(0.4475*1.06)*1.04</f>
        <v>0.493324</v>
      </c>
      <c r="U35" s="102" t="n">
        <f aca="false">M35-(Q35+R35+S35+T35)</f>
        <v>-0.881912659937408</v>
      </c>
      <c r="V35" s="143" t="n">
        <v>0</v>
      </c>
      <c r="W35" s="143" t="n">
        <v>0</v>
      </c>
      <c r="X35" s="143" t="n">
        <f aca="false">M35-N35-P35-O35-Q35-R35-S35-T35-U35+V35+W35</f>
        <v>0</v>
      </c>
      <c r="Y35" s="143" t="n">
        <f aca="false">X35-AO35</f>
        <v>0</v>
      </c>
      <c r="Z35" s="144"/>
      <c r="AA35" s="143"/>
      <c r="AB35" s="144"/>
      <c r="AC35" s="144" t="n">
        <v>55.8814113400626</v>
      </c>
      <c r="AD35" s="114"/>
      <c r="AE35" s="143" t="n">
        <v>0</v>
      </c>
      <c r="AF35" s="261"/>
      <c r="AG35" s="262"/>
      <c r="AH35" s="143" t="n">
        <v>25.5</v>
      </c>
      <c r="AI35" s="114" t="n">
        <f aca="false">AI34-AH35</f>
        <v>2791.14923115706</v>
      </c>
      <c r="AJ35" s="114"/>
      <c r="AK35" s="142" t="n">
        <f aca="false">N35+O35+P35+Q35+R35+S35+T35+U35+X35+AE35+AH35</f>
        <v>28.23</v>
      </c>
      <c r="AL35" s="143" t="n">
        <f aca="false">IF(L35&lt;0,L35*-1,0)</f>
        <v>9.35787496849004</v>
      </c>
      <c r="AM35" s="143" t="n">
        <f aca="false">AK35+AL35</f>
        <v>37.58787496849</v>
      </c>
      <c r="AN35" s="147" t="n">
        <f aca="false">V35</f>
        <v>0</v>
      </c>
      <c r="AO35" s="144"/>
      <c r="AP35" s="231"/>
      <c r="AV35" s="232" t="n">
        <v>0</v>
      </c>
      <c r="AW35" s="114" t="n">
        <v>44</v>
      </c>
      <c r="AX35" s="225" t="n">
        <v>23</v>
      </c>
      <c r="AY35" s="233"/>
      <c r="AZ35" s="263" t="n">
        <f aca="false">SUM(N35,P35:U35)</f>
        <v>2.73</v>
      </c>
      <c r="BA35" s="0" t="n">
        <v>0.2</v>
      </c>
      <c r="BB35" s="264" t="n">
        <v>15917</v>
      </c>
    </row>
    <row r="36" customFormat="false" ht="12.95" hidden="false" customHeight="true" outlineLevel="0" collapsed="false">
      <c r="A36" s="192" t="n">
        <f aca="false">A35+1</f>
        <v>22</v>
      </c>
      <c r="B36" s="113" t="n">
        <v>6867.52</v>
      </c>
      <c r="C36" s="114" t="n">
        <v>181316</v>
      </c>
      <c r="D36" s="225" t="n">
        <f aca="false">C36-C35</f>
        <v>232</v>
      </c>
      <c r="E36" s="114" t="n">
        <f aca="false">C36-152000</f>
        <v>29316</v>
      </c>
      <c r="F36" s="259" t="n">
        <f aca="false">D36/$D$2</f>
        <v>116.964960927653</v>
      </c>
      <c r="G36" s="143" t="n">
        <v>61</v>
      </c>
      <c r="H36" s="260" t="n">
        <v>1.53</v>
      </c>
      <c r="I36" s="143" t="n">
        <f aca="false">G36+H36</f>
        <v>62.53</v>
      </c>
      <c r="J36" s="144" t="n">
        <f aca="false">IF(L36&gt;0,L36,0)</f>
        <v>82.8349609276531</v>
      </c>
      <c r="K36" s="143" t="n">
        <f aca="false">I36+J36</f>
        <v>145.364960927653</v>
      </c>
      <c r="L36" s="143" t="n">
        <f aca="false">F36-(I36-AK36)</f>
        <v>82.8349609276531</v>
      </c>
      <c r="M36" s="261" t="n">
        <v>2.9</v>
      </c>
      <c r="N36" s="143" t="n">
        <v>0</v>
      </c>
      <c r="O36" s="143" t="n">
        <f aca="false">0*1.05</f>
        <v>0</v>
      </c>
      <c r="P36" s="171" t="n">
        <v>0</v>
      </c>
      <c r="Q36" s="139" t="n">
        <f aca="false">717600/325851/1.9835*1.02</f>
        <v>1.13248208062038</v>
      </c>
      <c r="R36" s="139" t="n">
        <f aca="false">(2*1.04)-T36</f>
        <v>1.586676</v>
      </c>
      <c r="S36" s="139" t="n">
        <v>0</v>
      </c>
      <c r="T36" s="139" t="n">
        <f aca="false">(0.4475*1.06)*1.04</f>
        <v>0.493324</v>
      </c>
      <c r="U36" s="102" t="n">
        <f aca="false">M36-(Q36+R36+S36+T36)</f>
        <v>-0.312482080620379</v>
      </c>
      <c r="V36" s="143" t="n">
        <v>0</v>
      </c>
      <c r="W36" s="143" t="n">
        <v>0</v>
      </c>
      <c r="X36" s="143" t="n">
        <f aca="false">M36-N36-P36-O36-Q36-R36-S36-T36-U36+V36+W36</f>
        <v>0</v>
      </c>
      <c r="Y36" s="143" t="n">
        <f aca="false">X36-AO36</f>
        <v>0</v>
      </c>
      <c r="Z36" s="144"/>
      <c r="AA36" s="143"/>
      <c r="AB36" s="144"/>
      <c r="AC36" s="144" t="n">
        <v>55.2808419193796</v>
      </c>
      <c r="AD36" s="114"/>
      <c r="AE36" s="143" t="n">
        <v>0</v>
      </c>
      <c r="AF36" s="261"/>
      <c r="AG36" s="262"/>
      <c r="AH36" s="143" t="n">
        <v>25.5</v>
      </c>
      <c r="AI36" s="114" t="n">
        <f aca="false">AI35-AH36</f>
        <v>2765.64923115706</v>
      </c>
      <c r="AJ36" s="114"/>
      <c r="AK36" s="142" t="n">
        <f aca="false">N36+O36+P36+Q36+R36+S36+T36+U36+X36+AE36+AH36</f>
        <v>28.4</v>
      </c>
      <c r="AL36" s="143" t="n">
        <f aca="false">IF(L36&lt;0,L36*-1,0)</f>
        <v>0</v>
      </c>
      <c r="AM36" s="143" t="n">
        <f aca="false">AK36+AL36</f>
        <v>28.4</v>
      </c>
      <c r="AN36" s="147" t="n">
        <f aca="false">V36</f>
        <v>0</v>
      </c>
      <c r="AO36" s="144"/>
      <c r="AP36" s="231"/>
      <c r="AV36" s="232" t="n">
        <v>0.02</v>
      </c>
      <c r="AW36" s="114" t="n">
        <v>48</v>
      </c>
      <c r="AX36" s="225" t="n">
        <v>26</v>
      </c>
      <c r="AY36" s="233"/>
      <c r="AZ36" s="263" t="n">
        <f aca="false">SUM(N36,P36:U36)</f>
        <v>2.9</v>
      </c>
      <c r="BA36" s="0" t="n">
        <v>0.2</v>
      </c>
      <c r="BB36" s="264" t="n">
        <v>15908</v>
      </c>
    </row>
    <row r="37" customFormat="false" ht="12.95" hidden="false" customHeight="true" outlineLevel="0" collapsed="false">
      <c r="A37" s="192" t="n">
        <f aca="false">A36+1</f>
        <v>23</v>
      </c>
      <c r="B37" s="113" t="n">
        <v>6867.52</v>
      </c>
      <c r="C37" s="114" t="n">
        <v>181316</v>
      </c>
      <c r="D37" s="225" t="n">
        <f aca="false">C37-C36</f>
        <v>0</v>
      </c>
      <c r="E37" s="114" t="n">
        <f aca="false">C37-152000</f>
        <v>29316</v>
      </c>
      <c r="F37" s="259" t="n">
        <f aca="false">D37/$D$2</f>
        <v>0</v>
      </c>
      <c r="G37" s="143" t="n">
        <v>60</v>
      </c>
      <c r="H37" s="260" t="n">
        <v>1.44</v>
      </c>
      <c r="I37" s="143" t="n">
        <f aca="false">G37+H37</f>
        <v>61.44</v>
      </c>
      <c r="J37" s="144" t="n">
        <f aca="false">IF(L37&gt;0,L37,0)</f>
        <v>0</v>
      </c>
      <c r="K37" s="143" t="n">
        <f aca="false">I37+J37</f>
        <v>61.44</v>
      </c>
      <c r="L37" s="143" t="n">
        <f aca="false">F37-(I37-AK37)</f>
        <v>-33.04</v>
      </c>
      <c r="M37" s="261" t="n">
        <v>2.9</v>
      </c>
      <c r="N37" s="143" t="n">
        <v>0</v>
      </c>
      <c r="O37" s="143" t="n">
        <f aca="false">0*1.05</f>
        <v>0</v>
      </c>
      <c r="P37" s="171" t="n">
        <v>0</v>
      </c>
      <c r="Q37" s="139" t="n">
        <f aca="false">797500/325851/1.9835*1.02</f>
        <v>1.25857644829258</v>
      </c>
      <c r="R37" s="139" t="n">
        <f aca="false">(2*1.04)-T37</f>
        <v>1.586676</v>
      </c>
      <c r="S37" s="139" t="n">
        <v>0</v>
      </c>
      <c r="T37" s="139" t="n">
        <f aca="false">(0.4475*1.06)*1.04</f>
        <v>0.493324</v>
      </c>
      <c r="U37" s="102" t="n">
        <f aca="false">M37-(Q37+R37+S37+T37)</f>
        <v>-0.438576448292575</v>
      </c>
      <c r="V37" s="143" t="n">
        <v>0</v>
      </c>
      <c r="W37" s="143" t="n">
        <v>0</v>
      </c>
      <c r="X37" s="143" t="n">
        <f aca="false">M37-N37-P37-O37-Q37-R37-S37-T37-U37+V37+W37</f>
        <v>0</v>
      </c>
      <c r="Y37" s="143" t="n">
        <f aca="false">X37-AO37</f>
        <v>0</v>
      </c>
      <c r="Z37" s="144"/>
      <c r="AA37" s="143"/>
      <c r="AB37" s="144"/>
      <c r="AC37" s="144" t="n">
        <v>54.1547475517074</v>
      </c>
      <c r="AD37" s="114"/>
      <c r="AE37" s="143" t="n">
        <v>0</v>
      </c>
      <c r="AF37" s="261"/>
      <c r="AG37" s="262"/>
      <c r="AH37" s="143" t="n">
        <v>25.5</v>
      </c>
      <c r="AI37" s="114" t="n">
        <f aca="false">AI36-AH37</f>
        <v>2740.14923115706</v>
      </c>
      <c r="AJ37" s="114"/>
      <c r="AK37" s="142" t="n">
        <f aca="false">N37+O37+P37+Q37+R37+S37+T37+U37+X37+AE37+AH37</f>
        <v>28.4</v>
      </c>
      <c r="AL37" s="143" t="n">
        <f aca="false">IF(L37&lt;0,L37*-1,0)</f>
        <v>33.04</v>
      </c>
      <c r="AM37" s="143" t="n">
        <f aca="false">AK37+AL37</f>
        <v>61.44</v>
      </c>
      <c r="AN37" s="147" t="n">
        <f aca="false">V37</f>
        <v>0</v>
      </c>
      <c r="AO37" s="144"/>
      <c r="AP37" s="231"/>
      <c r="AV37" s="232" t="n">
        <v>0</v>
      </c>
      <c r="AW37" s="114" t="n">
        <v>35</v>
      </c>
      <c r="AX37" s="231" t="n">
        <v>19</v>
      </c>
      <c r="AY37" s="265"/>
      <c r="AZ37" s="263" t="n">
        <f aca="false">SUM(N37,P37:U37)</f>
        <v>2.9</v>
      </c>
      <c r="BA37" s="0" t="n">
        <v>0.2</v>
      </c>
      <c r="BB37" s="264" t="n">
        <v>15925</v>
      </c>
    </row>
    <row r="38" customFormat="false" ht="12.95" hidden="false" customHeight="true" outlineLevel="0" collapsed="false">
      <c r="A38" s="192" t="n">
        <f aca="false">A37+1</f>
        <v>24</v>
      </c>
      <c r="B38" s="113" t="n">
        <v>6867.5</v>
      </c>
      <c r="C38" s="114" t="n">
        <v>181264</v>
      </c>
      <c r="D38" s="225" t="n">
        <f aca="false">C38-C37</f>
        <v>-52</v>
      </c>
      <c r="E38" s="114" t="n">
        <f aca="false">C38-152000</f>
        <v>29264</v>
      </c>
      <c r="F38" s="259" t="n">
        <f aca="false">D38/$D$2</f>
        <v>-26.2162843458533</v>
      </c>
      <c r="G38" s="143" t="n">
        <v>61</v>
      </c>
      <c r="H38" s="260" t="n">
        <v>1.09</v>
      </c>
      <c r="I38" s="143" t="n">
        <f aca="false">G38+H38</f>
        <v>62.09</v>
      </c>
      <c r="J38" s="144" t="n">
        <f aca="false">IF(L38&gt;0,L38,0)</f>
        <v>0</v>
      </c>
      <c r="K38" s="143" t="n">
        <f aca="false">I38+J38</f>
        <v>62.09</v>
      </c>
      <c r="L38" s="143" t="n">
        <f aca="false">F38-(I38-AK38)</f>
        <v>-59.6062843458533</v>
      </c>
      <c r="M38" s="261" t="n">
        <v>3.2</v>
      </c>
      <c r="N38" s="143" t="n">
        <v>0</v>
      </c>
      <c r="O38" s="143" t="n">
        <f aca="false">0*1.05</f>
        <v>0</v>
      </c>
      <c r="P38" s="171" t="n">
        <v>0</v>
      </c>
      <c r="Q38" s="139" t="n">
        <f aca="false">1028300/325851/1.9835*1.02</f>
        <v>1.62281399596145</v>
      </c>
      <c r="R38" s="139" t="n">
        <f aca="false">(2*1.04)-T38</f>
        <v>1.586676</v>
      </c>
      <c r="S38" s="139" t="n">
        <v>0</v>
      </c>
      <c r="T38" s="139" t="n">
        <f aca="false">(0.4475*1.06)*1.04</f>
        <v>0.493324</v>
      </c>
      <c r="U38" s="102" t="n">
        <f aca="false">M38-(Q38+R38+S38+T38)</f>
        <v>-0.502813995961448</v>
      </c>
      <c r="V38" s="143" t="n">
        <v>0</v>
      </c>
      <c r="W38" s="143" t="n">
        <v>0</v>
      </c>
      <c r="X38" s="143" t="n">
        <f aca="false">M38-N38-P38-O38-Q38-R38-S38-T38-U38+V38+W38</f>
        <v>0</v>
      </c>
      <c r="Y38" s="143" t="n">
        <f aca="false">X38-AO38</f>
        <v>0</v>
      </c>
      <c r="Z38" s="144"/>
      <c r="AA38" s="143"/>
      <c r="AB38" s="144"/>
      <c r="AC38" s="144" t="n">
        <v>54.7905100040386</v>
      </c>
      <c r="AD38" s="114"/>
      <c r="AE38" s="143" t="n">
        <v>0</v>
      </c>
      <c r="AF38" s="261"/>
      <c r="AG38" s="262"/>
      <c r="AH38" s="143" t="n">
        <v>25.5</v>
      </c>
      <c r="AI38" s="114" t="n">
        <f aca="false">AI37-AH38</f>
        <v>2714.64923115706</v>
      </c>
      <c r="AJ38" s="114"/>
      <c r="AK38" s="142" t="n">
        <f aca="false">N38+O38+P38+Q38+R38+S38+T38+U38+X38+AE38+AH38</f>
        <v>28.7</v>
      </c>
      <c r="AL38" s="143" t="n">
        <f aca="false">IF(L38&lt;0,L38*-1,0)</f>
        <v>59.6062843458533</v>
      </c>
      <c r="AM38" s="143" t="n">
        <f aca="false">AK38+AL38</f>
        <v>88.3062843458533</v>
      </c>
      <c r="AN38" s="147" t="n">
        <f aca="false">V38</f>
        <v>0</v>
      </c>
      <c r="AO38" s="144"/>
      <c r="AP38" s="231"/>
      <c r="AV38" s="232" t="n">
        <v>0</v>
      </c>
      <c r="AW38" s="114" t="n">
        <v>42</v>
      </c>
      <c r="AX38" s="231" t="n">
        <v>12</v>
      </c>
      <c r="AY38" s="265"/>
      <c r="AZ38" s="263" t="n">
        <f aca="false">SUM(N38,P38:U38)</f>
        <v>3.2</v>
      </c>
      <c r="BA38" s="0" t="n">
        <v>0.2</v>
      </c>
      <c r="BB38" s="264" t="n">
        <v>16039</v>
      </c>
    </row>
    <row r="39" customFormat="false" ht="12.95" hidden="false" customHeight="true" outlineLevel="0" collapsed="false">
      <c r="A39" s="192" t="n">
        <f aca="false">A38+1</f>
        <v>25</v>
      </c>
      <c r="B39" s="113" t="n">
        <v>6867.53</v>
      </c>
      <c r="C39" s="114" t="n">
        <v>181341</v>
      </c>
      <c r="D39" s="225" t="n">
        <f aca="false">C39-C38</f>
        <v>77</v>
      </c>
      <c r="E39" s="114" t="n">
        <f aca="false">C39-152000</f>
        <v>29341</v>
      </c>
      <c r="F39" s="259" t="n">
        <f aca="false">D39/$D$2</f>
        <v>38.8202672044366</v>
      </c>
      <c r="G39" s="143" t="n">
        <v>62</v>
      </c>
      <c r="H39" s="260" t="n">
        <v>1.38</v>
      </c>
      <c r="I39" s="143" t="n">
        <f aca="false">G39+H39</f>
        <v>63.38</v>
      </c>
      <c r="J39" s="144" t="n">
        <f aca="false">IF(L39&gt;0,L39,0)</f>
        <v>4.49026720443661</v>
      </c>
      <c r="K39" s="143" t="n">
        <f aca="false">I39+J39</f>
        <v>67.8702672044366</v>
      </c>
      <c r="L39" s="143" t="n">
        <f aca="false">F39-(I39-AK39)</f>
        <v>4.49026720443661</v>
      </c>
      <c r="M39" s="261" t="n">
        <v>3.55</v>
      </c>
      <c r="N39" s="143" t="n">
        <v>0</v>
      </c>
      <c r="O39" s="143" t="n">
        <f aca="false">0*1.05</f>
        <v>0</v>
      </c>
      <c r="P39" s="171" t="n">
        <v>0</v>
      </c>
      <c r="Q39" s="139" t="n">
        <f aca="false">850700/325851/1.9835*1.02</f>
        <v>1.34253414992162</v>
      </c>
      <c r="R39" s="139" t="n">
        <f aca="false">(2*1.04)-T39</f>
        <v>1.586676</v>
      </c>
      <c r="S39" s="139" t="n">
        <v>0</v>
      </c>
      <c r="T39" s="139" t="n">
        <f aca="false">(0.4475*1.06)*1.04</f>
        <v>0.493324</v>
      </c>
      <c r="U39" s="102" t="n">
        <f aca="false">M39-(Q39+R39+S39+T39)</f>
        <v>0.127465850078377</v>
      </c>
      <c r="V39" s="143" t="n">
        <v>0</v>
      </c>
      <c r="W39" s="143" t="n">
        <v>0</v>
      </c>
      <c r="X39" s="143" t="n">
        <f aca="false">M39-N39-P39-O39-Q39-R39-S39-T39-U39+V39+W39</f>
        <v>0</v>
      </c>
      <c r="Y39" s="143" t="n">
        <f aca="false">X39-AO39</f>
        <v>0</v>
      </c>
      <c r="Z39" s="144"/>
      <c r="AA39" s="143"/>
      <c r="AB39" s="144"/>
      <c r="AC39" s="144" t="n">
        <v>56.0707898500784</v>
      </c>
      <c r="AD39" s="114"/>
      <c r="AE39" s="143" t="n">
        <v>0</v>
      </c>
      <c r="AF39" s="261"/>
      <c r="AG39" s="262"/>
      <c r="AH39" s="143" t="n">
        <v>25.5</v>
      </c>
      <c r="AI39" s="114" t="n">
        <f aca="false">AI38-AH39</f>
        <v>2689.14923115706</v>
      </c>
      <c r="AJ39" s="114"/>
      <c r="AK39" s="142" t="n">
        <f aca="false">N39+O39+P39+Q39+R39+S39+T39+U39+X39+AE39+AH39</f>
        <v>29.05</v>
      </c>
      <c r="AL39" s="143" t="n">
        <f aca="false">IF(L39&lt;0,L39*-1,0)</f>
        <v>0</v>
      </c>
      <c r="AM39" s="143" t="n">
        <f aca="false">AK39+AL39</f>
        <v>29.05</v>
      </c>
      <c r="AN39" s="147" t="n">
        <f aca="false">V39</f>
        <v>0</v>
      </c>
      <c r="AO39" s="144"/>
      <c r="AP39" s="231"/>
      <c r="AV39" s="232" t="n">
        <v>0</v>
      </c>
      <c r="AW39" s="114" t="n">
        <v>38</v>
      </c>
      <c r="AX39" s="231" t="n">
        <v>13</v>
      </c>
      <c r="AY39" s="265"/>
      <c r="AZ39" s="263" t="n">
        <f aca="false">SUM(N39,P39:U39)</f>
        <v>3.55</v>
      </c>
      <c r="BA39" s="0" t="n">
        <v>0.2</v>
      </c>
      <c r="BB39" s="264" t="n">
        <v>16122</v>
      </c>
    </row>
    <row r="40" customFormat="false" ht="12.95" hidden="false" customHeight="true" outlineLevel="0" collapsed="false">
      <c r="A40" s="192" t="n">
        <f aca="false">A39+1</f>
        <v>26</v>
      </c>
      <c r="B40" s="113" t="n">
        <v>6867.55</v>
      </c>
      <c r="C40" s="114" t="n">
        <v>181393</v>
      </c>
      <c r="D40" s="225" t="n">
        <f aca="false">C40-C39</f>
        <v>52</v>
      </c>
      <c r="E40" s="114" t="n">
        <f aca="false">C40-152000</f>
        <v>29393</v>
      </c>
      <c r="F40" s="259" t="n">
        <f aca="false">D40/$D$2</f>
        <v>26.2162843458533</v>
      </c>
      <c r="G40" s="143" t="n">
        <v>62</v>
      </c>
      <c r="H40" s="260" t="n">
        <v>1.56</v>
      </c>
      <c r="I40" s="143" t="n">
        <f aca="false">G40+H40</f>
        <v>63.56</v>
      </c>
      <c r="J40" s="144" t="n">
        <f aca="false">IF(L40&gt;0,L40,0)</f>
        <v>0</v>
      </c>
      <c r="K40" s="143" t="n">
        <f aca="false">I40+J40</f>
        <v>63.56</v>
      </c>
      <c r="L40" s="143" t="n">
        <f aca="false">F40-(I40-AK40)</f>
        <v>-9.17371565414671</v>
      </c>
      <c r="M40" s="261" t="n">
        <v>2.67</v>
      </c>
      <c r="N40" s="143" t="n">
        <v>0</v>
      </c>
      <c r="O40" s="143" t="n">
        <f aca="false">0*1.05</f>
        <v>0</v>
      </c>
      <c r="P40" s="171" t="n">
        <v>0</v>
      </c>
      <c r="Q40" s="139" t="n">
        <f aca="false">895200/325851/1.9835*1.02</f>
        <v>1.4127619266602</v>
      </c>
      <c r="R40" s="139" t="n">
        <f aca="false">(2*1.04)-T40</f>
        <v>1.4279304</v>
      </c>
      <c r="S40" s="139" t="n">
        <v>0</v>
      </c>
      <c r="T40" s="139" t="n">
        <f aca="false">(0.5915*1.06)*1.04</f>
        <v>0.6520696</v>
      </c>
      <c r="U40" s="102" t="n">
        <f aca="false">M40-(Q40+R40+S40+T40)</f>
        <v>-0.822761926660204</v>
      </c>
      <c r="V40" s="143" t="n">
        <v>0</v>
      </c>
      <c r="W40" s="143" t="n">
        <v>0</v>
      </c>
      <c r="X40" s="143" t="n">
        <f aca="false">M40-N40-P40-O40-Q40-R40-S40-T40-U40+V40+W40</f>
        <v>0</v>
      </c>
      <c r="Y40" s="143" t="n">
        <f aca="false">X40-AO40</f>
        <v>0</v>
      </c>
      <c r="Z40" s="144"/>
      <c r="AA40" s="143"/>
      <c r="AB40" s="144"/>
      <c r="AC40" s="144" t="n">
        <v>56.1593076733398</v>
      </c>
      <c r="AD40" s="114"/>
      <c r="AE40" s="143" t="n">
        <v>0</v>
      </c>
      <c r="AF40" s="261"/>
      <c r="AG40" s="262"/>
      <c r="AH40" s="143" t="n">
        <v>25.5</v>
      </c>
      <c r="AI40" s="114" t="n">
        <f aca="false">AI39-AH40</f>
        <v>2663.64923115706</v>
      </c>
      <c r="AJ40" s="114"/>
      <c r="AK40" s="142" t="n">
        <f aca="false">N40+O40+P40+Q40+R40+S40+T40+U40+X40+AE40+AH40</f>
        <v>28.17</v>
      </c>
      <c r="AL40" s="143" t="n">
        <f aca="false">IF(L40&lt;0,L40*-1,0)</f>
        <v>9.17371565414671</v>
      </c>
      <c r="AM40" s="143" t="n">
        <f aca="false">AK40+AL40</f>
        <v>37.3437156541467</v>
      </c>
      <c r="AN40" s="147" t="n">
        <f aca="false">V40</f>
        <v>0</v>
      </c>
      <c r="AO40" s="144"/>
      <c r="AP40" s="231"/>
      <c r="AV40" s="232" t="n">
        <v>0.02</v>
      </c>
      <c r="AW40" s="114" t="n">
        <v>34</v>
      </c>
      <c r="AX40" s="225" t="n">
        <v>11</v>
      </c>
      <c r="AY40" s="233"/>
      <c r="AZ40" s="263" t="n">
        <f aca="false">SUM(N40,P40:U40)</f>
        <v>2.67</v>
      </c>
      <c r="BA40" s="0" t="n">
        <v>0.2</v>
      </c>
      <c r="BB40" s="264" t="n">
        <v>16089</v>
      </c>
    </row>
    <row r="41" customFormat="false" ht="12.95" hidden="false" customHeight="true" outlineLevel="0" collapsed="false">
      <c r="A41" s="192" t="n">
        <f aca="false">A40+1</f>
        <v>27</v>
      </c>
      <c r="B41" s="113" t="n">
        <v>6867.54</v>
      </c>
      <c r="C41" s="114" t="n">
        <v>181367</v>
      </c>
      <c r="D41" s="225" t="n">
        <f aca="false">C41-C40</f>
        <v>-26</v>
      </c>
      <c r="E41" s="114" t="n">
        <f aca="false">C41-152000</f>
        <v>29367</v>
      </c>
      <c r="F41" s="259" t="n">
        <f aca="false">D41/$D$2</f>
        <v>-13.1081421729266</v>
      </c>
      <c r="G41" s="143" t="n">
        <v>60</v>
      </c>
      <c r="H41" s="260" t="n">
        <v>1.38</v>
      </c>
      <c r="I41" s="143" t="n">
        <f aca="false">G41+H41</f>
        <v>61.38</v>
      </c>
      <c r="J41" s="144" t="n">
        <f aca="false">IF(L41&gt;0,L41,0)</f>
        <v>0</v>
      </c>
      <c r="K41" s="143" t="n">
        <f aca="false">I41+J41</f>
        <v>61.38</v>
      </c>
      <c r="L41" s="143" t="n">
        <f aca="false">F41-(I41-AK41)</f>
        <v>-45.3981421729267</v>
      </c>
      <c r="M41" s="261" t="n">
        <v>3.59</v>
      </c>
      <c r="N41" s="143" t="n">
        <v>0</v>
      </c>
      <c r="O41" s="143" t="n">
        <f aca="false">0*1.05</f>
        <v>0</v>
      </c>
      <c r="P41" s="171" t="n">
        <v>0</v>
      </c>
      <c r="Q41" s="139" t="n">
        <f aca="false">879400/325851/1.9835*1.02</f>
        <v>1.38782712053729</v>
      </c>
      <c r="R41" s="139" t="n">
        <f aca="false">(2*1.04)-T41</f>
        <v>1.4279304</v>
      </c>
      <c r="S41" s="139" t="n">
        <v>0</v>
      </c>
      <c r="T41" s="139" t="n">
        <f aca="false">(0.5915*1.06)*1.04</f>
        <v>0.6520696</v>
      </c>
      <c r="U41" s="102" t="n">
        <f aca="false">M41-(Q41+R41+S41+T41)</f>
        <v>0.122172879462708</v>
      </c>
      <c r="V41" s="143" t="n">
        <v>0</v>
      </c>
      <c r="W41" s="143" t="n">
        <v>0</v>
      </c>
      <c r="X41" s="143" t="n">
        <f aca="false">M41-N41-P41-O41-Q41-R41-S41-T41-U41+V41+W41</f>
        <v>0</v>
      </c>
      <c r="Y41" s="143" t="n">
        <f aca="false">X41-AO41</f>
        <v>0</v>
      </c>
      <c r="Z41" s="144"/>
      <c r="AA41" s="143"/>
      <c r="AB41" s="144"/>
      <c r="AC41" s="144" t="n">
        <v>54.1842424794627</v>
      </c>
      <c r="AD41" s="114"/>
      <c r="AE41" s="143" t="n">
        <v>0</v>
      </c>
      <c r="AF41" s="261"/>
      <c r="AG41" s="262"/>
      <c r="AH41" s="143" t="n">
        <v>25.5</v>
      </c>
      <c r="AI41" s="114" t="n">
        <f aca="false">AI40-AH41</f>
        <v>2638.14923115706</v>
      </c>
      <c r="AJ41" s="114"/>
      <c r="AK41" s="142" t="n">
        <f aca="false">N41+O41+P41+Q41+R41+S41+T41+U41+X41+AE41+AH41</f>
        <v>29.09</v>
      </c>
      <c r="AL41" s="143" t="n">
        <f aca="false">IF(L41&lt;0,L41*-1,0)</f>
        <v>45.3981421729267</v>
      </c>
      <c r="AM41" s="143" t="n">
        <f aca="false">AK41+AL41</f>
        <v>74.4881421729267</v>
      </c>
      <c r="AN41" s="147" t="n">
        <f aca="false">V41</f>
        <v>0</v>
      </c>
      <c r="AO41" s="144"/>
      <c r="AP41" s="231"/>
      <c r="AV41" s="232" t="n">
        <v>0</v>
      </c>
      <c r="AW41" s="114" t="n">
        <v>33</v>
      </c>
      <c r="AX41" s="225" t="n">
        <v>2</v>
      </c>
      <c r="AY41" s="233"/>
      <c r="AZ41" s="263" t="n">
        <f aca="false">SUM(N41,P41:U41)</f>
        <v>3.59</v>
      </c>
      <c r="BA41" s="0" t="n">
        <v>0.2</v>
      </c>
      <c r="BB41" s="264" t="n">
        <v>16113</v>
      </c>
    </row>
    <row r="42" customFormat="false" ht="12.95" hidden="false" customHeight="true" outlineLevel="0" collapsed="false">
      <c r="A42" s="192" t="n">
        <f aca="false">A41+1</f>
        <v>28</v>
      </c>
      <c r="B42" s="113" t="n">
        <v>6867.54</v>
      </c>
      <c r="C42" s="114" t="n">
        <v>181367</v>
      </c>
      <c r="D42" s="225" t="n">
        <f aca="false">C42-C41</f>
        <v>0</v>
      </c>
      <c r="E42" s="114" t="n">
        <f aca="false">C42-152000</f>
        <v>29367</v>
      </c>
      <c r="F42" s="259" t="n">
        <f aca="false">D42/$D$2</f>
        <v>0</v>
      </c>
      <c r="G42" s="143" t="n">
        <v>59</v>
      </c>
      <c r="H42" s="260" t="n">
        <v>1.5</v>
      </c>
      <c r="I42" s="143" t="n">
        <f aca="false">G42+H42</f>
        <v>60.5</v>
      </c>
      <c r="J42" s="144" t="n">
        <f aca="false">IF(L42&gt;0,L42,0)</f>
        <v>0</v>
      </c>
      <c r="K42" s="143" t="n">
        <f aca="false">I42+J42</f>
        <v>60.5</v>
      </c>
      <c r="L42" s="143" t="n">
        <f aca="false">F42-(I42-AK42)</f>
        <v>-32.13</v>
      </c>
      <c r="M42" s="261" t="n">
        <v>2.87</v>
      </c>
      <c r="N42" s="143" t="n">
        <v>0</v>
      </c>
      <c r="O42" s="143" t="n">
        <f aca="false">0*1.05</f>
        <v>0</v>
      </c>
      <c r="P42" s="171" t="n">
        <v>0</v>
      </c>
      <c r="Q42" s="139" t="n">
        <f aca="false">984400/325851/1.9835*1.02</f>
        <v>1.55353311059462</v>
      </c>
      <c r="R42" s="139" t="n">
        <f aca="false">(2*1.04)-T42</f>
        <v>1.4279304</v>
      </c>
      <c r="S42" s="139" t="n">
        <v>0</v>
      </c>
      <c r="T42" s="139" t="n">
        <f aca="false">(0.5915*1.06)*1.04</f>
        <v>0.6520696</v>
      </c>
      <c r="U42" s="102" t="n">
        <f aca="false">M42-(Q42+R42+S42+T42)</f>
        <v>-0.763533110594622</v>
      </c>
      <c r="V42" s="143" t="n">
        <v>0</v>
      </c>
      <c r="W42" s="143" t="n">
        <v>0</v>
      </c>
      <c r="X42" s="143" t="n">
        <f aca="false">M42-N42-P42-O42-Q42-R42-S42-T42-U42+V42+W42</f>
        <v>0</v>
      </c>
      <c r="Y42" s="143" t="n">
        <f aca="false">X42-AO42</f>
        <v>0</v>
      </c>
      <c r="Z42" s="144"/>
      <c r="AA42" s="143"/>
      <c r="AB42" s="144"/>
      <c r="AC42" s="144" t="n">
        <v>53.0185364894054</v>
      </c>
      <c r="AD42" s="114"/>
      <c r="AE42" s="143" t="n">
        <v>0</v>
      </c>
      <c r="AF42" s="261"/>
      <c r="AG42" s="262"/>
      <c r="AH42" s="143" t="n">
        <v>25.5</v>
      </c>
      <c r="AI42" s="114" t="n">
        <f aca="false">AI41-AH42</f>
        <v>2612.64923115706</v>
      </c>
      <c r="AJ42" s="114"/>
      <c r="AK42" s="142" t="n">
        <f aca="false">N42+O42+P42+Q42+R42+S42+T42+U42+X42+AE42+AH42</f>
        <v>28.37</v>
      </c>
      <c r="AL42" s="143" t="n">
        <f aca="false">IF(L42&lt;0,L42*-1,0)</f>
        <v>32.13</v>
      </c>
      <c r="AM42" s="143" t="n">
        <f aca="false">AK42+AL42</f>
        <v>60.5</v>
      </c>
      <c r="AN42" s="147" t="n">
        <f aca="false">V42</f>
        <v>0</v>
      </c>
      <c r="AO42" s="144"/>
      <c r="AP42" s="231"/>
      <c r="AV42" s="232" t="n">
        <v>0</v>
      </c>
      <c r="AW42" s="114" t="n">
        <v>35</v>
      </c>
      <c r="AX42" s="225" t="n">
        <v>7</v>
      </c>
      <c r="AY42" s="233"/>
      <c r="AZ42" s="263" t="n">
        <f aca="false">SUM(N42,P42:U42)</f>
        <v>2.87</v>
      </c>
      <c r="BA42" s="0" t="n">
        <v>0.2</v>
      </c>
      <c r="BB42" s="264" t="n">
        <v>16015</v>
      </c>
    </row>
    <row r="43" customFormat="false" ht="12.95" hidden="false" customHeight="true" outlineLevel="0" collapsed="false">
      <c r="A43" s="192" t="n">
        <f aca="false">A42+1</f>
        <v>29</v>
      </c>
      <c r="B43" s="113" t="n">
        <v>6867.54</v>
      </c>
      <c r="C43" s="114" t="n">
        <v>181367</v>
      </c>
      <c r="D43" s="225" t="n">
        <f aca="false">C43-C42</f>
        <v>0</v>
      </c>
      <c r="E43" s="114" t="n">
        <f aca="false">C43-152000</f>
        <v>29367</v>
      </c>
      <c r="F43" s="259" t="n">
        <f aca="false">D43/$D$2</f>
        <v>0</v>
      </c>
      <c r="G43" s="143" t="n">
        <v>58</v>
      </c>
      <c r="H43" s="260" t="n">
        <v>1.41</v>
      </c>
      <c r="I43" s="143" t="n">
        <f aca="false">G43+H43</f>
        <v>59.41</v>
      </c>
      <c r="J43" s="144" t="n">
        <f aca="false">IF(L43&gt;0,L43,0)</f>
        <v>0</v>
      </c>
      <c r="K43" s="143" t="n">
        <f aca="false">I43+J43</f>
        <v>59.41</v>
      </c>
      <c r="L43" s="143" t="n">
        <f aca="false">F43-(I43-AK43)</f>
        <v>-31.01</v>
      </c>
      <c r="M43" s="261" t="n">
        <v>2.9</v>
      </c>
      <c r="N43" s="143" t="n">
        <v>0</v>
      </c>
      <c r="O43" s="143" t="n">
        <f aca="false">0*1.05</f>
        <v>0</v>
      </c>
      <c r="P43" s="171" t="n">
        <v>0</v>
      </c>
      <c r="Q43" s="139" t="n">
        <f aca="false">958800/325851/1.9835*1.02</f>
        <v>1.51313241206636</v>
      </c>
      <c r="R43" s="139" t="n">
        <f aca="false">(2.6*1.04)-T43</f>
        <v>2.0519304</v>
      </c>
      <c r="S43" s="139" t="n">
        <v>0</v>
      </c>
      <c r="T43" s="139" t="n">
        <f aca="false">(0.5915*1.06)*1.04</f>
        <v>0.6520696</v>
      </c>
      <c r="U43" s="102" t="n">
        <f aca="false">M43-(Q43+R43+S43+T43)</f>
        <v>-1.31713241206636</v>
      </c>
      <c r="V43" s="143" t="n">
        <v>0</v>
      </c>
      <c r="W43" s="143" t="n">
        <v>0</v>
      </c>
      <c r="X43" s="143" t="n">
        <f aca="false">M43-N43-P43-O43-Q43-R43-S43-T43-U43+V43+W43</f>
        <v>0</v>
      </c>
      <c r="Y43" s="143" t="n">
        <f aca="false">X43-AO43</f>
        <v>0</v>
      </c>
      <c r="Z43" s="144"/>
      <c r="AA43" s="143"/>
      <c r="AB43" s="144"/>
      <c r="AC43" s="144" t="n">
        <v>51.4349371879336</v>
      </c>
      <c r="AD43" s="114"/>
      <c r="AE43" s="143" t="n">
        <v>0</v>
      </c>
      <c r="AF43" s="261"/>
      <c r="AG43" s="262"/>
      <c r="AH43" s="143" t="n">
        <v>25.5</v>
      </c>
      <c r="AI43" s="114" t="n">
        <f aca="false">AI42-AH43</f>
        <v>2587.14923115706</v>
      </c>
      <c r="AJ43" s="114"/>
      <c r="AK43" s="142" t="n">
        <f aca="false">N43+O43+P43+Q43+R43+S43+T43+U43+X43+AE43+AH43</f>
        <v>28.4</v>
      </c>
      <c r="AL43" s="143" t="n">
        <f aca="false">IF(L43&lt;0,L43*-1,0)</f>
        <v>31.01</v>
      </c>
      <c r="AM43" s="143" t="n">
        <f aca="false">AK43+AL43</f>
        <v>59.41</v>
      </c>
      <c r="AN43" s="147" t="n">
        <f aca="false">V43</f>
        <v>0</v>
      </c>
      <c r="AO43" s="144"/>
      <c r="AP43" s="231"/>
      <c r="AV43" s="232" t="n">
        <v>0</v>
      </c>
      <c r="AW43" s="114" t="n">
        <v>35</v>
      </c>
      <c r="AX43" s="225" t="n">
        <v>10</v>
      </c>
      <c r="AY43" s="233"/>
      <c r="AZ43" s="263" t="n">
        <f aca="false">SUM(N43,P43:U43)</f>
        <v>2.9</v>
      </c>
      <c r="BA43" s="0" t="n">
        <v>0.2</v>
      </c>
      <c r="BB43" s="264" t="n">
        <v>16003</v>
      </c>
    </row>
    <row r="44" customFormat="false" ht="12.95" hidden="false" customHeight="true" outlineLevel="0" collapsed="false">
      <c r="A44" s="192" t="n">
        <v>30</v>
      </c>
      <c r="B44" s="113" t="n">
        <v>6867.54</v>
      </c>
      <c r="C44" s="114" t="n">
        <v>181367</v>
      </c>
      <c r="D44" s="225" t="n">
        <f aca="false">C44-C43</f>
        <v>0</v>
      </c>
      <c r="E44" s="114" t="n">
        <f aca="false">C44-152000</f>
        <v>29367</v>
      </c>
      <c r="F44" s="259" t="n">
        <f aca="false">D44/$D$2</f>
        <v>0</v>
      </c>
      <c r="G44" s="143" t="n">
        <v>58</v>
      </c>
      <c r="H44" s="260" t="n">
        <v>1.62</v>
      </c>
      <c r="I44" s="143" t="n">
        <f aca="false">G44+H44</f>
        <v>59.62</v>
      </c>
      <c r="J44" s="144" t="n">
        <f aca="false">IF(L44&gt;0,L44,0)</f>
        <v>0</v>
      </c>
      <c r="K44" s="143" t="n">
        <f aca="false">I44+J44</f>
        <v>59.62</v>
      </c>
      <c r="L44" s="143" t="n">
        <f aca="false">F44-(I44-AK44)</f>
        <v>-30.56</v>
      </c>
      <c r="M44" s="261" t="n">
        <v>3.56</v>
      </c>
      <c r="N44" s="143" t="n">
        <v>0</v>
      </c>
      <c r="O44" s="143" t="n">
        <f aca="false">0*1.05</f>
        <v>0</v>
      </c>
      <c r="P44" s="171" t="n">
        <v>0</v>
      </c>
      <c r="Q44" s="139" t="n">
        <f aca="false">811100/325851/1.9835*1.02</f>
        <v>1.28003931938572</v>
      </c>
      <c r="R44" s="139" t="n">
        <f aca="false">(1.3*1.04)-T44</f>
        <v>0.6999304</v>
      </c>
      <c r="S44" s="139" t="n">
        <v>0</v>
      </c>
      <c r="T44" s="139" t="n">
        <f aca="false">(0.5915*1.06)*1.04</f>
        <v>0.6520696</v>
      </c>
      <c r="U44" s="102" t="n">
        <f aca="false">M44-(Q44+R44+S44+T44)</f>
        <v>0.927960680614285</v>
      </c>
      <c r="V44" s="143" t="n">
        <v>0</v>
      </c>
      <c r="W44" s="143" t="n">
        <v>0</v>
      </c>
      <c r="X44" s="143" t="n">
        <f aca="false">M44-N44-P44-O44-Q44-R44-S44-T44-U44+V44+W44</f>
        <v>0</v>
      </c>
      <c r="Y44" s="143" t="n">
        <f aca="false">X44-AO44</f>
        <v>0</v>
      </c>
      <c r="Z44" s="144"/>
      <c r="AA44" s="143"/>
      <c r="AB44" s="144"/>
      <c r="AC44" s="144" t="n">
        <v>53.0200302806143</v>
      </c>
      <c r="AD44" s="114"/>
      <c r="AE44" s="143" t="n">
        <v>0</v>
      </c>
      <c r="AF44" s="261"/>
      <c r="AG44" s="262"/>
      <c r="AH44" s="143" t="n">
        <v>25.5</v>
      </c>
      <c r="AI44" s="114" t="n">
        <f aca="false">AI43-AH44</f>
        <v>2561.64923115706</v>
      </c>
      <c r="AJ44" s="114"/>
      <c r="AK44" s="142" t="n">
        <f aca="false">N44+O44+P44+Q44+R44+S44+T44+U44+X44+AE44+AH44</f>
        <v>29.06</v>
      </c>
      <c r="AL44" s="143" t="n">
        <f aca="false">IF(L44&lt;0,L44*-1,0)</f>
        <v>30.56</v>
      </c>
      <c r="AM44" s="143" t="n">
        <f aca="false">AK44+AL44</f>
        <v>59.62</v>
      </c>
      <c r="AN44" s="147" t="n">
        <f aca="false">V44</f>
        <v>0</v>
      </c>
      <c r="AO44" s="144"/>
      <c r="AP44" s="231"/>
      <c r="AV44" s="232" t="n">
        <v>0</v>
      </c>
      <c r="AW44" s="114" t="n">
        <v>38</v>
      </c>
      <c r="AX44" s="225" t="n">
        <v>10</v>
      </c>
      <c r="AY44" s="233"/>
      <c r="AZ44" s="263" t="n">
        <f aca="false">SUM(N44,P44:U44)</f>
        <v>3.56</v>
      </c>
      <c r="BA44" s="0" t="n">
        <v>0.2</v>
      </c>
      <c r="BB44" s="264" t="n">
        <v>16090</v>
      </c>
    </row>
    <row r="45" customFormat="false" ht="12.95" hidden="false" customHeight="true" outlineLevel="0" collapsed="false">
      <c r="A45" s="192" t="n">
        <v>31</v>
      </c>
      <c r="B45" s="113" t="n">
        <v>6867.57</v>
      </c>
      <c r="C45" s="114" t="n">
        <v>181444</v>
      </c>
      <c r="D45" s="225" t="n">
        <f aca="false">C45-C44</f>
        <v>77</v>
      </c>
      <c r="E45" s="114" t="n">
        <f aca="false">C45-152000</f>
        <v>29444</v>
      </c>
      <c r="F45" s="259" t="n">
        <f aca="false">D45/$D$2</f>
        <v>38.8202672044366</v>
      </c>
      <c r="G45" s="143" t="n">
        <v>58</v>
      </c>
      <c r="H45" s="260" t="n">
        <v>1.43</v>
      </c>
      <c r="I45" s="143" t="n">
        <f aca="false">G45+H45</f>
        <v>59.43</v>
      </c>
      <c r="J45" s="144" t="n">
        <f aca="false">IF(L45&gt;0,L45,0)</f>
        <v>8.2102672044366</v>
      </c>
      <c r="K45" s="143" t="n">
        <f aca="false">I45+J45</f>
        <v>67.6402672044366</v>
      </c>
      <c r="L45" s="143" t="n">
        <f aca="false">F45-(I45-AK45)</f>
        <v>8.2102672044366</v>
      </c>
      <c r="M45" s="261" t="n">
        <v>3.32</v>
      </c>
      <c r="N45" s="143" t="n">
        <v>0</v>
      </c>
      <c r="O45" s="143" t="n">
        <f aca="false">0*1.05</f>
        <v>0</v>
      </c>
      <c r="P45" s="171" t="n">
        <v>0</v>
      </c>
      <c r="Q45" s="139" t="n">
        <f aca="false">838800/325851/1.9835*1.02</f>
        <v>1.32375413771512</v>
      </c>
      <c r="R45" s="139" t="n">
        <f aca="false">(2*1.04)-T45</f>
        <v>1.4279304</v>
      </c>
      <c r="S45" s="139" t="n">
        <v>0</v>
      </c>
      <c r="T45" s="139" t="n">
        <f aca="false">(0.5915*1.06)*1.04</f>
        <v>0.6520696</v>
      </c>
      <c r="U45" s="102" t="n">
        <f aca="false">M45-(Q45+R45+S45+T45)</f>
        <v>-0.083754137715125</v>
      </c>
      <c r="V45" s="143" t="n">
        <v>0</v>
      </c>
      <c r="W45" s="143" t="n">
        <v>0</v>
      </c>
      <c r="X45" s="143" t="n">
        <f aca="false">M45-N45-P45-O45-Q45-R45-S45-T45-U45+V45+W45</f>
        <v>0</v>
      </c>
      <c r="Y45" s="143" t="n">
        <f aca="false">X45-AO45</f>
        <v>0</v>
      </c>
      <c r="Z45" s="144"/>
      <c r="AA45" s="143"/>
      <c r="AB45" s="144"/>
      <c r="AC45" s="144" t="n">
        <v>52.2483154622849</v>
      </c>
      <c r="AD45" s="114"/>
      <c r="AE45" s="143" t="n">
        <v>0</v>
      </c>
      <c r="AF45" s="261"/>
      <c r="AG45" s="262"/>
      <c r="AH45" s="143" t="n">
        <v>25.5</v>
      </c>
      <c r="AI45" s="114" t="n">
        <f aca="false">AI44-AH45</f>
        <v>2536.14923115706</v>
      </c>
      <c r="AJ45" s="114"/>
      <c r="AK45" s="142" t="n">
        <f aca="false">N45+O45+P45+Q45+R45+S45+T45+U45+X45+AE45+AH45</f>
        <v>28.82</v>
      </c>
      <c r="AL45" s="143" t="n">
        <f aca="false">IF(L45&lt;0,L45*-1,0)</f>
        <v>0</v>
      </c>
      <c r="AM45" s="259" t="n">
        <f aca="false">AK45+AL45</f>
        <v>28.82</v>
      </c>
      <c r="AN45" s="147" t="n">
        <f aca="false">V45</f>
        <v>0</v>
      </c>
      <c r="AO45" s="144"/>
      <c r="AP45" s="231"/>
      <c r="AV45" s="232" t="n">
        <v>0</v>
      </c>
      <c r="AW45" s="114" t="n">
        <v>41</v>
      </c>
      <c r="AX45" s="225" t="n">
        <v>12</v>
      </c>
      <c r="AY45" s="233"/>
      <c r="AZ45" s="263" t="n">
        <f aca="false">SUM(N45,P45:U45)</f>
        <v>3.32</v>
      </c>
      <c r="BA45" s="0" t="n">
        <v>0.2</v>
      </c>
      <c r="BB45" s="264" t="n">
        <v>16278</v>
      </c>
    </row>
    <row r="46" customFormat="false" ht="3" hidden="false" customHeight="true" outlineLevel="0" collapsed="false">
      <c r="A46" s="244"/>
      <c r="B46" s="266"/>
      <c r="C46" s="246"/>
      <c r="D46" s="247"/>
      <c r="E46" s="246"/>
      <c r="F46" s="248"/>
      <c r="G46" s="247"/>
      <c r="H46" s="249"/>
      <c r="I46" s="247"/>
      <c r="J46" s="247"/>
      <c r="K46" s="247"/>
      <c r="L46" s="247"/>
      <c r="M46" s="247"/>
      <c r="N46" s="247"/>
      <c r="O46" s="247"/>
      <c r="P46" s="251"/>
      <c r="Q46" s="247"/>
      <c r="R46" s="247"/>
      <c r="S46" s="247"/>
      <c r="T46" s="247"/>
      <c r="U46" s="252"/>
      <c r="V46" s="247"/>
      <c r="W46" s="247"/>
      <c r="X46" s="247" t="n">
        <f aca="false">M46-N46-O46-Q46-R46-S46+V46+W46</f>
        <v>0</v>
      </c>
      <c r="Y46" s="247" t="n">
        <f aca="false">N46-O46-P46-R46-S46-U46+W46+X46</f>
        <v>0</v>
      </c>
      <c r="Z46" s="253"/>
      <c r="AA46" s="247"/>
      <c r="AB46" s="253"/>
      <c r="AC46" s="253"/>
      <c r="AD46" s="246"/>
      <c r="AE46" s="247"/>
      <c r="AF46" s="250"/>
      <c r="AG46" s="254"/>
      <c r="AH46" s="267"/>
      <c r="AI46" s="247"/>
      <c r="AJ46" s="247"/>
      <c r="AK46" s="247" t="n">
        <f aca="false">N46+O46+Q46+R46+S46+X46+AE46+AH46</f>
        <v>0</v>
      </c>
      <c r="AL46" s="247"/>
      <c r="AM46" s="248"/>
      <c r="AN46" s="256"/>
      <c r="AO46" s="253"/>
      <c r="AP46" s="256"/>
      <c r="AQ46" s="257"/>
      <c r="AR46" s="257"/>
      <c r="AS46" s="257"/>
      <c r="AT46" s="257"/>
      <c r="AU46" s="256"/>
      <c r="AV46" s="258"/>
      <c r="AW46" s="256"/>
      <c r="AX46" s="256" t="s">
        <v>117</v>
      </c>
      <c r="AY46" s="256" t="s">
        <v>117</v>
      </c>
      <c r="AZ46" s="256" t="s">
        <v>117</v>
      </c>
      <c r="BA46" s="256" t="s">
        <v>117</v>
      </c>
      <c r="BB46" s="256" t="s">
        <v>117</v>
      </c>
    </row>
    <row r="47" customFormat="false" ht="12.95" hidden="false" customHeight="true" outlineLevel="0" collapsed="false">
      <c r="A47" s="194" t="s">
        <v>104</v>
      </c>
      <c r="B47" s="223"/>
      <c r="C47" s="114"/>
      <c r="D47" s="114"/>
      <c r="E47" s="114"/>
      <c r="F47" s="224" t="n">
        <f aca="false">SUM(F15:F45)</f>
        <v>-155.78522813209</v>
      </c>
      <c r="G47" s="114" t="n">
        <f aca="false">SUM(G15:G45)</f>
        <v>2079</v>
      </c>
      <c r="H47" s="114" t="n">
        <f aca="false">SUM(H15:H45)</f>
        <v>19.329</v>
      </c>
      <c r="I47" s="114" t="n">
        <f aca="false">SUM(I15:I45)</f>
        <v>2098.329</v>
      </c>
      <c r="J47" s="114" t="n">
        <f aca="false">SUM(J15:J45)</f>
        <v>275.233581295689</v>
      </c>
      <c r="K47" s="114" t="n">
        <f aca="false">SUM(K15:K45)</f>
        <v>2373.56258129569</v>
      </c>
      <c r="L47" s="114" t="n">
        <f aca="false">SUM(L15:L45)</f>
        <v>-373.19422813209</v>
      </c>
      <c r="M47" s="226" t="n">
        <f aca="false">SUM(M15:M45)</f>
        <v>96.03</v>
      </c>
      <c r="N47" s="114" t="n">
        <f aca="false">SUM(N15:N45)</f>
        <v>0</v>
      </c>
      <c r="O47" s="114" t="n">
        <f aca="false">SUM(O15:O45)</f>
        <v>0</v>
      </c>
      <c r="P47" s="171"/>
      <c r="Q47" s="114" t="n">
        <f aca="false">SUM(Q15:Q45)</f>
        <v>41.7481249502723</v>
      </c>
      <c r="R47" s="114" t="n">
        <f aca="false">SUM(R15:R45)</f>
        <v>47.57547184</v>
      </c>
      <c r="S47" s="114" t="n">
        <f aca="false">SUM(S15:S45)</f>
        <v>0</v>
      </c>
      <c r="T47" s="114" t="n">
        <f aca="false">SUM(T15:T45)</f>
        <v>15.86452816</v>
      </c>
      <c r="U47" s="227" t="n">
        <f aca="false">SUM(U15:U45)</f>
        <v>-9.15812495027225</v>
      </c>
      <c r="V47" s="114" t="n">
        <f aca="false">SUM(V15:V45)</f>
        <v>999.59</v>
      </c>
      <c r="W47" s="114" t="n">
        <f aca="false">SUM(W15:W45)</f>
        <v>0</v>
      </c>
      <c r="X47" s="114" t="n">
        <f aca="false">SUM(X15:X45)</f>
        <v>999.59</v>
      </c>
      <c r="Y47" s="114" t="n">
        <f aca="false">SUM(Y15:Y45)</f>
        <v>999.59</v>
      </c>
      <c r="Z47" s="144"/>
      <c r="AA47" s="114"/>
      <c r="AB47" s="144"/>
      <c r="AC47" s="143" t="n">
        <f aca="false">SUM(AC15:AC45)</f>
        <v>929.598554589702</v>
      </c>
      <c r="AD47" s="114"/>
      <c r="AE47" s="114"/>
      <c r="AF47" s="226"/>
      <c r="AG47" s="228"/>
      <c r="AH47" s="114" t="n">
        <f aca="false">SUM(AH15:AH45)</f>
        <v>785.3</v>
      </c>
      <c r="AI47" s="114"/>
      <c r="AJ47" s="85" t="n">
        <f aca="false">SUM(AJ15:AJ45)</f>
        <v>0</v>
      </c>
      <c r="AK47" s="114" t="n">
        <f aca="false">SUM(AK15:AK45)</f>
        <v>1880.92</v>
      </c>
      <c r="AL47" s="114" t="n">
        <f aca="false">SUM(AL15:AL45)</f>
        <v>648.427809427779</v>
      </c>
      <c r="AM47" s="224" t="n">
        <f aca="false">SUM(AM15:AM45)</f>
        <v>2529.34780942778</v>
      </c>
      <c r="AN47" s="114" t="n">
        <f aca="false">SUM(AN15:AN45)</f>
        <v>999.59</v>
      </c>
      <c r="AO47" s="144" t="n">
        <f aca="false">SUM(AO15:AO45)</f>
        <v>0</v>
      </c>
      <c r="AP47" s="231"/>
      <c r="AV47" s="232" t="n">
        <f aca="false">SUM(AV15:AV45)</f>
        <v>0.78</v>
      </c>
      <c r="AW47" s="225" t="n">
        <f aca="false">AVERAGE(AW15:AW45)</f>
        <v>45.7741935483871</v>
      </c>
      <c r="AX47" s="225" t="n">
        <f aca="false">AVERAGE(AX15:AX45)</f>
        <v>21.1935483870968</v>
      </c>
      <c r="AY47" s="233" t="s">
        <v>105</v>
      </c>
      <c r="AZ47" s="268" t="n">
        <f aca="false">SUM(AZ15:AZ45)</f>
        <v>96.03</v>
      </c>
      <c r="BA47" s="269" t="n">
        <f aca="false">SUM(BA15:BA45)</f>
        <v>6.2</v>
      </c>
      <c r="BB47" s="264"/>
    </row>
    <row r="48" customFormat="false" ht="12.95" hidden="false" customHeight="true" outlineLevel="0" collapsed="false">
      <c r="A48" s="194" t="s">
        <v>106</v>
      </c>
      <c r="B48" s="223"/>
      <c r="C48" s="114"/>
      <c r="D48" s="114" t="n">
        <f aca="false">SUM(D15:D45)</f>
        <v>-309</v>
      </c>
      <c r="E48" s="114"/>
      <c r="F48" s="224" t="n">
        <f aca="false">F47*$D$2</f>
        <v>-309</v>
      </c>
      <c r="G48" s="114" t="n">
        <f aca="false">G47*$D$2</f>
        <v>4123.6965</v>
      </c>
      <c r="H48" s="114" t="n">
        <f aca="false">H47*$D$2</f>
        <v>38.3390715</v>
      </c>
      <c r="I48" s="114" t="n">
        <f aca="false">I47*$D$2</f>
        <v>4162.0355715</v>
      </c>
      <c r="J48" s="114" t="n">
        <f aca="false">J47*$D$2</f>
        <v>545.9258085</v>
      </c>
      <c r="K48" s="114" t="n">
        <f aca="false">K47*$D$2</f>
        <v>4707.96138</v>
      </c>
      <c r="L48" s="114" t="n">
        <f aca="false">L47*$D$2</f>
        <v>-740.2307515</v>
      </c>
      <c r="M48" s="226" t="n">
        <f aca="false">M47*$D$2</f>
        <v>190.475505</v>
      </c>
      <c r="N48" s="114" t="n">
        <f aca="false">N47*$D$2</f>
        <v>0</v>
      </c>
      <c r="O48" s="114" t="n">
        <f aca="false">O47*$D$2</f>
        <v>0</v>
      </c>
      <c r="P48" s="171"/>
      <c r="Q48" s="114" t="n">
        <f aca="false">Q47*$D$2</f>
        <v>82.807405838865</v>
      </c>
      <c r="R48" s="114" t="n">
        <f aca="false">R47*$D$2</f>
        <v>94.36594839464</v>
      </c>
      <c r="S48" s="114" t="n">
        <f aca="false">S47*$D$2</f>
        <v>0</v>
      </c>
      <c r="T48" s="114" t="n">
        <f aca="false">T47*$D$2</f>
        <v>31.46729160536</v>
      </c>
      <c r="U48" s="227" t="n">
        <f aca="false">U47*$D$2</f>
        <v>-18.165140838865</v>
      </c>
      <c r="V48" s="114" t="n">
        <f aca="false">V47*$D$2</f>
        <v>1982.686765</v>
      </c>
      <c r="W48" s="114" t="n">
        <f aca="false">W47*$D$2</f>
        <v>0</v>
      </c>
      <c r="X48" s="114" t="n">
        <f aca="false">X47*$D$2</f>
        <v>1982.686765</v>
      </c>
      <c r="Y48" s="114" t="n">
        <f aca="false">Y47*$D$2</f>
        <v>1982.686765</v>
      </c>
      <c r="Z48" s="144"/>
      <c r="AA48" s="114"/>
      <c r="AB48" s="144"/>
      <c r="AC48" s="143" t="n">
        <f aca="false">AC47*$D$2</f>
        <v>1843.85873302867</v>
      </c>
      <c r="AD48" s="114"/>
      <c r="AE48" s="114"/>
      <c r="AF48" s="226"/>
      <c r="AG48" s="228"/>
      <c r="AH48" s="114" t="n">
        <f aca="false">AH47*$D$2</f>
        <v>1557.64255</v>
      </c>
      <c r="AI48" s="114"/>
      <c r="AJ48" s="85" t="n">
        <f aca="false">AJ47*$D$2</f>
        <v>0</v>
      </c>
      <c r="AK48" s="114" t="n">
        <f aca="false">AK47*$D$2</f>
        <v>3730.80482</v>
      </c>
      <c r="AL48" s="114" t="n">
        <f aca="false">AL47*$D$2</f>
        <v>1286.15656</v>
      </c>
      <c r="AM48" s="224" t="n">
        <f aca="false">AM47*$D$2</f>
        <v>5016.96138</v>
      </c>
      <c r="AN48" s="114" t="n">
        <f aca="false">AN47*$D$2</f>
        <v>1982.686765</v>
      </c>
      <c r="AO48" s="144" t="n">
        <f aca="false">AO47*$D$2</f>
        <v>0</v>
      </c>
      <c r="AP48" s="231"/>
      <c r="AV48" s="232"/>
      <c r="AW48" s="225" t="n">
        <f aca="false">MAX(AW15:AW45)</f>
        <v>61</v>
      </c>
      <c r="AX48" s="225" t="n">
        <f aca="false">MAX(AX15:AX45)</f>
        <v>37</v>
      </c>
      <c r="AY48" s="233" t="s">
        <v>107</v>
      </c>
      <c r="AZ48" s="268" t="n">
        <f aca="false">AZ47*$D$2</f>
        <v>190.475505</v>
      </c>
      <c r="BA48" s="269" t="n">
        <f aca="false">BA47*D2</f>
        <v>12.2977</v>
      </c>
      <c r="BB48" s="264"/>
    </row>
    <row r="49" customFormat="false" ht="3" hidden="false" customHeight="true" outlineLevel="0" collapsed="false">
      <c r="A49" s="244"/>
      <c r="B49" s="266"/>
      <c r="C49" s="246"/>
      <c r="D49" s="246"/>
      <c r="E49" s="246"/>
      <c r="F49" s="270"/>
      <c r="G49" s="246"/>
      <c r="H49" s="246"/>
      <c r="I49" s="246"/>
      <c r="J49" s="246"/>
      <c r="K49" s="246"/>
      <c r="L49" s="246"/>
      <c r="M49" s="271"/>
      <c r="N49" s="246"/>
      <c r="O49" s="246"/>
      <c r="P49" s="251"/>
      <c r="Q49" s="246"/>
      <c r="R49" s="246"/>
      <c r="S49" s="246"/>
      <c r="T49" s="246"/>
      <c r="U49" s="252"/>
      <c r="V49" s="246"/>
      <c r="W49" s="246"/>
      <c r="X49" s="246"/>
      <c r="Y49" s="246"/>
      <c r="Z49" s="253"/>
      <c r="AA49" s="246"/>
      <c r="AB49" s="253"/>
      <c r="AC49" s="247"/>
      <c r="AD49" s="246"/>
      <c r="AE49" s="246"/>
      <c r="AF49" s="271"/>
      <c r="AG49" s="272"/>
      <c r="AH49" s="246"/>
      <c r="AI49" s="247"/>
      <c r="AJ49" s="127"/>
      <c r="AK49" s="246"/>
      <c r="AL49" s="246"/>
      <c r="AM49" s="270"/>
      <c r="AN49" s="246"/>
      <c r="AO49" s="253"/>
      <c r="AP49" s="246"/>
      <c r="AQ49" s="273"/>
      <c r="AR49" s="273"/>
      <c r="AS49" s="257"/>
      <c r="AT49" s="257"/>
      <c r="AU49" s="256"/>
      <c r="AV49" s="274"/>
      <c r="AW49" s="246"/>
      <c r="AX49" s="246"/>
      <c r="AY49" s="246"/>
      <c r="AZ49" s="246"/>
      <c r="BA49" s="247"/>
      <c r="BB49" s="246"/>
    </row>
    <row r="50" customFormat="false" ht="12.95" hidden="false" customHeight="true" outlineLevel="0" collapsed="false">
      <c r="A50" s="194" t="s">
        <v>108</v>
      </c>
      <c r="B50" s="223"/>
      <c r="C50" s="114"/>
      <c r="D50" s="114"/>
      <c r="E50" s="114"/>
      <c r="F50" s="224"/>
      <c r="G50" s="114"/>
      <c r="H50" s="114"/>
      <c r="I50" s="114"/>
      <c r="J50" s="114"/>
      <c r="K50" s="114"/>
      <c r="L50" s="114"/>
      <c r="M50" s="226"/>
      <c r="N50" s="114"/>
      <c r="O50" s="114"/>
      <c r="P50" s="171"/>
      <c r="Q50" s="114"/>
      <c r="R50" s="114"/>
      <c r="S50" s="114"/>
      <c r="T50" s="114"/>
      <c r="U50" s="227"/>
      <c r="V50" s="114"/>
      <c r="W50" s="114"/>
      <c r="X50" s="114"/>
      <c r="Y50" s="114"/>
      <c r="Z50" s="144"/>
      <c r="AA50" s="114"/>
      <c r="AB50" s="144"/>
      <c r="AC50" s="143"/>
      <c r="AD50" s="114"/>
      <c r="AE50" s="114"/>
      <c r="AF50" s="226"/>
      <c r="AG50" s="228"/>
      <c r="AH50" s="114"/>
      <c r="AI50" s="114"/>
      <c r="AJ50" s="85"/>
      <c r="AK50" s="114"/>
      <c r="AL50" s="114"/>
      <c r="AM50" s="224"/>
      <c r="AN50" s="114"/>
      <c r="AO50" s="144"/>
      <c r="AP50" s="231"/>
      <c r="AV50" s="232"/>
      <c r="AW50" s="225" t="n">
        <f aca="false">MIN(AW15:AW45)</f>
        <v>33</v>
      </c>
      <c r="AX50" s="225" t="n">
        <f aca="false">MIN(AX15:AX45)</f>
        <v>2</v>
      </c>
      <c r="AY50" s="233" t="s">
        <v>109</v>
      </c>
      <c r="AZ50" s="268"/>
      <c r="BA50" s="269"/>
      <c r="BB50" s="264"/>
    </row>
    <row r="51" customFormat="false" ht="12.95" hidden="false" customHeight="true" outlineLevel="0" collapsed="false">
      <c r="A51" s="194" t="s">
        <v>110</v>
      </c>
      <c r="B51" s="223"/>
      <c r="C51" s="114"/>
      <c r="D51" s="114"/>
      <c r="E51" s="114"/>
      <c r="F51" s="224"/>
      <c r="G51" s="114"/>
      <c r="H51" s="114"/>
      <c r="I51" s="114"/>
      <c r="J51" s="114"/>
      <c r="K51" s="114"/>
      <c r="L51" s="114"/>
      <c r="M51" s="226"/>
      <c r="N51" s="114"/>
      <c r="O51" s="114"/>
      <c r="P51" s="171"/>
      <c r="Q51" s="114"/>
      <c r="R51" s="114"/>
      <c r="S51" s="114"/>
      <c r="T51" s="114"/>
      <c r="U51" s="227"/>
      <c r="V51" s="114"/>
      <c r="W51" s="114"/>
      <c r="X51" s="114"/>
      <c r="Y51" s="114"/>
      <c r="Z51" s="144"/>
      <c r="AA51" s="114"/>
      <c r="AB51" s="144"/>
      <c r="AC51" s="143"/>
      <c r="AD51" s="114"/>
      <c r="AE51" s="114"/>
      <c r="AF51" s="226"/>
      <c r="AG51" s="228"/>
      <c r="AH51" s="114"/>
      <c r="AI51" s="114"/>
      <c r="AJ51" s="85"/>
      <c r="AK51" s="114"/>
      <c r="AL51" s="114"/>
      <c r="AM51" s="224"/>
      <c r="AN51" s="114"/>
      <c r="AO51" s="144"/>
      <c r="AP51" s="231"/>
      <c r="AV51" s="232"/>
      <c r="AW51" s="225"/>
      <c r="AX51" s="225"/>
      <c r="AY51" s="233"/>
      <c r="AZ51" s="268"/>
      <c r="BA51" s="269"/>
      <c r="BB51" s="264"/>
    </row>
    <row r="52" customFormat="false" ht="3" hidden="false" customHeight="true" outlineLevel="0" collapsed="false">
      <c r="A52" s="244"/>
      <c r="B52" s="266"/>
      <c r="C52" s="246"/>
      <c r="D52" s="246"/>
      <c r="E52" s="246"/>
      <c r="F52" s="270"/>
      <c r="G52" s="246"/>
      <c r="H52" s="256"/>
      <c r="I52" s="246"/>
      <c r="J52" s="246"/>
      <c r="K52" s="246"/>
      <c r="L52" s="246"/>
      <c r="M52" s="271"/>
      <c r="N52" s="246"/>
      <c r="O52" s="246"/>
      <c r="P52" s="251"/>
      <c r="Q52" s="246"/>
      <c r="R52" s="246"/>
      <c r="S52" s="246"/>
      <c r="T52" s="246"/>
      <c r="U52" s="252"/>
      <c r="V52" s="246"/>
      <c r="W52" s="246"/>
      <c r="X52" s="246"/>
      <c r="Y52" s="246"/>
      <c r="Z52" s="253"/>
      <c r="AA52" s="246"/>
      <c r="AB52" s="253"/>
      <c r="AC52" s="247"/>
      <c r="AD52" s="246"/>
      <c r="AE52" s="246"/>
      <c r="AF52" s="271"/>
      <c r="AG52" s="272"/>
      <c r="AH52" s="246"/>
      <c r="AI52" s="246"/>
      <c r="AJ52" s="127"/>
      <c r="AK52" s="246"/>
      <c r="AL52" s="246"/>
      <c r="AM52" s="270"/>
      <c r="AN52" s="246"/>
      <c r="AO52" s="253"/>
      <c r="AP52" s="275"/>
      <c r="AQ52" s="276"/>
      <c r="AR52" s="276"/>
      <c r="AS52" s="257"/>
      <c r="AT52" s="257"/>
      <c r="AU52" s="256"/>
      <c r="AV52" s="258"/>
      <c r="AW52" s="275"/>
      <c r="AX52" s="275"/>
      <c r="AY52" s="275"/>
      <c r="AZ52" s="275"/>
      <c r="BA52" s="247"/>
      <c r="BB52" s="275"/>
    </row>
    <row r="53" customFormat="false" ht="12.95" hidden="false" customHeight="true" outlineLevel="0" collapsed="false">
      <c r="A53" s="194" t="s">
        <v>111</v>
      </c>
      <c r="B53" s="223"/>
      <c r="C53" s="114"/>
      <c r="D53" s="114"/>
      <c r="E53" s="114"/>
      <c r="F53" s="224" t="n">
        <f aca="false">F13+F47</f>
        <v>-2165.86841441896</v>
      </c>
      <c r="G53" s="114" t="n">
        <f aca="false">G13+G47</f>
        <v>4877</v>
      </c>
      <c r="H53" s="225" t="n">
        <f aca="false">H13+H47</f>
        <v>19.949</v>
      </c>
      <c r="I53" s="114" t="n">
        <f aca="false">I13+I47</f>
        <v>4896.329</v>
      </c>
      <c r="J53" s="114" t="n">
        <f aca="false">J13+J47</f>
        <v>443.224735820519</v>
      </c>
      <c r="K53" s="114" t="n">
        <f aca="false">K13+K47</f>
        <v>5339.55373582052</v>
      </c>
      <c r="L53" s="114" t="n">
        <f aca="false">L13+L47</f>
        <v>-1089.01741441896</v>
      </c>
      <c r="M53" s="226" t="n">
        <f aca="false">M13+M47</f>
        <v>190.79</v>
      </c>
      <c r="N53" s="114" t="n">
        <f aca="false">N13+N47</f>
        <v>0</v>
      </c>
      <c r="O53" s="114" t="n">
        <v>0</v>
      </c>
      <c r="P53" s="171"/>
      <c r="Q53" s="114" t="n">
        <f aca="false">Q13+Q47</f>
        <v>85.9221515564051</v>
      </c>
      <c r="R53" s="114" t="n">
        <f aca="false">R13+R47</f>
        <v>95.5095544</v>
      </c>
      <c r="S53" s="114" t="n">
        <f aca="false">S13+S47</f>
        <v>0</v>
      </c>
      <c r="T53" s="114" t="n">
        <f aca="false">T13+T47</f>
        <v>31.3704456</v>
      </c>
      <c r="U53" s="227" t="n">
        <f aca="false">U13+U47</f>
        <v>-22.0121515564051</v>
      </c>
      <c r="V53" s="114" t="n">
        <f aca="false">V13+V47</f>
        <v>4183.99</v>
      </c>
      <c r="W53" s="114" t="n">
        <f aca="false">W13+W47</f>
        <v>0</v>
      </c>
      <c r="X53" s="114" t="n">
        <f aca="false">X13+X47</f>
        <v>4151.95345</v>
      </c>
      <c r="Y53" s="114" t="n">
        <f aca="false">Y13+Y47</f>
        <v>4151.95345</v>
      </c>
      <c r="Z53" s="144"/>
      <c r="AA53" s="114"/>
      <c r="AB53" s="144"/>
      <c r="AC53" s="114" t="n">
        <f aca="false">AC13+AC47</f>
        <v>1087.23114916737</v>
      </c>
      <c r="AD53" s="114"/>
      <c r="AE53" s="114"/>
      <c r="AF53" s="226"/>
      <c r="AG53" s="228"/>
      <c r="AH53" s="114" t="n">
        <f aca="false">AH13+AH47</f>
        <v>1598.4</v>
      </c>
      <c r="AI53" s="114" t="n">
        <f aca="false">AI45</f>
        <v>2536.14923115706</v>
      </c>
      <c r="AJ53" s="85" t="n">
        <f aca="false">AJ14+AJ47</f>
        <v>0</v>
      </c>
      <c r="AK53" s="114" t="n">
        <f aca="false">AK13+AK47</f>
        <v>5973.18</v>
      </c>
      <c r="AL53" s="114" t="n">
        <f aca="false">AL13+AL47</f>
        <v>1532.24215023948</v>
      </c>
      <c r="AM53" s="224" t="n">
        <f aca="false">AM13+AM47</f>
        <v>7505.42215023948</v>
      </c>
      <c r="AN53" s="114" t="n">
        <f aca="false">AN13+AN47</f>
        <v>4183.99</v>
      </c>
      <c r="AO53" s="144" t="n">
        <f aca="false">AO13+AO47</f>
        <v>0</v>
      </c>
      <c r="AP53" s="231"/>
      <c r="AV53" s="232" t="n">
        <f aca="false">AV13+AV47</f>
        <v>1.57</v>
      </c>
      <c r="AW53" s="225"/>
      <c r="AX53" s="225"/>
      <c r="AY53" s="233"/>
      <c r="AZ53" s="268" t="n">
        <f aca="false">AZ13+AZ47</f>
        <v>190.79</v>
      </c>
      <c r="BA53" s="269" t="n">
        <f aca="false">BA47+BA13</f>
        <v>12.2</v>
      </c>
      <c r="BB53" s="264"/>
    </row>
    <row r="54" customFormat="false" ht="12.95" hidden="false" customHeight="true" outlineLevel="0" collapsed="false">
      <c r="A54" s="194" t="s">
        <v>112</v>
      </c>
      <c r="B54" s="223"/>
      <c r="C54" s="114"/>
      <c r="D54" s="114" t="n">
        <f aca="false">D13+D48</f>
        <v>-4296</v>
      </c>
      <c r="E54" s="114" t="n">
        <f aca="false">E45</f>
        <v>29444</v>
      </c>
      <c r="F54" s="224" t="n">
        <f aca="false">F53*$D$2</f>
        <v>-4296</v>
      </c>
      <c r="G54" s="114" t="n">
        <f aca="false">G53*$D$2</f>
        <v>9673.5295</v>
      </c>
      <c r="H54" s="225" t="n">
        <f aca="false">H53*$D$2</f>
        <v>39.5688415</v>
      </c>
      <c r="I54" s="114" t="n">
        <f aca="false">I53*$D$2</f>
        <v>9711.8685715</v>
      </c>
      <c r="J54" s="114" t="n">
        <f aca="false">J53*$D$2</f>
        <v>879.1362635</v>
      </c>
      <c r="K54" s="114" t="n">
        <f aca="false">K53*$D$2</f>
        <v>10591.004835</v>
      </c>
      <c r="L54" s="114" t="n">
        <f aca="false">L53*$D$2</f>
        <v>-2160.0660415</v>
      </c>
      <c r="M54" s="226" t="n">
        <f aca="false">M53*$D$2</f>
        <v>378.431965</v>
      </c>
      <c r="N54" s="114" t="n">
        <f aca="false">N53*$D$2</f>
        <v>0</v>
      </c>
      <c r="O54" s="114" t="n">
        <f aca="false">O53*$D$2</f>
        <v>0</v>
      </c>
      <c r="P54" s="171"/>
      <c r="Q54" s="114" t="n">
        <f aca="false">Q53*$D$2</f>
        <v>170.426587612129</v>
      </c>
      <c r="R54" s="114" t="n">
        <f aca="false">R53*$D$2</f>
        <v>189.4432011524</v>
      </c>
      <c r="S54" s="238" t="n">
        <f aca="false">S53*$D$2</f>
        <v>0</v>
      </c>
      <c r="T54" s="238" t="n">
        <f aca="false">T53*$D$2</f>
        <v>62.2232788476</v>
      </c>
      <c r="U54" s="239" t="n">
        <f aca="false">U53*$D$2</f>
        <v>-43.6611026121295</v>
      </c>
      <c r="V54" s="114" t="n">
        <f aca="false">V53*$D$2</f>
        <v>8298.944165</v>
      </c>
      <c r="W54" s="114" t="n">
        <f aca="false">W53*$D$2</f>
        <v>0</v>
      </c>
      <c r="X54" s="114" t="n">
        <f aca="false">X53*$D$2</f>
        <v>8235.399668075</v>
      </c>
      <c r="Y54" s="114" t="n">
        <f aca="false">Y53*$D$2</f>
        <v>8235.399668075</v>
      </c>
      <c r="Z54" s="144"/>
      <c r="AA54" s="114"/>
      <c r="AB54" s="144"/>
      <c r="AC54" s="114" t="n">
        <f aca="false">AC53*$D$2</f>
        <v>2156.52298437348</v>
      </c>
      <c r="AD54" s="114"/>
      <c r="AE54" s="114"/>
      <c r="AF54" s="277"/>
      <c r="AG54" s="278"/>
      <c r="AH54" s="114" t="n">
        <f aca="false">AH53*$D$2</f>
        <v>3170.4264</v>
      </c>
      <c r="AI54" s="114" t="n">
        <f aca="false">AI53*$D$2</f>
        <v>5030.45200000002</v>
      </c>
      <c r="AJ54" s="85" t="n">
        <f aca="false">AJ53*$D$2</f>
        <v>0</v>
      </c>
      <c r="AK54" s="114" t="n">
        <f aca="false">AK53*$D$2</f>
        <v>11847.80253</v>
      </c>
      <c r="AL54" s="114" t="n">
        <f aca="false">AL53*$D$2</f>
        <v>3039.202305</v>
      </c>
      <c r="AM54" s="279" t="n">
        <f aca="false">AM53*$D$2</f>
        <v>14887.004835</v>
      </c>
      <c r="AN54" s="114" t="n">
        <f aca="false">AN53*$D$2</f>
        <v>8298.944165</v>
      </c>
      <c r="AO54" s="144" t="n">
        <f aca="false">AO53*$D$2</f>
        <v>0</v>
      </c>
      <c r="AP54" s="231"/>
      <c r="AV54" s="232"/>
      <c r="AW54" s="225"/>
      <c r="AX54" s="225"/>
      <c r="AY54" s="233"/>
      <c r="AZ54" s="241" t="n">
        <f aca="false">AZ53*$D$2</f>
        <v>378.431965</v>
      </c>
      <c r="BA54" s="269" t="n">
        <f aca="false">BA53*D2</f>
        <v>24.1987</v>
      </c>
      <c r="BB54" s="264"/>
    </row>
    <row r="55" customFormat="false" ht="3" hidden="false" customHeight="true" outlineLevel="0" collapsed="false">
      <c r="A55" s="244"/>
      <c r="B55" s="266"/>
      <c r="C55" s="246"/>
      <c r="D55" s="247"/>
      <c r="E55" s="246"/>
      <c r="F55" s="248"/>
      <c r="G55" s="247"/>
      <c r="H55" s="249"/>
      <c r="I55" s="247"/>
      <c r="J55" s="247"/>
      <c r="K55" s="247"/>
      <c r="L55" s="247"/>
      <c r="M55" s="250"/>
      <c r="N55" s="247"/>
      <c r="O55" s="247"/>
      <c r="P55" s="251"/>
      <c r="Q55" s="247"/>
      <c r="R55" s="247"/>
      <c r="S55" s="247"/>
      <c r="T55" s="247"/>
      <c r="U55" s="252"/>
      <c r="V55" s="247"/>
      <c r="W55" s="247"/>
      <c r="X55" s="247"/>
      <c r="Y55" s="247"/>
      <c r="Z55" s="253"/>
      <c r="AA55" s="247"/>
      <c r="AB55" s="253"/>
      <c r="AC55" s="253"/>
      <c r="AD55" s="246"/>
      <c r="AE55" s="247"/>
      <c r="AF55" s="250"/>
      <c r="AG55" s="254"/>
      <c r="AH55" s="247"/>
      <c r="AI55" s="246"/>
      <c r="AJ55" s="246"/>
      <c r="AK55" s="247"/>
      <c r="AL55" s="247"/>
      <c r="AM55" s="247"/>
      <c r="AN55" s="266"/>
      <c r="AO55" s="253"/>
      <c r="AP55" s="247"/>
      <c r="AQ55" s="280"/>
      <c r="AR55" s="280"/>
      <c r="AS55" s="257"/>
      <c r="AT55" s="257"/>
      <c r="AU55" s="256"/>
      <c r="AV55" s="266"/>
      <c r="AW55" s="247"/>
      <c r="AX55" s="247"/>
      <c r="AY55" s="247"/>
      <c r="AZ55" s="247"/>
      <c r="BA55" s="247"/>
      <c r="BB55" s="247"/>
    </row>
    <row r="56" customFormat="false" ht="11.1" hidden="false" customHeight="true" outlineLevel="0" collapsed="false">
      <c r="A56" s="194"/>
      <c r="B56" s="281"/>
      <c r="D56" s="194"/>
      <c r="F56" s="194"/>
      <c r="G56" s="194"/>
      <c r="I56" s="194"/>
      <c r="J56" s="194"/>
      <c r="K56" s="194"/>
      <c r="L56" s="194"/>
      <c r="M56" s="194"/>
      <c r="N56" s="194"/>
      <c r="O56" s="194"/>
      <c r="Q56" s="194"/>
      <c r="R56" s="194"/>
      <c r="S56" s="194"/>
      <c r="T56" s="194"/>
      <c r="V56" s="194"/>
      <c r="W56" s="194"/>
      <c r="X56" s="194"/>
      <c r="Y56" s="194"/>
      <c r="AA56" s="194"/>
      <c r="AD56" s="161"/>
      <c r="AE56" s="194"/>
      <c r="AF56" s="194"/>
      <c r="AG56" s="194"/>
      <c r="AH56" s="194"/>
      <c r="AI56" s="161"/>
      <c r="AJ56" s="237"/>
      <c r="AK56" s="194"/>
      <c r="AL56" s="194"/>
      <c r="AM56" s="194"/>
      <c r="AN56" s="192"/>
      <c r="AO56" s="201"/>
      <c r="AX56" s="191"/>
      <c r="AY56" s="191"/>
    </row>
    <row r="57" customFormat="false" ht="11.1" hidden="false" customHeight="true" outlineLevel="0" collapsed="false">
      <c r="A57" s="194"/>
      <c r="B57" s="282"/>
      <c r="F57" s="194"/>
      <c r="G57" s="194"/>
      <c r="I57" s="195"/>
      <c r="J57" s="194"/>
      <c r="K57" s="186"/>
      <c r="L57" s="194"/>
      <c r="M57" s="194"/>
      <c r="N57" s="194"/>
      <c r="O57" s="194"/>
      <c r="Q57" s="194"/>
      <c r="R57" s="194"/>
      <c r="S57" s="194"/>
      <c r="T57" s="194"/>
      <c r="V57" s="194"/>
      <c r="W57" s="194"/>
      <c r="X57" s="194"/>
      <c r="Y57" s="194"/>
      <c r="AA57" s="194"/>
      <c r="AD57" s="161"/>
      <c r="AE57" s="194"/>
      <c r="AF57" s="194"/>
      <c r="AG57" s="194"/>
      <c r="AH57" s="194"/>
      <c r="AI57" s="161"/>
      <c r="AJ57" s="237"/>
      <c r="AK57" s="194"/>
      <c r="AL57" s="194"/>
      <c r="AM57" s="194"/>
      <c r="AN57" s="192"/>
      <c r="AO57" s="201"/>
      <c r="AX57" s="191"/>
      <c r="AY57" s="191"/>
    </row>
    <row r="58" customFormat="false" ht="11.1" hidden="false" customHeight="true" outlineLevel="0" collapsed="false">
      <c r="D58" s="161"/>
      <c r="Q58" s="111"/>
      <c r="R58" s="111"/>
      <c r="S58" s="111"/>
      <c r="T58" s="111"/>
      <c r="X58" s="56"/>
      <c r="Y58" s="56"/>
      <c r="AA58" s="56"/>
      <c r="AD58" s="161"/>
      <c r="AH58" s="56"/>
      <c r="AI58" s="161"/>
      <c r="AJ58" s="237"/>
      <c r="AM58" s="56"/>
      <c r="AN58" s="192"/>
      <c r="AO58" s="201"/>
      <c r="AX58" s="191"/>
      <c r="AY58" s="191"/>
    </row>
    <row r="59" customFormat="false" ht="11.1" hidden="false" customHeight="true" outlineLevel="0" collapsed="false">
      <c r="B59" s="8"/>
      <c r="D59" s="161"/>
    </row>
    <row r="60" customFormat="false" ht="11.1" hidden="false" customHeight="true" outlineLevel="0" collapsed="false">
      <c r="G60" s="283"/>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6" width="4.66"/>
    <col collapsed="false" customWidth="true" hidden="false" outlineLevel="0" max="2" min="2" style="56" width="6.99"/>
    <col collapsed="false" customWidth="true" hidden="false" outlineLevel="0" max="3" min="3" style="161" width="6.32"/>
    <col collapsed="false" customWidth="true" hidden="false" outlineLevel="0" max="4" min="4" style="56" width="6.32"/>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188" width="5.66"/>
    <col collapsed="false" customWidth="true" hidden="false" outlineLevel="0" max="11" min="9" style="56" width="6.32"/>
    <col collapsed="false" customWidth="true" hidden="false" outlineLevel="0" max="12" min="12" style="56" width="6.82"/>
    <col collapsed="false" customWidth="true" hidden="false" outlineLevel="0" max="13" min="13" style="111" width="5.49"/>
    <col collapsed="false" customWidth="true" hidden="false" outlineLevel="0" max="14" min="14" style="111" width="4.49"/>
    <col collapsed="false" customWidth="true" hidden="false" outlineLevel="0" max="15" min="15" style="111" width="5.49"/>
    <col collapsed="false" customWidth="true" hidden="false" outlineLevel="0" max="16" min="16" style="8" width="4.82"/>
    <col collapsed="false" customWidth="true" hidden="false" outlineLevel="0" max="20" min="17" style="56" width="4.32"/>
    <col collapsed="false" customWidth="true" hidden="false" outlineLevel="0" max="21" min="21" style="8" width="5.16"/>
    <col collapsed="false" customWidth="true" hidden="false" outlineLevel="0" max="23" min="22" style="56" width="5.49"/>
    <col collapsed="false" customWidth="true" hidden="false" outlineLevel="0" max="27" min="24" style="161" width="6.32"/>
    <col collapsed="false" customWidth="true" hidden="false" outlineLevel="0" max="28" min="28" style="111" width="5.49"/>
    <col collapsed="false" customWidth="true" hidden="false" outlineLevel="0" max="29" min="29" style="111" width="5.99"/>
    <col collapsed="false" customWidth="true" hidden="false" outlineLevel="0" max="33" min="30" style="56" width="5.49"/>
    <col collapsed="false" customWidth="true" hidden="false" outlineLevel="0" max="34" min="34" style="161" width="6.32"/>
    <col collapsed="false" customWidth="true" hidden="false" outlineLevel="0" max="35" min="35" style="56" width="5.49"/>
    <col collapsed="false" customWidth="true" hidden="false" outlineLevel="0" max="36" min="36" style="189" width="6.32"/>
    <col collapsed="false" customWidth="true" hidden="false" outlineLevel="0" max="37" min="37" style="56" width="6.32"/>
    <col collapsed="false" customWidth="true" hidden="false" outlineLevel="0" max="38" min="38" style="56" width="6.82"/>
    <col collapsed="false" customWidth="true" hidden="false" outlineLevel="0" max="39" min="39" style="8" width="6.82"/>
    <col collapsed="false" customWidth="true" hidden="false" outlineLevel="0" max="40" min="40" style="56" width="5.49"/>
    <col collapsed="false" customWidth="true" hidden="false" outlineLevel="0" max="41" min="41" style="111" width="5.49"/>
    <col collapsed="false" customWidth="true" hidden="false" outlineLevel="0" max="42" min="42" style="56" width="6.32"/>
    <col collapsed="false" customWidth="true" hidden="false" outlineLevel="0" max="43" min="43" style="190" width="6.32"/>
    <col collapsed="false" customWidth="true" hidden="false" outlineLevel="0" max="44" min="44" style="190" width="5.49"/>
    <col collapsed="false" customWidth="true" hidden="false" outlineLevel="0" max="45" min="45" style="190" width="5.32"/>
    <col collapsed="false" customWidth="true" hidden="false" outlineLevel="0" max="46" min="46" style="190" width="5.82"/>
    <col collapsed="false" customWidth="true" hidden="false" outlineLevel="0" max="47" min="47" style="56" width="4.99"/>
    <col collapsed="false" customWidth="true" hidden="false" outlineLevel="0" max="48" min="48" style="188" width="5.32"/>
    <col collapsed="false" customWidth="true" hidden="false" outlineLevel="0" max="49" min="49" style="191" width="3.82"/>
    <col collapsed="false" customWidth="true" hidden="false" outlineLevel="0" max="51" min="50" style="192" width="3.82"/>
    <col collapsed="false" customWidth="true" hidden="false" outlineLevel="0" max="52" min="52" style="189" width="5.82"/>
    <col collapsed="false" customWidth="false" hidden="false" outlineLevel="0" max="257" min="53" style="193" width="9.32"/>
  </cols>
  <sheetData>
    <row r="1" customFormat="false" ht="14.1" hidden="false" customHeight="true" outlineLevel="0" collapsed="false">
      <c r="A1" s="194"/>
      <c r="B1" s="194"/>
      <c r="D1" s="194"/>
      <c r="F1" s="194"/>
      <c r="G1" s="194"/>
      <c r="H1" s="195"/>
      <c r="I1" s="194"/>
      <c r="J1" s="194"/>
      <c r="K1" s="196" t="s">
        <v>0</v>
      </c>
      <c r="L1" s="194"/>
      <c r="M1" s="194"/>
      <c r="N1" s="194"/>
      <c r="O1" s="194"/>
      <c r="Q1" s="194"/>
      <c r="R1" s="194"/>
      <c r="S1" s="194"/>
      <c r="T1" s="194"/>
      <c r="V1" s="194"/>
      <c r="W1" s="194"/>
      <c r="AD1" s="194"/>
      <c r="AE1" s="194"/>
      <c r="AF1" s="194"/>
      <c r="AG1" s="194"/>
      <c r="AI1" s="194"/>
      <c r="AJ1" s="197"/>
      <c r="AK1" s="194"/>
      <c r="AL1" s="194"/>
    </row>
    <row r="2" customFormat="false" ht="14.1" hidden="false" customHeight="true" outlineLevel="0" collapsed="false">
      <c r="A2" s="197" t="s">
        <v>1</v>
      </c>
      <c r="B2" s="194"/>
      <c r="D2" s="198" t="n">
        <v>1.9835</v>
      </c>
      <c r="F2" s="194"/>
      <c r="G2" s="194"/>
      <c r="H2" s="195"/>
      <c r="I2" s="194"/>
      <c r="J2" s="194"/>
      <c r="K2" s="199" t="s">
        <v>118</v>
      </c>
      <c r="L2" s="199"/>
      <c r="M2" s="199"/>
      <c r="N2" s="199"/>
      <c r="O2" s="199"/>
      <c r="P2" s="199"/>
      <c r="Q2" s="199"/>
      <c r="R2" s="199"/>
      <c r="S2" s="199"/>
      <c r="T2" s="199"/>
      <c r="U2" s="199"/>
      <c r="V2" s="199"/>
      <c r="W2" s="200"/>
      <c r="X2" s="90"/>
      <c r="Y2" s="90"/>
      <c r="Z2" s="90"/>
      <c r="AA2" s="90"/>
      <c r="AB2" s="201"/>
      <c r="AC2" s="201"/>
      <c r="AD2" s="200"/>
      <c r="AE2" s="194"/>
      <c r="AF2" s="194"/>
      <c r="AG2" s="194"/>
      <c r="AI2" s="194"/>
      <c r="AJ2" s="197"/>
      <c r="AK2" s="194"/>
      <c r="AL2" s="194"/>
    </row>
    <row r="3" customFormat="false" ht="14.1" hidden="false" customHeight="true" outlineLevel="0" collapsed="false">
      <c r="A3" s="202"/>
      <c r="B3" s="202"/>
      <c r="C3" s="203"/>
      <c r="D3" s="204"/>
      <c r="E3" s="203"/>
      <c r="F3" s="202"/>
      <c r="G3" s="202"/>
      <c r="H3" s="205"/>
      <c r="I3" s="202"/>
      <c r="J3" s="202"/>
      <c r="K3" s="202"/>
      <c r="L3" s="202"/>
      <c r="M3" s="202"/>
      <c r="N3" s="202"/>
      <c r="O3" s="202"/>
      <c r="P3" s="206"/>
      <c r="Q3" s="202"/>
      <c r="R3" s="202"/>
      <c r="S3" s="202"/>
      <c r="T3" s="202"/>
      <c r="U3" s="206"/>
      <c r="V3" s="202"/>
      <c r="W3" s="202"/>
      <c r="X3" s="203"/>
      <c r="Y3" s="203"/>
      <c r="Z3" s="203"/>
      <c r="AA3" s="203"/>
      <c r="AB3" s="207"/>
      <c r="AC3" s="207"/>
      <c r="AD3" s="202"/>
      <c r="AE3" s="202"/>
      <c r="AF3" s="202"/>
      <c r="AG3" s="202"/>
      <c r="AH3" s="203"/>
      <c r="AI3" s="202"/>
      <c r="AJ3" s="208"/>
      <c r="AK3" s="202"/>
      <c r="AL3" s="202"/>
      <c r="AM3" s="206"/>
      <c r="AN3" s="209"/>
      <c r="AO3" s="207"/>
      <c r="AP3" s="209"/>
      <c r="AQ3" s="210"/>
      <c r="AV3" s="211"/>
      <c r="AW3" s="212"/>
      <c r="AX3" s="213"/>
      <c r="BA3" s="214"/>
      <c r="BB3" s="214"/>
    </row>
    <row r="4" s="1" customFormat="true" ht="14.1" hidden="false" customHeight="true" outlineLevel="0" collapsed="false">
      <c r="A4" s="32"/>
      <c r="B4" s="33"/>
      <c r="C4" s="34"/>
      <c r="D4" s="35" t="s">
        <v>3</v>
      </c>
      <c r="E4" s="34"/>
      <c r="F4" s="32"/>
      <c r="G4" s="36"/>
      <c r="H4" s="36"/>
      <c r="I4" s="37" t="s">
        <v>114</v>
      </c>
      <c r="J4" s="36"/>
      <c r="K4" s="36"/>
      <c r="L4" s="38"/>
      <c r="M4" s="36"/>
      <c r="N4" s="36"/>
      <c r="O4" s="36"/>
      <c r="P4" s="39"/>
      <c r="Q4" s="36"/>
      <c r="R4" s="36"/>
      <c r="S4" s="36"/>
      <c r="T4" s="36"/>
      <c r="U4" s="39"/>
      <c r="V4" s="36"/>
      <c r="W4" s="36"/>
      <c r="X4" s="40" t="s">
        <v>5</v>
      </c>
      <c r="Y4" s="40"/>
      <c r="Z4" s="40"/>
      <c r="AA4" s="40"/>
      <c r="AB4" s="41"/>
      <c r="AC4" s="41"/>
      <c r="AD4" s="42"/>
      <c r="AE4" s="36"/>
      <c r="AF4" s="36"/>
      <c r="AG4" s="36"/>
      <c r="AH4" s="34"/>
      <c r="AI4" s="36"/>
      <c r="AJ4" s="43"/>
      <c r="AK4" s="36"/>
      <c r="AL4" s="36"/>
      <c r="AM4" s="39"/>
      <c r="AN4" s="44"/>
      <c r="AO4" s="45"/>
      <c r="AP4" s="46" t="s">
        <v>6</v>
      </c>
      <c r="AQ4" s="47"/>
      <c r="AR4" s="48"/>
      <c r="AS4" s="49"/>
      <c r="AT4" s="50"/>
      <c r="AU4" s="50"/>
      <c r="AV4" s="52"/>
      <c r="AW4" s="53" t="s">
        <v>7</v>
      </c>
      <c r="AX4" s="54"/>
      <c r="AY4" s="215"/>
      <c r="AZ4" s="216"/>
      <c r="BA4" s="71"/>
      <c r="BB4" s="217"/>
    </row>
    <row r="5" customFormat="false" ht="12.95" hidden="false" customHeight="true" outlineLevel="0" collapsed="false">
      <c r="A5" s="58" t="s">
        <v>8</v>
      </c>
      <c r="B5" s="59" t="s">
        <v>9</v>
      </c>
      <c r="C5" s="60" t="s">
        <v>9</v>
      </c>
      <c r="D5" s="61" t="s">
        <v>10</v>
      </c>
      <c r="E5" s="60" t="s">
        <v>11</v>
      </c>
      <c r="F5" s="62" t="s">
        <v>12</v>
      </c>
      <c r="G5" s="58" t="s">
        <v>13</v>
      </c>
      <c r="H5" s="58" t="s">
        <v>14</v>
      </c>
      <c r="I5" s="58" t="s">
        <v>15</v>
      </c>
      <c r="J5" s="58" t="s">
        <v>16</v>
      </c>
      <c r="K5" s="58" t="s">
        <v>17</v>
      </c>
      <c r="L5" s="82" t="s">
        <v>16</v>
      </c>
      <c r="M5" s="218" t="s">
        <v>18</v>
      </c>
      <c r="N5" s="218"/>
      <c r="O5" s="218"/>
      <c r="P5" s="218"/>
      <c r="Q5" s="218"/>
      <c r="R5" s="218"/>
      <c r="S5" s="218"/>
      <c r="T5" s="218"/>
      <c r="U5" s="218"/>
      <c r="V5" s="58" t="s">
        <v>19</v>
      </c>
      <c r="W5" s="58" t="s">
        <v>20</v>
      </c>
      <c r="X5" s="58" t="s">
        <v>17</v>
      </c>
      <c r="Y5" s="58" t="s">
        <v>17</v>
      </c>
      <c r="Z5" s="64" t="s">
        <v>21</v>
      </c>
      <c r="AA5" s="58" t="s">
        <v>21</v>
      </c>
      <c r="AB5" s="64" t="s">
        <v>21</v>
      </c>
      <c r="AC5" s="64" t="s">
        <v>22</v>
      </c>
      <c r="AD5" s="65" t="s">
        <v>21</v>
      </c>
      <c r="AE5" s="58" t="s">
        <v>23</v>
      </c>
      <c r="AF5" s="66" t="s">
        <v>24</v>
      </c>
      <c r="AG5" s="67"/>
      <c r="AH5" s="58" t="s">
        <v>25</v>
      </c>
      <c r="AI5" s="68" t="s">
        <v>26</v>
      </c>
      <c r="AJ5" s="68" t="s">
        <v>27</v>
      </c>
      <c r="AK5" s="58" t="s">
        <v>15</v>
      </c>
      <c r="AL5" s="58" t="s">
        <v>16</v>
      </c>
      <c r="AM5" s="61" t="s">
        <v>17</v>
      </c>
      <c r="AN5" s="69" t="s">
        <v>28</v>
      </c>
      <c r="AO5" s="65" t="s">
        <v>21</v>
      </c>
      <c r="AP5" s="64" t="s">
        <v>29</v>
      </c>
      <c r="AQ5" s="70" t="s">
        <v>29</v>
      </c>
      <c r="AR5" s="65" t="s">
        <v>30</v>
      </c>
      <c r="AS5" s="71" t="s">
        <v>31</v>
      </c>
      <c r="AT5" s="71" t="s">
        <v>32</v>
      </c>
      <c r="AU5" s="72" t="s">
        <v>33</v>
      </c>
      <c r="AV5" s="73" t="s">
        <v>34</v>
      </c>
      <c r="AW5" s="74" t="s">
        <v>35</v>
      </c>
      <c r="AX5" s="74" t="s">
        <v>36</v>
      </c>
      <c r="AY5" s="219"/>
      <c r="AZ5" s="220" t="s">
        <v>17</v>
      </c>
      <c r="BA5" s="221" t="s">
        <v>37</v>
      </c>
      <c r="BB5" s="222" t="s">
        <v>37</v>
      </c>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78" t="s">
        <v>119</v>
      </c>
      <c r="B6" s="59" t="s">
        <v>39</v>
      </c>
      <c r="C6" s="60"/>
      <c r="D6" s="61" t="s">
        <v>40</v>
      </c>
      <c r="E6" s="60" t="s">
        <v>41</v>
      </c>
      <c r="F6" s="62" t="s">
        <v>42</v>
      </c>
      <c r="G6" s="58" t="s">
        <v>43</v>
      </c>
      <c r="H6" s="58" t="s">
        <v>44</v>
      </c>
      <c r="I6" s="58" t="s">
        <v>45</v>
      </c>
      <c r="J6" s="58" t="s">
        <v>45</v>
      </c>
      <c r="K6" s="58" t="s">
        <v>45</v>
      </c>
      <c r="L6" s="82" t="s">
        <v>46</v>
      </c>
      <c r="M6" s="61" t="s">
        <v>47</v>
      </c>
      <c r="N6" s="61" t="s">
        <v>48</v>
      </c>
      <c r="O6" s="61" t="s">
        <v>49</v>
      </c>
      <c r="P6" s="80" t="s">
        <v>50</v>
      </c>
      <c r="Q6" s="61" t="s">
        <v>51</v>
      </c>
      <c r="R6" s="61" t="s">
        <v>52</v>
      </c>
      <c r="S6" s="61"/>
      <c r="T6" s="61" t="s">
        <v>49</v>
      </c>
      <c r="U6" s="81" t="s">
        <v>53</v>
      </c>
      <c r="V6" s="58" t="s">
        <v>54</v>
      </c>
      <c r="W6" s="58" t="s">
        <v>55</v>
      </c>
      <c r="X6" s="58" t="s">
        <v>21</v>
      </c>
      <c r="Y6" s="58" t="s">
        <v>21</v>
      </c>
      <c r="Z6" s="64" t="s">
        <v>56</v>
      </c>
      <c r="AA6" s="58" t="s">
        <v>56</v>
      </c>
      <c r="AB6" s="64" t="s">
        <v>57</v>
      </c>
      <c r="AC6" s="64" t="s">
        <v>58</v>
      </c>
      <c r="AD6" s="65" t="s">
        <v>59</v>
      </c>
      <c r="AE6" s="58" t="s">
        <v>60</v>
      </c>
      <c r="AF6" s="79" t="s">
        <v>61</v>
      </c>
      <c r="AG6" s="82" t="s">
        <v>62</v>
      </c>
      <c r="AH6" s="58" t="s">
        <v>63</v>
      </c>
      <c r="AI6" s="68" t="s">
        <v>64</v>
      </c>
      <c r="AJ6" s="68"/>
      <c r="AK6" s="58" t="s">
        <v>65</v>
      </c>
      <c r="AL6" s="58" t="s">
        <v>65</v>
      </c>
      <c r="AM6" s="61" t="s">
        <v>65</v>
      </c>
      <c r="AN6" s="69" t="s">
        <v>66</v>
      </c>
      <c r="AO6" s="65" t="s">
        <v>67</v>
      </c>
      <c r="AP6" s="64" t="s">
        <v>68</v>
      </c>
      <c r="AQ6" s="70" t="s">
        <v>68</v>
      </c>
      <c r="AR6" s="65" t="s">
        <v>69</v>
      </c>
      <c r="AS6" s="71" t="s">
        <v>70</v>
      </c>
      <c r="AT6" s="71" t="s">
        <v>71</v>
      </c>
      <c r="AU6" s="72" t="s">
        <v>72</v>
      </c>
      <c r="AV6" s="83"/>
      <c r="AW6" s="74" t="s">
        <v>73</v>
      </c>
      <c r="AX6" s="74" t="s">
        <v>73</v>
      </c>
      <c r="AY6" s="219"/>
      <c r="AZ6" s="220" t="s">
        <v>74</v>
      </c>
      <c r="BA6" s="221" t="s">
        <v>75</v>
      </c>
      <c r="BB6" s="222" t="s">
        <v>76</v>
      </c>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58"/>
      <c r="B7" s="59"/>
      <c r="C7" s="60"/>
      <c r="D7" s="61"/>
      <c r="E7" s="60"/>
      <c r="F7" s="62"/>
      <c r="G7" s="58"/>
      <c r="H7" s="58"/>
      <c r="I7" s="58"/>
      <c r="J7" s="58"/>
      <c r="K7" s="58"/>
      <c r="L7" s="82"/>
      <c r="M7" s="61"/>
      <c r="N7" s="61" t="s">
        <v>77</v>
      </c>
      <c r="O7" s="61" t="s">
        <v>78</v>
      </c>
      <c r="P7" s="80"/>
      <c r="Q7" s="61" t="s">
        <v>79</v>
      </c>
      <c r="R7" s="61" t="s">
        <v>79</v>
      </c>
      <c r="S7" s="61" t="s">
        <v>62</v>
      </c>
      <c r="T7" s="61" t="s">
        <v>62</v>
      </c>
      <c r="U7" s="81" t="s">
        <v>80</v>
      </c>
      <c r="V7" s="58"/>
      <c r="W7" s="58"/>
      <c r="X7" s="68" t="s">
        <v>81</v>
      </c>
      <c r="Y7" s="60" t="s">
        <v>82</v>
      </c>
      <c r="Z7" s="64" t="s">
        <v>83</v>
      </c>
      <c r="AA7" s="58" t="s">
        <v>84</v>
      </c>
      <c r="AB7" s="64" t="s">
        <v>85</v>
      </c>
      <c r="AC7" s="64"/>
      <c r="AD7" s="65"/>
      <c r="AE7" s="82"/>
      <c r="AF7" s="84" t="n">
        <v>1.7</v>
      </c>
      <c r="AG7" s="84" t="n">
        <v>1.3</v>
      </c>
      <c r="AH7" s="79"/>
      <c r="AI7" s="85" t="n">
        <v>29007</v>
      </c>
      <c r="AJ7" s="68"/>
      <c r="AK7" s="58"/>
      <c r="AL7" s="58"/>
      <c r="AM7" s="61"/>
      <c r="AN7" s="69"/>
      <c r="AO7" s="65"/>
      <c r="AP7" s="64" t="s">
        <v>86</v>
      </c>
      <c r="AQ7" s="70" t="s">
        <v>87</v>
      </c>
      <c r="AR7" s="65" t="s">
        <v>88</v>
      </c>
      <c r="AS7" s="71" t="s">
        <v>89</v>
      </c>
      <c r="AT7" s="71" t="s">
        <v>90</v>
      </c>
      <c r="AU7" s="72" t="s">
        <v>81</v>
      </c>
      <c r="AV7" s="83"/>
      <c r="AW7" s="74"/>
      <c r="AX7" s="74"/>
      <c r="AY7" s="219"/>
      <c r="AZ7" s="220" t="s">
        <v>91</v>
      </c>
      <c r="BA7" s="221"/>
      <c r="BB7" s="222"/>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58"/>
      <c r="B8" s="59"/>
      <c r="C8" s="60"/>
      <c r="D8" s="61"/>
      <c r="E8" s="60"/>
      <c r="F8" s="62"/>
      <c r="G8" s="58"/>
      <c r="H8" s="58"/>
      <c r="I8" s="58"/>
      <c r="J8" s="58"/>
      <c r="K8" s="58"/>
      <c r="L8" s="82"/>
      <c r="M8" s="61"/>
      <c r="N8" s="61"/>
      <c r="O8" s="61"/>
      <c r="P8" s="80"/>
      <c r="Q8" s="61" t="s">
        <v>62</v>
      </c>
      <c r="R8" s="61" t="s">
        <v>62</v>
      </c>
      <c r="S8" s="61"/>
      <c r="T8" s="61"/>
      <c r="U8" s="81"/>
      <c r="V8" s="58"/>
      <c r="W8" s="58"/>
      <c r="X8" s="68" t="s">
        <v>92</v>
      </c>
      <c r="Y8" s="60" t="s">
        <v>81</v>
      </c>
      <c r="Z8" s="64"/>
      <c r="AA8" s="60" t="s">
        <v>93</v>
      </c>
      <c r="AB8" s="64" t="s">
        <v>94</v>
      </c>
      <c r="AC8" s="64"/>
      <c r="AD8" s="65"/>
      <c r="AE8" s="82"/>
      <c r="AF8" s="84"/>
      <c r="AG8" s="84"/>
      <c r="AH8" s="79"/>
      <c r="AI8" s="85"/>
      <c r="AJ8" s="68"/>
      <c r="AK8" s="58"/>
      <c r="AL8" s="58"/>
      <c r="AM8" s="61"/>
      <c r="AN8" s="69"/>
      <c r="AO8" s="65"/>
      <c r="AP8" s="64"/>
      <c r="AQ8" s="70"/>
      <c r="AR8" s="65"/>
      <c r="AS8" s="71"/>
      <c r="AT8" s="71"/>
      <c r="AU8" s="72"/>
      <c r="AV8" s="83"/>
      <c r="AW8" s="74"/>
      <c r="AX8" s="74"/>
      <c r="AY8" s="219"/>
      <c r="AZ8" s="220"/>
      <c r="BA8" s="221"/>
      <c r="BB8" s="222"/>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58"/>
      <c r="B9" s="59"/>
      <c r="C9" s="60"/>
      <c r="D9" s="61"/>
      <c r="E9" s="60"/>
      <c r="F9" s="62"/>
      <c r="G9" s="58"/>
      <c r="H9" s="58"/>
      <c r="I9" s="58"/>
      <c r="J9" s="58"/>
      <c r="K9" s="58"/>
      <c r="L9" s="82"/>
      <c r="M9" s="61"/>
      <c r="N9" s="61"/>
      <c r="O9" s="61"/>
      <c r="P9" s="80"/>
      <c r="Q9" s="61"/>
      <c r="R9" s="87" t="n">
        <v>4.2</v>
      </c>
      <c r="S9" s="61"/>
      <c r="T9" s="61"/>
      <c r="U9" s="81"/>
      <c r="V9" s="58"/>
      <c r="W9" s="58"/>
      <c r="X9" s="68"/>
      <c r="Y9" s="60" t="s">
        <v>92</v>
      </c>
      <c r="Z9" s="64"/>
      <c r="AA9" s="60" t="s">
        <v>92</v>
      </c>
      <c r="AB9" s="64" t="s">
        <v>95</v>
      </c>
      <c r="AC9" s="64"/>
      <c r="AD9" s="65"/>
      <c r="AE9" s="82"/>
      <c r="AF9" s="84"/>
      <c r="AG9" s="84"/>
      <c r="AH9" s="79"/>
      <c r="AI9" s="85"/>
      <c r="AJ9" s="68"/>
      <c r="AK9" s="58"/>
      <c r="AL9" s="58"/>
      <c r="AM9" s="61"/>
      <c r="AN9" s="69"/>
      <c r="AO9" s="65"/>
      <c r="AP9" s="64"/>
      <c r="AQ9" s="70"/>
      <c r="AR9" s="65"/>
      <c r="AS9" s="71"/>
      <c r="AT9" s="71"/>
      <c r="AU9" s="72"/>
      <c r="AV9" s="83"/>
      <c r="AW9" s="74"/>
      <c r="AX9" s="74"/>
      <c r="AY9" s="219"/>
      <c r="AZ9" s="220"/>
      <c r="BA9" s="221"/>
      <c r="BB9" s="222" t="s">
        <v>96</v>
      </c>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58"/>
      <c r="B10" s="59"/>
      <c r="C10" s="60" t="s">
        <v>97</v>
      </c>
      <c r="D10" s="61"/>
      <c r="E10" s="60" t="s">
        <v>98</v>
      </c>
      <c r="F10" s="62"/>
      <c r="G10" s="61" t="s">
        <v>42</v>
      </c>
      <c r="H10" s="61" t="s">
        <v>42</v>
      </c>
      <c r="I10" s="61" t="s">
        <v>42</v>
      </c>
      <c r="J10" s="61" t="s">
        <v>42</v>
      </c>
      <c r="K10" s="61" t="s">
        <v>42</v>
      </c>
      <c r="L10" s="82" t="s">
        <v>42</v>
      </c>
      <c r="M10" s="61" t="s">
        <v>42</v>
      </c>
      <c r="N10" s="61" t="s">
        <v>42</v>
      </c>
      <c r="O10" s="61" t="s">
        <v>42</v>
      </c>
      <c r="P10" s="61" t="s">
        <v>42</v>
      </c>
      <c r="Q10" s="61" t="s">
        <v>42</v>
      </c>
      <c r="R10" s="61" t="s">
        <v>42</v>
      </c>
      <c r="S10" s="61" t="s">
        <v>42</v>
      </c>
      <c r="T10" s="61" t="s">
        <v>42</v>
      </c>
      <c r="U10" s="82" t="s">
        <v>42</v>
      </c>
      <c r="V10" s="61" t="s">
        <v>42</v>
      </c>
      <c r="W10" s="61" t="s">
        <v>42</v>
      </c>
      <c r="X10" s="60" t="n">
        <v>153400</v>
      </c>
      <c r="Y10" s="60" t="n">
        <v>150400</v>
      </c>
      <c r="Z10" s="61"/>
      <c r="AA10" s="60"/>
      <c r="AB10" s="60" t="n">
        <v>72000</v>
      </c>
      <c r="AC10" s="61" t="s">
        <v>42</v>
      </c>
      <c r="AD10" s="61" t="s">
        <v>42</v>
      </c>
      <c r="AE10" s="82" t="s">
        <v>42</v>
      </c>
      <c r="AF10" s="61" t="s">
        <v>42</v>
      </c>
      <c r="AG10" s="61" t="s">
        <v>42</v>
      </c>
      <c r="AH10" s="79" t="s">
        <v>42</v>
      </c>
      <c r="AI10" s="61" t="s">
        <v>42</v>
      </c>
      <c r="AJ10" s="61" t="s">
        <v>42</v>
      </c>
      <c r="AK10" s="61" t="s">
        <v>42</v>
      </c>
      <c r="AL10" s="61" t="s">
        <v>42</v>
      </c>
      <c r="AM10" s="62" t="s">
        <v>42</v>
      </c>
      <c r="AN10" s="65" t="s">
        <v>42</v>
      </c>
      <c r="AO10" s="65" t="s">
        <v>42</v>
      </c>
      <c r="AP10" s="65" t="s">
        <v>42</v>
      </c>
      <c r="AQ10" s="70" t="s">
        <v>99</v>
      </c>
      <c r="AR10" s="65" t="s">
        <v>42</v>
      </c>
      <c r="AS10" s="65" t="s">
        <v>42</v>
      </c>
      <c r="AT10" s="65" t="s">
        <v>42</v>
      </c>
      <c r="AU10" s="65" t="s">
        <v>42</v>
      </c>
      <c r="AV10" s="83"/>
      <c r="AW10" s="74"/>
      <c r="AX10" s="74"/>
      <c r="AY10" s="219"/>
      <c r="AZ10" s="220" t="s">
        <v>100</v>
      </c>
      <c r="BA10" s="221" t="s">
        <v>42</v>
      </c>
      <c r="BB10" s="222" t="s">
        <v>98</v>
      </c>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row>
    <row r="11" customFormat="false" ht="12.95" hidden="false" customHeight="true" outlineLevel="0" collapsed="false">
      <c r="A11" s="58"/>
      <c r="B11" s="59"/>
      <c r="C11" s="60"/>
      <c r="D11" s="61"/>
      <c r="E11" s="60"/>
      <c r="F11" s="62"/>
      <c r="G11" s="58"/>
      <c r="H11" s="58"/>
      <c r="I11" s="58"/>
      <c r="J11" s="58"/>
      <c r="K11" s="58"/>
      <c r="L11" s="82"/>
      <c r="M11" s="61"/>
      <c r="N11" s="47" t="n">
        <v>1.03</v>
      </c>
      <c r="O11" s="47" t="n">
        <v>1.05</v>
      </c>
      <c r="P11" s="47" t="n">
        <v>1.02</v>
      </c>
      <c r="Q11" s="88" t="n">
        <v>1.02</v>
      </c>
      <c r="R11" s="89" t="n">
        <v>1.04</v>
      </c>
      <c r="S11" s="61"/>
      <c r="T11" s="88" t="n">
        <v>1.04</v>
      </c>
      <c r="U11" s="81"/>
      <c r="V11" s="58"/>
      <c r="W11" s="58"/>
      <c r="X11" s="61" t="s">
        <v>42</v>
      </c>
      <c r="Y11" s="61" t="s">
        <v>42</v>
      </c>
      <c r="Z11" s="61" t="s">
        <v>42</v>
      </c>
      <c r="AA11" s="60" t="s">
        <v>42</v>
      </c>
      <c r="AB11" s="90" t="s">
        <v>101</v>
      </c>
      <c r="AC11" s="64"/>
      <c r="AD11" s="64"/>
      <c r="AE11" s="91"/>
      <c r="AF11" s="84"/>
      <c r="AG11" s="84"/>
      <c r="AH11" s="79"/>
      <c r="AI11" s="85"/>
      <c r="AJ11" s="92"/>
      <c r="AK11" s="58"/>
      <c r="AL11" s="58"/>
      <c r="AM11" s="61"/>
      <c r="AN11" s="69"/>
      <c r="AO11" s="65"/>
      <c r="AP11" s="64"/>
      <c r="AQ11" s="70"/>
      <c r="AR11" s="70"/>
      <c r="AS11" s="93"/>
      <c r="AT11" s="93"/>
      <c r="AU11" s="93"/>
      <c r="AV11" s="83"/>
      <c r="AW11" s="74"/>
      <c r="AX11" s="74"/>
      <c r="AY11" s="219"/>
      <c r="AZ11" s="220" t="s">
        <v>42</v>
      </c>
      <c r="BA11" s="221"/>
      <c r="BB11" s="222"/>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row>
    <row r="12" customFormat="false" ht="12.95" hidden="false" customHeight="true" outlineLevel="0" collapsed="false">
      <c r="A12" s="197" t="s">
        <v>102</v>
      </c>
      <c r="B12" s="223"/>
      <c r="C12" s="114"/>
      <c r="D12" s="114"/>
      <c r="E12" s="114"/>
      <c r="F12" s="224"/>
      <c r="G12" s="114"/>
      <c r="H12" s="225"/>
      <c r="I12" s="114"/>
      <c r="J12" s="114"/>
      <c r="K12" s="114"/>
      <c r="L12" s="114"/>
      <c r="M12" s="226"/>
      <c r="N12" s="114"/>
      <c r="O12" s="114"/>
      <c r="P12" s="171"/>
      <c r="Q12" s="114"/>
      <c r="R12" s="114"/>
      <c r="S12" s="114"/>
      <c r="T12" s="114"/>
      <c r="U12" s="227"/>
      <c r="V12" s="114"/>
      <c r="W12" s="114"/>
      <c r="X12" s="114"/>
      <c r="Y12" s="114"/>
      <c r="Z12" s="114"/>
      <c r="AA12" s="114"/>
      <c r="AB12" s="144"/>
      <c r="AC12" s="144"/>
      <c r="AD12" s="114"/>
      <c r="AE12" s="114"/>
      <c r="AF12" s="226"/>
      <c r="AG12" s="228"/>
      <c r="AH12" s="114"/>
      <c r="AI12" s="114"/>
      <c r="AJ12" s="229"/>
      <c r="AK12" s="114"/>
      <c r="AL12" s="114"/>
      <c r="AM12" s="114"/>
      <c r="AN12" s="230"/>
      <c r="AO12" s="144"/>
      <c r="AP12" s="231"/>
      <c r="AU12" s="86"/>
      <c r="AV12" s="284"/>
      <c r="AW12" s="225"/>
      <c r="AX12" s="225"/>
      <c r="AY12" s="225"/>
      <c r="AZ12" s="234"/>
      <c r="BA12" s="285"/>
      <c r="BB12" s="236"/>
    </row>
    <row r="13" s="243" customFormat="true" ht="12.95" hidden="false" customHeight="true" outlineLevel="0" collapsed="false">
      <c r="A13" s="237" t="s">
        <v>103</v>
      </c>
      <c r="B13" s="113" t="n">
        <f aca="false">DEC!B45</f>
        <v>6867.57</v>
      </c>
      <c r="C13" s="238" t="n">
        <f aca="false">DEC!C45</f>
        <v>181444</v>
      </c>
      <c r="D13" s="114" t="n">
        <f aca="false">DEC!D54</f>
        <v>-4296</v>
      </c>
      <c r="E13" s="114" t="n">
        <f aca="false">DEC!E54</f>
        <v>29444</v>
      </c>
      <c r="F13" s="224" t="n">
        <f aca="false">DEC!F53</f>
        <v>-2165.86841441896</v>
      </c>
      <c r="G13" s="114" t="n">
        <f aca="false">DEC!G53</f>
        <v>4877</v>
      </c>
      <c r="H13" s="238" t="n">
        <f aca="false">DEC!H53</f>
        <v>19.949</v>
      </c>
      <c r="I13" s="114" t="n">
        <f aca="false">DEC!I53</f>
        <v>4896.329</v>
      </c>
      <c r="J13" s="238" t="n">
        <f aca="false">DEC!J53</f>
        <v>443.224735820519</v>
      </c>
      <c r="K13" s="114" t="n">
        <f aca="false">DEC!K53</f>
        <v>5339.55373582052</v>
      </c>
      <c r="L13" s="278" t="n">
        <f aca="false">DEC!L53</f>
        <v>-1089.01741441896</v>
      </c>
      <c r="M13" s="114" t="n">
        <f aca="false">DEC!M53</f>
        <v>190.79</v>
      </c>
      <c r="N13" s="238" t="n">
        <f aca="false">DEC!N53</f>
        <v>0</v>
      </c>
      <c r="O13" s="114" t="n">
        <f aca="false">DEC!O53</f>
        <v>0</v>
      </c>
      <c r="P13" s="238" t="n">
        <f aca="false">DEC!P53</f>
        <v>0</v>
      </c>
      <c r="Q13" s="114" t="n">
        <f aca="false">DEC!Q53</f>
        <v>85.9221515564051</v>
      </c>
      <c r="R13" s="238" t="n">
        <f aca="false">DEC!R53</f>
        <v>95.5095544</v>
      </c>
      <c r="S13" s="114" t="n">
        <f aca="false">DEC!S53</f>
        <v>0</v>
      </c>
      <c r="T13" s="114" t="n">
        <f aca="false">DEC!T53</f>
        <v>31.3704456</v>
      </c>
      <c r="U13" s="278" t="n">
        <f aca="false">DEC!U53</f>
        <v>-22.0121515564051</v>
      </c>
      <c r="V13" s="114" t="n">
        <f aca="false">DEC!V53</f>
        <v>4183.99</v>
      </c>
      <c r="W13" s="238" t="n">
        <f aca="false">DEC!W53</f>
        <v>0</v>
      </c>
      <c r="X13" s="114" t="n">
        <f aca="false">DEC!X53</f>
        <v>4151.95345</v>
      </c>
      <c r="Y13" s="238" t="n">
        <f aca="false">DEC!Y53</f>
        <v>4151.95345</v>
      </c>
      <c r="Z13" s="114"/>
      <c r="AA13" s="114"/>
      <c r="AB13" s="144"/>
      <c r="AC13" s="286" t="n">
        <f aca="false">DEC!AC53</f>
        <v>1087.23114916737</v>
      </c>
      <c r="AD13" s="114"/>
      <c r="AE13" s="114"/>
      <c r="AF13" s="226"/>
      <c r="AG13" s="228"/>
      <c r="AH13" s="238" t="n">
        <f aca="false">DEC!AH53</f>
        <v>1598.4</v>
      </c>
      <c r="AI13" s="238" t="n">
        <f aca="false">DEC!AI53</f>
        <v>2536.14923115706</v>
      </c>
      <c r="AJ13" s="114"/>
      <c r="AK13" s="238" t="n">
        <f aca="false">DEC!AK53</f>
        <v>5973.18</v>
      </c>
      <c r="AL13" s="238" t="n">
        <f aca="false">DEC!AL53</f>
        <v>1532.24215023948</v>
      </c>
      <c r="AM13" s="238" t="n">
        <f aca="false">DEC!AM53</f>
        <v>7505.42215023948</v>
      </c>
      <c r="AN13" s="230" t="n">
        <f aca="false">DEC!AN53</f>
        <v>4183.99</v>
      </c>
      <c r="AO13" s="286" t="n">
        <f aca="false">DEC!AO53</f>
        <v>0</v>
      </c>
      <c r="AP13" s="114"/>
      <c r="AQ13" s="240"/>
      <c r="AR13" s="240"/>
      <c r="AS13" s="240"/>
      <c r="AT13" s="240"/>
      <c r="AU13" s="115"/>
      <c r="AV13" s="287" t="n">
        <f aca="false">DEC!AV53</f>
        <v>1.57</v>
      </c>
      <c r="AW13" s="225"/>
      <c r="AX13" s="225"/>
      <c r="AY13" s="225"/>
      <c r="AZ13" s="288" t="n">
        <f aca="false">DEC!AZ53</f>
        <v>190.79</v>
      </c>
      <c r="BA13" s="235" t="n">
        <f aca="false">DEC!BA53</f>
        <v>12.2</v>
      </c>
      <c r="BB13" s="242"/>
    </row>
    <row r="14" customFormat="false" ht="3" hidden="false" customHeight="true" outlineLevel="0" collapsed="false">
      <c r="A14" s="244"/>
      <c r="B14" s="245"/>
      <c r="C14" s="246"/>
      <c r="D14" s="247"/>
      <c r="E14" s="246"/>
      <c r="F14" s="248"/>
      <c r="G14" s="247"/>
      <c r="H14" s="249"/>
      <c r="I14" s="247"/>
      <c r="J14" s="247"/>
      <c r="K14" s="247"/>
      <c r="L14" s="247"/>
      <c r="M14" s="250"/>
      <c r="N14" s="247"/>
      <c r="O14" s="247"/>
      <c r="P14" s="251"/>
      <c r="Q14" s="247"/>
      <c r="R14" s="247"/>
      <c r="S14" s="247"/>
      <c r="T14" s="247"/>
      <c r="U14" s="252"/>
      <c r="V14" s="247"/>
      <c r="W14" s="247"/>
      <c r="X14" s="247"/>
      <c r="Y14" s="247"/>
      <c r="Z14" s="247"/>
      <c r="AA14" s="247"/>
      <c r="AB14" s="253"/>
      <c r="AC14" s="253"/>
      <c r="AD14" s="246"/>
      <c r="AE14" s="247"/>
      <c r="AF14" s="250"/>
      <c r="AG14" s="254"/>
      <c r="AH14" s="247"/>
      <c r="AI14" s="246"/>
      <c r="AJ14" s="246"/>
      <c r="AK14" s="247"/>
      <c r="AL14" s="247"/>
      <c r="AM14" s="247"/>
      <c r="AN14" s="255"/>
      <c r="AO14" s="253"/>
      <c r="AP14" s="256"/>
      <c r="AQ14" s="257"/>
      <c r="AR14" s="257"/>
      <c r="AS14" s="257"/>
      <c r="AT14" s="257"/>
      <c r="AU14" s="289"/>
      <c r="AV14" s="275"/>
      <c r="AW14" s="256"/>
      <c r="AX14" s="256"/>
      <c r="AY14" s="256"/>
      <c r="AZ14" s="256"/>
      <c r="BA14" s="256"/>
      <c r="BB14" s="256"/>
    </row>
    <row r="15" customFormat="false" ht="12.95" hidden="false" customHeight="true" outlineLevel="0" collapsed="false">
      <c r="A15" s="192" t="n">
        <v>1</v>
      </c>
      <c r="B15" s="113" t="n">
        <v>6867.59</v>
      </c>
      <c r="C15" s="114" t="n">
        <v>181496</v>
      </c>
      <c r="D15" s="225" t="n">
        <f aca="false">C15-C13</f>
        <v>52</v>
      </c>
      <c r="E15" s="114" t="n">
        <f aca="false">C15-152000</f>
        <v>29496</v>
      </c>
      <c r="F15" s="259" t="n">
        <f aca="false">D15/$D$2</f>
        <v>26.2162843458533</v>
      </c>
      <c r="G15" s="143" t="n">
        <v>58</v>
      </c>
      <c r="H15" s="260" t="n">
        <v>2.01</v>
      </c>
      <c r="I15" s="143" t="n">
        <f aca="false">G15+H15</f>
        <v>60.01</v>
      </c>
      <c r="J15" s="144" t="n">
        <f aca="false">IF(L15&gt;0,L15,0)</f>
        <v>0</v>
      </c>
      <c r="K15" s="143" t="n">
        <f aca="false">I15+J15</f>
        <v>60.01</v>
      </c>
      <c r="L15" s="143" t="n">
        <f aca="false">F15-(I15-AK15)</f>
        <v>-5.66371565414671</v>
      </c>
      <c r="M15" s="261" t="n">
        <v>2.63</v>
      </c>
      <c r="N15" s="143" t="n">
        <v>0</v>
      </c>
      <c r="O15" s="143" t="n">
        <f aca="false">0*1.05</f>
        <v>0</v>
      </c>
      <c r="P15" s="171" t="n">
        <v>0</v>
      </c>
      <c r="Q15" s="139" t="n">
        <f aca="false">864300/325851/1.9835*1.02</f>
        <v>1.36399702101476</v>
      </c>
      <c r="R15" s="139" t="n">
        <f aca="false">(1.9*1.04)-T15</f>
        <v>1.50714928</v>
      </c>
      <c r="S15" s="139" t="n">
        <v>0</v>
      </c>
      <c r="T15" s="139" t="n">
        <f aca="false">(0.4253*1.06)*1.04</f>
        <v>0.46885072</v>
      </c>
      <c r="U15" s="102" t="n">
        <f aca="false">M15-(Q15+R15+S15+T15)</f>
        <v>-0.709997021014762</v>
      </c>
      <c r="V15" s="143" t="n">
        <v>0</v>
      </c>
      <c r="W15" s="143" t="n">
        <v>0</v>
      </c>
      <c r="X15" s="143" t="n">
        <f aca="false">M15-N15-P15-O15-Q15-R15-S15-T15-U15+V15+W15</f>
        <v>0</v>
      </c>
      <c r="Y15" s="143" t="n">
        <f aca="false">X15-AO15</f>
        <v>0</v>
      </c>
      <c r="Z15" s="143"/>
      <c r="AA15" s="143"/>
      <c r="AB15" s="144"/>
      <c r="AC15" s="144" t="n">
        <v>52.1288536989852</v>
      </c>
      <c r="AD15" s="114"/>
      <c r="AE15" s="143" t="n">
        <v>0</v>
      </c>
      <c r="AF15" s="261"/>
      <c r="AG15" s="262"/>
      <c r="AH15" s="143" t="n">
        <v>25.5</v>
      </c>
      <c r="AI15" s="114" t="n">
        <f aca="false">AI13-AH15</f>
        <v>2510.64923115706</v>
      </c>
      <c r="AJ15" s="114"/>
      <c r="AK15" s="142" t="n">
        <f aca="false">N15+O15+P15+Q15+R15+S15+T15+U15+X15+AE15+AH15</f>
        <v>28.13</v>
      </c>
      <c r="AL15" s="143" t="n">
        <f aca="false">IF(L15&lt;0,L15*-1,0)</f>
        <v>5.66371565414671</v>
      </c>
      <c r="AM15" s="143" t="n">
        <f aca="false">AK15+AL15</f>
        <v>33.7937156541467</v>
      </c>
      <c r="AN15" s="147" t="n">
        <f aca="false">V15</f>
        <v>0</v>
      </c>
      <c r="AO15" s="144"/>
      <c r="AP15" s="231"/>
      <c r="AU15" s="86"/>
      <c r="AV15" s="284" t="n">
        <v>0</v>
      </c>
      <c r="AW15" s="225" t="n">
        <v>38</v>
      </c>
      <c r="AX15" s="225" t="n">
        <v>5</v>
      </c>
      <c r="AY15" s="225"/>
      <c r="AZ15" s="263" t="n">
        <f aca="false">SUM(N15,P15:U15)</f>
        <v>2.63</v>
      </c>
      <c r="BA15" s="193" t="n">
        <v>0</v>
      </c>
      <c r="BB15" s="264" t="n">
        <v>16322</v>
      </c>
    </row>
    <row r="16" customFormat="false" ht="12.95" hidden="false" customHeight="true" outlineLevel="0" collapsed="false">
      <c r="A16" s="192" t="n">
        <f aca="false">A15+1</f>
        <v>2</v>
      </c>
      <c r="B16" s="113" t="n">
        <v>6867.61</v>
      </c>
      <c r="C16" s="114" t="n">
        <v>181547</v>
      </c>
      <c r="D16" s="225" t="n">
        <f aca="false">C16-C15</f>
        <v>51</v>
      </c>
      <c r="E16" s="114" t="n">
        <f aca="false">C16-152000</f>
        <v>29547</v>
      </c>
      <c r="F16" s="259" t="n">
        <f aca="false">D16/$D$2</f>
        <v>25.71212503151</v>
      </c>
      <c r="G16" s="143" t="n">
        <v>58</v>
      </c>
      <c r="H16" s="260" t="n">
        <v>2.6</v>
      </c>
      <c r="I16" s="143" t="n">
        <f aca="false">G16+H16</f>
        <v>60.6</v>
      </c>
      <c r="J16" s="144" t="n">
        <f aca="false">IF(L16&gt;0,L16,0)</f>
        <v>0</v>
      </c>
      <c r="K16" s="143" t="n">
        <f aca="false">I16+J16</f>
        <v>60.6</v>
      </c>
      <c r="L16" s="143" t="n">
        <f aca="false">F16-(I16-AK16)</f>
        <v>-6.52787496849005</v>
      </c>
      <c r="M16" s="261" t="n">
        <v>2.86</v>
      </c>
      <c r="N16" s="143" t="n">
        <v>0</v>
      </c>
      <c r="O16" s="143" t="n">
        <f aca="false">0*1.05</f>
        <v>0</v>
      </c>
      <c r="P16" s="171" t="n">
        <v>0</v>
      </c>
      <c r="Q16" s="139" t="n">
        <f aca="false">894800/325851/1.9835*1.02</f>
        <v>1.4121306657457</v>
      </c>
      <c r="R16" s="139" t="n">
        <f aca="false">(1.9*1.04)-T16</f>
        <v>1.30827632</v>
      </c>
      <c r="S16" s="139" t="n">
        <v>0</v>
      </c>
      <c r="T16" s="139" t="n">
        <f aca="false">(0.6057*1.06)*1.04</f>
        <v>0.66772368</v>
      </c>
      <c r="U16" s="102" t="n">
        <f aca="false">M16-(Q16+R16+S16+T16)</f>
        <v>-0.5281306657457</v>
      </c>
      <c r="V16" s="143" t="n">
        <v>0</v>
      </c>
      <c r="W16" s="143" t="n">
        <v>0</v>
      </c>
      <c r="X16" s="143" t="n">
        <f aca="false">M16-N16-P16-O16-Q16-R16-S16-T16-U16+V16+W16</f>
        <v>0</v>
      </c>
      <c r="Y16" s="143" t="n">
        <f aca="false">X16-AO16</f>
        <v>0</v>
      </c>
      <c r="Z16" s="143"/>
      <c r="AA16" s="143"/>
      <c r="AB16" s="144"/>
      <c r="AC16" s="144" t="n">
        <v>52.2795930142543</v>
      </c>
      <c r="AD16" s="114"/>
      <c r="AE16" s="143" t="n">
        <v>0</v>
      </c>
      <c r="AF16" s="261"/>
      <c r="AG16" s="262"/>
      <c r="AH16" s="143" t="n">
        <v>25.5</v>
      </c>
      <c r="AI16" s="114" t="n">
        <f aca="false">AI15-AH16</f>
        <v>2485.14923115706</v>
      </c>
      <c r="AJ16" s="114"/>
      <c r="AK16" s="142" t="n">
        <f aca="false">N16+O16+P16+Q16+R16+S16+T16+U16+X16+AE16+AH16</f>
        <v>28.36</v>
      </c>
      <c r="AL16" s="143" t="n">
        <f aca="false">IF(L16&lt;0,L16*-1,0)</f>
        <v>6.52787496849005</v>
      </c>
      <c r="AM16" s="143" t="n">
        <f aca="false">AK16+AL16</f>
        <v>34.88787496849</v>
      </c>
      <c r="AN16" s="147" t="n">
        <f aca="false">V16</f>
        <v>0</v>
      </c>
      <c r="AO16" s="144"/>
      <c r="AP16" s="231"/>
      <c r="AU16" s="86"/>
      <c r="AV16" s="284" t="n">
        <v>0.04</v>
      </c>
      <c r="AW16" s="225" t="n">
        <v>37</v>
      </c>
      <c r="AX16" s="225" t="n">
        <v>4</v>
      </c>
      <c r="AY16" s="233"/>
      <c r="AZ16" s="263" t="n">
        <f aca="false">SUM(N16,P16:U16)</f>
        <v>2.86</v>
      </c>
      <c r="BA16" s="193" t="n">
        <v>0</v>
      </c>
      <c r="BB16" s="264" t="n">
        <v>16354</v>
      </c>
    </row>
    <row r="17" customFormat="false" ht="12.95" hidden="false" customHeight="true" outlineLevel="0" collapsed="false">
      <c r="A17" s="192" t="n">
        <f aca="false">A16+1</f>
        <v>3</v>
      </c>
      <c r="B17" s="113" t="n">
        <v>6867.63</v>
      </c>
      <c r="C17" s="114" t="n">
        <v>181599</v>
      </c>
      <c r="D17" s="225" t="n">
        <f aca="false">C17-C16</f>
        <v>52</v>
      </c>
      <c r="E17" s="114" t="n">
        <f aca="false">C17-152000</f>
        <v>29599</v>
      </c>
      <c r="F17" s="259" t="n">
        <f aca="false">D17/$D$2</f>
        <v>26.2162843458533</v>
      </c>
      <c r="G17" s="143" t="n">
        <v>60</v>
      </c>
      <c r="H17" s="260" t="n">
        <v>0</v>
      </c>
      <c r="I17" s="143" t="n">
        <f aca="false">G17+H17</f>
        <v>60</v>
      </c>
      <c r="J17" s="144" t="n">
        <f aca="false">IF(L17&gt;0,L17,0)</f>
        <v>0</v>
      </c>
      <c r="K17" s="143" t="n">
        <f aca="false">I17+J17</f>
        <v>60</v>
      </c>
      <c r="L17" s="143" t="n">
        <f aca="false">F17-(I17-AK17)</f>
        <v>-4.38371565414671</v>
      </c>
      <c r="M17" s="261" t="n">
        <v>3.9</v>
      </c>
      <c r="N17" s="143" t="n">
        <v>0</v>
      </c>
      <c r="O17" s="143" t="n">
        <f aca="false">0*1.05</f>
        <v>0</v>
      </c>
      <c r="P17" s="171" t="n">
        <v>0</v>
      </c>
      <c r="Q17" s="139" t="n">
        <f aca="false">876700/325851/1.9835*1.02</f>
        <v>1.38356610936439</v>
      </c>
      <c r="R17" s="139" t="n">
        <f aca="false">(1.9*1.04)-T17</f>
        <v>1.30827632</v>
      </c>
      <c r="S17" s="139" t="n">
        <v>0</v>
      </c>
      <c r="T17" s="139" t="n">
        <f aca="false">(0.6057*1.06)*1.04</f>
        <v>0.66772368</v>
      </c>
      <c r="U17" s="102" t="n">
        <f aca="false">M17-(Q17+R17+S17+T17)</f>
        <v>0.54043389063561</v>
      </c>
      <c r="V17" s="143" t="n">
        <v>0</v>
      </c>
      <c r="W17" s="143" t="n">
        <v>0</v>
      </c>
      <c r="X17" s="143" t="n">
        <f aca="false">M17-N17-P17-O17-Q17-R17-S17-T17-U17+V17+W17</f>
        <v>0</v>
      </c>
      <c r="Y17" s="143" t="n">
        <f aca="false">X17-AO17</f>
        <v>0</v>
      </c>
      <c r="Z17" s="143"/>
      <c r="AA17" s="143"/>
      <c r="AB17" s="144"/>
      <c r="AC17" s="144" t="n">
        <v>54.3081575706356</v>
      </c>
      <c r="AD17" s="114"/>
      <c r="AE17" s="143" t="n">
        <v>0</v>
      </c>
      <c r="AF17" s="261"/>
      <c r="AG17" s="262"/>
      <c r="AH17" s="143" t="n">
        <v>25.5</v>
      </c>
      <c r="AI17" s="114" t="n">
        <f aca="false">AI16-AH17</f>
        <v>2459.64923115706</v>
      </c>
      <c r="AJ17" s="114"/>
      <c r="AK17" s="142" t="n">
        <f aca="false">N17+O17+P17+Q17+R17+S17+T17+U17+X17+AE17+AH17</f>
        <v>29.4</v>
      </c>
      <c r="AL17" s="143" t="n">
        <f aca="false">IF(L17&lt;0,L17*-1,0)</f>
        <v>4.38371565414671</v>
      </c>
      <c r="AM17" s="143" t="n">
        <f aca="false">AK17+AL17</f>
        <v>33.7837156541467</v>
      </c>
      <c r="AN17" s="147" t="n">
        <f aca="false">V17</f>
        <v>0</v>
      </c>
      <c r="AO17" s="144"/>
      <c r="AP17" s="231"/>
      <c r="AU17" s="86"/>
      <c r="AV17" s="284" t="n">
        <v>0.02</v>
      </c>
      <c r="AW17" s="225" t="n">
        <v>43</v>
      </c>
      <c r="AX17" s="225" t="n">
        <v>5</v>
      </c>
      <c r="AY17" s="233"/>
      <c r="AZ17" s="263" t="n">
        <f aca="false">SUM(N17,P17:U17)</f>
        <v>3.9</v>
      </c>
      <c r="BA17" s="193" t="n">
        <v>0</v>
      </c>
      <c r="BB17" s="264" t="n">
        <v>16414</v>
      </c>
    </row>
    <row r="18" customFormat="false" ht="12.95" hidden="false" customHeight="true" outlineLevel="0" collapsed="false">
      <c r="A18" s="192" t="n">
        <f aca="false">A17+1</f>
        <v>4</v>
      </c>
      <c r="B18" s="113" t="n">
        <v>6867.64</v>
      </c>
      <c r="C18" s="114" t="n">
        <v>181624</v>
      </c>
      <c r="D18" s="225" t="n">
        <f aca="false">C18-C17</f>
        <v>25</v>
      </c>
      <c r="E18" s="114" t="n">
        <f aca="false">C18-152000</f>
        <v>29624</v>
      </c>
      <c r="F18" s="259" t="n">
        <f aca="false">D18/$D$2</f>
        <v>12.6039828585833</v>
      </c>
      <c r="G18" s="143" t="n">
        <v>60</v>
      </c>
      <c r="H18" s="260" t="n">
        <v>0</v>
      </c>
      <c r="I18" s="143" t="n">
        <f aca="false">G18+H18</f>
        <v>60</v>
      </c>
      <c r="J18" s="144" t="n">
        <f aca="false">IF(L18&gt;0,L18,0)</f>
        <v>0</v>
      </c>
      <c r="K18" s="143" t="n">
        <f aca="false">I18+J18</f>
        <v>60</v>
      </c>
      <c r="L18" s="143" t="n">
        <f aca="false">F18-(I18-AK18)</f>
        <v>-19.0560171414167</v>
      </c>
      <c r="M18" s="261" t="n">
        <v>2.84</v>
      </c>
      <c r="N18" s="143" t="n">
        <v>0</v>
      </c>
      <c r="O18" s="143" t="n">
        <f aca="false">0*1.05</f>
        <v>0</v>
      </c>
      <c r="P18" s="171" t="n">
        <v>0</v>
      </c>
      <c r="Q18" s="139" t="n">
        <f aca="false">1135100/325851/1.9835*1.02</f>
        <v>1.79136066013405</v>
      </c>
      <c r="R18" s="139" t="n">
        <f aca="false">(1.9*1.04)-T18</f>
        <v>1.30827632</v>
      </c>
      <c r="S18" s="139" t="n">
        <v>0</v>
      </c>
      <c r="T18" s="139" t="n">
        <f aca="false">(0.6057*1.06)*1.04</f>
        <v>0.66772368</v>
      </c>
      <c r="U18" s="102" t="n">
        <f aca="false">M18-(Q18+R18+S18+T18)</f>
        <v>-0.927360660134046</v>
      </c>
      <c r="V18" s="143" t="n">
        <v>0</v>
      </c>
      <c r="W18" s="143" t="n">
        <v>0</v>
      </c>
      <c r="X18" s="143" t="n">
        <f aca="false">M18-N18-P18-O18-Q18-R18-S18-T18-U18+V18+W18</f>
        <v>0</v>
      </c>
      <c r="Y18" s="143" t="n">
        <f aca="false">X18-AO18</f>
        <v>0</v>
      </c>
      <c r="Z18" s="143"/>
      <c r="AA18" s="143"/>
      <c r="AB18" s="144"/>
      <c r="AC18" s="144" t="n">
        <v>53.900363019866</v>
      </c>
      <c r="AD18" s="114"/>
      <c r="AE18" s="143" t="n">
        <v>0</v>
      </c>
      <c r="AF18" s="261"/>
      <c r="AG18" s="262"/>
      <c r="AH18" s="143" t="n">
        <v>25.5</v>
      </c>
      <c r="AI18" s="114" t="n">
        <f aca="false">AI17-AH18</f>
        <v>2434.14923115706</v>
      </c>
      <c r="AJ18" s="114"/>
      <c r="AK18" s="142" t="n">
        <f aca="false">N18+O18+P18+Q18+R18+S18+T18+U18+X18+AE18+AH18</f>
        <v>28.34</v>
      </c>
      <c r="AL18" s="143" t="n">
        <f aca="false">IF(L18&lt;0,L18*-1,0)</f>
        <v>19.0560171414167</v>
      </c>
      <c r="AM18" s="143" t="n">
        <f aca="false">AK18+AL18</f>
        <v>47.3960171414167</v>
      </c>
      <c r="AN18" s="147" t="n">
        <f aca="false">V18</f>
        <v>0</v>
      </c>
      <c r="AO18" s="144"/>
      <c r="AP18" s="231"/>
      <c r="AU18" s="86"/>
      <c r="AV18" s="284" t="n">
        <v>0</v>
      </c>
      <c r="AW18" s="225" t="n">
        <v>45</v>
      </c>
      <c r="AX18" s="225" t="n">
        <v>13</v>
      </c>
      <c r="AY18" s="233"/>
      <c r="AZ18" s="263" t="n">
        <f aca="false">SUM(N18,P18:U18)</f>
        <v>2.84</v>
      </c>
      <c r="BA18" s="193" t="n">
        <v>0</v>
      </c>
      <c r="BB18" s="264" t="n">
        <v>16491</v>
      </c>
    </row>
    <row r="19" customFormat="false" ht="12.95" hidden="false" customHeight="true" outlineLevel="0" collapsed="false">
      <c r="A19" s="192" t="n">
        <f aca="false">A18+1</f>
        <v>5</v>
      </c>
      <c r="B19" s="113" t="n">
        <v>6867.66</v>
      </c>
      <c r="C19" s="114" t="n">
        <v>181676</v>
      </c>
      <c r="D19" s="225" t="n">
        <f aca="false">C19-C18</f>
        <v>52</v>
      </c>
      <c r="E19" s="114" t="n">
        <f aca="false">C19-152000</f>
        <v>29676</v>
      </c>
      <c r="F19" s="259" t="n">
        <f aca="false">D19/$D$2</f>
        <v>26.2162843458533</v>
      </c>
      <c r="G19" s="143" t="n">
        <v>63</v>
      </c>
      <c r="H19" s="260" t="n">
        <v>0</v>
      </c>
      <c r="I19" s="143" t="n">
        <f aca="false">G19+H19</f>
        <v>63</v>
      </c>
      <c r="J19" s="144" t="n">
        <f aca="false">IF(L19&gt;0,L19,0)</f>
        <v>0</v>
      </c>
      <c r="K19" s="143" t="n">
        <f aca="false">I19+J19</f>
        <v>63</v>
      </c>
      <c r="L19" s="143" t="n">
        <f aca="false">F19-(I19-AK19)</f>
        <v>-7.57371565414671</v>
      </c>
      <c r="M19" s="261" t="n">
        <v>3.71</v>
      </c>
      <c r="N19" s="143" t="n">
        <v>0</v>
      </c>
      <c r="O19" s="143" t="n">
        <f aca="false">0*1.05</f>
        <v>0</v>
      </c>
      <c r="P19" s="171" t="n">
        <v>0</v>
      </c>
      <c r="Q19" s="139" t="n">
        <f aca="false">1191400/325851/1.9835*1.02</f>
        <v>1.8802106338505</v>
      </c>
      <c r="R19" s="139" t="n">
        <f aca="false">(2*1.04)-T19</f>
        <v>1.41227632</v>
      </c>
      <c r="S19" s="139" t="n">
        <v>0</v>
      </c>
      <c r="T19" s="139" t="n">
        <f aca="false">(0.6057*1.06)*1.04</f>
        <v>0.66772368</v>
      </c>
      <c r="U19" s="102" t="n">
        <f aca="false">M19-(Q19+R19+S19+T19)</f>
        <v>-0.2502106338505</v>
      </c>
      <c r="V19" s="143" t="n">
        <v>0</v>
      </c>
      <c r="W19" s="143" t="n">
        <v>0</v>
      </c>
      <c r="X19" s="143" t="n">
        <f aca="false">M19-N19-P19-O19-Q19-R19-S19-T19-U19+V19+W19</f>
        <v>0</v>
      </c>
      <c r="Y19" s="143" t="n">
        <f aca="false">X19-AO19</f>
        <v>0</v>
      </c>
      <c r="Z19" s="143"/>
      <c r="AA19" s="143"/>
      <c r="AB19" s="144"/>
      <c r="AC19" s="144" t="n">
        <v>56.7075130461495</v>
      </c>
      <c r="AD19" s="114"/>
      <c r="AE19" s="143" t="n">
        <v>0</v>
      </c>
      <c r="AF19" s="261"/>
      <c r="AG19" s="262"/>
      <c r="AH19" s="143" t="n">
        <v>25.5</v>
      </c>
      <c r="AI19" s="114" t="n">
        <f aca="false">AI18-AH19</f>
        <v>2408.64923115706</v>
      </c>
      <c r="AJ19" s="114"/>
      <c r="AK19" s="142" t="n">
        <f aca="false">N19+O19+P19+Q19+R19+S19+T19+U19+X19+AE19+AH19</f>
        <v>29.21</v>
      </c>
      <c r="AL19" s="143" t="n">
        <f aca="false">IF(L19&lt;0,L19*-1,0)</f>
        <v>7.57371565414671</v>
      </c>
      <c r="AM19" s="143" t="n">
        <f aca="false">AK19+AL19</f>
        <v>36.7837156541467</v>
      </c>
      <c r="AN19" s="147" t="n">
        <f aca="false">V19</f>
        <v>0</v>
      </c>
      <c r="AO19" s="144"/>
      <c r="AP19" s="231"/>
      <c r="AU19" s="86"/>
      <c r="AV19" s="284" t="n">
        <v>0</v>
      </c>
      <c r="AW19" s="225" t="n">
        <v>49</v>
      </c>
      <c r="AX19" s="225" t="n">
        <v>17</v>
      </c>
      <c r="AY19" s="233"/>
      <c r="AZ19" s="263" t="n">
        <f aca="false">SUM(N19,P19:U19)</f>
        <v>3.71</v>
      </c>
      <c r="BA19" s="193" t="n">
        <v>0</v>
      </c>
      <c r="BB19" s="264" t="n">
        <v>16453</v>
      </c>
    </row>
    <row r="20" customFormat="false" ht="12.95" hidden="false" customHeight="true" outlineLevel="0" collapsed="false">
      <c r="A20" s="192" t="n">
        <f aca="false">A19+1</f>
        <v>6</v>
      </c>
      <c r="B20" s="113" t="n">
        <v>6867.67</v>
      </c>
      <c r="C20" s="114" t="n">
        <v>181701</v>
      </c>
      <c r="D20" s="225" t="n">
        <f aca="false">C20-C19</f>
        <v>25</v>
      </c>
      <c r="E20" s="114" t="n">
        <f aca="false">C20-152000</f>
        <v>29701</v>
      </c>
      <c r="F20" s="259" t="n">
        <f aca="false">D20/$D$2</f>
        <v>12.6039828585833</v>
      </c>
      <c r="G20" s="143" t="n">
        <v>66</v>
      </c>
      <c r="H20" s="260" t="n">
        <v>0</v>
      </c>
      <c r="I20" s="143" t="n">
        <f aca="false">G20+H20</f>
        <v>66</v>
      </c>
      <c r="J20" s="144" t="n">
        <f aca="false">IF(L20&gt;0,L20,0)</f>
        <v>0</v>
      </c>
      <c r="K20" s="143" t="n">
        <f aca="false">I20+J20</f>
        <v>66</v>
      </c>
      <c r="L20" s="143" t="n">
        <f aca="false">F20-(I20-AK20)</f>
        <v>-24.6960171414167</v>
      </c>
      <c r="M20" s="261" t="n">
        <v>3.2</v>
      </c>
      <c r="N20" s="143" t="n">
        <v>0</v>
      </c>
      <c r="O20" s="143" t="n">
        <f aca="false">0*1.05</f>
        <v>0</v>
      </c>
      <c r="P20" s="171" t="n">
        <v>0</v>
      </c>
      <c r="Q20" s="139" t="n">
        <f aca="false">1319100/325851/1.9835*1.02</f>
        <v>2.08174068080594</v>
      </c>
      <c r="R20" s="139" t="n">
        <f aca="false">(1.9*1.04)-T20</f>
        <v>1.30827632</v>
      </c>
      <c r="S20" s="139" t="n">
        <v>0</v>
      </c>
      <c r="T20" s="139" t="n">
        <f aca="false">(0.6057*1.06)*1.04</f>
        <v>0.66772368</v>
      </c>
      <c r="U20" s="102" t="n">
        <f aca="false">M20-(Q20+R20+S20+T20)</f>
        <v>-0.857740680805938</v>
      </c>
      <c r="V20" s="143" t="n">
        <v>0</v>
      </c>
      <c r="W20" s="143" t="n">
        <v>0</v>
      </c>
      <c r="X20" s="143" t="n">
        <f aca="false">M20-N20-P20-O20-Q20-R20-S20-T20-U20+V20+W20</f>
        <v>0</v>
      </c>
      <c r="Y20" s="143" t="n">
        <f aca="false">X20-AO20</f>
        <v>0</v>
      </c>
      <c r="Z20" s="143"/>
      <c r="AA20" s="143"/>
      <c r="AB20" s="144"/>
      <c r="AC20" s="144" t="n">
        <v>59.6099829991941</v>
      </c>
      <c r="AD20" s="114"/>
      <c r="AE20" s="143" t="n">
        <v>0</v>
      </c>
      <c r="AF20" s="261"/>
      <c r="AG20" s="262"/>
      <c r="AH20" s="143" t="n">
        <v>25.5</v>
      </c>
      <c r="AI20" s="114" t="n">
        <f aca="false">AI19-AH20</f>
        <v>2383.14923115706</v>
      </c>
      <c r="AJ20" s="114"/>
      <c r="AK20" s="142" t="n">
        <f aca="false">N20+O20+P20+Q20+R20+S20+T20+U20+X20+AE20+AH20</f>
        <v>28.7</v>
      </c>
      <c r="AL20" s="143" t="n">
        <f aca="false">IF(L20&lt;0,L20*-1,0)</f>
        <v>24.6960171414167</v>
      </c>
      <c r="AM20" s="143" t="n">
        <f aca="false">AK20+AL20</f>
        <v>53.3960171414167</v>
      </c>
      <c r="AN20" s="147" t="n">
        <f aca="false">V20</f>
        <v>0</v>
      </c>
      <c r="AO20" s="144"/>
      <c r="AP20" s="231"/>
      <c r="AU20" s="86"/>
      <c r="AV20" s="284" t="n">
        <v>0</v>
      </c>
      <c r="AW20" s="225" t="n">
        <v>54</v>
      </c>
      <c r="AX20" s="225" t="n">
        <v>23</v>
      </c>
      <c r="AY20" s="233"/>
      <c r="AZ20" s="263" t="n">
        <f aca="false">SUM(N20,P20:U20)</f>
        <v>3.2</v>
      </c>
      <c r="BA20" s="193" t="n">
        <v>0</v>
      </c>
      <c r="BB20" s="264" t="n">
        <v>16428</v>
      </c>
    </row>
    <row r="21" customFormat="false" ht="12.95" hidden="false" customHeight="true" outlineLevel="0" collapsed="false">
      <c r="A21" s="192" t="n">
        <f aca="false">A20+1</f>
        <v>7</v>
      </c>
      <c r="B21" s="113" t="n">
        <v>6867.71</v>
      </c>
      <c r="C21" s="114" t="n">
        <v>181804</v>
      </c>
      <c r="D21" s="225" t="n">
        <f aca="false">C21-C20</f>
        <v>103</v>
      </c>
      <c r="E21" s="114" t="n">
        <f aca="false">C21-152000</f>
        <v>29804</v>
      </c>
      <c r="F21" s="259" t="n">
        <f aca="false">D21/$D$2</f>
        <v>51.9284093773632</v>
      </c>
      <c r="G21" s="143" t="n">
        <v>68</v>
      </c>
      <c r="H21" s="260" t="n">
        <v>0</v>
      </c>
      <c r="I21" s="143" t="n">
        <f aca="false">G21+H21</f>
        <v>68</v>
      </c>
      <c r="J21" s="144" t="n">
        <f aca="false">IF(L21&gt;0,L21,0)</f>
        <v>13.6284093773632</v>
      </c>
      <c r="K21" s="143" t="n">
        <f aca="false">I21+J21</f>
        <v>81.6284093773633</v>
      </c>
      <c r="L21" s="143" t="n">
        <f aca="false">F21-(I21-AK21)</f>
        <v>13.6284093773632</v>
      </c>
      <c r="M21" s="261" t="n">
        <v>4</v>
      </c>
      <c r="N21" s="143" t="n">
        <v>0</v>
      </c>
      <c r="O21" s="143" t="n">
        <f aca="false">0*1.05</f>
        <v>0</v>
      </c>
      <c r="P21" s="171" t="n">
        <v>0</v>
      </c>
      <c r="Q21" s="139" t="n">
        <f aca="false">1194500/325851/1.9835*1.02</f>
        <v>1.88510290593791</v>
      </c>
      <c r="R21" s="139" t="n">
        <f aca="false">(2*1.04)-T21</f>
        <v>1.41227632</v>
      </c>
      <c r="S21" s="139" t="n">
        <v>0</v>
      </c>
      <c r="T21" s="139" t="n">
        <f aca="false">(0.6057*1.06)*1.04</f>
        <v>0.66772368</v>
      </c>
      <c r="U21" s="102" t="n">
        <f aca="false">M21-(Q21+R21+S21+T21)</f>
        <v>0.0348970940620932</v>
      </c>
      <c r="V21" s="143" t="n">
        <v>0</v>
      </c>
      <c r="W21" s="143" t="n">
        <v>0</v>
      </c>
      <c r="X21" s="143" t="n">
        <f aca="false">M21-N21-P21-O21-Q21-R21-S21-T21-U21+V21+W21</f>
        <v>0</v>
      </c>
      <c r="Y21" s="143" t="n">
        <f aca="false">X21-AO21</f>
        <v>0</v>
      </c>
      <c r="Z21" s="143"/>
      <c r="AA21" s="143"/>
      <c r="AB21" s="144"/>
      <c r="AC21" s="144" t="n">
        <v>61.7026207740621</v>
      </c>
      <c r="AD21" s="114"/>
      <c r="AE21" s="143" t="n">
        <v>0</v>
      </c>
      <c r="AF21" s="261"/>
      <c r="AG21" s="262"/>
      <c r="AH21" s="143" t="n">
        <v>25.7</v>
      </c>
      <c r="AI21" s="114" t="n">
        <f aca="false">AI20-AH21</f>
        <v>2357.44923115706</v>
      </c>
      <c r="AJ21" s="114"/>
      <c r="AK21" s="142" t="n">
        <f aca="false">N21+O21+P21+Q21+R21+S21+T21+U21+X21+AE21+AH21</f>
        <v>29.7</v>
      </c>
      <c r="AL21" s="143" t="n">
        <f aca="false">IF(L21&lt;0,L21*-1,0)</f>
        <v>0</v>
      </c>
      <c r="AM21" s="143" t="n">
        <f aca="false">AK21+AL21</f>
        <v>29.7</v>
      </c>
      <c r="AN21" s="147" t="n">
        <f aca="false">V21</f>
        <v>0</v>
      </c>
      <c r="AO21" s="144"/>
      <c r="AP21" s="231"/>
      <c r="AU21" s="86"/>
      <c r="AV21" s="284" t="n">
        <v>0</v>
      </c>
      <c r="AW21" s="225" t="n">
        <v>60</v>
      </c>
      <c r="AX21" s="225" t="n">
        <v>24</v>
      </c>
      <c r="AY21" s="233"/>
      <c r="AZ21" s="263" t="n">
        <f aca="false">SUM(N21,P21:U21)</f>
        <v>4</v>
      </c>
      <c r="BA21" s="193" t="n">
        <v>0</v>
      </c>
      <c r="BB21" s="264" t="n">
        <v>16457</v>
      </c>
    </row>
    <row r="22" customFormat="false" ht="12.95" hidden="false" customHeight="true" outlineLevel="0" collapsed="false">
      <c r="A22" s="192" t="n">
        <f aca="false">A21+1</f>
        <v>8</v>
      </c>
      <c r="B22" s="113" t="n">
        <v>6867.73</v>
      </c>
      <c r="C22" s="114" t="n">
        <v>181856</v>
      </c>
      <c r="D22" s="225" t="n">
        <f aca="false">C22-C21</f>
        <v>52</v>
      </c>
      <c r="E22" s="114" t="n">
        <f aca="false">C22-152000</f>
        <v>29856</v>
      </c>
      <c r="F22" s="259" t="n">
        <f aca="false">D22/$D$2</f>
        <v>26.2162843458533</v>
      </c>
      <c r="G22" s="143" t="n">
        <v>69</v>
      </c>
      <c r="H22" s="260" t="n">
        <v>0</v>
      </c>
      <c r="I22" s="143" t="n">
        <f aca="false">G22+H22</f>
        <v>69</v>
      </c>
      <c r="J22" s="144" t="n">
        <f aca="false">IF(L22&gt;0,L22,0)</f>
        <v>0</v>
      </c>
      <c r="K22" s="143" t="n">
        <f aca="false">I22+J22</f>
        <v>69</v>
      </c>
      <c r="L22" s="143" t="n">
        <f aca="false">F22-(I22-AK22)</f>
        <v>-13.0337156541467</v>
      </c>
      <c r="M22" s="261" t="n">
        <v>3.45</v>
      </c>
      <c r="N22" s="143" t="n">
        <v>0</v>
      </c>
      <c r="O22" s="143" t="n">
        <f aca="false">0*1.05</f>
        <v>0</v>
      </c>
      <c r="P22" s="171" t="n">
        <v>0</v>
      </c>
      <c r="Q22" s="139" t="n">
        <f aca="false">1230200/325851/1.9835*1.02</f>
        <v>1.9414429425574</v>
      </c>
      <c r="R22" s="139" t="n">
        <f aca="false">(2*1.04)-T22</f>
        <v>1.41227632</v>
      </c>
      <c r="S22" s="139" t="n">
        <v>0</v>
      </c>
      <c r="T22" s="139" t="n">
        <f aca="false">(0.6057*1.06)*1.04</f>
        <v>0.66772368</v>
      </c>
      <c r="U22" s="102" t="n">
        <f aca="false">M22-(Q22+R22+S22+T22)</f>
        <v>-0.571442942557399</v>
      </c>
      <c r="V22" s="143" t="n">
        <v>0</v>
      </c>
      <c r="W22" s="143" t="n">
        <v>0</v>
      </c>
      <c r="X22" s="143" t="n">
        <f aca="false">M22-N22-P22-O22-Q22-R22-S22-T22-U22+V22+W22</f>
        <v>0</v>
      </c>
      <c r="Y22" s="143" t="n">
        <f aca="false">X22-AO22</f>
        <v>0</v>
      </c>
      <c r="Z22" s="143"/>
      <c r="AA22" s="143"/>
      <c r="AB22" s="144"/>
      <c r="AC22" s="144" t="n">
        <v>62.6462807374426</v>
      </c>
      <c r="AD22" s="114"/>
      <c r="AE22" s="143" t="n">
        <v>0</v>
      </c>
      <c r="AF22" s="261"/>
      <c r="AG22" s="262"/>
      <c r="AH22" s="143" t="n">
        <v>26.3</v>
      </c>
      <c r="AI22" s="114" t="n">
        <f aca="false">AI21-AH22</f>
        <v>2331.14923115706</v>
      </c>
      <c r="AJ22" s="114"/>
      <c r="AK22" s="142" t="n">
        <f aca="false">N22+O22+P22+Q22+R22+S22+T22+U22+X22+AE22+AH22</f>
        <v>29.75</v>
      </c>
      <c r="AL22" s="143" t="n">
        <f aca="false">IF(L22&lt;0,L22*-1,0)</f>
        <v>13.0337156541467</v>
      </c>
      <c r="AM22" s="143" t="n">
        <f aca="false">AK22+AL22</f>
        <v>42.7837156541467</v>
      </c>
      <c r="AN22" s="147" t="n">
        <f aca="false">V22</f>
        <v>0</v>
      </c>
      <c r="AO22" s="144"/>
      <c r="AP22" s="231"/>
      <c r="AU22" s="86"/>
      <c r="AV22" s="284" t="n">
        <v>0</v>
      </c>
      <c r="AW22" s="114" t="n">
        <v>54</v>
      </c>
      <c r="AX22" s="225" t="n">
        <v>26</v>
      </c>
      <c r="AY22" s="233"/>
      <c r="AZ22" s="263" t="n">
        <f aca="false">SUM(N22,P22:U22)</f>
        <v>3.45</v>
      </c>
      <c r="BA22" s="193" t="n">
        <v>0</v>
      </c>
      <c r="BB22" s="264" t="n">
        <v>16388</v>
      </c>
    </row>
    <row r="23" customFormat="false" ht="12.95" hidden="false" customHeight="true" outlineLevel="0" collapsed="false">
      <c r="A23" s="192" t="n">
        <f aca="false">A22+1</f>
        <v>9</v>
      </c>
      <c r="B23" s="113" t="n">
        <v>6867.78</v>
      </c>
      <c r="C23" s="114" t="n">
        <v>181984</v>
      </c>
      <c r="D23" s="225" t="n">
        <f aca="false">C23-C22</f>
        <v>128</v>
      </c>
      <c r="E23" s="114" t="n">
        <f aca="false">C23-152000</f>
        <v>29984</v>
      </c>
      <c r="F23" s="259" t="n">
        <f aca="false">D23/$D$2</f>
        <v>64.5323922359466</v>
      </c>
      <c r="G23" s="143" t="n">
        <v>70</v>
      </c>
      <c r="H23" s="260" t="n">
        <v>0</v>
      </c>
      <c r="I23" s="143" t="n">
        <f aca="false">G23+H23</f>
        <v>70</v>
      </c>
      <c r="J23" s="144" t="n">
        <f aca="false">IF(L23&gt;0,L23,0)</f>
        <v>23.8023922359466</v>
      </c>
      <c r="K23" s="143" t="n">
        <f aca="false">I23+J23</f>
        <v>93.8023922359466</v>
      </c>
      <c r="L23" s="143" t="n">
        <f aca="false">F23-(I23-AK23)</f>
        <v>23.8023922359466</v>
      </c>
      <c r="M23" s="261" t="n">
        <v>3.07</v>
      </c>
      <c r="N23" s="143" t="n">
        <v>0</v>
      </c>
      <c r="O23" s="143" t="n">
        <f aca="false">0*1.05</f>
        <v>0</v>
      </c>
      <c r="P23" s="171" t="n">
        <v>0</v>
      </c>
      <c r="Q23" s="139" t="n">
        <f aca="false">897600/325851/1.9835*1.02</f>
        <v>1.41654949214723</v>
      </c>
      <c r="R23" s="139" t="n">
        <f aca="false">(2.1*1.04)-T23</f>
        <v>1.90134464</v>
      </c>
      <c r="S23" s="139" t="n">
        <v>0</v>
      </c>
      <c r="T23" s="139" t="n">
        <f aca="false">(0.2564*1.06)*1.04</f>
        <v>0.28265536</v>
      </c>
      <c r="U23" s="102" t="n">
        <f aca="false">M23-(Q23+R23+S23+T23)</f>
        <v>-0.530549492147229</v>
      </c>
      <c r="V23" s="143" t="n">
        <v>0</v>
      </c>
      <c r="W23" s="143" t="n">
        <v>0</v>
      </c>
      <c r="X23" s="143" t="n">
        <f aca="false">M23-N23-P23-O23-Q23-R23-S23-T23-U23+V23+W23</f>
        <v>0</v>
      </c>
      <c r="Y23" s="143" t="n">
        <f aca="false">X23-AO23</f>
        <v>0</v>
      </c>
      <c r="Z23" s="143"/>
      <c r="AA23" s="143"/>
      <c r="AB23" s="144"/>
      <c r="AC23" s="144" t="n">
        <v>63.6821058678528</v>
      </c>
      <c r="AD23" s="114"/>
      <c r="AE23" s="143" t="n">
        <v>0</v>
      </c>
      <c r="AF23" s="261"/>
      <c r="AG23" s="262"/>
      <c r="AH23" s="143" t="n">
        <v>26.2</v>
      </c>
      <c r="AI23" s="114" t="n">
        <f aca="false">AI22-AH23</f>
        <v>2304.94923115706</v>
      </c>
      <c r="AJ23" s="114"/>
      <c r="AK23" s="142" t="n">
        <f aca="false">N23+O23+P23+Q23+R23+S23+T23+U23+X23+AE23+AH23</f>
        <v>29.27</v>
      </c>
      <c r="AL23" s="143" t="n">
        <f aca="false">IF(L23&lt;0,L23*-1,0)</f>
        <v>0</v>
      </c>
      <c r="AM23" s="143" t="n">
        <f aca="false">AK23+AL23</f>
        <v>29.27</v>
      </c>
      <c r="AN23" s="147" t="n">
        <f aca="false">V23</f>
        <v>0</v>
      </c>
      <c r="AO23" s="144"/>
      <c r="AP23" s="231"/>
      <c r="AU23" s="86"/>
      <c r="AV23" s="284" t="n">
        <v>0</v>
      </c>
      <c r="AW23" s="114" t="n">
        <v>52</v>
      </c>
      <c r="AX23" s="225" t="n">
        <v>25</v>
      </c>
      <c r="AY23" s="233"/>
      <c r="AZ23" s="263" t="n">
        <f aca="false">SUM(N23,P23:U23)</f>
        <v>3.07</v>
      </c>
      <c r="BA23" s="193" t="n">
        <v>0</v>
      </c>
      <c r="BB23" s="264" t="n">
        <v>16575</v>
      </c>
    </row>
    <row r="24" customFormat="false" ht="12.75" hidden="false" customHeight="true" outlineLevel="0" collapsed="false">
      <c r="A24" s="192" t="n">
        <f aca="false">A23+1</f>
        <v>10</v>
      </c>
      <c r="B24" s="113" t="n">
        <v>6867.78</v>
      </c>
      <c r="C24" s="114" t="n">
        <v>181984</v>
      </c>
      <c r="D24" s="225" t="n">
        <f aca="false">C24-C23</f>
        <v>0</v>
      </c>
      <c r="E24" s="114" t="n">
        <f aca="false">C24-152000</f>
        <v>29984</v>
      </c>
      <c r="F24" s="259" t="n">
        <f aca="false">D24/$D$2</f>
        <v>0</v>
      </c>
      <c r="G24" s="143" t="n">
        <v>70</v>
      </c>
      <c r="H24" s="260" t="n">
        <v>0</v>
      </c>
      <c r="I24" s="143" t="n">
        <f aca="false">G24+H24</f>
        <v>70</v>
      </c>
      <c r="J24" s="144" t="n">
        <f aca="false">IF(L24&gt;0,L24,0)</f>
        <v>0</v>
      </c>
      <c r="K24" s="143" t="n">
        <f aca="false">I24+J24</f>
        <v>70</v>
      </c>
      <c r="L24" s="143" t="n">
        <f aca="false">F24-(I24-AK24)</f>
        <v>-41.36</v>
      </c>
      <c r="M24" s="261" t="n">
        <v>3.14</v>
      </c>
      <c r="N24" s="143" t="n">
        <v>0</v>
      </c>
      <c r="O24" s="143" t="n">
        <f aca="false">0*1.05</f>
        <v>0</v>
      </c>
      <c r="P24" s="171" t="n">
        <v>0</v>
      </c>
      <c r="Q24" s="139" t="n">
        <f aca="false">949500/325851/1.9835*1.02</f>
        <v>1.49845559580414</v>
      </c>
      <c r="R24" s="139" t="n">
        <f aca="false">(2.2*1.04)-T24</f>
        <v>2.00534464</v>
      </c>
      <c r="S24" s="139" t="n">
        <v>0</v>
      </c>
      <c r="T24" s="139" t="n">
        <f aca="false">(0.2564*1.06)*1.04</f>
        <v>0.28265536</v>
      </c>
      <c r="U24" s="102" t="n">
        <f aca="false">M24-(Q24+R24+S24+T24)</f>
        <v>-0.646455595804138</v>
      </c>
      <c r="V24" s="143" t="n">
        <v>0</v>
      </c>
      <c r="W24" s="143" t="n">
        <v>0</v>
      </c>
      <c r="X24" s="143" t="n">
        <f aca="false">M24-N24-P24-O24-Q24-R24-S24-T24-U24+V24+W24</f>
        <v>0</v>
      </c>
      <c r="Y24" s="143" t="n">
        <f aca="false">X24-AO24</f>
        <v>0</v>
      </c>
      <c r="Z24" s="143"/>
      <c r="AA24" s="143"/>
      <c r="AB24" s="144"/>
      <c r="AC24" s="144" t="n">
        <v>63.4961997641959</v>
      </c>
      <c r="AD24" s="114"/>
      <c r="AE24" s="143" t="n">
        <v>0</v>
      </c>
      <c r="AF24" s="261"/>
      <c r="AG24" s="262"/>
      <c r="AH24" s="143" t="n">
        <v>25.5</v>
      </c>
      <c r="AI24" s="114" t="n">
        <f aca="false">AI23-AH24</f>
        <v>2279.44923115706</v>
      </c>
      <c r="AJ24" s="114"/>
      <c r="AK24" s="142" t="n">
        <f aca="false">N24+O24+P24+Q24+R24+S24+T24+U24+X24+AE24+AH24</f>
        <v>28.64</v>
      </c>
      <c r="AL24" s="143" t="n">
        <f aca="false">IF(L24&lt;0,L24*-1,0)</f>
        <v>41.36</v>
      </c>
      <c r="AM24" s="143" t="n">
        <f aca="false">AK24+AL24</f>
        <v>70</v>
      </c>
      <c r="AN24" s="147" t="n">
        <f aca="false">V24</f>
        <v>0</v>
      </c>
      <c r="AO24" s="144"/>
      <c r="AP24" s="231"/>
      <c r="AU24" s="86"/>
      <c r="AV24" s="284" t="n">
        <v>0</v>
      </c>
      <c r="AW24" s="114" t="n">
        <v>51</v>
      </c>
      <c r="AX24" s="225" t="n">
        <v>26</v>
      </c>
      <c r="AY24" s="233"/>
      <c r="AZ24" s="263" t="n">
        <f aca="false">SUM(N24,P24:U24)</f>
        <v>3.14</v>
      </c>
      <c r="BA24" s="193" t="n">
        <v>0</v>
      </c>
      <c r="BB24" s="264" t="n">
        <v>16465</v>
      </c>
    </row>
    <row r="25" customFormat="false" ht="12.95" hidden="false" customHeight="true" outlineLevel="0" collapsed="false">
      <c r="A25" s="192" t="n">
        <f aca="false">A24+1</f>
        <v>11</v>
      </c>
      <c r="B25" s="113" t="n">
        <v>6867.85</v>
      </c>
      <c r="C25" s="114" t="n">
        <v>182164</v>
      </c>
      <c r="D25" s="225" t="n">
        <f aca="false">C25-C24</f>
        <v>180</v>
      </c>
      <c r="E25" s="114" t="n">
        <f aca="false">C25-152000</f>
        <v>30164</v>
      </c>
      <c r="F25" s="259" t="n">
        <f aca="false">D25/$D$2</f>
        <v>90.7486765817998</v>
      </c>
      <c r="G25" s="143" t="n">
        <v>68</v>
      </c>
      <c r="H25" s="260" t="n">
        <v>0</v>
      </c>
      <c r="I25" s="143" t="n">
        <f aca="false">G25+H25</f>
        <v>68</v>
      </c>
      <c r="J25" s="144" t="n">
        <f aca="false">IF(L25&gt;0,L25,0)</f>
        <v>51.5686765817998</v>
      </c>
      <c r="K25" s="143" t="n">
        <f aca="false">I25+J25</f>
        <v>119.5686765818</v>
      </c>
      <c r="L25" s="143" t="n">
        <f aca="false">F25-(I25-AK25)</f>
        <v>51.5686765817998</v>
      </c>
      <c r="M25" s="261" t="n">
        <v>3.22</v>
      </c>
      <c r="N25" s="143" t="n">
        <v>0</v>
      </c>
      <c r="O25" s="143" t="n">
        <f aca="false">0*1.05</f>
        <v>0</v>
      </c>
      <c r="P25" s="171" t="n">
        <v>0</v>
      </c>
      <c r="Q25" s="139" t="n">
        <f aca="false">1126500/325851/1.9835*1.02</f>
        <v>1.77778855047221</v>
      </c>
      <c r="R25" s="139" t="n">
        <f aca="false">(1.6*1.04)-T25</f>
        <v>1.38134464</v>
      </c>
      <c r="S25" s="139" t="n">
        <v>0</v>
      </c>
      <c r="T25" s="139" t="n">
        <f aca="false">(0.2564*1.06)*1.04</f>
        <v>0.28265536</v>
      </c>
      <c r="U25" s="102" t="n">
        <f aca="false">M25-(Q25+R25+S25+T25)</f>
        <v>-0.221788550472207</v>
      </c>
      <c r="V25" s="143" t="n">
        <v>0</v>
      </c>
      <c r="W25" s="143" t="n">
        <v>0</v>
      </c>
      <c r="X25" s="143" t="n">
        <f aca="false">M25-N25-P25-O25-Q25-R25-S25-T25-U25+V25+W25</f>
        <v>0</v>
      </c>
      <c r="Y25" s="143" t="n">
        <f aca="false">X25-AO25</f>
        <v>0</v>
      </c>
      <c r="Z25" s="143"/>
      <c r="AA25" s="143"/>
      <c r="AB25" s="144"/>
      <c r="AC25" s="144" t="n">
        <v>46.44</v>
      </c>
      <c r="AD25" s="114"/>
      <c r="AE25" s="143" t="n">
        <v>0</v>
      </c>
      <c r="AF25" s="261"/>
      <c r="AG25" s="262"/>
      <c r="AH25" s="143" t="n">
        <v>25.6</v>
      </c>
      <c r="AI25" s="114" t="n">
        <f aca="false">AI24-AH25</f>
        <v>2253.84923115706</v>
      </c>
      <c r="AJ25" s="114"/>
      <c r="AK25" s="142" t="n">
        <f aca="false">N25+O25+P25+Q25+R25+S25+T25+U25+X25+AE25+AH25</f>
        <v>28.82</v>
      </c>
      <c r="AL25" s="143" t="n">
        <f aca="false">IF(L25&lt;0,L25*-1,0)</f>
        <v>0</v>
      </c>
      <c r="AM25" s="143" t="n">
        <f aca="false">AK25+AL25</f>
        <v>28.82</v>
      </c>
      <c r="AN25" s="147" t="n">
        <f aca="false">V25</f>
        <v>0</v>
      </c>
      <c r="AO25" s="144"/>
      <c r="AP25" s="231"/>
      <c r="AU25" s="86"/>
      <c r="AV25" s="284" t="n">
        <v>0.08</v>
      </c>
      <c r="AW25" s="114" t="n">
        <v>44</v>
      </c>
      <c r="AX25" s="225" t="n">
        <v>27</v>
      </c>
      <c r="AY25" s="233"/>
      <c r="AZ25" s="263" t="n">
        <f aca="false">SUM(N25,P25:U25)</f>
        <v>3.22</v>
      </c>
      <c r="BA25" s="193" t="n">
        <v>0</v>
      </c>
      <c r="BB25" s="264" t="n">
        <v>16504</v>
      </c>
    </row>
    <row r="26" customFormat="false" ht="12.95" hidden="false" customHeight="true" outlineLevel="0" collapsed="false">
      <c r="A26" s="192" t="n">
        <f aca="false">A25+1</f>
        <v>12</v>
      </c>
      <c r="B26" s="113" t="n">
        <v>6867.86</v>
      </c>
      <c r="C26" s="114" t="n">
        <v>182190</v>
      </c>
      <c r="D26" s="225" t="n">
        <f aca="false">C26-C25</f>
        <v>26</v>
      </c>
      <c r="E26" s="114" t="n">
        <f aca="false">C26-152000</f>
        <v>30190</v>
      </c>
      <c r="F26" s="259" t="n">
        <f aca="false">D26/$D$2</f>
        <v>13.1081421729266</v>
      </c>
      <c r="G26" s="143" t="n">
        <v>65</v>
      </c>
      <c r="H26" s="260" t="n">
        <v>0</v>
      </c>
      <c r="I26" s="143" t="n">
        <f aca="false">G26+H26</f>
        <v>65</v>
      </c>
      <c r="J26" s="144" t="n">
        <f aca="false">IF(L26&gt;0,L26,0)</f>
        <v>0</v>
      </c>
      <c r="K26" s="143" t="n">
        <f aca="false">I26+J26</f>
        <v>65</v>
      </c>
      <c r="L26" s="143" t="n">
        <f aca="false">F26-(I26-AK26)</f>
        <v>-22.8218578270734</v>
      </c>
      <c r="M26" s="261" t="n">
        <v>3.47</v>
      </c>
      <c r="N26" s="143" t="n">
        <v>0</v>
      </c>
      <c r="O26" s="143" t="n">
        <f aca="false">0*1.05</f>
        <v>0</v>
      </c>
      <c r="P26" s="171" t="n">
        <v>0</v>
      </c>
      <c r="Q26" s="139" t="n">
        <f aca="false">947600/325851/1.9835*1.02</f>
        <v>1.49545710646024</v>
      </c>
      <c r="R26" s="139" t="n">
        <f aca="false">(2.1*1.04)-T26</f>
        <v>1.90134464</v>
      </c>
      <c r="S26" s="139" t="n">
        <v>0</v>
      </c>
      <c r="T26" s="139" t="n">
        <f aca="false">(0.2564*1.06)*1.04</f>
        <v>0.28265536</v>
      </c>
      <c r="U26" s="102" t="n">
        <f aca="false">M26-(Q26+R26+S26+T26)</f>
        <v>-0.209457106460243</v>
      </c>
      <c r="V26" s="143" t="n">
        <v>0</v>
      </c>
      <c r="W26" s="143" t="n">
        <v>0</v>
      </c>
      <c r="X26" s="143" t="n">
        <f aca="false">M26-N26-P26-O26-Q26-R26-S26-T26-U26+V26+W26</f>
        <v>0</v>
      </c>
      <c r="Y26" s="143" t="n">
        <f aca="false">X26-AO26</f>
        <v>0</v>
      </c>
      <c r="Z26" s="143"/>
      <c r="AA26" s="143"/>
      <c r="AB26" s="144"/>
      <c r="AC26" s="144"/>
      <c r="AD26" s="114"/>
      <c r="AE26" s="143" t="n">
        <v>0</v>
      </c>
      <c r="AF26" s="261"/>
      <c r="AG26" s="262"/>
      <c r="AH26" s="143" t="n">
        <v>25.6</v>
      </c>
      <c r="AI26" s="114" t="n">
        <f aca="false">AI25-AH26</f>
        <v>2228.24923115706</v>
      </c>
      <c r="AJ26" s="114"/>
      <c r="AK26" s="142" t="n">
        <f aca="false">N26+O26+P26+Q26+R26+S26+T26+U26+X26+AE26+AH26</f>
        <v>29.07</v>
      </c>
      <c r="AL26" s="143" t="n">
        <f aca="false">IF(L26&lt;0,L26*-1,0)</f>
        <v>22.8218578270734</v>
      </c>
      <c r="AM26" s="143" t="n">
        <f aca="false">AK26+AL26</f>
        <v>51.8918578270734</v>
      </c>
      <c r="AN26" s="147" t="n">
        <f aca="false">V26</f>
        <v>0</v>
      </c>
      <c r="AO26" s="144"/>
      <c r="AP26" s="231"/>
      <c r="AU26" s="86"/>
      <c r="AV26" s="284" t="n">
        <v>0.01</v>
      </c>
      <c r="AW26" s="114" t="n">
        <v>46</v>
      </c>
      <c r="AX26" s="225" t="n">
        <v>25</v>
      </c>
      <c r="AY26" s="233"/>
      <c r="AZ26" s="263" t="n">
        <f aca="false">SUM(N26,P26:U26)</f>
        <v>3.47</v>
      </c>
      <c r="BA26" s="193" t="n">
        <v>0</v>
      </c>
      <c r="BB26" s="264" t="n">
        <v>16556</v>
      </c>
    </row>
    <row r="27" customFormat="false" ht="12.95" hidden="false" customHeight="true" outlineLevel="0" collapsed="false">
      <c r="A27" s="192" t="n">
        <f aca="false">A26+1</f>
        <v>13</v>
      </c>
      <c r="B27" s="113" t="n">
        <v>6867.94</v>
      </c>
      <c r="C27" s="114" t="n">
        <v>182396</v>
      </c>
      <c r="D27" s="225" t="n">
        <f aca="false">C27-C26</f>
        <v>206</v>
      </c>
      <c r="E27" s="114" t="n">
        <f aca="false">C27-152000</f>
        <v>30396</v>
      </c>
      <c r="F27" s="259" t="n">
        <f aca="false">D27/$D$2</f>
        <v>103.856818754727</v>
      </c>
      <c r="G27" s="143" t="n">
        <v>64</v>
      </c>
      <c r="H27" s="260" t="n">
        <v>0</v>
      </c>
      <c r="I27" s="143" t="n">
        <f aca="false">G27+H27</f>
        <v>64</v>
      </c>
      <c r="J27" s="144" t="n">
        <f aca="false">IF(L27&gt;0,L27,0)</f>
        <v>68.7168187547265</v>
      </c>
      <c r="K27" s="143" t="n">
        <f aca="false">I27+J27</f>
        <v>132.716818754727</v>
      </c>
      <c r="L27" s="143" t="n">
        <f aca="false">F27-(I27-AK27)</f>
        <v>68.7168187547265</v>
      </c>
      <c r="M27" s="261" t="n">
        <v>3.06</v>
      </c>
      <c r="N27" s="143" t="n">
        <v>0</v>
      </c>
      <c r="O27" s="143" t="n">
        <f aca="false">0*1.05</f>
        <v>0</v>
      </c>
      <c r="P27" s="171" t="n">
        <v>0</v>
      </c>
      <c r="Q27" s="139" t="n">
        <f aca="false">1114300/325851/1.9835*1.02</f>
        <v>1.75853509257983</v>
      </c>
      <c r="R27" s="139" t="n">
        <f aca="false">(1.7*1.04)-T27</f>
        <v>1.48534464</v>
      </c>
      <c r="S27" s="139" t="n">
        <v>0</v>
      </c>
      <c r="T27" s="139" t="n">
        <f aca="false">(0.2564*1.06)*1.04</f>
        <v>0.28265536</v>
      </c>
      <c r="U27" s="102" t="n">
        <f aca="false">M27-(Q27+R27+S27+T27)</f>
        <v>-0.466535092579832</v>
      </c>
      <c r="V27" s="143" t="n">
        <v>0</v>
      </c>
      <c r="W27" s="143" t="n">
        <v>0</v>
      </c>
      <c r="X27" s="143" t="n">
        <f aca="false">M27-N27-P27-O27-Q27-R27-S27-T27-U27+V27+W27</f>
        <v>0</v>
      </c>
      <c r="Y27" s="143" t="n">
        <f aca="false">X27-AO27</f>
        <v>0</v>
      </c>
      <c r="Z27" s="143"/>
      <c r="AA27" s="143"/>
      <c r="AB27" s="144"/>
      <c r="AC27" s="144"/>
      <c r="AD27" s="114"/>
      <c r="AE27" s="143" t="n">
        <v>0</v>
      </c>
      <c r="AF27" s="261"/>
      <c r="AG27" s="262"/>
      <c r="AH27" s="143" t="n">
        <v>25.8</v>
      </c>
      <c r="AI27" s="114" t="n">
        <f aca="false">AI26-AH27</f>
        <v>2202.44923115706</v>
      </c>
      <c r="AJ27" s="114"/>
      <c r="AK27" s="142" t="n">
        <f aca="false">N27+O27+P27+Q27+R27+S27+T27+U27+X27+AE27+AH27</f>
        <v>28.86</v>
      </c>
      <c r="AL27" s="143" t="n">
        <f aca="false">IF(L27&lt;0,L27*-1,0)</f>
        <v>0</v>
      </c>
      <c r="AM27" s="143" t="n">
        <f aca="false">AK27+AL27</f>
        <v>28.86</v>
      </c>
      <c r="AN27" s="147" t="n">
        <f aca="false">V27</f>
        <v>0</v>
      </c>
      <c r="AO27" s="144"/>
      <c r="AP27" s="231"/>
      <c r="AU27" s="86"/>
      <c r="AV27" s="284" t="n">
        <v>0.36</v>
      </c>
      <c r="AW27" s="114" t="n">
        <v>44</v>
      </c>
      <c r="AX27" s="225" t="n">
        <v>31</v>
      </c>
      <c r="AY27" s="233"/>
      <c r="AZ27" s="263" t="n">
        <f aca="false">SUM(N27,P27:U27)</f>
        <v>3.06</v>
      </c>
      <c r="BA27" s="193" t="n">
        <v>0</v>
      </c>
      <c r="BB27" s="264" t="n">
        <v>16668</v>
      </c>
    </row>
    <row r="28" customFormat="false" ht="12.95" hidden="false" customHeight="true" outlineLevel="0" collapsed="false">
      <c r="A28" s="192" t="n">
        <f aca="false">A27+1</f>
        <v>14</v>
      </c>
      <c r="B28" s="113" t="n">
        <v>6867.97</v>
      </c>
      <c r="C28" s="114" t="n">
        <v>182473</v>
      </c>
      <c r="D28" s="225" t="n">
        <f aca="false">C28-C27</f>
        <v>77</v>
      </c>
      <c r="E28" s="114" t="n">
        <f aca="false">C28-152000</f>
        <v>30473</v>
      </c>
      <c r="F28" s="259" t="n">
        <f aca="false">D28/$D$2</f>
        <v>38.8202672044366</v>
      </c>
      <c r="G28" s="143" t="n">
        <v>64</v>
      </c>
      <c r="H28" s="260" t="n">
        <v>0</v>
      </c>
      <c r="I28" s="143" t="n">
        <f aca="false">G28+H28</f>
        <v>64</v>
      </c>
      <c r="J28" s="144" t="n">
        <f aca="false">IF(L28&gt;0,L28,0)</f>
        <v>3.0402672044366</v>
      </c>
      <c r="K28" s="143" t="n">
        <f aca="false">I28+J28</f>
        <v>67.0402672044366</v>
      </c>
      <c r="L28" s="143" t="n">
        <f aca="false">F28-(I28-AK28)</f>
        <v>3.0402672044366</v>
      </c>
      <c r="M28" s="261" t="n">
        <v>2.92</v>
      </c>
      <c r="N28" s="143" t="n">
        <v>0</v>
      </c>
      <c r="O28" s="143" t="n">
        <f aca="false">0*1.05</f>
        <v>0</v>
      </c>
      <c r="P28" s="171" t="n">
        <v>0</v>
      </c>
      <c r="Q28" s="139" t="n">
        <f aca="false">932500/325851/1.9835*1.02</f>
        <v>1.47162700693771</v>
      </c>
      <c r="R28" s="139" t="n">
        <f aca="false">(2*1.04)-T28</f>
        <v>1.79734464</v>
      </c>
      <c r="S28" s="139" t="n">
        <v>0</v>
      </c>
      <c r="T28" s="139" t="n">
        <f aca="false">(0.2564*1.06)*1.04</f>
        <v>0.28265536</v>
      </c>
      <c r="U28" s="102" t="n">
        <f aca="false">M28-(Q28+R28+S28+T28)</f>
        <v>-0.631627006937713</v>
      </c>
      <c r="V28" s="143" t="n">
        <v>0</v>
      </c>
      <c r="W28" s="143" t="n">
        <v>0</v>
      </c>
      <c r="X28" s="143" t="n">
        <f aca="false">M28-N28-P28-O28-Q28-R28-S28-T28-U28+V28+W28</f>
        <v>0</v>
      </c>
      <c r="Y28" s="143" t="n">
        <f aca="false">X28-AO28</f>
        <v>0</v>
      </c>
      <c r="Z28" s="143"/>
      <c r="AA28" s="143"/>
      <c r="AB28" s="144"/>
      <c r="AC28" s="144"/>
      <c r="AD28" s="114"/>
      <c r="AE28" s="143" t="n">
        <v>0</v>
      </c>
      <c r="AF28" s="261"/>
      <c r="AG28" s="262"/>
      <c r="AH28" s="143" t="n">
        <v>25.3</v>
      </c>
      <c r="AI28" s="114" t="n">
        <f aca="false">AI27-AH28</f>
        <v>2177.14923115706</v>
      </c>
      <c r="AJ28" s="114"/>
      <c r="AK28" s="142" t="n">
        <f aca="false">N28+O28+P28+Q28+R28+S28+T28+U28+X28+AE28+AH28</f>
        <v>28.22</v>
      </c>
      <c r="AL28" s="143" t="n">
        <f aca="false">IF(L28&lt;0,L28*-1,0)</f>
        <v>0</v>
      </c>
      <c r="AM28" s="143" t="n">
        <f aca="false">AK28+AL28</f>
        <v>28.22</v>
      </c>
      <c r="AN28" s="147" t="n">
        <f aca="false">V28</f>
        <v>0</v>
      </c>
      <c r="AO28" s="144"/>
      <c r="AP28" s="231"/>
      <c r="AU28" s="86"/>
      <c r="AV28" s="284" t="n">
        <v>0.12</v>
      </c>
      <c r="AW28" s="114" t="n">
        <v>45</v>
      </c>
      <c r="AX28" s="225" t="n">
        <v>21</v>
      </c>
      <c r="AY28" s="233"/>
      <c r="AZ28" s="263" t="n">
        <f aca="false">SUM(N28,P28:U28)</f>
        <v>2.92</v>
      </c>
      <c r="BA28" s="193" t="n">
        <v>0</v>
      </c>
      <c r="BB28" s="264" t="n">
        <v>16693</v>
      </c>
    </row>
    <row r="29" customFormat="false" ht="12.95" hidden="false" customHeight="true" outlineLevel="0" collapsed="false">
      <c r="A29" s="192" t="n">
        <f aca="false">A28+1</f>
        <v>15</v>
      </c>
      <c r="B29" s="113" t="n">
        <v>6867.98</v>
      </c>
      <c r="C29" s="114" t="n">
        <v>182499</v>
      </c>
      <c r="D29" s="225" t="n">
        <f aca="false">C29-C28</f>
        <v>26</v>
      </c>
      <c r="E29" s="114" t="n">
        <f aca="false">C29-152000</f>
        <v>30499</v>
      </c>
      <c r="F29" s="259" t="n">
        <f aca="false">D29/$D$2</f>
        <v>13.1081421729266</v>
      </c>
      <c r="G29" s="143" t="n">
        <v>64</v>
      </c>
      <c r="H29" s="260" t="n">
        <v>0</v>
      </c>
      <c r="I29" s="143" t="n">
        <f aca="false">G29+H29</f>
        <v>64</v>
      </c>
      <c r="J29" s="144" t="n">
        <f aca="false">IF(L29&gt;0,L29,0)</f>
        <v>0</v>
      </c>
      <c r="K29" s="143" t="n">
        <f aca="false">I29+J29</f>
        <v>64</v>
      </c>
      <c r="L29" s="143" t="n">
        <f aca="false">F29-(I29-AK29)</f>
        <v>-22.3118578270734</v>
      </c>
      <c r="M29" s="261" t="n">
        <v>3.68</v>
      </c>
      <c r="N29" s="143" t="n">
        <v>0</v>
      </c>
      <c r="O29" s="143" t="n">
        <f aca="false">0*1.05</f>
        <v>0</v>
      </c>
      <c r="P29" s="171" t="n">
        <v>0</v>
      </c>
      <c r="Q29" s="139" t="n">
        <f aca="false">869500/325851/1.9835*1.02</f>
        <v>1.37220341290332</v>
      </c>
      <c r="R29" s="139" t="n">
        <f aca="false">(1.9*1.04)-T29</f>
        <v>1.69334464</v>
      </c>
      <c r="S29" s="139" t="n">
        <v>0</v>
      </c>
      <c r="T29" s="139" t="n">
        <f aca="false">(0.2564*1.06)*1.04</f>
        <v>0.28265536</v>
      </c>
      <c r="U29" s="102" t="n">
        <f aca="false">M29-(Q29+R29+S29+T29)</f>
        <v>0.331796587096685</v>
      </c>
      <c r="V29" s="143" t="n">
        <v>0</v>
      </c>
      <c r="W29" s="143" t="n">
        <v>0</v>
      </c>
      <c r="X29" s="143" t="n">
        <f aca="false">M29-N29-P29-O29-Q29-R29-S29-T29-U29+V29+W29</f>
        <v>0</v>
      </c>
      <c r="Y29" s="143" t="n">
        <f aca="false">X29-AO29</f>
        <v>0</v>
      </c>
      <c r="Z29" s="143"/>
      <c r="AA29" s="143"/>
      <c r="AB29" s="144"/>
      <c r="AC29" s="144"/>
      <c r="AD29" s="114"/>
      <c r="AE29" s="143" t="n">
        <v>0</v>
      </c>
      <c r="AF29" s="261"/>
      <c r="AG29" s="262"/>
      <c r="AH29" s="143" t="n">
        <v>24.9</v>
      </c>
      <c r="AI29" s="114" t="n">
        <f aca="false">AI28-AH29</f>
        <v>2152.24923115706</v>
      </c>
      <c r="AJ29" s="114"/>
      <c r="AK29" s="142" t="n">
        <f aca="false">N29+O29+P29+Q29+R29+S29+T29+U29+X29+AE29+AH29</f>
        <v>28.58</v>
      </c>
      <c r="AL29" s="143" t="n">
        <f aca="false">IF(L29&lt;0,L29*-1,0)</f>
        <v>22.3118578270734</v>
      </c>
      <c r="AM29" s="143" t="n">
        <f aca="false">AK29+AL29</f>
        <v>50.8918578270734</v>
      </c>
      <c r="AN29" s="147" t="n">
        <f aca="false">V29</f>
        <v>0</v>
      </c>
      <c r="AO29" s="144"/>
      <c r="AP29" s="231"/>
      <c r="AU29" s="86"/>
      <c r="AV29" s="284" t="n">
        <v>0.01</v>
      </c>
      <c r="AW29" s="114" t="n">
        <v>46</v>
      </c>
      <c r="AX29" s="225" t="n">
        <v>17</v>
      </c>
      <c r="AY29" s="233"/>
      <c r="AZ29" s="263" t="n">
        <f aca="false">SUM(N29,P29:U29)</f>
        <v>3.68</v>
      </c>
      <c r="BA29" s="193" t="n">
        <v>0</v>
      </c>
      <c r="BB29" s="264" t="n">
        <v>16751</v>
      </c>
    </row>
    <row r="30" customFormat="false" ht="12.95" hidden="false" customHeight="true" outlineLevel="0" collapsed="false">
      <c r="A30" s="192" t="n">
        <f aca="false">A29+1</f>
        <v>16</v>
      </c>
      <c r="B30" s="113" t="n">
        <v>6868.02</v>
      </c>
      <c r="C30" s="114" t="n">
        <v>182602</v>
      </c>
      <c r="D30" s="225" t="n">
        <f aca="false">C30-C29</f>
        <v>103</v>
      </c>
      <c r="E30" s="114" t="n">
        <f aca="false">C30-152000</f>
        <v>30602</v>
      </c>
      <c r="F30" s="259" t="n">
        <f aca="false">D30/$D$2</f>
        <v>51.9284093773632</v>
      </c>
      <c r="G30" s="143" t="n">
        <v>64</v>
      </c>
      <c r="H30" s="260" t="n">
        <v>0</v>
      </c>
      <c r="I30" s="143" t="n">
        <f aca="false">G30+H30</f>
        <v>64</v>
      </c>
      <c r="J30" s="144" t="n">
        <f aca="false">IF(L30&gt;0,L30,0)</f>
        <v>15.4984093773632</v>
      </c>
      <c r="K30" s="143" t="n">
        <f aca="false">I30+J30</f>
        <v>79.4984093773632</v>
      </c>
      <c r="L30" s="143" t="n">
        <f aca="false">F30-(I30-AK30)</f>
        <v>15.4984093773632</v>
      </c>
      <c r="M30" s="261" t="n">
        <v>2.67</v>
      </c>
      <c r="N30" s="143" t="n">
        <v>0</v>
      </c>
      <c r="O30" s="143" t="n">
        <f aca="false">0*1.05</f>
        <v>0</v>
      </c>
      <c r="P30" s="171" t="n">
        <v>0</v>
      </c>
      <c r="Q30" s="139" t="n">
        <f aca="false">800400/325851/1.9835*1.02</f>
        <v>1.26315308992273</v>
      </c>
      <c r="R30" s="139" t="n">
        <f aca="false">(2*1.04)-T30</f>
        <v>1.59637712</v>
      </c>
      <c r="S30" s="139" t="n">
        <v>0</v>
      </c>
      <c r="T30" s="139" t="n">
        <f aca="false">(0.4387*1.06)*1.04</f>
        <v>0.48362288</v>
      </c>
      <c r="U30" s="102" t="n">
        <f aca="false">M30-(Q30+R30+S30+T30)</f>
        <v>-0.67315308992273</v>
      </c>
      <c r="V30" s="143" t="n">
        <v>0</v>
      </c>
      <c r="W30" s="143" t="n">
        <v>0</v>
      </c>
      <c r="X30" s="143" t="n">
        <f aca="false">M30-N30-P30-O30-Q30-R30-S30-T30-U30+V30+W30</f>
        <v>0</v>
      </c>
      <c r="Y30" s="143" t="n">
        <f aca="false">X30-AO30</f>
        <v>0</v>
      </c>
      <c r="Z30" s="143"/>
      <c r="AA30" s="143"/>
      <c r="AB30" s="144"/>
      <c r="AC30" s="144"/>
      <c r="AD30" s="114"/>
      <c r="AE30" s="143" t="n">
        <v>0</v>
      </c>
      <c r="AF30" s="261"/>
      <c r="AG30" s="262"/>
      <c r="AH30" s="143" t="n">
        <v>24.9</v>
      </c>
      <c r="AI30" s="114" t="n">
        <f aca="false">AI29-AH30</f>
        <v>2127.34923115706</v>
      </c>
      <c r="AJ30" s="114"/>
      <c r="AK30" s="142" t="n">
        <f aca="false">N30+O30+P30+Q30+R30+S30+T30+U30+X30+AE30+AH30</f>
        <v>27.57</v>
      </c>
      <c r="AL30" s="143" t="n">
        <f aca="false">IF(L30&lt;0,L30*-1,0)</f>
        <v>0</v>
      </c>
      <c r="AM30" s="143" t="n">
        <f aca="false">AK30+AL30</f>
        <v>27.57</v>
      </c>
      <c r="AN30" s="147" t="n">
        <f aca="false">V30</f>
        <v>0</v>
      </c>
      <c r="AO30" s="144"/>
      <c r="AP30" s="231"/>
      <c r="AU30" s="86"/>
      <c r="AV30" s="284" t="n">
        <v>0</v>
      </c>
      <c r="AW30" s="114" t="n">
        <v>49</v>
      </c>
      <c r="AX30" s="225" t="n">
        <v>15</v>
      </c>
      <c r="AY30" s="233"/>
      <c r="AZ30" s="263" t="n">
        <f aca="false">SUM(N30,P30:U30)</f>
        <v>2.67</v>
      </c>
      <c r="BA30" s="193" t="n">
        <v>0</v>
      </c>
      <c r="BB30" s="264" t="n">
        <v>16665</v>
      </c>
    </row>
    <row r="31" customFormat="false" ht="12.95" hidden="false" customHeight="true" outlineLevel="0" collapsed="false">
      <c r="A31" s="192" t="n">
        <f aca="false">A30+1</f>
        <v>17</v>
      </c>
      <c r="B31" s="113" t="n">
        <v>6868</v>
      </c>
      <c r="C31" s="114" t="n">
        <v>182550</v>
      </c>
      <c r="D31" s="225" t="n">
        <f aca="false">C31-C30</f>
        <v>-52</v>
      </c>
      <c r="E31" s="114" t="n">
        <f aca="false">C31-152000</f>
        <v>30550</v>
      </c>
      <c r="F31" s="259" t="n">
        <f aca="false">D31/$D$2</f>
        <v>-26.2162843458533</v>
      </c>
      <c r="G31" s="143" t="n">
        <v>65</v>
      </c>
      <c r="H31" s="260" t="n">
        <v>0</v>
      </c>
      <c r="I31" s="143" t="n">
        <f aca="false">G31+H31</f>
        <v>65</v>
      </c>
      <c r="J31" s="144" t="n">
        <f aca="false">IF(L31&gt;0,L31,0)</f>
        <v>0</v>
      </c>
      <c r="K31" s="143" t="n">
        <f aca="false">I31+J31</f>
        <v>65</v>
      </c>
      <c r="L31" s="143" t="n">
        <f aca="false">F31-(I31-AK31)</f>
        <v>-63.3462843458533</v>
      </c>
      <c r="M31" s="261" t="n">
        <v>2.97</v>
      </c>
      <c r="N31" s="143" t="n">
        <v>0</v>
      </c>
      <c r="O31" s="143" t="n">
        <f aca="false">0*1.05</f>
        <v>0</v>
      </c>
      <c r="P31" s="171" t="n">
        <v>0</v>
      </c>
      <c r="Q31" s="139" t="n">
        <f aca="false">862100/325851/1.9835*1.02</f>
        <v>1.36052508598499</v>
      </c>
      <c r="R31" s="139" t="n">
        <f aca="false">(1.9*1.04)-T31</f>
        <v>1.49237712</v>
      </c>
      <c r="S31" s="139" t="n">
        <v>0</v>
      </c>
      <c r="T31" s="139" t="n">
        <f aca="false">(0.4387*1.06)*1.04</f>
        <v>0.48362288</v>
      </c>
      <c r="U31" s="102" t="n">
        <f aca="false">M31-(Q31+R31+S31+T31)</f>
        <v>-0.366525085984989</v>
      </c>
      <c r="V31" s="143" t="n">
        <v>0</v>
      </c>
      <c r="W31" s="143" t="n">
        <v>0</v>
      </c>
      <c r="X31" s="143" t="n">
        <f aca="false">M31-N31-P31-O31-Q31-R31-S31-T31-U31+V31+W31</f>
        <v>0</v>
      </c>
      <c r="Y31" s="143" t="n">
        <f aca="false">X31-AO31</f>
        <v>0</v>
      </c>
      <c r="Z31" s="143"/>
      <c r="AA31" s="143"/>
      <c r="AB31" s="144"/>
      <c r="AC31" s="144"/>
      <c r="AD31" s="114"/>
      <c r="AE31" s="143" t="n">
        <v>0</v>
      </c>
      <c r="AF31" s="261"/>
      <c r="AG31" s="262"/>
      <c r="AH31" s="143" t="n">
        <v>24.9</v>
      </c>
      <c r="AI31" s="114" t="n">
        <f aca="false">AI30-AH31</f>
        <v>2102.44923115706</v>
      </c>
      <c r="AJ31" s="114"/>
      <c r="AK31" s="142" t="n">
        <f aca="false">N31+O31+P31+Q31+R31+S31+T31+U31+X31+AE31+AH31</f>
        <v>27.87</v>
      </c>
      <c r="AL31" s="143" t="n">
        <f aca="false">IF(L31&lt;0,L31*-1,0)</f>
        <v>63.3462843458533</v>
      </c>
      <c r="AM31" s="143" t="n">
        <f aca="false">AK31+AL31</f>
        <v>91.2162843458533</v>
      </c>
      <c r="AN31" s="147" t="n">
        <f aca="false">V31</f>
        <v>0</v>
      </c>
      <c r="AO31" s="144"/>
      <c r="AP31" s="231"/>
      <c r="AU31" s="86"/>
      <c r="AV31" s="284" t="n">
        <v>0</v>
      </c>
      <c r="AW31" s="114" t="n">
        <v>51</v>
      </c>
      <c r="AX31" s="225" t="n">
        <v>19</v>
      </c>
      <c r="AY31" s="233"/>
      <c r="AZ31" s="263" t="n">
        <f aca="false">SUM(N31,P31:U31)</f>
        <v>2.97</v>
      </c>
      <c r="BA31" s="193" t="n">
        <v>0</v>
      </c>
      <c r="BB31" s="264" t="n">
        <v>16598</v>
      </c>
    </row>
    <row r="32" customFormat="false" ht="12.95" hidden="false" customHeight="true" outlineLevel="0" collapsed="false">
      <c r="A32" s="192" t="n">
        <f aca="false">A31+1</f>
        <v>18</v>
      </c>
      <c r="B32" s="113" t="n">
        <v>6868.01</v>
      </c>
      <c r="C32" s="114" t="n">
        <v>182576</v>
      </c>
      <c r="D32" s="225" t="n">
        <f aca="false">C32-C31</f>
        <v>26</v>
      </c>
      <c r="E32" s="114" t="n">
        <f aca="false">C32-152000</f>
        <v>30576</v>
      </c>
      <c r="F32" s="259" t="n">
        <f aca="false">D32/$D$2</f>
        <v>13.1081421729266</v>
      </c>
      <c r="G32" s="143" t="n">
        <v>66</v>
      </c>
      <c r="H32" s="260" t="n">
        <v>0</v>
      </c>
      <c r="I32" s="143" t="n">
        <f aca="false">G32+H32</f>
        <v>66</v>
      </c>
      <c r="J32" s="144" t="n">
        <f aca="false">IF(L32&gt;0,L32,0)</f>
        <v>0</v>
      </c>
      <c r="K32" s="143" t="n">
        <f aca="false">I32+J32</f>
        <v>66</v>
      </c>
      <c r="L32" s="143" t="n">
        <f aca="false">F32-(I32-AK32)</f>
        <v>-24.4218578270734</v>
      </c>
      <c r="M32" s="261" t="n">
        <v>3.57</v>
      </c>
      <c r="N32" s="143" t="n">
        <v>0</v>
      </c>
      <c r="O32" s="143" t="n">
        <f aca="false">0*1.05</f>
        <v>0</v>
      </c>
      <c r="P32" s="171" t="n">
        <v>0</v>
      </c>
      <c r="Q32" s="139" t="n">
        <f aca="false">1204400/325851/1.9835*1.02</f>
        <v>1.90072661357188</v>
      </c>
      <c r="R32" s="139" t="n">
        <f aca="false">(1.9*1.04)-T32</f>
        <v>1.49237712</v>
      </c>
      <c r="S32" s="139" t="n">
        <v>0</v>
      </c>
      <c r="T32" s="139" t="n">
        <f aca="false">(0.4387*1.06)*1.04</f>
        <v>0.48362288</v>
      </c>
      <c r="U32" s="102" t="n">
        <f aca="false">M32-(Q32+R32+S32+T32)</f>
        <v>-0.306726613571884</v>
      </c>
      <c r="V32" s="143" t="n">
        <v>0</v>
      </c>
      <c r="W32" s="143" t="n">
        <v>0</v>
      </c>
      <c r="X32" s="143" t="n">
        <f aca="false">M32-N32-P32-O32-Q32-R32-S32-T32-U32+V32+W32</f>
        <v>0</v>
      </c>
      <c r="Y32" s="143" t="n">
        <f aca="false">X32-AO32</f>
        <v>0</v>
      </c>
      <c r="Z32" s="143"/>
      <c r="AA32" s="143"/>
      <c r="AB32" s="144"/>
      <c r="AC32" s="144"/>
      <c r="AD32" s="114"/>
      <c r="AE32" s="143" t="n">
        <v>0</v>
      </c>
      <c r="AF32" s="261"/>
      <c r="AG32" s="262"/>
      <c r="AH32" s="143" t="n">
        <v>24.9</v>
      </c>
      <c r="AI32" s="114" t="n">
        <f aca="false">AI31-AH32</f>
        <v>2077.54923115706</v>
      </c>
      <c r="AJ32" s="114"/>
      <c r="AK32" s="142" t="n">
        <f aca="false">N32+O32+P32+Q32+R32+S32+T32+U32+X32+AE32+AH32</f>
        <v>28.47</v>
      </c>
      <c r="AL32" s="143" t="n">
        <f aca="false">IF(L32&lt;0,L32*-1,0)</f>
        <v>24.4218578270734</v>
      </c>
      <c r="AM32" s="143" t="n">
        <f aca="false">AK32+AL32</f>
        <v>52.8918578270734</v>
      </c>
      <c r="AN32" s="147" t="n">
        <f aca="false">V32</f>
        <v>0</v>
      </c>
      <c r="AO32" s="144"/>
      <c r="AP32" s="231"/>
      <c r="AU32" s="86"/>
      <c r="AV32" s="284" t="n">
        <v>0</v>
      </c>
      <c r="AW32" s="114" t="n">
        <v>48</v>
      </c>
      <c r="AX32" s="225" t="n">
        <v>19</v>
      </c>
      <c r="AY32" s="233"/>
      <c r="AZ32" s="263" t="n">
        <f aca="false">SUM(N32,P32:U32)</f>
        <v>3.57</v>
      </c>
      <c r="BA32" s="193" t="n">
        <v>0</v>
      </c>
      <c r="BB32" s="264" t="n">
        <v>16622</v>
      </c>
    </row>
    <row r="33" customFormat="false" ht="12.95" hidden="false" customHeight="true" outlineLevel="0" collapsed="false">
      <c r="A33" s="192" t="n">
        <f aca="false">A32+1</f>
        <v>19</v>
      </c>
      <c r="B33" s="113" t="n">
        <v>6868.02</v>
      </c>
      <c r="C33" s="114" t="n">
        <v>182602</v>
      </c>
      <c r="D33" s="225" t="n">
        <f aca="false">C33-C32</f>
        <v>26</v>
      </c>
      <c r="E33" s="114" t="n">
        <f aca="false">C33-152000</f>
        <v>30602</v>
      </c>
      <c r="F33" s="259" t="n">
        <f aca="false">D33/$D$2</f>
        <v>13.1081421729266</v>
      </c>
      <c r="G33" s="143" t="n">
        <v>66</v>
      </c>
      <c r="H33" s="260" t="n">
        <v>0</v>
      </c>
      <c r="I33" s="143" t="n">
        <f aca="false">G33+H33</f>
        <v>66</v>
      </c>
      <c r="J33" s="144" t="n">
        <f aca="false">IF(L33&gt;0,L33,0)</f>
        <v>0</v>
      </c>
      <c r="K33" s="143" t="n">
        <f aca="false">I33+J33</f>
        <v>66</v>
      </c>
      <c r="L33" s="143" t="n">
        <f aca="false">F33-(I33-AK33)</f>
        <v>-24.0418578270734</v>
      </c>
      <c r="M33" s="261" t="n">
        <v>3.55</v>
      </c>
      <c r="N33" s="143" t="n">
        <v>0</v>
      </c>
      <c r="O33" s="143" t="n">
        <f aca="false">0*1.05</f>
        <v>0</v>
      </c>
      <c r="P33" s="171" t="n">
        <v>0</v>
      </c>
      <c r="Q33" s="139" t="n">
        <f aca="false">1017500/325851/1.9835*1.02</f>
        <v>1.60576995126984</v>
      </c>
      <c r="R33" s="139" t="n">
        <f aca="false">(1.9*1.04)-T33</f>
        <v>1.49237712</v>
      </c>
      <c r="S33" s="139" t="n">
        <v>0</v>
      </c>
      <c r="T33" s="139" t="n">
        <f aca="false">(0.4387*1.06)*1.04</f>
        <v>0.48362288</v>
      </c>
      <c r="U33" s="102" t="n">
        <f aca="false">M33-(Q33+R33+S33+T33)</f>
        <v>-0.0317699512698368</v>
      </c>
      <c r="V33" s="143" t="n">
        <v>0</v>
      </c>
      <c r="W33" s="143" t="n">
        <v>0</v>
      </c>
      <c r="X33" s="143" t="n">
        <f aca="false">M33-N33-P33-O33-Q33-R33-S33-T33-U33+V33+W33</f>
        <v>0</v>
      </c>
      <c r="Y33" s="143" t="n">
        <f aca="false">X33-AO33</f>
        <v>0</v>
      </c>
      <c r="Z33" s="143"/>
      <c r="AA33" s="143"/>
      <c r="AB33" s="144"/>
      <c r="AC33" s="144"/>
      <c r="AD33" s="114"/>
      <c r="AE33" s="143" t="n">
        <v>0</v>
      </c>
      <c r="AF33" s="261"/>
      <c r="AG33" s="262"/>
      <c r="AH33" s="143" t="n">
        <v>25.3</v>
      </c>
      <c r="AI33" s="114" t="n">
        <f aca="false">AI32-AH33</f>
        <v>2052.24923115706</v>
      </c>
      <c r="AJ33" s="114"/>
      <c r="AK33" s="142" t="n">
        <f aca="false">N33+O33+P33+Q33+R33+S33+T33+U33+X33+AE33+AH33</f>
        <v>28.85</v>
      </c>
      <c r="AL33" s="143" t="n">
        <f aca="false">IF(L33&lt;0,L33*-1,0)</f>
        <v>24.0418578270734</v>
      </c>
      <c r="AM33" s="143" t="n">
        <f aca="false">AK33+AL33</f>
        <v>52.8918578270734</v>
      </c>
      <c r="AN33" s="147" t="n">
        <f aca="false">V33</f>
        <v>0</v>
      </c>
      <c r="AO33" s="144"/>
      <c r="AP33" s="231"/>
      <c r="AU33" s="86"/>
      <c r="AV33" s="284" t="n">
        <v>0</v>
      </c>
      <c r="AW33" s="114" t="n">
        <v>51</v>
      </c>
      <c r="AX33" s="225" t="n">
        <v>24</v>
      </c>
      <c r="AY33" s="233"/>
      <c r="AZ33" s="263" t="n">
        <f aca="false">SUM(N33,P33:U33)</f>
        <v>3.55</v>
      </c>
      <c r="BA33" s="193" t="n">
        <v>0</v>
      </c>
      <c r="BB33" s="264" t="n">
        <v>16434</v>
      </c>
    </row>
    <row r="34" customFormat="false" ht="12.95" hidden="false" customHeight="true" outlineLevel="0" collapsed="false">
      <c r="A34" s="192" t="n">
        <f aca="false">A33+1</f>
        <v>20</v>
      </c>
      <c r="B34" s="113" t="n">
        <v>6868.07</v>
      </c>
      <c r="C34" s="114" t="n">
        <v>182733</v>
      </c>
      <c r="D34" s="225" t="n">
        <f aca="false">C34-C33</f>
        <v>131</v>
      </c>
      <c r="E34" s="114" t="n">
        <f aca="false">C34-152000</f>
        <v>30733</v>
      </c>
      <c r="F34" s="259" t="n">
        <f aca="false">D34/$D$2</f>
        <v>66.0448701789766</v>
      </c>
      <c r="G34" s="143" t="n">
        <v>66</v>
      </c>
      <c r="H34" s="260" t="n">
        <v>0</v>
      </c>
      <c r="I34" s="143" t="n">
        <f aca="false">G34+H34</f>
        <v>66</v>
      </c>
      <c r="J34" s="144" t="n">
        <f aca="false">IF(L34&gt;0,L34,0)</f>
        <v>28.9448701789766</v>
      </c>
      <c r="K34" s="143" t="n">
        <f aca="false">I34+J34</f>
        <v>94.9448701789765</v>
      </c>
      <c r="L34" s="143" t="n">
        <f aca="false">F34-(I34-AK34)</f>
        <v>28.9448701789766</v>
      </c>
      <c r="M34" s="261" t="n">
        <v>3.4</v>
      </c>
      <c r="N34" s="143" t="n">
        <v>0</v>
      </c>
      <c r="O34" s="143" t="n">
        <f aca="false">0*1.05</f>
        <v>0</v>
      </c>
      <c r="P34" s="171" t="n">
        <v>0</v>
      </c>
      <c r="Q34" s="139" t="n">
        <f aca="false">1065000/325851/1.9835*1.02</f>
        <v>1.6807321848672</v>
      </c>
      <c r="R34" s="139" t="n">
        <f aca="false">(1.9*1.04)-T34</f>
        <v>1.49237712</v>
      </c>
      <c r="S34" s="139" t="n">
        <v>0</v>
      </c>
      <c r="T34" s="139" t="n">
        <f aca="false">(0.4387*1.06)*1.04</f>
        <v>0.48362288</v>
      </c>
      <c r="U34" s="102" t="n">
        <f aca="false">M34-(Q34+R34+S34+T34)</f>
        <v>-0.2567321848672</v>
      </c>
      <c r="V34" s="143" t="n">
        <v>0</v>
      </c>
      <c r="W34" s="143" t="n">
        <v>0</v>
      </c>
      <c r="X34" s="143" t="n">
        <f aca="false">M34-N34-P34-O34-Q34-R34-S34-T34-U34+V34+W34</f>
        <v>0</v>
      </c>
      <c r="Y34" s="143" t="n">
        <f aca="false">X34-AO34</f>
        <v>0</v>
      </c>
      <c r="Z34" s="143"/>
      <c r="AA34" s="143"/>
      <c r="AB34" s="144"/>
      <c r="AC34" s="144"/>
      <c r="AD34" s="114"/>
      <c r="AE34" s="143" t="n">
        <v>0</v>
      </c>
      <c r="AF34" s="261"/>
      <c r="AG34" s="262"/>
      <c r="AH34" s="143" t="n">
        <v>25.5</v>
      </c>
      <c r="AI34" s="114" t="n">
        <f aca="false">AI33-AH34</f>
        <v>2026.74923115706</v>
      </c>
      <c r="AJ34" s="114"/>
      <c r="AK34" s="142" t="n">
        <f aca="false">N34+O34+P34+Q34+R34+S34+T34+U34+X34+AE34+AH34</f>
        <v>28.9</v>
      </c>
      <c r="AL34" s="143" t="n">
        <f aca="false">IF(L34&lt;0,L34*-1,0)</f>
        <v>0</v>
      </c>
      <c r="AM34" s="143" t="n">
        <f aca="false">AK34+AL34</f>
        <v>28.9</v>
      </c>
      <c r="AN34" s="147" t="n">
        <f aca="false">V34</f>
        <v>0</v>
      </c>
      <c r="AO34" s="144"/>
      <c r="AP34" s="231"/>
      <c r="AU34" s="86"/>
      <c r="AV34" s="284" t="n">
        <v>0</v>
      </c>
      <c r="AW34" s="114" t="n">
        <v>50</v>
      </c>
      <c r="AX34" s="225" t="n">
        <v>24</v>
      </c>
      <c r="AY34" s="233"/>
      <c r="AZ34" s="263" t="n">
        <f aca="false">SUM(N34,P34:U34)</f>
        <v>3.4</v>
      </c>
      <c r="BA34" s="193" t="n">
        <v>0</v>
      </c>
      <c r="BB34" s="264" t="n">
        <v>16535</v>
      </c>
    </row>
    <row r="35" customFormat="false" ht="12.95" hidden="false" customHeight="true" outlineLevel="0" collapsed="false">
      <c r="A35" s="192" t="n">
        <f aca="false">A34+1</f>
        <v>21</v>
      </c>
      <c r="B35" s="113" t="n">
        <v>6868.12</v>
      </c>
      <c r="C35" s="114" t="n">
        <v>182863</v>
      </c>
      <c r="D35" s="225" t="n">
        <f aca="false">C35-C34</f>
        <v>130</v>
      </c>
      <c r="E35" s="114" t="n">
        <f aca="false">C35-152000</f>
        <v>30863</v>
      </c>
      <c r="F35" s="259" t="n">
        <f aca="false">D35/$D$2</f>
        <v>65.5407108646332</v>
      </c>
      <c r="G35" s="143" t="n">
        <v>66</v>
      </c>
      <c r="H35" s="260" t="n">
        <v>0</v>
      </c>
      <c r="I35" s="143" t="n">
        <f aca="false">G35+H35</f>
        <v>66</v>
      </c>
      <c r="J35" s="144" t="n">
        <f aca="false">IF(L35&gt;0,L35,0)</f>
        <v>28.2607108646332</v>
      </c>
      <c r="K35" s="143" t="n">
        <f aca="false">I35+J35</f>
        <v>94.2607108646332</v>
      </c>
      <c r="L35" s="143" t="n">
        <f aca="false">F35-(I35-AK35)</f>
        <v>28.2607108646332</v>
      </c>
      <c r="M35" s="261" t="n">
        <v>3.22</v>
      </c>
      <c r="N35" s="143" t="n">
        <v>0</v>
      </c>
      <c r="O35" s="143" t="n">
        <f aca="false">0*1.05</f>
        <v>0</v>
      </c>
      <c r="P35" s="171" t="n">
        <v>0</v>
      </c>
      <c r="Q35" s="139" t="n">
        <f aca="false">1071200/325851/1.9835*1.02</f>
        <v>1.69051672904201</v>
      </c>
      <c r="R35" s="139" t="n">
        <f aca="false">(2*1.04)-T35</f>
        <v>1.59637712</v>
      </c>
      <c r="S35" s="139" t="n">
        <v>0</v>
      </c>
      <c r="T35" s="139" t="n">
        <f aca="false">(0.4387*1.06)*1.04</f>
        <v>0.48362288</v>
      </c>
      <c r="U35" s="102" t="n">
        <f aca="false">M35-(Q35+R35+S35+T35)</f>
        <v>-0.550516729042014</v>
      </c>
      <c r="V35" s="143" t="n">
        <v>0</v>
      </c>
      <c r="W35" s="143" t="n">
        <v>0</v>
      </c>
      <c r="X35" s="143" t="n">
        <f aca="false">M35-N35-P35-O35-Q35-R35-S35-T35-U35+V35+W35</f>
        <v>0</v>
      </c>
      <c r="Y35" s="143" t="n">
        <f aca="false">X35-AO35</f>
        <v>0</v>
      </c>
      <c r="Z35" s="143"/>
      <c r="AA35" s="143"/>
      <c r="AB35" s="144"/>
      <c r="AC35" s="144"/>
      <c r="AD35" s="114"/>
      <c r="AE35" s="143" t="n">
        <v>0</v>
      </c>
      <c r="AF35" s="261"/>
      <c r="AG35" s="262"/>
      <c r="AH35" s="143" t="n">
        <v>25.5</v>
      </c>
      <c r="AI35" s="114" t="n">
        <f aca="false">AI34-AH35</f>
        <v>2001.24923115706</v>
      </c>
      <c r="AJ35" s="114"/>
      <c r="AK35" s="142" t="n">
        <f aca="false">N35+O35+P35+Q35+R35+S35+T35+U35+X35+AE35+AH35</f>
        <v>28.72</v>
      </c>
      <c r="AL35" s="143" t="n">
        <f aca="false">IF(L35&lt;0,L35*-1,0)</f>
        <v>0</v>
      </c>
      <c r="AM35" s="143" t="n">
        <f aca="false">AK35+AL35</f>
        <v>28.72</v>
      </c>
      <c r="AN35" s="147" t="n">
        <f aca="false">V35</f>
        <v>0</v>
      </c>
      <c r="AO35" s="144"/>
      <c r="AP35" s="231"/>
      <c r="AU35" s="86"/>
      <c r="AV35" s="284" t="n">
        <v>0</v>
      </c>
      <c r="AW35" s="114" t="n">
        <v>45</v>
      </c>
      <c r="AX35" s="225" t="n">
        <v>20</v>
      </c>
      <c r="AY35" s="233"/>
      <c r="AZ35" s="263" t="n">
        <f aca="false">SUM(N35,P35:U35)</f>
        <v>3.22</v>
      </c>
      <c r="BA35" s="193" t="n">
        <v>0</v>
      </c>
      <c r="BB35" s="264" t="n">
        <v>16670</v>
      </c>
    </row>
    <row r="36" customFormat="false" ht="12.95" hidden="false" customHeight="true" outlineLevel="0" collapsed="false">
      <c r="A36" s="192" t="n">
        <f aca="false">A35+1</f>
        <v>22</v>
      </c>
      <c r="B36" s="113" t="n">
        <v>6868.12</v>
      </c>
      <c r="C36" s="114" t="n">
        <v>182863</v>
      </c>
      <c r="D36" s="225" t="n">
        <f aca="false">C36-C35</f>
        <v>0</v>
      </c>
      <c r="E36" s="114" t="n">
        <f aca="false">C36-152000</f>
        <v>30863</v>
      </c>
      <c r="F36" s="259" t="n">
        <f aca="false">D36/$D$2</f>
        <v>0</v>
      </c>
      <c r="G36" s="143" t="n">
        <v>66</v>
      </c>
      <c r="H36" s="260" t="n">
        <v>0</v>
      </c>
      <c r="I36" s="143" t="n">
        <f aca="false">G36+H36</f>
        <v>66</v>
      </c>
      <c r="J36" s="144" t="n">
        <f aca="false">IF(L36&gt;0,L36,0)</f>
        <v>0</v>
      </c>
      <c r="K36" s="143" t="n">
        <f aca="false">I36+J36</f>
        <v>66</v>
      </c>
      <c r="L36" s="143" t="n">
        <f aca="false">F36-(I36-AK36)</f>
        <v>-37.38</v>
      </c>
      <c r="M36" s="261" t="n">
        <v>3.22</v>
      </c>
      <c r="N36" s="143" t="n">
        <v>0</v>
      </c>
      <c r="O36" s="143" t="n">
        <f aca="false">0*1.05</f>
        <v>0</v>
      </c>
      <c r="P36" s="171" t="n">
        <v>0</v>
      </c>
      <c r="Q36" s="139" t="n">
        <f aca="false">1130100/325851/1.9835*1.02</f>
        <v>1.78346989870274</v>
      </c>
      <c r="R36" s="139" t="n">
        <f aca="false">(2*1.04)-T36</f>
        <v>1.59637712</v>
      </c>
      <c r="S36" s="139" t="n">
        <v>0</v>
      </c>
      <c r="T36" s="139" t="n">
        <f aca="false">(0.4387*1.06)*1.04</f>
        <v>0.48362288</v>
      </c>
      <c r="U36" s="102" t="n">
        <f aca="false">M36-(Q36+R36+S36+T36)</f>
        <v>-0.643469898702745</v>
      </c>
      <c r="V36" s="143" t="n">
        <v>0</v>
      </c>
      <c r="W36" s="143" t="n">
        <v>0</v>
      </c>
      <c r="X36" s="143" t="n">
        <f aca="false">M36-N36-P36-O36-Q36-R36-S36-T36-U36+V36+W36</f>
        <v>0</v>
      </c>
      <c r="Y36" s="143" t="n">
        <f aca="false">X36-AO36</f>
        <v>0</v>
      </c>
      <c r="Z36" s="143"/>
      <c r="AA36" s="143"/>
      <c r="AB36" s="144"/>
      <c r="AC36" s="144"/>
      <c r="AD36" s="114"/>
      <c r="AE36" s="143" t="n">
        <v>0</v>
      </c>
      <c r="AF36" s="261"/>
      <c r="AG36" s="262"/>
      <c r="AH36" s="143" t="n">
        <v>25.4</v>
      </c>
      <c r="AI36" s="114" t="n">
        <f aca="false">AI35-AH36</f>
        <v>1975.84923115706</v>
      </c>
      <c r="AJ36" s="114"/>
      <c r="AK36" s="142" t="n">
        <f aca="false">N36+O36+P36+Q36+R36+S36+T36+U36+X36+AE36+AH36</f>
        <v>28.62</v>
      </c>
      <c r="AL36" s="143" t="n">
        <f aca="false">IF(L36&lt;0,L36*-1,0)</f>
        <v>37.38</v>
      </c>
      <c r="AM36" s="143" t="n">
        <f aca="false">AK36+AL36</f>
        <v>66</v>
      </c>
      <c r="AN36" s="147" t="n">
        <f aca="false">V36</f>
        <v>0</v>
      </c>
      <c r="AO36" s="144"/>
      <c r="AP36" s="231"/>
      <c r="AU36" s="86"/>
      <c r="AV36" s="284" t="n">
        <v>0</v>
      </c>
      <c r="AW36" s="114" t="n">
        <v>39</v>
      </c>
      <c r="AX36" s="225" t="n">
        <v>15</v>
      </c>
      <c r="AY36" s="233"/>
      <c r="AZ36" s="263" t="n">
        <f aca="false">SUM(N36,P36:U36)</f>
        <v>3.22</v>
      </c>
      <c r="BA36" s="193" t="n">
        <v>0</v>
      </c>
      <c r="BB36" s="264" t="n">
        <v>16475</v>
      </c>
    </row>
    <row r="37" customFormat="false" ht="12.95" hidden="false" customHeight="true" outlineLevel="0" collapsed="false">
      <c r="A37" s="192" t="n">
        <f aca="false">A36+1</f>
        <v>23</v>
      </c>
      <c r="B37" s="113" t="n">
        <v>6868.15</v>
      </c>
      <c r="C37" s="114" t="n">
        <v>182941</v>
      </c>
      <c r="D37" s="225" t="n">
        <f aca="false">C37-C36</f>
        <v>78</v>
      </c>
      <c r="E37" s="114" t="n">
        <f aca="false">C37-152000</f>
        <v>30941</v>
      </c>
      <c r="F37" s="259" t="n">
        <f aca="false">D37/$D$2</f>
        <v>39.3244265187799</v>
      </c>
      <c r="G37" s="143" t="n">
        <v>65</v>
      </c>
      <c r="H37" s="260" t="n">
        <v>0</v>
      </c>
      <c r="I37" s="143" t="n">
        <f aca="false">G37+H37</f>
        <v>65</v>
      </c>
      <c r="J37" s="144" t="n">
        <f aca="false">IF(L37&gt;0,L37,0)</f>
        <v>2.84442651877993</v>
      </c>
      <c r="K37" s="143" t="n">
        <f aca="false">I37+J37</f>
        <v>67.8444265187799</v>
      </c>
      <c r="L37" s="143" t="n">
        <f aca="false">F37-(I37-AK37)</f>
        <v>2.84442651877993</v>
      </c>
      <c r="M37" s="261" t="n">
        <v>3.22</v>
      </c>
      <c r="N37" s="143" t="n">
        <v>0</v>
      </c>
      <c r="O37" s="143" t="n">
        <f aca="false">0*1.05</f>
        <v>0</v>
      </c>
      <c r="P37" s="171" t="n">
        <v>0</v>
      </c>
      <c r="Q37" s="139" t="n">
        <f aca="false">881000/325851/1.9835*1.02</f>
        <v>1.39035216419531</v>
      </c>
      <c r="R37" s="139" t="n">
        <f aca="false">(2*1.04)-T37</f>
        <v>1.58127424</v>
      </c>
      <c r="S37" s="139" t="n">
        <v>0</v>
      </c>
      <c r="T37" s="139" t="n">
        <f aca="false">(0.4524*1.06)*1.04</f>
        <v>0.49872576</v>
      </c>
      <c r="U37" s="102" t="n">
        <f aca="false">M37-(Q37+R37+S37+T37)</f>
        <v>-0.250352164195308</v>
      </c>
      <c r="V37" s="143" t="n">
        <v>0</v>
      </c>
      <c r="W37" s="143" t="n">
        <v>0</v>
      </c>
      <c r="X37" s="143" t="n">
        <f aca="false">M37-N37-P37-O37-Q37-R37-S37-T37-U37+V37+W37</f>
        <v>0</v>
      </c>
      <c r="Y37" s="143" t="n">
        <f aca="false">X37-AO37</f>
        <v>0</v>
      </c>
      <c r="Z37" s="143"/>
      <c r="AA37" s="143"/>
      <c r="AB37" s="144"/>
      <c r="AC37" s="144"/>
      <c r="AD37" s="114"/>
      <c r="AE37" s="143" t="n">
        <v>0</v>
      </c>
      <c r="AF37" s="261"/>
      <c r="AG37" s="262"/>
      <c r="AH37" s="143" t="n">
        <v>25.3</v>
      </c>
      <c r="AI37" s="114" t="n">
        <f aca="false">AI36-AH37</f>
        <v>1950.54923115706</v>
      </c>
      <c r="AJ37" s="114"/>
      <c r="AK37" s="142" t="n">
        <f aca="false">N37+O37+P37+Q37+R37+S37+T37+U37+X37+AE37+AH37</f>
        <v>28.52</v>
      </c>
      <c r="AL37" s="143" t="n">
        <f aca="false">IF(L37&lt;0,L37*-1,0)</f>
        <v>0</v>
      </c>
      <c r="AM37" s="143" t="n">
        <f aca="false">AK37+AL37</f>
        <v>28.52</v>
      </c>
      <c r="AN37" s="147" t="n">
        <f aca="false">V37</f>
        <v>0</v>
      </c>
      <c r="AO37" s="144"/>
      <c r="AP37" s="231"/>
      <c r="AU37" s="86"/>
      <c r="AV37" s="284" t="n">
        <v>0</v>
      </c>
      <c r="AW37" s="114" t="n">
        <v>49</v>
      </c>
      <c r="AX37" s="231" t="n">
        <v>15</v>
      </c>
      <c r="AY37" s="265"/>
      <c r="AZ37" s="263" t="n">
        <f aca="false">SUM(N37,P37:U37)</f>
        <v>3.22</v>
      </c>
      <c r="BA37" s="193" t="n">
        <v>0</v>
      </c>
      <c r="BB37" s="264" t="n">
        <v>16520</v>
      </c>
    </row>
    <row r="38" customFormat="false" ht="12.95" hidden="false" customHeight="true" outlineLevel="0" collapsed="false">
      <c r="A38" s="192" t="n">
        <f aca="false">A37+1</f>
        <v>24</v>
      </c>
      <c r="B38" s="113" t="n">
        <v>6868.12</v>
      </c>
      <c r="C38" s="114" t="n">
        <v>182863</v>
      </c>
      <c r="D38" s="225" t="n">
        <f aca="false">C38-C37</f>
        <v>-78</v>
      </c>
      <c r="E38" s="114" t="n">
        <f aca="false">C38-152000</f>
        <v>30863</v>
      </c>
      <c r="F38" s="259" t="n">
        <f aca="false">D38/$D$2</f>
        <v>-39.3244265187799</v>
      </c>
      <c r="G38" s="143" t="n">
        <v>65</v>
      </c>
      <c r="H38" s="260" t="n">
        <v>0</v>
      </c>
      <c r="I38" s="143" t="n">
        <f aca="false">G38+H38</f>
        <v>65</v>
      </c>
      <c r="J38" s="144" t="n">
        <f aca="false">IF(L38&gt;0,L38,0)</f>
        <v>0</v>
      </c>
      <c r="K38" s="143" t="n">
        <f aca="false">I38+J38</f>
        <v>65</v>
      </c>
      <c r="L38" s="143" t="n">
        <f aca="false">F38-(I38-AK38)</f>
        <v>-75.9044265187799</v>
      </c>
      <c r="M38" s="261" t="n">
        <v>3.22</v>
      </c>
      <c r="N38" s="143" t="n">
        <v>0</v>
      </c>
      <c r="O38" s="143" t="n">
        <f aca="false">0*1.05</f>
        <v>0</v>
      </c>
      <c r="P38" s="171" t="n">
        <v>0</v>
      </c>
      <c r="Q38" s="139" t="n">
        <f aca="false">825200/325851/1.9835*1.02</f>
        <v>1.30229126662198</v>
      </c>
      <c r="R38" s="139" t="n">
        <f aca="false">(2*1.04)-T38</f>
        <v>1.58127424</v>
      </c>
      <c r="S38" s="139" t="n">
        <v>0</v>
      </c>
      <c r="T38" s="139" t="n">
        <f aca="false">(0.4524*1.06)*1.04</f>
        <v>0.49872576</v>
      </c>
      <c r="U38" s="102" t="n">
        <f aca="false">M38-(Q38+R38+S38+T38)</f>
        <v>-0.162291266621985</v>
      </c>
      <c r="V38" s="143" t="n">
        <v>0</v>
      </c>
      <c r="W38" s="143" t="n">
        <v>0</v>
      </c>
      <c r="X38" s="143" t="n">
        <f aca="false">M38-N38-P38-O38-Q38-R38-S38-T38-U38+V38+W38</f>
        <v>0</v>
      </c>
      <c r="Y38" s="143" t="n">
        <f aca="false">X38-AO38</f>
        <v>0</v>
      </c>
      <c r="Z38" s="143"/>
      <c r="AA38" s="143"/>
      <c r="AB38" s="144"/>
      <c r="AC38" s="144"/>
      <c r="AD38" s="114"/>
      <c r="AE38" s="143" t="n">
        <v>0</v>
      </c>
      <c r="AF38" s="261"/>
      <c r="AG38" s="262"/>
      <c r="AH38" s="143" t="n">
        <v>25.2</v>
      </c>
      <c r="AI38" s="114" t="n">
        <f aca="false">AI37-AH38</f>
        <v>1925.34923115706</v>
      </c>
      <c r="AJ38" s="114"/>
      <c r="AK38" s="142" t="n">
        <f aca="false">N38+O38+P38+Q38+R38+S38+T38+U38+X38+AE38+AH38</f>
        <v>28.42</v>
      </c>
      <c r="AL38" s="143" t="n">
        <f aca="false">IF(L38&lt;0,L38*-1,0)</f>
        <v>75.9044265187799</v>
      </c>
      <c r="AM38" s="143" t="n">
        <f aca="false">AK38+AL38</f>
        <v>104.32442651878</v>
      </c>
      <c r="AN38" s="147" t="n">
        <f aca="false">V38</f>
        <v>0</v>
      </c>
      <c r="AO38" s="144"/>
      <c r="AP38" s="231"/>
      <c r="AU38" s="86"/>
      <c r="AV38" s="284" t="n">
        <v>0</v>
      </c>
      <c r="AW38" s="114" t="n">
        <v>49</v>
      </c>
      <c r="AX38" s="231" t="n">
        <v>21</v>
      </c>
      <c r="AY38" s="265"/>
      <c r="AZ38" s="263" t="n">
        <f aca="false">SUM(N38,P38:U38)</f>
        <v>3.22</v>
      </c>
      <c r="BA38" s="193" t="n">
        <v>0</v>
      </c>
      <c r="BB38" s="264" t="n">
        <v>16616</v>
      </c>
    </row>
    <row r="39" customFormat="false" ht="12.95" hidden="false" customHeight="true" outlineLevel="0" collapsed="false">
      <c r="A39" s="192" t="n">
        <f aca="false">A38+1</f>
        <v>25</v>
      </c>
      <c r="B39" s="113" t="n">
        <v>6868.18</v>
      </c>
      <c r="C39" s="114" t="n">
        <v>183019</v>
      </c>
      <c r="D39" s="225" t="n">
        <f aca="false">C39-C38</f>
        <v>156</v>
      </c>
      <c r="E39" s="114" t="n">
        <f aca="false">C39-152000</f>
        <v>31019</v>
      </c>
      <c r="F39" s="259" t="n">
        <f aca="false">D39/$D$2</f>
        <v>78.6488530375599</v>
      </c>
      <c r="G39" s="143" t="n">
        <v>65</v>
      </c>
      <c r="H39" s="260" t="n">
        <v>0</v>
      </c>
      <c r="I39" s="143" t="n">
        <f aca="false">G39+H39</f>
        <v>65</v>
      </c>
      <c r="J39" s="144" t="n">
        <f aca="false">IF(L39&gt;0,L39,0)</f>
        <v>42.1688530375599</v>
      </c>
      <c r="K39" s="143" t="n">
        <f aca="false">I39+J39</f>
        <v>107.16885303756</v>
      </c>
      <c r="L39" s="143" t="n">
        <f aca="false">F39-(I39-AK39)</f>
        <v>42.1688530375599</v>
      </c>
      <c r="M39" s="261" t="n">
        <v>3.22</v>
      </c>
      <c r="N39" s="143" t="n">
        <v>0</v>
      </c>
      <c r="O39" s="143" t="n">
        <f aca="false">0*1.05</f>
        <v>0</v>
      </c>
      <c r="P39" s="171" t="n">
        <v>0</v>
      </c>
      <c r="Q39" s="139" t="n">
        <f aca="false">1310600/325851/1.9835*1.02</f>
        <v>2.06832638637273</v>
      </c>
      <c r="R39" s="139" t="n">
        <f aca="false">(2*1.04)-T39</f>
        <v>1.58127424</v>
      </c>
      <c r="S39" s="139" t="n">
        <v>0</v>
      </c>
      <c r="T39" s="139" t="n">
        <f aca="false">(0.4524*1.06)*1.04</f>
        <v>0.49872576</v>
      </c>
      <c r="U39" s="102" t="n">
        <f aca="false">M39-(Q39+R39+S39+T39)</f>
        <v>-0.928326386372725</v>
      </c>
      <c r="V39" s="143" t="n">
        <v>0</v>
      </c>
      <c r="W39" s="143" t="n">
        <v>0</v>
      </c>
      <c r="X39" s="143" t="n">
        <f aca="false">M39-N39-P39-O39-Q39-R39-S39-T39-U39+V39+W39</f>
        <v>0</v>
      </c>
      <c r="Y39" s="143" t="n">
        <f aca="false">X39-AO39</f>
        <v>0</v>
      </c>
      <c r="Z39" s="143"/>
      <c r="AA39" s="143"/>
      <c r="AB39" s="144"/>
      <c r="AC39" s="144"/>
      <c r="AD39" s="114"/>
      <c r="AE39" s="143" t="n">
        <v>0</v>
      </c>
      <c r="AF39" s="261"/>
      <c r="AG39" s="262"/>
      <c r="AH39" s="143" t="n">
        <v>25.3</v>
      </c>
      <c r="AI39" s="114" t="n">
        <f aca="false">AI38-AH39</f>
        <v>1900.04923115706</v>
      </c>
      <c r="AJ39" s="114"/>
      <c r="AK39" s="142" t="n">
        <f aca="false">N39+O39+P39+Q39+R39+S39+T39+U39+X39+AE39+AH39</f>
        <v>28.52</v>
      </c>
      <c r="AL39" s="143" t="n">
        <f aca="false">IF(L39&lt;0,L39*-1,0)</f>
        <v>0</v>
      </c>
      <c r="AM39" s="143" t="n">
        <f aca="false">AK39+AL39</f>
        <v>28.52</v>
      </c>
      <c r="AN39" s="147" t="n">
        <f aca="false">V39</f>
        <v>0</v>
      </c>
      <c r="AO39" s="144"/>
      <c r="AP39" s="231"/>
      <c r="AU39" s="86"/>
      <c r="AV39" s="284" t="n">
        <v>0</v>
      </c>
      <c r="AW39" s="114" t="n">
        <v>60</v>
      </c>
      <c r="AX39" s="231" t="n">
        <v>21</v>
      </c>
      <c r="AY39" s="265"/>
      <c r="AZ39" s="263" t="n">
        <f aca="false">SUM(N39,P39:U39)</f>
        <v>3.22</v>
      </c>
      <c r="BA39" s="193" t="n">
        <v>0</v>
      </c>
      <c r="BB39" s="264" t="n">
        <v>16682</v>
      </c>
    </row>
    <row r="40" customFormat="false" ht="12.95" hidden="false" customHeight="true" outlineLevel="0" collapsed="false">
      <c r="A40" s="192" t="n">
        <f aca="false">A39+1</f>
        <v>26</v>
      </c>
      <c r="B40" s="113" t="n">
        <v>6868.19</v>
      </c>
      <c r="C40" s="114" t="n">
        <v>183046</v>
      </c>
      <c r="D40" s="225" t="n">
        <f aca="false">C40-C39</f>
        <v>27</v>
      </c>
      <c r="E40" s="114" t="n">
        <f aca="false">C40-152000</f>
        <v>31046</v>
      </c>
      <c r="F40" s="259" t="n">
        <f aca="false">D40/$D$2</f>
        <v>13.61230148727</v>
      </c>
      <c r="G40" s="143" t="n">
        <v>66</v>
      </c>
      <c r="H40" s="260" t="n">
        <v>0</v>
      </c>
      <c r="I40" s="143" t="n">
        <f aca="false">G40+H40</f>
        <v>66</v>
      </c>
      <c r="J40" s="144" t="n">
        <f aca="false">IF(L40&gt;0,L40,0)</f>
        <v>0</v>
      </c>
      <c r="K40" s="143" t="n">
        <f aca="false">I40+J40</f>
        <v>66</v>
      </c>
      <c r="L40" s="143" t="n">
        <f aca="false">F40-(I40-AK40)</f>
        <v>-23.76769851273</v>
      </c>
      <c r="M40" s="261" t="n">
        <v>3.22</v>
      </c>
      <c r="N40" s="143" t="n">
        <v>0</v>
      </c>
      <c r="O40" s="143" t="n">
        <f aca="false">0*1.05</f>
        <v>0</v>
      </c>
      <c r="P40" s="171" t="n">
        <v>0</v>
      </c>
      <c r="Q40" s="139" t="n">
        <f aca="false">889200/325851/1.9835*1.02</f>
        <v>1.40329301294264</v>
      </c>
      <c r="R40" s="139" t="n">
        <f aca="false">(2.1*1.04)-T40</f>
        <v>1.68527424</v>
      </c>
      <c r="S40" s="139" t="n">
        <v>0</v>
      </c>
      <c r="T40" s="139" t="n">
        <f aca="false">(0.4524*1.06)*1.04</f>
        <v>0.49872576</v>
      </c>
      <c r="U40" s="102" t="n">
        <f aca="false">M40-(Q40+R40+S40+T40)</f>
        <v>-0.367293012942643</v>
      </c>
      <c r="V40" s="143" t="n">
        <v>0</v>
      </c>
      <c r="W40" s="143" t="n">
        <v>0</v>
      </c>
      <c r="X40" s="143" t="n">
        <f aca="false">M40-N40-P40-O40-Q40-R40-S40-T40-U40+V40+W40</f>
        <v>0</v>
      </c>
      <c r="Y40" s="143" t="n">
        <f aca="false">X40-AO40</f>
        <v>0</v>
      </c>
      <c r="Z40" s="143"/>
      <c r="AA40" s="143"/>
      <c r="AB40" s="144"/>
      <c r="AC40" s="144"/>
      <c r="AD40" s="114"/>
      <c r="AE40" s="143" t="n">
        <v>0</v>
      </c>
      <c r="AF40" s="261"/>
      <c r="AG40" s="262"/>
      <c r="AH40" s="143" t="n">
        <v>25.4</v>
      </c>
      <c r="AI40" s="114" t="n">
        <f aca="false">AI39-AH40</f>
        <v>1874.64923115706</v>
      </c>
      <c r="AJ40" s="114"/>
      <c r="AK40" s="142" t="n">
        <f aca="false">N40+O40+P40+Q40+R40+S40+T40+U40+X40+AE40+AH40</f>
        <v>28.62</v>
      </c>
      <c r="AL40" s="143" t="n">
        <f aca="false">IF(L40&lt;0,L40*-1,0)</f>
        <v>23.76769851273</v>
      </c>
      <c r="AM40" s="143" t="n">
        <f aca="false">AK40+AL40</f>
        <v>52.38769851273</v>
      </c>
      <c r="AN40" s="147" t="n">
        <f aca="false">V40</f>
        <v>0</v>
      </c>
      <c r="AO40" s="144"/>
      <c r="AP40" s="231"/>
      <c r="AV40" s="232" t="n">
        <v>0</v>
      </c>
      <c r="AW40" s="114" t="n">
        <v>64</v>
      </c>
      <c r="AX40" s="225" t="n">
        <v>27</v>
      </c>
      <c r="AY40" s="233"/>
      <c r="AZ40" s="263" t="n">
        <f aca="false">SUM(N40,P40:U40)</f>
        <v>3.22</v>
      </c>
      <c r="BA40" s="193" t="n">
        <v>0</v>
      </c>
      <c r="BB40" s="264" t="n">
        <v>16548</v>
      </c>
    </row>
    <row r="41" customFormat="false" ht="12.95" hidden="false" customHeight="true" outlineLevel="0" collapsed="false">
      <c r="A41" s="192" t="n">
        <f aca="false">A40+1</f>
        <v>27</v>
      </c>
      <c r="B41" s="113" t="n">
        <v>6868.21</v>
      </c>
      <c r="C41" s="114" t="n">
        <v>183098</v>
      </c>
      <c r="D41" s="225" t="n">
        <f aca="false">C41-C40</f>
        <v>52</v>
      </c>
      <c r="E41" s="114" t="n">
        <f aca="false">C41-152000</f>
        <v>31098</v>
      </c>
      <c r="F41" s="259" t="n">
        <f aca="false">D41/$D$2</f>
        <v>26.2162843458533</v>
      </c>
      <c r="G41" s="143" t="n">
        <v>66</v>
      </c>
      <c r="H41" s="260" t="n">
        <v>0</v>
      </c>
      <c r="I41" s="143" t="n">
        <f aca="false">G41+H41</f>
        <v>66</v>
      </c>
      <c r="J41" s="144" t="n">
        <f aca="false">IF(L41&gt;0,L41,0)</f>
        <v>0</v>
      </c>
      <c r="K41" s="143" t="n">
        <f aca="false">I41+J41</f>
        <v>66</v>
      </c>
      <c r="L41" s="143" t="n">
        <f aca="false">F41-(I41-AK41)</f>
        <v>-11.1637156541467</v>
      </c>
      <c r="M41" s="261" t="n">
        <v>3.22</v>
      </c>
      <c r="N41" s="143" t="n">
        <v>0</v>
      </c>
      <c r="O41" s="143" t="n">
        <f aca="false">0*1.05</f>
        <v>0</v>
      </c>
      <c r="P41" s="171" t="n">
        <v>0</v>
      </c>
      <c r="Q41" s="139" t="n">
        <f aca="false">1104900/325851/1.9835*1.02</f>
        <v>1.74370046108899</v>
      </c>
      <c r="R41" s="139" t="n">
        <f aca="false">(2.1*1.04)-T41</f>
        <v>1.68527424</v>
      </c>
      <c r="S41" s="139" t="n">
        <v>0</v>
      </c>
      <c r="T41" s="139" t="n">
        <f aca="false">(0.4524*1.06)*1.04</f>
        <v>0.49872576</v>
      </c>
      <c r="U41" s="102" t="n">
        <f aca="false">M41-(Q41+R41+S41+T41)</f>
        <v>-0.707700461088985</v>
      </c>
      <c r="V41" s="143" t="n">
        <v>0</v>
      </c>
      <c r="W41" s="143" t="n">
        <v>0</v>
      </c>
      <c r="X41" s="143" t="n">
        <f aca="false">M41-N41-P41-O41-Q41-R41-S41-T41-U41+V41+W41</f>
        <v>0</v>
      </c>
      <c r="Y41" s="143" t="n">
        <f aca="false">X41-AO41</f>
        <v>0</v>
      </c>
      <c r="Z41" s="143"/>
      <c r="AA41" s="143"/>
      <c r="AB41" s="144"/>
      <c r="AC41" s="144"/>
      <c r="AD41" s="114"/>
      <c r="AE41" s="143" t="n">
        <v>0</v>
      </c>
      <c r="AF41" s="261"/>
      <c r="AG41" s="262"/>
      <c r="AH41" s="143" t="n">
        <v>25.4</v>
      </c>
      <c r="AI41" s="114" t="n">
        <f aca="false">AI40-AH41</f>
        <v>1849.24923115706</v>
      </c>
      <c r="AJ41" s="114"/>
      <c r="AK41" s="142" t="n">
        <f aca="false">N41+O41+P41+Q41+R41+S41+T41+U41+X41+AE41+AH41</f>
        <v>28.62</v>
      </c>
      <c r="AL41" s="143" t="n">
        <f aca="false">IF(L41&lt;0,L41*-1,0)</f>
        <v>11.1637156541467</v>
      </c>
      <c r="AM41" s="143" t="n">
        <f aca="false">AK41+AL41</f>
        <v>39.7837156541467</v>
      </c>
      <c r="AN41" s="147" t="n">
        <f aca="false">V41</f>
        <v>0</v>
      </c>
      <c r="AO41" s="144"/>
      <c r="AP41" s="231"/>
      <c r="AV41" s="232" t="n">
        <v>0</v>
      </c>
      <c r="AW41" s="114" t="n">
        <v>58</v>
      </c>
      <c r="AX41" s="225" t="n">
        <v>31</v>
      </c>
      <c r="AY41" s="233"/>
      <c r="AZ41" s="263" t="n">
        <f aca="false">SUM(N41,P41:U41)</f>
        <v>3.22</v>
      </c>
      <c r="BA41" s="193" t="n">
        <v>0</v>
      </c>
      <c r="BB41" s="264" t="n">
        <v>16445</v>
      </c>
    </row>
    <row r="42" customFormat="false" ht="12.95" hidden="false" customHeight="true" outlineLevel="0" collapsed="false">
      <c r="A42" s="192" t="n">
        <f aca="false">A41+1</f>
        <v>28</v>
      </c>
      <c r="B42" s="113" t="n">
        <v>6868.26</v>
      </c>
      <c r="C42" s="114" t="n">
        <v>183228</v>
      </c>
      <c r="D42" s="225" t="n">
        <f aca="false">C42-C41</f>
        <v>130</v>
      </c>
      <c r="E42" s="114" t="n">
        <f aca="false">C42-152000</f>
        <v>31228</v>
      </c>
      <c r="F42" s="259" t="n">
        <f aca="false">D42/$D$2</f>
        <v>65.5407108646332</v>
      </c>
      <c r="G42" s="143" t="n">
        <v>65</v>
      </c>
      <c r="H42" s="260" t="n">
        <v>0</v>
      </c>
      <c r="I42" s="143" t="n">
        <f aca="false">G42+H42</f>
        <v>65</v>
      </c>
      <c r="J42" s="144" t="n">
        <f aca="false">IF(L42&gt;0,L42,0)</f>
        <v>29.1607108646332</v>
      </c>
      <c r="K42" s="143" t="n">
        <f aca="false">I42+J42</f>
        <v>94.1607108646332</v>
      </c>
      <c r="L42" s="143" t="n">
        <f aca="false">F42-(I42-AK42)</f>
        <v>29.1607108646332</v>
      </c>
      <c r="M42" s="261" t="n">
        <v>3.22</v>
      </c>
      <c r="N42" s="143" t="n">
        <v>0</v>
      </c>
      <c r="O42" s="143" t="n">
        <f aca="false">0*1.05</f>
        <v>0</v>
      </c>
      <c r="P42" s="171" t="n">
        <v>0</v>
      </c>
      <c r="Q42" s="139" t="n">
        <f aca="false">775400/325851/1.9835*1.02</f>
        <v>1.22369928276622</v>
      </c>
      <c r="R42" s="139" t="n">
        <f aca="false">(2.1*1.04)-T42</f>
        <v>1.68527424</v>
      </c>
      <c r="S42" s="139" t="n">
        <v>0</v>
      </c>
      <c r="T42" s="139" t="n">
        <f aca="false">(0.4524*1.06)*1.04</f>
        <v>0.49872576</v>
      </c>
      <c r="U42" s="102" t="n">
        <f aca="false">M42-(Q42+R42+S42+T42)</f>
        <v>-0.187699282766223</v>
      </c>
      <c r="V42" s="143" t="n">
        <v>0</v>
      </c>
      <c r="W42" s="143" t="n">
        <v>0</v>
      </c>
      <c r="X42" s="143" t="n">
        <f aca="false">M42-N42-P42-O42-Q42-R42-S42-T42-U42+V42+W42</f>
        <v>0</v>
      </c>
      <c r="Y42" s="143" t="n">
        <f aca="false">X42-AO42</f>
        <v>0</v>
      </c>
      <c r="Z42" s="143"/>
      <c r="AA42" s="143"/>
      <c r="AB42" s="144"/>
      <c r="AC42" s="144"/>
      <c r="AD42" s="114"/>
      <c r="AE42" s="143" t="n">
        <v>0</v>
      </c>
      <c r="AF42" s="261"/>
      <c r="AG42" s="262"/>
      <c r="AH42" s="143" t="n">
        <v>25.4</v>
      </c>
      <c r="AI42" s="114" t="n">
        <f aca="false">AI41-AH42</f>
        <v>1823.84923115706</v>
      </c>
      <c r="AJ42" s="114"/>
      <c r="AK42" s="142" t="n">
        <f aca="false">N42+O42+P42+Q42+R42+S42+T42+U42+X42+AE42+AH42</f>
        <v>28.62</v>
      </c>
      <c r="AL42" s="143" t="n">
        <f aca="false">IF(L42&lt;0,L42*-1,0)</f>
        <v>0</v>
      </c>
      <c r="AM42" s="143" t="n">
        <f aca="false">AK42+AL42</f>
        <v>28.62</v>
      </c>
      <c r="AN42" s="147" t="n">
        <f aca="false">V42</f>
        <v>0</v>
      </c>
      <c r="AO42" s="144"/>
      <c r="AP42" s="231"/>
      <c r="AV42" s="232" t="n">
        <v>0</v>
      </c>
      <c r="AW42" s="114" t="n">
        <v>54</v>
      </c>
      <c r="AX42" s="225" t="n">
        <v>30</v>
      </c>
      <c r="AY42" s="233"/>
      <c r="AZ42" s="263" t="n">
        <f aca="false">SUM(N42,P42:U42)</f>
        <v>3.22</v>
      </c>
      <c r="BA42" s="193" t="n">
        <v>0</v>
      </c>
      <c r="BB42" s="264" t="n">
        <v>16407</v>
      </c>
    </row>
    <row r="43" customFormat="false" ht="12.95" hidden="false" customHeight="true" outlineLevel="0" collapsed="false">
      <c r="A43" s="192" t="n">
        <f aca="false">A42+1</f>
        <v>29</v>
      </c>
      <c r="B43" s="113" t="n">
        <v>6868.3</v>
      </c>
      <c r="C43" s="114" t="n">
        <v>183332</v>
      </c>
      <c r="D43" s="225" t="n">
        <f aca="false">C43-C42</f>
        <v>104</v>
      </c>
      <c r="E43" s="114" t="n">
        <f aca="false">C43-152000</f>
        <v>31332</v>
      </c>
      <c r="F43" s="259" t="n">
        <f aca="false">D43/$D$2</f>
        <v>52.4325686917066</v>
      </c>
      <c r="G43" s="143" t="n">
        <v>64</v>
      </c>
      <c r="H43" s="260" t="n">
        <v>0</v>
      </c>
      <c r="I43" s="143" t="n">
        <f aca="false">G43+H43</f>
        <v>64</v>
      </c>
      <c r="J43" s="144" t="n">
        <f aca="false">IF(L43&gt;0,L43,0)</f>
        <v>16.9525686917066</v>
      </c>
      <c r="K43" s="143" t="n">
        <f aca="false">I43+J43</f>
        <v>80.9525686917066</v>
      </c>
      <c r="L43" s="143" t="n">
        <f aca="false">F43-(I43-AK43)</f>
        <v>16.9525686917066</v>
      </c>
      <c r="M43" s="261" t="n">
        <v>3.22</v>
      </c>
      <c r="N43" s="143" t="n">
        <v>0</v>
      </c>
      <c r="O43" s="143" t="n">
        <f aca="false">0*1.05</f>
        <v>0</v>
      </c>
      <c r="P43" s="171" t="n">
        <v>0</v>
      </c>
      <c r="Q43" s="139" t="n">
        <f aca="false">921000/325851/1.9835*1.02</f>
        <v>1.45347825564572</v>
      </c>
      <c r="R43" s="139" t="n">
        <f aca="false">(2.3*1.04)-T43</f>
        <v>1.89327424</v>
      </c>
      <c r="S43" s="139" t="n">
        <v>0</v>
      </c>
      <c r="T43" s="139" t="n">
        <f aca="false">(0.4524*1.06)*1.04</f>
        <v>0.49872576</v>
      </c>
      <c r="U43" s="102" t="n">
        <f aca="false">M43-(Q43+R43+S43+T43)</f>
        <v>-0.625478255645719</v>
      </c>
      <c r="V43" s="143" t="n">
        <v>0</v>
      </c>
      <c r="W43" s="143" t="n">
        <v>0</v>
      </c>
      <c r="X43" s="143" t="n">
        <f aca="false">M43-N43-P43-O43-Q43-R43-S43-T43-U43+V43+W43</f>
        <v>0</v>
      </c>
      <c r="Y43" s="143" t="n">
        <f aca="false">X43-AO43</f>
        <v>0</v>
      </c>
      <c r="Z43" s="143"/>
      <c r="AA43" s="143"/>
      <c r="AB43" s="144"/>
      <c r="AC43" s="144"/>
      <c r="AD43" s="114"/>
      <c r="AE43" s="143" t="n">
        <v>0</v>
      </c>
      <c r="AF43" s="261"/>
      <c r="AG43" s="262"/>
      <c r="AH43" s="143" t="n">
        <v>25.3</v>
      </c>
      <c r="AI43" s="114" t="n">
        <f aca="false">AI42-AH43</f>
        <v>1798.54923115706</v>
      </c>
      <c r="AJ43" s="114"/>
      <c r="AK43" s="142" t="n">
        <f aca="false">N43+O43+P43+Q43+R43+S43+T43+U43+X43+AE43+AH43</f>
        <v>28.52</v>
      </c>
      <c r="AL43" s="143" t="n">
        <f aca="false">IF(L43&lt;0,L43*-1,0)</f>
        <v>0</v>
      </c>
      <c r="AM43" s="143" t="n">
        <f aca="false">AK43+AL43</f>
        <v>28.52</v>
      </c>
      <c r="AN43" s="147" t="n">
        <f aca="false">V43</f>
        <v>0</v>
      </c>
      <c r="AO43" s="144"/>
      <c r="AP43" s="231"/>
      <c r="AV43" s="232" t="n">
        <v>0.01</v>
      </c>
      <c r="AW43" s="114" t="n">
        <v>53</v>
      </c>
      <c r="AX43" s="225" t="n">
        <v>30</v>
      </c>
      <c r="AY43" s="233"/>
      <c r="AZ43" s="263" t="n">
        <f aca="false">SUM(N43,P43:U43)</f>
        <v>3.22</v>
      </c>
      <c r="BA43" s="193" t="n">
        <v>0</v>
      </c>
      <c r="BB43" s="264" t="n">
        <v>16353</v>
      </c>
    </row>
    <row r="44" customFormat="false" ht="12.95" hidden="false" customHeight="true" outlineLevel="0" collapsed="false">
      <c r="A44" s="192" t="n">
        <v>30</v>
      </c>
      <c r="B44" s="113" t="n">
        <v>6868.35</v>
      </c>
      <c r="C44" s="114" t="n">
        <v>183463</v>
      </c>
      <c r="D44" s="225" t="n">
        <f aca="false">C44-C43</f>
        <v>131</v>
      </c>
      <c r="E44" s="114" t="n">
        <f aca="false">C44-152000</f>
        <v>31463</v>
      </c>
      <c r="F44" s="259" t="n">
        <f aca="false">D44/$D$2</f>
        <v>66.0448701789766</v>
      </c>
      <c r="G44" s="143" t="n">
        <v>63</v>
      </c>
      <c r="H44" s="260" t="n">
        <v>0</v>
      </c>
      <c r="I44" s="143" t="n">
        <f aca="false">G44+H44</f>
        <v>63</v>
      </c>
      <c r="J44" s="144" t="n">
        <f aca="false">IF(L44&gt;0,L44,0)</f>
        <v>31.7648701789766</v>
      </c>
      <c r="K44" s="143" t="n">
        <f aca="false">I44+J44</f>
        <v>94.7648701789766</v>
      </c>
      <c r="L44" s="143" t="n">
        <f aca="false">F44-(I44-AK44)</f>
        <v>31.7648701789766</v>
      </c>
      <c r="M44" s="261" t="n">
        <v>3.22</v>
      </c>
      <c r="N44" s="143" t="n">
        <v>0</v>
      </c>
      <c r="O44" s="143" t="n">
        <f aca="false">0*1.05</f>
        <v>0</v>
      </c>
      <c r="P44" s="171" t="n">
        <v>0</v>
      </c>
      <c r="Q44" s="139" t="n">
        <f aca="false">794500/325851/1.9835*1.02</f>
        <v>1.25384199143379</v>
      </c>
      <c r="R44" s="139" t="n">
        <f aca="false">(2*1.04)-T44</f>
        <v>1.53508368</v>
      </c>
      <c r="S44" s="139" t="n">
        <v>0</v>
      </c>
      <c r="T44" s="139" t="n">
        <f aca="false">(0.4943*1.06)*1.04</f>
        <v>0.54491632</v>
      </c>
      <c r="U44" s="102" t="n">
        <f aca="false">M44-(Q44+R44+S44+T44)</f>
        <v>-0.113841991433794</v>
      </c>
      <c r="V44" s="143" t="n">
        <v>0</v>
      </c>
      <c r="W44" s="143" t="n">
        <v>0</v>
      </c>
      <c r="X44" s="143" t="n">
        <f aca="false">M44-N44-P44-O44-Q44-R44-S44-T44-U44+V44+W44</f>
        <v>0</v>
      </c>
      <c r="Y44" s="143" t="n">
        <f aca="false">X44-AO44</f>
        <v>0</v>
      </c>
      <c r="Z44" s="143"/>
      <c r="AA44" s="143"/>
      <c r="AB44" s="144"/>
      <c r="AC44" s="144"/>
      <c r="AD44" s="114"/>
      <c r="AE44" s="143" t="n">
        <v>0</v>
      </c>
      <c r="AF44" s="261"/>
      <c r="AG44" s="262"/>
      <c r="AH44" s="143" t="n">
        <v>25.5</v>
      </c>
      <c r="AI44" s="114" t="n">
        <f aca="false">AI43-AH44</f>
        <v>1773.04923115706</v>
      </c>
      <c r="AJ44" s="114"/>
      <c r="AK44" s="142" t="n">
        <f aca="false">N44+O44+P44+Q44+R44+S44+T44+U44+X44+AE44+AH44</f>
        <v>28.72</v>
      </c>
      <c r="AL44" s="143" t="n">
        <f aca="false">IF(L44&lt;0,L44*-1,0)</f>
        <v>0</v>
      </c>
      <c r="AM44" s="143" t="n">
        <f aca="false">AK44+AL44</f>
        <v>28.72</v>
      </c>
      <c r="AN44" s="147" t="n">
        <f aca="false">V44</f>
        <v>0</v>
      </c>
      <c r="AO44" s="144"/>
      <c r="AP44" s="231"/>
      <c r="AV44" s="232" t="n">
        <v>0.16</v>
      </c>
      <c r="AW44" s="114" t="n">
        <v>43</v>
      </c>
      <c r="AX44" s="225" t="n">
        <v>31</v>
      </c>
      <c r="AY44" s="233"/>
      <c r="AZ44" s="263" t="n">
        <f aca="false">SUM(N44,P44:U44)</f>
        <v>3.22</v>
      </c>
      <c r="BA44" s="193" t="n">
        <v>0</v>
      </c>
      <c r="BB44" s="264" t="n">
        <v>16310</v>
      </c>
    </row>
    <row r="45" customFormat="false" ht="12.95" hidden="false" customHeight="true" outlineLevel="0" collapsed="false">
      <c r="A45" s="192" t="n">
        <v>31</v>
      </c>
      <c r="B45" s="113" t="n">
        <v>6868.38</v>
      </c>
      <c r="C45" s="114" t="n">
        <v>183541</v>
      </c>
      <c r="D45" s="225" t="n">
        <f aca="false">C45-C44</f>
        <v>78</v>
      </c>
      <c r="E45" s="114" t="n">
        <f aca="false">C45-152000</f>
        <v>31541</v>
      </c>
      <c r="F45" s="259" t="n">
        <f aca="false">D45/$D$2</f>
        <v>39.3244265187799</v>
      </c>
      <c r="G45" s="143" t="n">
        <v>62</v>
      </c>
      <c r="H45" s="260" t="n">
        <v>0</v>
      </c>
      <c r="I45" s="143" t="n">
        <f aca="false">G45+H45</f>
        <v>62</v>
      </c>
      <c r="J45" s="144" t="n">
        <f aca="false">IF(L45&gt;0,L45,0)</f>
        <v>6.04442651877994</v>
      </c>
      <c r="K45" s="143" t="n">
        <f aca="false">I45+J45</f>
        <v>68.0444265187799</v>
      </c>
      <c r="L45" s="143" t="n">
        <f aca="false">F45-(I45-AK45)</f>
        <v>6.04442651877994</v>
      </c>
      <c r="M45" s="261" t="n">
        <v>3.22</v>
      </c>
      <c r="N45" s="143" t="n">
        <v>0</v>
      </c>
      <c r="O45" s="143" t="n">
        <f aca="false">0*1.05</f>
        <v>0</v>
      </c>
      <c r="P45" s="171" t="n">
        <v>0</v>
      </c>
      <c r="Q45" s="139" t="n">
        <f aca="false">895400/325851/1.9835*1.02</f>
        <v>1.41307755711746</v>
      </c>
      <c r="R45" s="139" t="n">
        <f aca="false">(2.3*1.04)-T45</f>
        <v>1.84708368</v>
      </c>
      <c r="S45" s="139" t="n">
        <v>0</v>
      </c>
      <c r="T45" s="139" t="n">
        <f aca="false">(0.4943*1.06)*1.04</f>
        <v>0.54491632</v>
      </c>
      <c r="U45" s="102" t="n">
        <f aca="false">M45-(Q45+R45+S45+T45)</f>
        <v>-0.585077557117456</v>
      </c>
      <c r="V45" s="143" t="n">
        <v>0</v>
      </c>
      <c r="W45" s="143" t="n">
        <v>0</v>
      </c>
      <c r="X45" s="143" t="n">
        <f aca="false">M45-N45-P45-O45-Q45-R45-S45-T45-U45+V45+W45</f>
        <v>0</v>
      </c>
      <c r="Y45" s="143" t="n">
        <f aca="false">X45-AO45</f>
        <v>0</v>
      </c>
      <c r="Z45" s="143"/>
      <c r="AA45" s="143"/>
      <c r="AB45" s="144"/>
      <c r="AC45" s="144"/>
      <c r="AD45" s="114"/>
      <c r="AE45" s="143" t="n">
        <v>0</v>
      </c>
      <c r="AF45" s="261"/>
      <c r="AG45" s="262"/>
      <c r="AH45" s="143" t="n">
        <v>25.5</v>
      </c>
      <c r="AI45" s="114" t="n">
        <f aca="false">AI44-AH45</f>
        <v>1747.54923115706</v>
      </c>
      <c r="AJ45" s="114"/>
      <c r="AK45" s="142" t="n">
        <f aca="false">N45+O45+P45+Q45+R45+S45+T45+U45+X45+AE45+AH45</f>
        <v>28.72</v>
      </c>
      <c r="AL45" s="143" t="n">
        <f aca="false">IF(L45&lt;0,L45*-1,0)</f>
        <v>0</v>
      </c>
      <c r="AM45" s="259" t="n">
        <f aca="false">AK45+AL45</f>
        <v>28.72</v>
      </c>
      <c r="AN45" s="147" t="n">
        <f aca="false">V45</f>
        <v>0</v>
      </c>
      <c r="AO45" s="144"/>
      <c r="AP45" s="231"/>
      <c r="AV45" s="232" t="n">
        <v>0.17</v>
      </c>
      <c r="AW45" s="114" t="n">
        <v>42</v>
      </c>
      <c r="AX45" s="225" t="n">
        <v>29</v>
      </c>
      <c r="AY45" s="233"/>
      <c r="AZ45" s="263" t="n">
        <f aca="false">SUM(N45,P45:U45)</f>
        <v>3.22</v>
      </c>
      <c r="BA45" s="193" t="n">
        <v>0</v>
      </c>
      <c r="BB45" s="264" t="n">
        <v>16258</v>
      </c>
    </row>
    <row r="46" customFormat="false" ht="3" hidden="false" customHeight="true" outlineLevel="0" collapsed="false">
      <c r="A46" s="244"/>
      <c r="B46" s="266"/>
      <c r="C46" s="246"/>
      <c r="D46" s="247"/>
      <c r="E46" s="246"/>
      <c r="F46" s="248"/>
      <c r="G46" s="247"/>
      <c r="H46" s="249"/>
      <c r="I46" s="247"/>
      <c r="J46" s="247"/>
      <c r="K46" s="247"/>
      <c r="L46" s="247"/>
      <c r="M46" s="247"/>
      <c r="N46" s="247"/>
      <c r="O46" s="247"/>
      <c r="P46" s="251"/>
      <c r="Q46" s="247"/>
      <c r="R46" s="247"/>
      <c r="S46" s="247"/>
      <c r="T46" s="247"/>
      <c r="U46" s="252"/>
      <c r="V46" s="247"/>
      <c r="W46" s="247"/>
      <c r="X46" s="247" t="n">
        <f aca="false">M46-N46-O46-Q46-R46-S46+V46+W46</f>
        <v>0</v>
      </c>
      <c r="Y46" s="247" t="n">
        <f aca="false">N46-O46-P46-R46-S46-U46+W46+X46</f>
        <v>0</v>
      </c>
      <c r="Z46" s="247"/>
      <c r="AA46" s="247"/>
      <c r="AB46" s="253"/>
      <c r="AC46" s="253"/>
      <c r="AD46" s="246"/>
      <c r="AE46" s="247"/>
      <c r="AF46" s="250"/>
      <c r="AG46" s="254"/>
      <c r="AH46" s="247"/>
      <c r="AI46" s="247"/>
      <c r="AJ46" s="247"/>
      <c r="AK46" s="247" t="n">
        <f aca="false">N46+O46+Q46+R46+S46+X46+AE46+AH46</f>
        <v>0</v>
      </c>
      <c r="AL46" s="247"/>
      <c r="AM46" s="248"/>
      <c r="AN46" s="256"/>
      <c r="AO46" s="253"/>
      <c r="AP46" s="256"/>
      <c r="AQ46" s="257"/>
      <c r="AR46" s="257"/>
      <c r="AS46" s="257"/>
      <c r="AT46" s="257"/>
      <c r="AU46" s="256"/>
      <c r="AV46" s="258"/>
      <c r="AW46" s="256"/>
      <c r="AX46" s="256" t="s">
        <v>117</v>
      </c>
      <c r="AY46" s="256" t="s">
        <v>117</v>
      </c>
      <c r="AZ46" s="256" t="s">
        <v>117</v>
      </c>
      <c r="BA46" s="256" t="s">
        <v>117</v>
      </c>
      <c r="BB46" s="256" t="s">
        <v>117</v>
      </c>
    </row>
    <row r="47" customFormat="false" ht="12.95" hidden="false" customHeight="true" outlineLevel="0" collapsed="false">
      <c r="A47" s="194" t="s">
        <v>104</v>
      </c>
      <c r="B47" s="223"/>
      <c r="C47" s="114"/>
      <c r="D47" s="114"/>
      <c r="E47" s="114"/>
      <c r="F47" s="224" t="n">
        <f aca="false">SUM(F15:F45)</f>
        <v>1057.22208217797</v>
      </c>
      <c r="G47" s="114" t="n">
        <f aca="false">SUM(G15:G45)</f>
        <v>2007</v>
      </c>
      <c r="H47" s="114" t="n">
        <f aca="false">SUM(H15:H45)</f>
        <v>4.61</v>
      </c>
      <c r="I47" s="114" t="n">
        <f aca="false">SUM(I15:I45)</f>
        <v>2011.61</v>
      </c>
      <c r="J47" s="114" t="n">
        <f aca="false">SUM(J15:J45)</f>
        <v>362.396410385682</v>
      </c>
      <c r="K47" s="114" t="n">
        <f aca="false">SUM(K15:K45)</f>
        <v>2374.00641038568</v>
      </c>
      <c r="L47" s="114" t="n">
        <f aca="false">SUM(L15:L45)</f>
        <v>-65.0579178220318</v>
      </c>
      <c r="M47" s="226" t="n">
        <f aca="false">SUM(M15:M45)</f>
        <v>100.73</v>
      </c>
      <c r="N47" s="114" t="n">
        <f aca="false">SUM(N15:N45)</f>
        <v>0</v>
      </c>
      <c r="O47" s="114" t="n">
        <f aca="false">SUM(O15:O45)</f>
        <v>0</v>
      </c>
      <c r="P47" s="171"/>
      <c r="Q47" s="114" t="n">
        <f aca="false">SUM(Q15:Q45)</f>
        <v>49.0671218082616</v>
      </c>
      <c r="R47" s="114" t="n">
        <f aca="false">SUM(R15:R45)</f>
        <v>48.97622288</v>
      </c>
      <c r="S47" s="114" t="n">
        <f aca="false">SUM(S15:S45)</f>
        <v>0</v>
      </c>
      <c r="T47" s="114" t="n">
        <f aca="false">SUM(T15:T45)</f>
        <v>15.08777712</v>
      </c>
      <c r="U47" s="290" t="n">
        <f aca="false">SUM(U15:U45)</f>
        <v>-12.4011218082616</v>
      </c>
      <c r="V47" s="114" t="n">
        <f aca="false">SUM(V15:V45)</f>
        <v>0</v>
      </c>
      <c r="W47" s="114" t="n">
        <f aca="false">SUM(W15:W45)</f>
        <v>0</v>
      </c>
      <c r="X47" s="114" t="n">
        <f aca="false">SUM(X15:X45)</f>
        <v>0</v>
      </c>
      <c r="Y47" s="114" t="n">
        <f aca="false">SUM(Y15:Y45)</f>
        <v>0</v>
      </c>
      <c r="Z47" s="114"/>
      <c r="AA47" s="114"/>
      <c r="AB47" s="144"/>
      <c r="AC47" s="114" t="n">
        <f aca="false">SUM(AC15:AC45)</f>
        <v>626.901670492638</v>
      </c>
      <c r="AD47" s="114"/>
      <c r="AE47" s="114"/>
      <c r="AF47" s="226"/>
      <c r="AG47" s="228"/>
      <c r="AH47" s="114" t="n">
        <f aca="false">SUM(AH15:AH45)</f>
        <v>788.6</v>
      </c>
      <c r="AI47" s="114"/>
      <c r="AJ47" s="85" t="n">
        <f aca="false">SUM(AJ15:AJ45)</f>
        <v>0</v>
      </c>
      <c r="AK47" s="114" t="n">
        <f aca="false">SUM(AK15:AK45)</f>
        <v>889.33</v>
      </c>
      <c r="AL47" s="114" t="n">
        <f aca="false">SUM(AL15:AL45)</f>
        <v>427.454328207714</v>
      </c>
      <c r="AM47" s="224" t="n">
        <f aca="false">SUM(AM15:AM45)</f>
        <v>1316.78432820771</v>
      </c>
      <c r="AN47" s="144" t="n">
        <f aca="false">SUM(AN15:AN45)</f>
        <v>0</v>
      </c>
      <c r="AO47" s="144" t="n">
        <f aca="false">SUM(AO15:AO45)</f>
        <v>0</v>
      </c>
      <c r="AP47" s="231"/>
      <c r="AV47" s="232" t="n">
        <f aca="false">SUM(AV15:AV45)</f>
        <v>0.98</v>
      </c>
      <c r="AW47" s="225" t="n">
        <f aca="false">AVERAGE(AW15:AW45)</f>
        <v>48.8064516129032</v>
      </c>
      <c r="AX47" s="225" t="n">
        <f aca="false">AVERAGE(AX15:AX45)</f>
        <v>21.2903225806452</v>
      </c>
      <c r="AY47" s="233" t="s">
        <v>105</v>
      </c>
      <c r="AZ47" s="268" t="n">
        <f aca="false">SUM(AZ15:AZ45)</f>
        <v>100.73</v>
      </c>
      <c r="BA47" s="193" t="n">
        <f aca="false">SUM(BA15:BA45)</f>
        <v>0</v>
      </c>
      <c r="BB47" s="264"/>
    </row>
    <row r="48" customFormat="false" ht="12.95" hidden="false" customHeight="true" outlineLevel="0" collapsed="false">
      <c r="A48" s="194" t="s">
        <v>106</v>
      </c>
      <c r="B48" s="223"/>
      <c r="C48" s="114"/>
      <c r="D48" s="114" t="n">
        <f aca="false">SUM(D15:D45)</f>
        <v>2097</v>
      </c>
      <c r="E48" s="114"/>
      <c r="F48" s="224" t="n">
        <f aca="false">F47*$D$2</f>
        <v>2097</v>
      </c>
      <c r="G48" s="114" t="n">
        <f aca="false">G47*$D$2</f>
        <v>3980.8845</v>
      </c>
      <c r="H48" s="114" t="n">
        <f aca="false">H47*$D$2</f>
        <v>9.143935</v>
      </c>
      <c r="I48" s="114" t="n">
        <f aca="false">I47*$D$2</f>
        <v>3990.028435</v>
      </c>
      <c r="J48" s="114" t="n">
        <f aca="false">J47*$D$2</f>
        <v>718.81328</v>
      </c>
      <c r="K48" s="114" t="n">
        <f aca="false">K47*$D$2</f>
        <v>4708.841715</v>
      </c>
      <c r="L48" s="114" t="n">
        <f aca="false">L47*$D$2</f>
        <v>-129.04238</v>
      </c>
      <c r="M48" s="226" t="n">
        <f aca="false">M47*$D$2</f>
        <v>199.797955</v>
      </c>
      <c r="N48" s="114" t="n">
        <f aca="false">N47*$D$2</f>
        <v>0</v>
      </c>
      <c r="O48" s="114" t="n">
        <f aca="false">O47*$D$2</f>
        <v>0</v>
      </c>
      <c r="P48" s="171"/>
      <c r="Q48" s="114" t="n">
        <f aca="false">Q47*$D$2</f>
        <v>97.3246361066868</v>
      </c>
      <c r="R48" s="114" t="n">
        <f aca="false">R47*$D$2</f>
        <v>97.14433808248</v>
      </c>
      <c r="S48" s="114" t="n">
        <f aca="false">S47*$D$2</f>
        <v>0</v>
      </c>
      <c r="T48" s="114" t="n">
        <f aca="false">T47*$D$2</f>
        <v>29.92660591752</v>
      </c>
      <c r="U48" s="290" t="n">
        <f aca="false">U47*$D$2</f>
        <v>-24.5976251066868</v>
      </c>
      <c r="V48" s="114" t="n">
        <f aca="false">V47*$D$2</f>
        <v>0</v>
      </c>
      <c r="W48" s="114" t="n">
        <f aca="false">W47*$D$2</f>
        <v>0</v>
      </c>
      <c r="X48" s="114" t="n">
        <f aca="false">X47*$D$2</f>
        <v>0</v>
      </c>
      <c r="Y48" s="114" t="n">
        <f aca="false">Y47*$D$2</f>
        <v>0</v>
      </c>
      <c r="Z48" s="114"/>
      <c r="AA48" s="114"/>
      <c r="AB48" s="144"/>
      <c r="AC48" s="114" t="n">
        <f aca="false">AC47*$D$2</f>
        <v>1243.45946342215</v>
      </c>
      <c r="AD48" s="114"/>
      <c r="AE48" s="114"/>
      <c r="AF48" s="226"/>
      <c r="AG48" s="228"/>
      <c r="AH48" s="114" t="n">
        <f aca="false">AH47*$D$2</f>
        <v>1564.1881</v>
      </c>
      <c r="AI48" s="114"/>
      <c r="AJ48" s="85" t="n">
        <f aca="false">AJ47*$D$2</f>
        <v>0</v>
      </c>
      <c r="AK48" s="114" t="n">
        <f aca="false">AK47*$D$2</f>
        <v>1763.986055</v>
      </c>
      <c r="AL48" s="114" t="n">
        <f aca="false">AL47*$D$2</f>
        <v>847.85566</v>
      </c>
      <c r="AM48" s="224" t="n">
        <f aca="false">AM47*$D$2</f>
        <v>2611.841715</v>
      </c>
      <c r="AN48" s="144" t="n">
        <f aca="false">AN47*$D$2</f>
        <v>0</v>
      </c>
      <c r="AO48" s="144" t="n">
        <f aca="false">AO47*$D$2</f>
        <v>0</v>
      </c>
      <c r="AP48" s="231"/>
      <c r="AV48" s="232"/>
      <c r="AW48" s="225" t="n">
        <f aca="false">MAX(AW15:AW45)</f>
        <v>64</v>
      </c>
      <c r="AX48" s="225" t="n">
        <f aca="false">MAX(AX15:AX45)</f>
        <v>31</v>
      </c>
      <c r="AY48" s="233" t="s">
        <v>107</v>
      </c>
      <c r="AZ48" s="268" t="n">
        <f aca="false">AZ47*$D$2</f>
        <v>199.797955</v>
      </c>
      <c r="BA48" s="193" t="n">
        <f aca="false">BA47*D2</f>
        <v>0</v>
      </c>
      <c r="BB48" s="264"/>
    </row>
    <row r="49" customFormat="false" ht="3" hidden="false" customHeight="true" outlineLevel="0" collapsed="false">
      <c r="A49" s="244"/>
      <c r="B49" s="266"/>
      <c r="C49" s="246"/>
      <c r="D49" s="246"/>
      <c r="E49" s="246"/>
      <c r="F49" s="270"/>
      <c r="G49" s="246"/>
      <c r="H49" s="246"/>
      <c r="I49" s="246"/>
      <c r="J49" s="246"/>
      <c r="K49" s="246"/>
      <c r="L49" s="246"/>
      <c r="M49" s="271"/>
      <c r="N49" s="246"/>
      <c r="O49" s="246"/>
      <c r="P49" s="251"/>
      <c r="Q49" s="246"/>
      <c r="R49" s="246"/>
      <c r="S49" s="246"/>
      <c r="T49" s="246"/>
      <c r="U49" s="291"/>
      <c r="V49" s="246"/>
      <c r="W49" s="246"/>
      <c r="X49" s="246"/>
      <c r="Y49" s="246"/>
      <c r="Z49" s="246"/>
      <c r="AA49" s="246"/>
      <c r="AB49" s="253"/>
      <c r="AC49" s="246"/>
      <c r="AD49" s="246"/>
      <c r="AE49" s="246"/>
      <c r="AF49" s="271"/>
      <c r="AG49" s="272"/>
      <c r="AH49" s="246"/>
      <c r="AI49" s="247"/>
      <c r="AJ49" s="127"/>
      <c r="AK49" s="246"/>
      <c r="AL49" s="246"/>
      <c r="AM49" s="270"/>
      <c r="AN49" s="253"/>
      <c r="AO49" s="253"/>
      <c r="AP49" s="246"/>
      <c r="AQ49" s="273"/>
      <c r="AR49" s="273"/>
      <c r="AS49" s="257"/>
      <c r="AT49" s="257"/>
      <c r="AU49" s="256"/>
      <c r="AV49" s="274"/>
      <c r="AW49" s="246"/>
      <c r="AX49" s="246"/>
      <c r="AY49" s="246"/>
      <c r="AZ49" s="246"/>
      <c r="BA49" s="246"/>
      <c r="BB49" s="246"/>
    </row>
    <row r="50" customFormat="false" ht="12.95" hidden="false" customHeight="true" outlineLevel="0" collapsed="false">
      <c r="A50" s="194" t="s">
        <v>108</v>
      </c>
      <c r="B50" s="223"/>
      <c r="C50" s="114"/>
      <c r="D50" s="114"/>
      <c r="E50" s="114"/>
      <c r="F50" s="224"/>
      <c r="G50" s="114"/>
      <c r="H50" s="114"/>
      <c r="I50" s="114"/>
      <c r="J50" s="114"/>
      <c r="K50" s="114"/>
      <c r="L50" s="114"/>
      <c r="M50" s="226"/>
      <c r="N50" s="114"/>
      <c r="O50" s="114"/>
      <c r="P50" s="171"/>
      <c r="Q50" s="114"/>
      <c r="R50" s="114"/>
      <c r="S50" s="114"/>
      <c r="T50" s="114"/>
      <c r="U50" s="290"/>
      <c r="V50" s="114"/>
      <c r="W50" s="114"/>
      <c r="X50" s="114"/>
      <c r="Y50" s="114"/>
      <c r="Z50" s="114"/>
      <c r="AA50" s="114"/>
      <c r="AB50" s="144"/>
      <c r="AC50" s="114"/>
      <c r="AD50" s="114"/>
      <c r="AE50" s="114"/>
      <c r="AF50" s="226"/>
      <c r="AG50" s="228"/>
      <c r="AH50" s="114"/>
      <c r="AI50" s="114"/>
      <c r="AJ50" s="85"/>
      <c r="AK50" s="114"/>
      <c r="AL50" s="114"/>
      <c r="AM50" s="224"/>
      <c r="AN50" s="144"/>
      <c r="AO50" s="144"/>
      <c r="AP50" s="231"/>
      <c r="AV50" s="232"/>
      <c r="AW50" s="225" t="n">
        <f aca="false">MIN(AW15:AW45)</f>
        <v>37</v>
      </c>
      <c r="AX50" s="225" t="n">
        <f aca="false">MIN(AX15:AX45)</f>
        <v>4</v>
      </c>
      <c r="AY50" s="233" t="s">
        <v>109</v>
      </c>
      <c r="AZ50" s="268"/>
      <c r="BB50" s="264"/>
    </row>
    <row r="51" customFormat="false" ht="12.95" hidden="false" customHeight="true" outlineLevel="0" collapsed="false">
      <c r="A51" s="194" t="s">
        <v>110</v>
      </c>
      <c r="B51" s="223"/>
      <c r="C51" s="114"/>
      <c r="D51" s="114"/>
      <c r="E51" s="114"/>
      <c r="F51" s="224"/>
      <c r="G51" s="114"/>
      <c r="H51" s="114"/>
      <c r="I51" s="114"/>
      <c r="J51" s="114"/>
      <c r="K51" s="114"/>
      <c r="L51" s="114"/>
      <c r="M51" s="226"/>
      <c r="N51" s="114"/>
      <c r="O51" s="114"/>
      <c r="P51" s="171"/>
      <c r="Q51" s="114"/>
      <c r="R51" s="114"/>
      <c r="S51" s="114"/>
      <c r="T51" s="114"/>
      <c r="U51" s="290"/>
      <c r="V51" s="114"/>
      <c r="W51" s="114"/>
      <c r="X51" s="114"/>
      <c r="Y51" s="114"/>
      <c r="Z51" s="114"/>
      <c r="AA51" s="114"/>
      <c r="AB51" s="144"/>
      <c r="AC51" s="114"/>
      <c r="AD51" s="114"/>
      <c r="AE51" s="114"/>
      <c r="AF51" s="226"/>
      <c r="AG51" s="228"/>
      <c r="AH51" s="114"/>
      <c r="AI51" s="114"/>
      <c r="AJ51" s="85"/>
      <c r="AK51" s="114"/>
      <c r="AL51" s="114"/>
      <c r="AM51" s="224"/>
      <c r="AN51" s="144"/>
      <c r="AO51" s="144"/>
      <c r="AP51" s="231"/>
      <c r="AV51" s="232"/>
      <c r="AW51" s="225"/>
      <c r="AX51" s="225"/>
      <c r="AY51" s="233"/>
      <c r="AZ51" s="268"/>
      <c r="BB51" s="264"/>
    </row>
    <row r="52" customFormat="false" ht="3" hidden="false" customHeight="true" outlineLevel="0" collapsed="false">
      <c r="A52" s="244"/>
      <c r="B52" s="266"/>
      <c r="C52" s="246"/>
      <c r="D52" s="246"/>
      <c r="E52" s="246"/>
      <c r="F52" s="270"/>
      <c r="G52" s="246"/>
      <c r="H52" s="256"/>
      <c r="I52" s="246"/>
      <c r="J52" s="246"/>
      <c r="K52" s="246"/>
      <c r="L52" s="246"/>
      <c r="M52" s="271"/>
      <c r="N52" s="246"/>
      <c r="O52" s="246"/>
      <c r="P52" s="251"/>
      <c r="Q52" s="246"/>
      <c r="R52" s="246"/>
      <c r="S52" s="246"/>
      <c r="T52" s="246"/>
      <c r="U52" s="291"/>
      <c r="V52" s="246"/>
      <c r="W52" s="246"/>
      <c r="X52" s="246"/>
      <c r="Y52" s="246"/>
      <c r="Z52" s="246"/>
      <c r="AA52" s="246"/>
      <c r="AB52" s="253"/>
      <c r="AC52" s="246"/>
      <c r="AD52" s="246"/>
      <c r="AE52" s="246"/>
      <c r="AF52" s="271"/>
      <c r="AG52" s="272"/>
      <c r="AH52" s="246"/>
      <c r="AI52" s="246"/>
      <c r="AJ52" s="127"/>
      <c r="AK52" s="246"/>
      <c r="AL52" s="246"/>
      <c r="AM52" s="270"/>
      <c r="AN52" s="253"/>
      <c r="AO52" s="253"/>
      <c r="AP52" s="275"/>
      <c r="AQ52" s="276"/>
      <c r="AR52" s="276"/>
      <c r="AS52" s="257"/>
      <c r="AT52" s="257"/>
      <c r="AU52" s="256"/>
      <c r="AV52" s="258"/>
      <c r="AW52" s="275"/>
      <c r="AX52" s="275"/>
      <c r="AY52" s="275"/>
      <c r="AZ52" s="275"/>
      <c r="BA52" s="275"/>
      <c r="BB52" s="275"/>
    </row>
    <row r="53" customFormat="false" ht="12.95" hidden="false" customHeight="true" outlineLevel="0" collapsed="false">
      <c r="A53" s="194" t="s">
        <v>111</v>
      </c>
      <c r="B53" s="223"/>
      <c r="C53" s="114"/>
      <c r="D53" s="114"/>
      <c r="E53" s="114"/>
      <c r="F53" s="224" t="n">
        <f aca="false">F13+F47</f>
        <v>-1108.64633224099</v>
      </c>
      <c r="G53" s="114" t="n">
        <f aca="false">G13+G47</f>
        <v>6884</v>
      </c>
      <c r="H53" s="225" t="n">
        <f aca="false">H13+H47</f>
        <v>24.559</v>
      </c>
      <c r="I53" s="114" t="n">
        <f aca="false">I13+I47</f>
        <v>6907.939</v>
      </c>
      <c r="J53" s="114" t="n">
        <f aca="false">J13+J47</f>
        <v>805.621146206201</v>
      </c>
      <c r="K53" s="114" t="n">
        <f aca="false">K13+K47</f>
        <v>7713.5601462062</v>
      </c>
      <c r="L53" s="114" t="n">
        <f aca="false">L13+L47</f>
        <v>-1154.07533224099</v>
      </c>
      <c r="M53" s="226" t="n">
        <f aca="false">M13+M47</f>
        <v>291.52</v>
      </c>
      <c r="N53" s="114" t="n">
        <f aca="false">N13+N47</f>
        <v>0</v>
      </c>
      <c r="O53" s="114" t="n">
        <v>0</v>
      </c>
      <c r="P53" s="171"/>
      <c r="Q53" s="114" t="n">
        <f aca="false">Q13+Q47</f>
        <v>134.989273364667</v>
      </c>
      <c r="R53" s="114" t="n">
        <f aca="false">R13+R47</f>
        <v>144.48577728</v>
      </c>
      <c r="S53" s="114" t="n">
        <f aca="false">S13+S47</f>
        <v>0</v>
      </c>
      <c r="T53" s="114" t="n">
        <f aca="false">T13+T47</f>
        <v>46.45822272</v>
      </c>
      <c r="U53" s="290" t="n">
        <f aca="false">U13+U47</f>
        <v>-34.4132733646666</v>
      </c>
      <c r="V53" s="114" t="n">
        <f aca="false">V13+V47</f>
        <v>4183.99</v>
      </c>
      <c r="W53" s="114" t="n">
        <f aca="false">W13+W47</f>
        <v>0</v>
      </c>
      <c r="X53" s="114" t="n">
        <f aca="false">X13+X47</f>
        <v>4151.95345</v>
      </c>
      <c r="Y53" s="114" t="n">
        <f aca="false">Y13+Y47</f>
        <v>4151.95345</v>
      </c>
      <c r="Z53" s="114"/>
      <c r="AA53" s="114"/>
      <c r="AB53" s="144"/>
      <c r="AC53" s="143" t="n">
        <f aca="false">AC13+AC47</f>
        <v>1714.13281966001</v>
      </c>
      <c r="AD53" s="114"/>
      <c r="AE53" s="114"/>
      <c r="AF53" s="226"/>
      <c r="AG53" s="228"/>
      <c r="AH53" s="114" t="n">
        <f aca="false">AH13+AH47</f>
        <v>2387</v>
      </c>
      <c r="AI53" s="114" t="n">
        <f aca="false">AI45</f>
        <v>1747.54923115706</v>
      </c>
      <c r="AJ53" s="85" t="n">
        <f aca="false">AJ14+AJ47</f>
        <v>0</v>
      </c>
      <c r="AK53" s="114" t="n">
        <f aca="false">AK13+AK47</f>
        <v>6862.51</v>
      </c>
      <c r="AL53" s="114" t="n">
        <f aca="false">AL13+AL47</f>
        <v>1959.69647844719</v>
      </c>
      <c r="AM53" s="224" t="n">
        <f aca="false">AM13+AM47</f>
        <v>8822.20647844719</v>
      </c>
      <c r="AN53" s="144" t="n">
        <f aca="false">AN13+AN47</f>
        <v>4183.99</v>
      </c>
      <c r="AO53" s="144" t="n">
        <f aca="false">AO13+AO47</f>
        <v>0</v>
      </c>
      <c r="AP53" s="231"/>
      <c r="AV53" s="232" t="n">
        <f aca="false">AV13+AV47</f>
        <v>2.55</v>
      </c>
      <c r="AW53" s="225"/>
      <c r="AX53" s="225"/>
      <c r="AY53" s="233"/>
      <c r="AZ53" s="268" t="n">
        <f aca="false">AZ13+AZ47</f>
        <v>291.52</v>
      </c>
      <c r="BA53" s="243" t="n">
        <f aca="false">BA47+BA13</f>
        <v>12.2</v>
      </c>
      <c r="BB53" s="264"/>
    </row>
    <row r="54" customFormat="false" ht="12.95" hidden="false" customHeight="true" outlineLevel="0" collapsed="false">
      <c r="A54" s="194" t="s">
        <v>112</v>
      </c>
      <c r="B54" s="223"/>
      <c r="C54" s="114"/>
      <c r="D54" s="114" t="n">
        <f aca="false">D13+D48</f>
        <v>-2199</v>
      </c>
      <c r="E54" s="114" t="n">
        <f aca="false">E45</f>
        <v>31541</v>
      </c>
      <c r="F54" s="224" t="n">
        <f aca="false">F53*$D$2</f>
        <v>-2199</v>
      </c>
      <c r="G54" s="114" t="n">
        <f aca="false">G53*$D$2</f>
        <v>13654.414</v>
      </c>
      <c r="H54" s="225" t="n">
        <f aca="false">H53*$D$2</f>
        <v>48.7127765</v>
      </c>
      <c r="I54" s="114" t="n">
        <f aca="false">I53*$D$2</f>
        <v>13701.8970065</v>
      </c>
      <c r="J54" s="114" t="n">
        <f aca="false">J53*$D$2</f>
        <v>1597.9495435</v>
      </c>
      <c r="K54" s="114" t="n">
        <f aca="false">K53*$D$2</f>
        <v>15299.84655</v>
      </c>
      <c r="L54" s="114" t="n">
        <f aca="false">L53*$D$2</f>
        <v>-2289.1084215</v>
      </c>
      <c r="M54" s="226" t="n">
        <f aca="false">M53*$D$2</f>
        <v>578.22992</v>
      </c>
      <c r="N54" s="114" t="n">
        <f aca="false">N53*$D$2</f>
        <v>0</v>
      </c>
      <c r="O54" s="114" t="n">
        <f aca="false">O53*$D$2</f>
        <v>0</v>
      </c>
      <c r="P54" s="171"/>
      <c r="Q54" s="114" t="n">
        <f aca="false">Q53*$D$2</f>
        <v>267.751223718816</v>
      </c>
      <c r="R54" s="114" t="n">
        <f aca="false">R53*$D$2</f>
        <v>286.58753923488</v>
      </c>
      <c r="S54" s="238" t="n">
        <f aca="false">S53*$D$2</f>
        <v>0</v>
      </c>
      <c r="T54" s="238" t="n">
        <f aca="false">T53*$D$2</f>
        <v>92.14988476512</v>
      </c>
      <c r="U54" s="292" t="n">
        <f aca="false">U53*$D$2</f>
        <v>-68.2587277188163</v>
      </c>
      <c r="V54" s="114" t="n">
        <f aca="false">V53*$D$2</f>
        <v>8298.944165</v>
      </c>
      <c r="W54" s="114" t="n">
        <f aca="false">W53*$D$2</f>
        <v>0</v>
      </c>
      <c r="X54" s="114" t="n">
        <f aca="false">X53*$D$2</f>
        <v>8235.399668075</v>
      </c>
      <c r="Y54" s="114" t="n">
        <f aca="false">Y53*$D$2</f>
        <v>8235.399668075</v>
      </c>
      <c r="Z54" s="114"/>
      <c r="AA54" s="114"/>
      <c r="AB54" s="144"/>
      <c r="AC54" s="114" t="n">
        <f aca="false">AC53*$D$2</f>
        <v>3399.98244779563</v>
      </c>
      <c r="AD54" s="114"/>
      <c r="AE54" s="114"/>
      <c r="AF54" s="277"/>
      <c r="AG54" s="278"/>
      <c r="AH54" s="114" t="n">
        <f aca="false">AH53*$D$2</f>
        <v>4734.6145</v>
      </c>
      <c r="AI54" s="114" t="n">
        <f aca="false">AI53*$D$2</f>
        <v>3466.26390000002</v>
      </c>
      <c r="AJ54" s="85" t="n">
        <f aca="false">AJ53*$D$2</f>
        <v>0</v>
      </c>
      <c r="AK54" s="114" t="n">
        <f aca="false">AK53*$D$2</f>
        <v>13611.788585</v>
      </c>
      <c r="AL54" s="114" t="n">
        <f aca="false">AL53*$D$2</f>
        <v>3887.057965</v>
      </c>
      <c r="AM54" s="279" t="n">
        <f aca="false">AM53*$D$2</f>
        <v>17498.84655</v>
      </c>
      <c r="AN54" s="144" t="n">
        <f aca="false">AN53*$D$2</f>
        <v>8298.944165</v>
      </c>
      <c r="AO54" s="144" t="n">
        <f aca="false">AO53*$D$2</f>
        <v>0</v>
      </c>
      <c r="AP54" s="231"/>
      <c r="AV54" s="232"/>
      <c r="AW54" s="225"/>
      <c r="AX54" s="225"/>
      <c r="AY54" s="233"/>
      <c r="AZ54" s="241" t="n">
        <f aca="false">AZ53*$D$2</f>
        <v>578.22992</v>
      </c>
      <c r="BA54" s="193" t="n">
        <f aca="false">BA53*D2</f>
        <v>24.1987</v>
      </c>
      <c r="BB54" s="264"/>
    </row>
    <row r="55" customFormat="false" ht="3" hidden="false" customHeight="true" outlineLevel="0" collapsed="false">
      <c r="A55" s="244"/>
      <c r="B55" s="266"/>
      <c r="C55" s="246"/>
      <c r="D55" s="247"/>
      <c r="E55" s="246"/>
      <c r="F55" s="248"/>
      <c r="G55" s="247"/>
      <c r="H55" s="249"/>
      <c r="I55" s="247"/>
      <c r="J55" s="247"/>
      <c r="K55" s="247"/>
      <c r="L55" s="247"/>
      <c r="M55" s="250"/>
      <c r="N55" s="247"/>
      <c r="O55" s="247"/>
      <c r="P55" s="251"/>
      <c r="Q55" s="247"/>
      <c r="R55" s="247"/>
      <c r="S55" s="247"/>
      <c r="T55" s="247"/>
      <c r="U55" s="252"/>
      <c r="V55" s="247"/>
      <c r="W55" s="247"/>
      <c r="X55" s="247"/>
      <c r="Y55" s="247"/>
      <c r="Z55" s="247"/>
      <c r="AA55" s="247"/>
      <c r="AB55" s="253"/>
      <c r="AC55" s="253"/>
      <c r="AD55" s="246"/>
      <c r="AE55" s="247"/>
      <c r="AF55" s="250"/>
      <c r="AG55" s="254"/>
      <c r="AH55" s="247"/>
      <c r="AI55" s="246"/>
      <c r="AJ55" s="246"/>
      <c r="AK55" s="247"/>
      <c r="AL55" s="247"/>
      <c r="AM55" s="247"/>
      <c r="AN55" s="266"/>
      <c r="AO55" s="253"/>
      <c r="AP55" s="247"/>
      <c r="AQ55" s="280"/>
      <c r="AR55" s="280"/>
      <c r="AS55" s="257"/>
      <c r="AT55" s="257"/>
      <c r="AU55" s="256"/>
      <c r="AV55" s="266"/>
      <c r="AW55" s="247"/>
      <c r="AX55" s="247"/>
      <c r="AY55" s="247"/>
      <c r="AZ55" s="247"/>
      <c r="BA55" s="247"/>
      <c r="BB55" s="247"/>
    </row>
    <row r="56" customFormat="false" ht="11.1" hidden="false" customHeight="true" outlineLevel="0" collapsed="false">
      <c r="A56" s="194"/>
      <c r="B56" s="281"/>
      <c r="D56" s="194"/>
      <c r="F56" s="194"/>
      <c r="G56" s="194"/>
      <c r="I56" s="194"/>
      <c r="J56" s="194"/>
      <c r="K56" s="194"/>
      <c r="L56" s="194"/>
      <c r="M56" s="194"/>
      <c r="N56" s="194"/>
      <c r="O56" s="194"/>
      <c r="Q56" s="194"/>
      <c r="R56" s="194"/>
      <c r="S56" s="194"/>
      <c r="T56" s="194"/>
      <c r="V56" s="194"/>
      <c r="W56" s="194"/>
      <c r="X56" s="194"/>
      <c r="Y56" s="194"/>
      <c r="Z56" s="194"/>
      <c r="AA56" s="194"/>
      <c r="AD56" s="161"/>
      <c r="AE56" s="194"/>
      <c r="AF56" s="194"/>
      <c r="AG56" s="194"/>
      <c r="AH56" s="194"/>
      <c r="AI56" s="161"/>
      <c r="AJ56" s="237"/>
      <c r="AK56" s="194"/>
      <c r="AL56" s="194"/>
      <c r="AM56" s="194"/>
      <c r="AN56" s="192"/>
      <c r="AO56" s="201"/>
      <c r="AX56" s="191"/>
      <c r="AY56" s="191"/>
    </row>
    <row r="57" customFormat="false" ht="11.1" hidden="false" customHeight="true" outlineLevel="0" collapsed="false">
      <c r="A57" s="194"/>
      <c r="B57" s="282"/>
      <c r="F57" s="194"/>
      <c r="G57" s="194"/>
      <c r="I57" s="195"/>
      <c r="J57" s="194"/>
      <c r="K57" s="186"/>
      <c r="L57" s="194"/>
      <c r="M57" s="194"/>
      <c r="N57" s="194"/>
      <c r="O57" s="194"/>
      <c r="Q57" s="194"/>
      <c r="R57" s="194"/>
      <c r="S57" s="194"/>
      <c r="T57" s="194"/>
      <c r="V57" s="194"/>
      <c r="W57" s="194"/>
      <c r="X57" s="194"/>
      <c r="Y57" s="194"/>
      <c r="Z57" s="194"/>
      <c r="AA57" s="194"/>
      <c r="AD57" s="161"/>
      <c r="AE57" s="194"/>
      <c r="AF57" s="194"/>
      <c r="AG57" s="194"/>
      <c r="AH57" s="194"/>
      <c r="AI57" s="161"/>
      <c r="AJ57" s="237"/>
      <c r="AK57" s="194"/>
      <c r="AL57" s="194"/>
      <c r="AM57" s="194"/>
      <c r="AN57" s="192"/>
      <c r="AO57" s="201"/>
      <c r="AX57" s="191"/>
      <c r="AY57" s="191"/>
    </row>
    <row r="58" customFormat="false" ht="11.1" hidden="false" customHeight="true" outlineLevel="0" collapsed="false">
      <c r="D58" s="161"/>
      <c r="Q58" s="111"/>
      <c r="R58" s="111"/>
      <c r="S58" s="111"/>
      <c r="T58" s="111"/>
      <c r="X58" s="56"/>
      <c r="Y58" s="56"/>
      <c r="Z58" s="56"/>
      <c r="AA58" s="56"/>
      <c r="AD58" s="161"/>
      <c r="AH58" s="56"/>
      <c r="AI58" s="161"/>
      <c r="AJ58" s="237"/>
      <c r="AM58" s="56"/>
      <c r="AN58" s="192"/>
      <c r="AO58" s="201"/>
      <c r="AX58" s="191"/>
      <c r="AY58" s="191"/>
    </row>
    <row r="59" customFormat="false" ht="11.1" hidden="false" customHeight="true" outlineLevel="0" collapsed="false">
      <c r="B59" s="8"/>
      <c r="D59" s="161"/>
    </row>
    <row r="60" customFormat="false" ht="11.1" hidden="false" customHeight="true" outlineLevel="0" collapsed="false">
      <c r="G60" s="283"/>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6" width="4.66"/>
    <col collapsed="false" customWidth="true" hidden="false" outlineLevel="0" max="2" min="2" style="56" width="6.99"/>
    <col collapsed="false" customWidth="true" hidden="false" outlineLevel="0" max="3" min="3" style="161" width="6.32"/>
    <col collapsed="false" customWidth="true" hidden="false" outlineLevel="0" max="4" min="4" style="56" width="6.32"/>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293" width="5.66"/>
    <col collapsed="false" customWidth="true" hidden="false" outlineLevel="0" max="11" min="9" style="56" width="6.32"/>
    <col collapsed="false" customWidth="true" hidden="false" outlineLevel="0" max="12" min="12" style="56" width="6.82"/>
    <col collapsed="false" customWidth="true" hidden="false" outlineLevel="0" max="13" min="13" style="111" width="5.49"/>
    <col collapsed="false" customWidth="true" hidden="false" outlineLevel="0" max="14" min="14" style="111" width="4.49"/>
    <col collapsed="false" customWidth="true" hidden="false" outlineLevel="0" max="15" min="15" style="111" width="5.49"/>
    <col collapsed="false" customWidth="true" hidden="false" outlineLevel="0" max="16" min="16" style="8" width="4.82"/>
    <col collapsed="false" customWidth="true" hidden="false" outlineLevel="0" max="18" min="17" style="111" width="4.32"/>
    <col collapsed="false" customWidth="true" hidden="false" outlineLevel="0" max="20" min="19" style="8" width="4.32"/>
    <col collapsed="false" customWidth="true" hidden="false" outlineLevel="0" max="21" min="21" style="8" width="5.16"/>
    <col collapsed="false" customWidth="true" hidden="false" outlineLevel="0" max="23" min="22" style="56" width="5.49"/>
    <col collapsed="false" customWidth="true" hidden="false" outlineLevel="0" max="27" min="24" style="161" width="6.32"/>
    <col collapsed="false" customWidth="true" hidden="false" outlineLevel="0" max="28" min="28" style="56" width="5.49"/>
    <col collapsed="false" customWidth="true" hidden="false" outlineLevel="0" max="29" min="29" style="111" width="5.99"/>
    <col collapsed="false" customWidth="true" hidden="false" outlineLevel="0" max="33" min="30" style="56" width="5.49"/>
    <col collapsed="false" customWidth="true" hidden="false" outlineLevel="0" max="34" min="34" style="161" width="6.32"/>
    <col collapsed="false" customWidth="true" hidden="false" outlineLevel="0" max="35" min="35" style="56" width="5.49"/>
    <col collapsed="false" customWidth="true" hidden="false" outlineLevel="0" max="36" min="36" style="189" width="6.32"/>
    <col collapsed="false" customWidth="true" hidden="false" outlineLevel="0" max="37" min="37" style="56" width="6.32"/>
    <col collapsed="false" customWidth="true" hidden="false" outlineLevel="0" max="38" min="38" style="56" width="6.82"/>
    <col collapsed="false" customWidth="true" hidden="false" outlineLevel="0" max="39" min="39" style="8" width="6.82"/>
    <col collapsed="false" customWidth="true" hidden="false" outlineLevel="0" max="40" min="40" style="191" width="5.49"/>
    <col collapsed="false" customWidth="true" hidden="false" outlineLevel="0" max="41" min="41" style="191" width="5.32"/>
    <col collapsed="false" customWidth="true" hidden="false" outlineLevel="0" max="42" min="42" style="56" width="6.32"/>
    <col collapsed="false" customWidth="true" hidden="false" outlineLevel="0" max="43" min="43" style="294" width="6.32"/>
    <col collapsed="false" customWidth="true" hidden="false" outlineLevel="0" max="44" min="44" style="294" width="5.49"/>
    <col collapsed="false" customWidth="true" hidden="false" outlineLevel="0" max="45" min="45" style="72" width="5.32"/>
    <col collapsed="false" customWidth="true" hidden="false" outlineLevel="0" max="46" min="46" style="189" width="5.82"/>
    <col collapsed="false" customWidth="true" hidden="false" outlineLevel="0" max="47" min="47" style="56" width="4.99"/>
    <col collapsed="false" customWidth="true" hidden="false" outlineLevel="0" max="48" min="48" style="188" width="5.32"/>
    <col collapsed="false" customWidth="true" hidden="false" outlineLevel="0" max="49" min="49" style="191" width="3.82"/>
    <col collapsed="false" customWidth="true" hidden="false" outlineLevel="0" max="50" min="50" style="192" width="3.82"/>
    <col collapsed="false" customWidth="true" hidden="false" outlineLevel="0" max="51" min="51" style="193" width="3.82"/>
    <col collapsed="false" customWidth="true" hidden="false" outlineLevel="0" max="52" min="52" style="295" width="5.49"/>
    <col collapsed="false" customWidth="false" hidden="false" outlineLevel="0" max="257" min="53" style="193" width="9.32"/>
  </cols>
  <sheetData>
    <row r="1" customFormat="false" ht="14.1" hidden="false" customHeight="true" outlineLevel="0" collapsed="false">
      <c r="A1" s="194" t="s">
        <v>117</v>
      </c>
      <c r="B1" s="194"/>
      <c r="D1" s="194"/>
      <c r="F1" s="194"/>
      <c r="G1" s="194"/>
      <c r="I1" s="194"/>
      <c r="J1" s="194"/>
      <c r="K1" s="196" t="s">
        <v>0</v>
      </c>
      <c r="L1" s="194"/>
      <c r="M1" s="194"/>
      <c r="N1" s="194"/>
      <c r="O1" s="194"/>
      <c r="Q1" s="194"/>
      <c r="R1" s="194"/>
      <c r="V1" s="194"/>
      <c r="W1" s="194"/>
      <c r="AB1" s="194"/>
      <c r="AD1" s="194"/>
      <c r="AE1" s="194"/>
      <c r="AF1" s="194"/>
      <c r="AG1" s="194"/>
      <c r="AI1" s="194"/>
      <c r="AJ1" s="197"/>
      <c r="AK1" s="194"/>
      <c r="AL1" s="194"/>
      <c r="AN1" s="296"/>
      <c r="AO1" s="296"/>
      <c r="AP1" s="197"/>
      <c r="AZ1" s="297"/>
    </row>
    <row r="2" customFormat="false" ht="14.1" hidden="false" customHeight="true" outlineLevel="0" collapsed="false">
      <c r="A2" s="197" t="s">
        <v>1</v>
      </c>
      <c r="B2" s="194"/>
      <c r="D2" s="198" t="n">
        <v>1.9835</v>
      </c>
      <c r="F2" s="194"/>
      <c r="G2" s="194"/>
      <c r="I2" s="194"/>
      <c r="J2" s="194"/>
      <c r="K2" s="298" t="s">
        <v>120</v>
      </c>
      <c r="L2" s="299"/>
      <c r="M2" s="200"/>
      <c r="N2" s="200"/>
      <c r="O2" s="200"/>
      <c r="P2" s="300"/>
      <c r="Q2" s="200"/>
      <c r="R2" s="200"/>
      <c r="S2" s="300"/>
      <c r="T2" s="300"/>
      <c r="U2" s="300"/>
      <c r="V2" s="200"/>
      <c r="W2" s="200"/>
      <c r="X2" s="90"/>
      <c r="Y2" s="90"/>
      <c r="Z2" s="90"/>
      <c r="AA2" s="90"/>
      <c r="AB2" s="200"/>
      <c r="AC2" s="201"/>
      <c r="AD2" s="200"/>
      <c r="AE2" s="194"/>
      <c r="AF2" s="194"/>
      <c r="AG2" s="194"/>
      <c r="AI2" s="194"/>
      <c r="AJ2" s="197"/>
      <c r="AK2" s="194"/>
      <c r="AL2" s="194"/>
      <c r="AN2" s="296"/>
      <c r="AO2" s="296"/>
      <c r="AP2" s="197"/>
    </row>
    <row r="3" customFormat="false" ht="14.1" hidden="false" customHeight="true" outlineLevel="0" collapsed="false">
      <c r="A3" s="202"/>
      <c r="B3" s="202"/>
      <c r="C3" s="203"/>
      <c r="D3" s="204"/>
      <c r="E3" s="203"/>
      <c r="F3" s="202"/>
      <c r="G3" s="202"/>
      <c r="H3" s="301"/>
      <c r="I3" s="202"/>
      <c r="J3" s="202"/>
      <c r="K3" s="202"/>
      <c r="L3" s="202"/>
      <c r="M3" s="202"/>
      <c r="N3" s="202"/>
      <c r="O3" s="202"/>
      <c r="P3" s="206"/>
      <c r="Q3" s="202"/>
      <c r="R3" s="202"/>
      <c r="S3" s="206"/>
      <c r="T3" s="206"/>
      <c r="U3" s="206"/>
      <c r="V3" s="202"/>
      <c r="W3" s="202"/>
      <c r="X3" s="203"/>
      <c r="Y3" s="203"/>
      <c r="Z3" s="203"/>
      <c r="AA3" s="203"/>
      <c r="AB3" s="202"/>
      <c r="AC3" s="207"/>
      <c r="AD3" s="202"/>
      <c r="AE3" s="202"/>
      <c r="AF3" s="202"/>
      <c r="AG3" s="202"/>
      <c r="AH3" s="203"/>
      <c r="AI3" s="202"/>
      <c r="AJ3" s="208"/>
      <c r="AK3" s="202"/>
      <c r="AL3" s="202"/>
      <c r="AM3" s="206"/>
      <c r="AN3" s="302"/>
      <c r="AO3" s="302"/>
      <c r="AP3" s="208"/>
      <c r="AQ3" s="303"/>
      <c r="AV3" s="211"/>
      <c r="AW3" s="212"/>
      <c r="AX3" s="213"/>
      <c r="BA3" s="214"/>
      <c r="BB3" s="214"/>
    </row>
    <row r="4" s="1" customFormat="true" ht="14.1" hidden="false" customHeight="true" outlineLevel="0" collapsed="false">
      <c r="A4" s="32"/>
      <c r="B4" s="33"/>
      <c r="C4" s="34"/>
      <c r="D4" s="35" t="s">
        <v>3</v>
      </c>
      <c r="E4" s="34"/>
      <c r="F4" s="32"/>
      <c r="G4" s="36"/>
      <c r="H4" s="36"/>
      <c r="I4" s="37" t="s">
        <v>114</v>
      </c>
      <c r="J4" s="36"/>
      <c r="K4" s="36"/>
      <c r="L4" s="38"/>
      <c r="M4" s="36"/>
      <c r="N4" s="36"/>
      <c r="O4" s="36"/>
      <c r="P4" s="39"/>
      <c r="Q4" s="36"/>
      <c r="R4" s="36"/>
      <c r="S4" s="36"/>
      <c r="T4" s="36"/>
      <c r="U4" s="39"/>
      <c r="V4" s="36"/>
      <c r="W4" s="36"/>
      <c r="X4" s="40" t="s">
        <v>121</v>
      </c>
      <c r="Y4" s="40"/>
      <c r="Z4" s="40"/>
      <c r="AA4" s="40"/>
      <c r="AB4" s="41"/>
      <c r="AC4" s="42"/>
      <c r="AD4" s="42"/>
      <c r="AE4" s="36"/>
      <c r="AF4" s="36"/>
      <c r="AG4" s="36"/>
      <c r="AH4" s="34"/>
      <c r="AI4" s="36"/>
      <c r="AJ4" s="43"/>
      <c r="AK4" s="36"/>
      <c r="AL4" s="36"/>
      <c r="AM4" s="39"/>
      <c r="AN4" s="44"/>
      <c r="AO4" s="45"/>
      <c r="AP4" s="46" t="s">
        <v>6</v>
      </c>
      <c r="AQ4" s="47"/>
      <c r="AR4" s="48"/>
      <c r="AS4" s="49"/>
      <c r="AT4" s="50"/>
      <c r="AU4" s="50"/>
      <c r="AV4" s="52"/>
      <c r="AW4" s="53" t="s">
        <v>7</v>
      </c>
      <c r="AX4" s="54"/>
      <c r="AY4" s="304"/>
      <c r="AZ4" s="55"/>
      <c r="BA4" s="71"/>
      <c r="BB4" s="217"/>
    </row>
    <row r="5" customFormat="false" ht="12.95" hidden="false" customHeight="true" outlineLevel="0" collapsed="false">
      <c r="A5" s="58" t="s">
        <v>8</v>
      </c>
      <c r="B5" s="59" t="s">
        <v>9</v>
      </c>
      <c r="C5" s="60" t="s">
        <v>9</v>
      </c>
      <c r="D5" s="61" t="s">
        <v>10</v>
      </c>
      <c r="E5" s="60" t="s">
        <v>11</v>
      </c>
      <c r="F5" s="62" t="s">
        <v>12</v>
      </c>
      <c r="G5" s="58" t="s">
        <v>13</v>
      </c>
      <c r="H5" s="58" t="s">
        <v>14</v>
      </c>
      <c r="I5" s="58" t="s">
        <v>15</v>
      </c>
      <c r="J5" s="58" t="s">
        <v>16</v>
      </c>
      <c r="K5" s="58" t="s">
        <v>17</v>
      </c>
      <c r="L5" s="82" t="s">
        <v>16</v>
      </c>
      <c r="M5" s="218" t="s">
        <v>18</v>
      </c>
      <c r="N5" s="218"/>
      <c r="O5" s="218"/>
      <c r="P5" s="218"/>
      <c r="Q5" s="218"/>
      <c r="R5" s="218"/>
      <c r="S5" s="218"/>
      <c r="T5" s="218"/>
      <c r="U5" s="218"/>
      <c r="V5" s="58" t="s">
        <v>19</v>
      </c>
      <c r="W5" s="58" t="s">
        <v>20</v>
      </c>
      <c r="X5" s="58" t="s">
        <v>17</v>
      </c>
      <c r="Y5" s="58" t="s">
        <v>17</v>
      </c>
      <c r="Z5" s="64" t="s">
        <v>21</v>
      </c>
      <c r="AA5" s="58" t="s">
        <v>21</v>
      </c>
      <c r="AB5" s="64" t="s">
        <v>21</v>
      </c>
      <c r="AC5" s="65" t="s">
        <v>22</v>
      </c>
      <c r="AD5" s="65" t="s">
        <v>21</v>
      </c>
      <c r="AE5" s="58" t="s">
        <v>23</v>
      </c>
      <c r="AF5" s="66" t="s">
        <v>24</v>
      </c>
      <c r="AG5" s="67"/>
      <c r="AH5" s="58" t="s">
        <v>25</v>
      </c>
      <c r="AI5" s="68" t="s">
        <v>26</v>
      </c>
      <c r="AJ5" s="68" t="s">
        <v>27</v>
      </c>
      <c r="AK5" s="58" t="s">
        <v>15</v>
      </c>
      <c r="AL5" s="58" t="s">
        <v>16</v>
      </c>
      <c r="AM5" s="61" t="s">
        <v>17</v>
      </c>
      <c r="AN5" s="69" t="s">
        <v>28</v>
      </c>
      <c r="AO5" s="65" t="s">
        <v>21</v>
      </c>
      <c r="AP5" s="64" t="s">
        <v>29</v>
      </c>
      <c r="AQ5" s="70" t="s">
        <v>29</v>
      </c>
      <c r="AR5" s="65" t="s">
        <v>30</v>
      </c>
      <c r="AS5" s="71" t="s">
        <v>31</v>
      </c>
      <c r="AT5" s="71" t="s">
        <v>32</v>
      </c>
      <c r="AU5" s="72" t="s">
        <v>33</v>
      </c>
      <c r="AV5" s="73" t="s">
        <v>34</v>
      </c>
      <c r="AW5" s="74" t="s">
        <v>35</v>
      </c>
      <c r="AX5" s="74" t="s">
        <v>36</v>
      </c>
      <c r="AY5" s="149"/>
      <c r="AZ5" s="305" t="s">
        <v>17</v>
      </c>
      <c r="BA5" s="221" t="s">
        <v>37</v>
      </c>
      <c r="BB5" s="222" t="s">
        <v>37</v>
      </c>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78" t="s">
        <v>122</v>
      </c>
      <c r="B6" s="59" t="s">
        <v>39</v>
      </c>
      <c r="C6" s="60"/>
      <c r="D6" s="61" t="s">
        <v>40</v>
      </c>
      <c r="E6" s="60" t="s">
        <v>41</v>
      </c>
      <c r="F6" s="62" t="s">
        <v>42</v>
      </c>
      <c r="G6" s="58" t="s">
        <v>43</v>
      </c>
      <c r="H6" s="58" t="s">
        <v>44</v>
      </c>
      <c r="I6" s="58" t="s">
        <v>45</v>
      </c>
      <c r="J6" s="58" t="s">
        <v>45</v>
      </c>
      <c r="K6" s="58" t="s">
        <v>45</v>
      </c>
      <c r="L6" s="82" t="s">
        <v>46</v>
      </c>
      <c r="M6" s="61" t="s">
        <v>47</v>
      </c>
      <c r="N6" s="61" t="s">
        <v>48</v>
      </c>
      <c r="O6" s="61" t="s">
        <v>49</v>
      </c>
      <c r="P6" s="80" t="s">
        <v>50</v>
      </c>
      <c r="Q6" s="61" t="s">
        <v>51</v>
      </c>
      <c r="R6" s="61" t="s">
        <v>52</v>
      </c>
      <c r="S6" s="61"/>
      <c r="T6" s="61" t="s">
        <v>49</v>
      </c>
      <c r="U6" s="81" t="s">
        <v>53</v>
      </c>
      <c r="V6" s="58" t="s">
        <v>54</v>
      </c>
      <c r="W6" s="58" t="s">
        <v>55</v>
      </c>
      <c r="X6" s="58" t="s">
        <v>21</v>
      </c>
      <c r="Y6" s="58" t="s">
        <v>21</v>
      </c>
      <c r="Z6" s="64" t="s">
        <v>56</v>
      </c>
      <c r="AA6" s="58" t="s">
        <v>56</v>
      </c>
      <c r="AB6" s="64" t="s">
        <v>57</v>
      </c>
      <c r="AC6" s="65" t="s">
        <v>58</v>
      </c>
      <c r="AD6" s="65" t="s">
        <v>59</v>
      </c>
      <c r="AE6" s="58" t="s">
        <v>60</v>
      </c>
      <c r="AF6" s="79" t="s">
        <v>61</v>
      </c>
      <c r="AG6" s="82" t="s">
        <v>62</v>
      </c>
      <c r="AH6" s="58" t="s">
        <v>63</v>
      </c>
      <c r="AI6" s="68" t="s">
        <v>64</v>
      </c>
      <c r="AJ6" s="68"/>
      <c r="AK6" s="58" t="s">
        <v>65</v>
      </c>
      <c r="AL6" s="58" t="s">
        <v>65</v>
      </c>
      <c r="AM6" s="61" t="s">
        <v>65</v>
      </c>
      <c r="AN6" s="69" t="s">
        <v>66</v>
      </c>
      <c r="AO6" s="65" t="s">
        <v>67</v>
      </c>
      <c r="AP6" s="64" t="s">
        <v>68</v>
      </c>
      <c r="AQ6" s="70" t="s">
        <v>68</v>
      </c>
      <c r="AR6" s="65" t="s">
        <v>69</v>
      </c>
      <c r="AS6" s="71" t="s">
        <v>70</v>
      </c>
      <c r="AT6" s="71" t="s">
        <v>71</v>
      </c>
      <c r="AU6" s="72" t="s">
        <v>72</v>
      </c>
      <c r="AV6" s="83"/>
      <c r="AW6" s="74" t="s">
        <v>73</v>
      </c>
      <c r="AX6" s="74" t="s">
        <v>73</v>
      </c>
      <c r="AY6" s="149"/>
      <c r="AZ6" s="305" t="s">
        <v>74</v>
      </c>
      <c r="BA6" s="221" t="s">
        <v>75</v>
      </c>
      <c r="BB6" s="222" t="s">
        <v>76</v>
      </c>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58"/>
      <c r="B7" s="59"/>
      <c r="C7" s="60"/>
      <c r="D7" s="61"/>
      <c r="E7" s="60"/>
      <c r="F7" s="62"/>
      <c r="G7" s="58"/>
      <c r="H7" s="58"/>
      <c r="I7" s="58"/>
      <c r="J7" s="58"/>
      <c r="K7" s="58"/>
      <c r="L7" s="82"/>
      <c r="M7" s="61"/>
      <c r="N7" s="61" t="s">
        <v>77</v>
      </c>
      <c r="O7" s="61" t="s">
        <v>78</v>
      </c>
      <c r="P7" s="80"/>
      <c r="Q7" s="61" t="s">
        <v>79</v>
      </c>
      <c r="R7" s="61" t="s">
        <v>79</v>
      </c>
      <c r="S7" s="61" t="s">
        <v>62</v>
      </c>
      <c r="T7" s="61" t="s">
        <v>62</v>
      </c>
      <c r="U7" s="81" t="s">
        <v>80</v>
      </c>
      <c r="V7" s="58"/>
      <c r="W7" s="58"/>
      <c r="X7" s="68" t="s">
        <v>81</v>
      </c>
      <c r="Y7" s="60" t="s">
        <v>82</v>
      </c>
      <c r="Z7" s="64" t="s">
        <v>83</v>
      </c>
      <c r="AA7" s="58" t="s">
        <v>84</v>
      </c>
      <c r="AB7" s="64" t="s">
        <v>85</v>
      </c>
      <c r="AC7" s="65"/>
      <c r="AD7" s="65"/>
      <c r="AE7" s="82"/>
      <c r="AF7" s="84" t="n">
        <v>1.7</v>
      </c>
      <c r="AG7" s="84" t="n">
        <v>1.3</v>
      </c>
      <c r="AH7" s="79"/>
      <c r="AI7" s="85" t="n">
        <v>29007</v>
      </c>
      <c r="AJ7" s="68"/>
      <c r="AK7" s="58"/>
      <c r="AL7" s="58"/>
      <c r="AM7" s="61"/>
      <c r="AN7" s="69"/>
      <c r="AO7" s="65"/>
      <c r="AP7" s="64" t="s">
        <v>86</v>
      </c>
      <c r="AQ7" s="70" t="s">
        <v>87</v>
      </c>
      <c r="AR7" s="65" t="s">
        <v>88</v>
      </c>
      <c r="AS7" s="71" t="s">
        <v>89</v>
      </c>
      <c r="AT7" s="71" t="s">
        <v>90</v>
      </c>
      <c r="AU7" s="72" t="s">
        <v>81</v>
      </c>
      <c r="AV7" s="83"/>
      <c r="AW7" s="74"/>
      <c r="AX7" s="74"/>
      <c r="AY7" s="149"/>
      <c r="AZ7" s="305" t="s">
        <v>91</v>
      </c>
      <c r="BA7" s="221"/>
      <c r="BB7" s="222"/>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58"/>
      <c r="B8" s="59"/>
      <c r="C8" s="60"/>
      <c r="D8" s="61"/>
      <c r="E8" s="60"/>
      <c r="F8" s="62"/>
      <c r="G8" s="58"/>
      <c r="H8" s="58"/>
      <c r="I8" s="58"/>
      <c r="J8" s="58"/>
      <c r="K8" s="58"/>
      <c r="L8" s="82"/>
      <c r="M8" s="61"/>
      <c r="N8" s="61"/>
      <c r="O8" s="61"/>
      <c r="P8" s="80"/>
      <c r="Q8" s="61" t="s">
        <v>62</v>
      </c>
      <c r="R8" s="61" t="s">
        <v>62</v>
      </c>
      <c r="S8" s="61"/>
      <c r="T8" s="61"/>
      <c r="U8" s="81"/>
      <c r="V8" s="58"/>
      <c r="W8" s="58"/>
      <c r="X8" s="68" t="s">
        <v>92</v>
      </c>
      <c r="Y8" s="60" t="s">
        <v>81</v>
      </c>
      <c r="Z8" s="64"/>
      <c r="AA8" s="60" t="s">
        <v>93</v>
      </c>
      <c r="AB8" s="64" t="s">
        <v>94</v>
      </c>
      <c r="AC8" s="65"/>
      <c r="AD8" s="65"/>
      <c r="AE8" s="82"/>
      <c r="AF8" s="84"/>
      <c r="AG8" s="84"/>
      <c r="AH8" s="79"/>
      <c r="AI8" s="85"/>
      <c r="AJ8" s="68"/>
      <c r="AK8" s="58"/>
      <c r="AL8" s="58"/>
      <c r="AM8" s="61"/>
      <c r="AN8" s="69"/>
      <c r="AO8" s="65"/>
      <c r="AP8" s="64"/>
      <c r="AQ8" s="70"/>
      <c r="AR8" s="65"/>
      <c r="AS8" s="71"/>
      <c r="AT8" s="71"/>
      <c r="AU8" s="72"/>
      <c r="AV8" s="83"/>
      <c r="AW8" s="74"/>
      <c r="AX8" s="74"/>
      <c r="AY8" s="149"/>
      <c r="AZ8" s="305"/>
      <c r="BA8" s="221"/>
      <c r="BB8" s="222"/>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58"/>
      <c r="B9" s="59"/>
      <c r="C9" s="60"/>
      <c r="D9" s="61"/>
      <c r="E9" s="60"/>
      <c r="F9" s="62"/>
      <c r="G9" s="58"/>
      <c r="H9" s="58"/>
      <c r="I9" s="58"/>
      <c r="J9" s="58"/>
      <c r="K9" s="58"/>
      <c r="L9" s="82"/>
      <c r="M9" s="61"/>
      <c r="N9" s="61"/>
      <c r="O9" s="61"/>
      <c r="P9" s="80"/>
      <c r="Q9" s="61"/>
      <c r="R9" s="87" t="n">
        <v>4.2</v>
      </c>
      <c r="S9" s="61"/>
      <c r="T9" s="61"/>
      <c r="U9" s="81"/>
      <c r="V9" s="58"/>
      <c r="W9" s="58"/>
      <c r="X9" s="68"/>
      <c r="Y9" s="60" t="s">
        <v>92</v>
      </c>
      <c r="Z9" s="64"/>
      <c r="AA9" s="60" t="s">
        <v>92</v>
      </c>
      <c r="AB9" s="64" t="s">
        <v>95</v>
      </c>
      <c r="AC9" s="65"/>
      <c r="AD9" s="65"/>
      <c r="AE9" s="82"/>
      <c r="AF9" s="84"/>
      <c r="AG9" s="84"/>
      <c r="AH9" s="79"/>
      <c r="AI9" s="85"/>
      <c r="AJ9" s="68"/>
      <c r="AK9" s="58"/>
      <c r="AL9" s="58"/>
      <c r="AM9" s="61"/>
      <c r="AN9" s="69"/>
      <c r="AO9" s="65"/>
      <c r="AP9" s="64"/>
      <c r="AQ9" s="70"/>
      <c r="AR9" s="65"/>
      <c r="AS9" s="71"/>
      <c r="AT9" s="71"/>
      <c r="AU9" s="72"/>
      <c r="AV9" s="83"/>
      <c r="AW9" s="74"/>
      <c r="AX9" s="74"/>
      <c r="AY9" s="149"/>
      <c r="AZ9" s="305"/>
      <c r="BA9" s="221"/>
      <c r="BB9" s="222" t="s">
        <v>96</v>
      </c>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58"/>
      <c r="B10" s="59"/>
      <c r="C10" s="60" t="s">
        <v>97</v>
      </c>
      <c r="D10" s="61"/>
      <c r="E10" s="60" t="s">
        <v>98</v>
      </c>
      <c r="F10" s="62"/>
      <c r="G10" s="61" t="s">
        <v>42</v>
      </c>
      <c r="H10" s="61" t="s">
        <v>42</v>
      </c>
      <c r="I10" s="61" t="s">
        <v>42</v>
      </c>
      <c r="J10" s="61" t="s">
        <v>42</v>
      </c>
      <c r="K10" s="61" t="s">
        <v>42</v>
      </c>
      <c r="L10" s="82" t="s">
        <v>42</v>
      </c>
      <c r="M10" s="61" t="s">
        <v>42</v>
      </c>
      <c r="N10" s="61" t="s">
        <v>42</v>
      </c>
      <c r="O10" s="61" t="s">
        <v>42</v>
      </c>
      <c r="P10" s="61" t="s">
        <v>42</v>
      </c>
      <c r="Q10" s="61" t="s">
        <v>42</v>
      </c>
      <c r="R10" s="61" t="s">
        <v>42</v>
      </c>
      <c r="S10" s="61" t="s">
        <v>42</v>
      </c>
      <c r="T10" s="61" t="s">
        <v>42</v>
      </c>
      <c r="U10" s="82" t="s">
        <v>42</v>
      </c>
      <c r="V10" s="61" t="s">
        <v>42</v>
      </c>
      <c r="W10" s="61" t="s">
        <v>42</v>
      </c>
      <c r="X10" s="60" t="n">
        <v>153400</v>
      </c>
      <c r="Y10" s="60" t="n">
        <v>150400</v>
      </c>
      <c r="Z10" s="61"/>
      <c r="AA10" s="60"/>
      <c r="AB10" s="60" t="n">
        <v>72000</v>
      </c>
      <c r="AC10" s="306" t="s">
        <v>42</v>
      </c>
      <c r="AD10" s="61" t="s">
        <v>42</v>
      </c>
      <c r="AE10" s="82" t="s">
        <v>42</v>
      </c>
      <c r="AF10" s="61" t="s">
        <v>42</v>
      </c>
      <c r="AG10" s="61" t="s">
        <v>42</v>
      </c>
      <c r="AH10" s="79" t="s">
        <v>42</v>
      </c>
      <c r="AI10" s="61" t="s">
        <v>42</v>
      </c>
      <c r="AJ10" s="61" t="s">
        <v>42</v>
      </c>
      <c r="AK10" s="61" t="s">
        <v>42</v>
      </c>
      <c r="AL10" s="61" t="s">
        <v>42</v>
      </c>
      <c r="AM10" s="62" t="s">
        <v>42</v>
      </c>
      <c r="AN10" s="65" t="s">
        <v>42</v>
      </c>
      <c r="AO10" s="65" t="s">
        <v>42</v>
      </c>
      <c r="AP10" s="65" t="s">
        <v>42</v>
      </c>
      <c r="AQ10" s="70" t="s">
        <v>99</v>
      </c>
      <c r="AR10" s="65" t="s">
        <v>42</v>
      </c>
      <c r="AS10" s="65" t="s">
        <v>42</v>
      </c>
      <c r="AT10" s="65" t="s">
        <v>42</v>
      </c>
      <c r="AU10" s="65" t="s">
        <v>42</v>
      </c>
      <c r="AV10" s="83"/>
      <c r="AW10" s="74"/>
      <c r="AX10" s="74"/>
      <c r="AY10" s="149"/>
      <c r="AZ10" s="305" t="s">
        <v>100</v>
      </c>
      <c r="BA10" s="221" t="s">
        <v>42</v>
      </c>
      <c r="BB10" s="222" t="s">
        <v>98</v>
      </c>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row>
    <row r="11" customFormat="false" ht="12.95" hidden="false" customHeight="true" outlineLevel="0" collapsed="false">
      <c r="A11" s="58"/>
      <c r="B11" s="59"/>
      <c r="C11" s="60"/>
      <c r="D11" s="61"/>
      <c r="E11" s="60"/>
      <c r="F11" s="62"/>
      <c r="G11" s="58"/>
      <c r="H11" s="58"/>
      <c r="I11" s="58"/>
      <c r="J11" s="58"/>
      <c r="K11" s="58"/>
      <c r="L11" s="82"/>
      <c r="M11" s="61"/>
      <c r="N11" s="47" t="n">
        <v>1.03</v>
      </c>
      <c r="O11" s="47" t="n">
        <v>1.05</v>
      </c>
      <c r="P11" s="47" t="n">
        <v>1.02</v>
      </c>
      <c r="Q11" s="88" t="n">
        <v>1.02</v>
      </c>
      <c r="R11" s="89" t="n">
        <v>1.04</v>
      </c>
      <c r="S11" s="61"/>
      <c r="T11" s="88" t="n">
        <v>1.04</v>
      </c>
      <c r="U11" s="81"/>
      <c r="V11" s="58"/>
      <c r="W11" s="58"/>
      <c r="X11" s="61" t="s">
        <v>42</v>
      </c>
      <c r="Y11" s="61" t="s">
        <v>42</v>
      </c>
      <c r="Z11" s="61" t="s">
        <v>42</v>
      </c>
      <c r="AA11" s="60" t="s">
        <v>42</v>
      </c>
      <c r="AB11" s="90" t="s">
        <v>101</v>
      </c>
      <c r="AC11" s="65"/>
      <c r="AD11" s="64"/>
      <c r="AE11" s="91"/>
      <c r="AF11" s="84"/>
      <c r="AG11" s="84"/>
      <c r="AH11" s="79"/>
      <c r="AI11" s="85"/>
      <c r="AJ11" s="92"/>
      <c r="AK11" s="58"/>
      <c r="AL11" s="58"/>
      <c r="AM11" s="61"/>
      <c r="AN11" s="69"/>
      <c r="AO11" s="65"/>
      <c r="AP11" s="64"/>
      <c r="AQ11" s="70"/>
      <c r="AR11" s="70"/>
      <c r="AS11" s="93"/>
      <c r="AT11" s="93"/>
      <c r="AU11" s="93"/>
      <c r="AV11" s="83"/>
      <c r="AW11" s="74"/>
      <c r="AX11" s="74"/>
      <c r="AY11" s="149"/>
      <c r="AZ11" s="305" t="s">
        <v>42</v>
      </c>
      <c r="BA11" s="221"/>
      <c r="BB11" s="222"/>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row>
    <row r="12" customFormat="false" ht="12.95" hidden="false" customHeight="true" outlineLevel="0" collapsed="false">
      <c r="A12" s="197" t="s">
        <v>102</v>
      </c>
      <c r="B12" s="223"/>
      <c r="C12" s="114"/>
      <c r="D12" s="114"/>
      <c r="E12" s="114"/>
      <c r="F12" s="224"/>
      <c r="G12" s="114"/>
      <c r="H12" s="307"/>
      <c r="I12" s="114"/>
      <c r="J12" s="114"/>
      <c r="K12" s="114"/>
      <c r="L12" s="114"/>
      <c r="M12" s="226"/>
      <c r="N12" s="114"/>
      <c r="O12" s="114"/>
      <c r="P12" s="171"/>
      <c r="Q12" s="114"/>
      <c r="R12" s="114"/>
      <c r="S12" s="171"/>
      <c r="T12" s="171"/>
      <c r="U12" s="227"/>
      <c r="V12" s="114"/>
      <c r="W12" s="114"/>
      <c r="X12" s="114"/>
      <c r="Y12" s="114"/>
      <c r="Z12" s="114"/>
      <c r="AA12" s="114"/>
      <c r="AB12" s="114"/>
      <c r="AC12" s="144"/>
      <c r="AD12" s="114"/>
      <c r="AE12" s="114"/>
      <c r="AF12" s="226"/>
      <c r="AG12" s="228"/>
      <c r="AH12" s="114"/>
      <c r="AI12" s="114"/>
      <c r="AJ12" s="229"/>
      <c r="AK12" s="114"/>
      <c r="AL12" s="114"/>
      <c r="AM12" s="114"/>
      <c r="AN12" s="230"/>
      <c r="AO12" s="225"/>
      <c r="AP12" s="143"/>
      <c r="AQ12" s="231"/>
      <c r="AR12" s="231"/>
      <c r="AS12" s="308"/>
      <c r="AU12" s="86"/>
      <c r="AV12" s="284"/>
      <c r="AW12" s="225"/>
      <c r="AX12" s="225"/>
      <c r="AY12" s="264"/>
      <c r="AZ12" s="309"/>
      <c r="BA12" s="310"/>
      <c r="BB12" s="236"/>
    </row>
    <row r="13" s="243" customFormat="true" ht="12.95" hidden="false" customHeight="true" outlineLevel="0" collapsed="false">
      <c r="A13" s="161" t="s">
        <v>103</v>
      </c>
      <c r="B13" s="311" t="n">
        <f aca="false">JAN!B45</f>
        <v>6868.38</v>
      </c>
      <c r="C13" s="114" t="n">
        <f aca="false">JAN!C45</f>
        <v>183541</v>
      </c>
      <c r="D13" s="114" t="n">
        <f aca="false">JAN!D54</f>
        <v>-2199</v>
      </c>
      <c r="E13" s="114" t="n">
        <f aca="false">JAN!E54</f>
        <v>31541</v>
      </c>
      <c r="F13" s="224" t="n">
        <f aca="false">JAN!F53</f>
        <v>-1108.64633224099</v>
      </c>
      <c r="G13" s="114" t="n">
        <f aca="false">JAN!G53</f>
        <v>6884</v>
      </c>
      <c r="H13" s="238" t="n">
        <f aca="false">JAN!H53</f>
        <v>24.559</v>
      </c>
      <c r="I13" s="114" t="n">
        <f aca="false">JAN!I53</f>
        <v>6907.939</v>
      </c>
      <c r="J13" s="238" t="n">
        <f aca="false">JAN!J53</f>
        <v>805.621146206201</v>
      </c>
      <c r="K13" s="114" t="n">
        <f aca="false">JAN!K53</f>
        <v>7713.5601462062</v>
      </c>
      <c r="L13" s="278" t="n">
        <f aca="false">JAN!L53</f>
        <v>-1154.07533224099</v>
      </c>
      <c r="M13" s="114" t="n">
        <f aca="false">JAN!M53</f>
        <v>291.52</v>
      </c>
      <c r="N13" s="238" t="n">
        <f aca="false">JAN!N53</f>
        <v>0</v>
      </c>
      <c r="O13" s="114" t="n">
        <f aca="false">JAN!O53</f>
        <v>0</v>
      </c>
      <c r="P13" s="114" t="n">
        <f aca="false">JAN!P53</f>
        <v>0</v>
      </c>
      <c r="Q13" s="114" t="n">
        <f aca="false">JAN!Q53</f>
        <v>134.989273364667</v>
      </c>
      <c r="R13" s="238" t="n">
        <f aca="false">JAN!R53</f>
        <v>144.48577728</v>
      </c>
      <c r="S13" s="114" t="n">
        <f aca="false">JAN!S53</f>
        <v>0</v>
      </c>
      <c r="T13" s="114" t="n">
        <f aca="false">JAN!T53</f>
        <v>46.45822272</v>
      </c>
      <c r="U13" s="278" t="n">
        <f aca="false">JAN!U53</f>
        <v>-34.4132733646666</v>
      </c>
      <c r="V13" s="114" t="n">
        <f aca="false">JAN!V53</f>
        <v>4183.99</v>
      </c>
      <c r="W13" s="238" t="n">
        <f aca="false">JAN!W53</f>
        <v>0</v>
      </c>
      <c r="X13" s="114" t="n">
        <f aca="false">JAN!X53</f>
        <v>4151.95345</v>
      </c>
      <c r="Y13" s="238" t="n">
        <f aca="false">JAN!Y53</f>
        <v>4151.95345</v>
      </c>
      <c r="Z13" s="114"/>
      <c r="AA13" s="114"/>
      <c r="AB13" s="114"/>
      <c r="AC13" s="286" t="n">
        <f aca="false">JAN!AC53</f>
        <v>1714.13281966001</v>
      </c>
      <c r="AD13" s="114"/>
      <c r="AE13" s="114"/>
      <c r="AF13" s="226"/>
      <c r="AG13" s="228"/>
      <c r="AH13" s="238" t="n">
        <f aca="false">JAN!AH53</f>
        <v>2387</v>
      </c>
      <c r="AI13" s="238" t="n">
        <f aca="false">JAN!AI53</f>
        <v>1747.54923115706</v>
      </c>
      <c r="AJ13" s="238" t="n">
        <f aca="false">JAN!AJ53</f>
        <v>0</v>
      </c>
      <c r="AK13" s="238" t="n">
        <f aca="false">JAN!AK53</f>
        <v>6862.51</v>
      </c>
      <c r="AL13" s="238" t="n">
        <f aca="false">JAN!AL53</f>
        <v>1959.69647844719</v>
      </c>
      <c r="AM13" s="238" t="n">
        <f aca="false">JAN!AM53</f>
        <v>8822.20647844719</v>
      </c>
      <c r="AN13" s="230" t="n">
        <f aca="false">JAN!AN53</f>
        <v>4183.99</v>
      </c>
      <c r="AO13" s="286" t="n">
        <f aca="false">JAN!AO53</f>
        <v>0</v>
      </c>
      <c r="AP13" s="114"/>
      <c r="AQ13" s="143"/>
      <c r="AR13" s="143"/>
      <c r="AS13" s="114"/>
      <c r="AT13" s="161"/>
      <c r="AU13" s="115"/>
      <c r="AV13" s="287" t="n">
        <f aca="false">JAN!AV53</f>
        <v>2.55</v>
      </c>
      <c r="AW13" s="225"/>
      <c r="AX13" s="225"/>
      <c r="AY13" s="312"/>
      <c r="AZ13" s="288" t="n">
        <f aca="false">JAN!AZ53</f>
        <v>291.52</v>
      </c>
      <c r="BA13" s="235" t="n">
        <f aca="false">JAN!BA53</f>
        <v>12.2</v>
      </c>
      <c r="BB13" s="242"/>
    </row>
    <row r="14" customFormat="false" ht="3" hidden="false" customHeight="true" outlineLevel="0" collapsed="false">
      <c r="A14" s="244"/>
      <c r="B14" s="245"/>
      <c r="C14" s="246"/>
      <c r="D14" s="247"/>
      <c r="E14" s="246"/>
      <c r="F14" s="248"/>
      <c r="G14" s="247"/>
      <c r="H14" s="313"/>
      <c r="I14" s="247"/>
      <c r="J14" s="247"/>
      <c r="K14" s="247"/>
      <c r="L14" s="247"/>
      <c r="M14" s="250"/>
      <c r="N14" s="247"/>
      <c r="O14" s="247"/>
      <c r="P14" s="251"/>
      <c r="Q14" s="247"/>
      <c r="R14" s="247"/>
      <c r="S14" s="251"/>
      <c r="T14" s="251"/>
      <c r="U14" s="252"/>
      <c r="V14" s="247"/>
      <c r="W14" s="247"/>
      <c r="X14" s="247"/>
      <c r="Y14" s="247"/>
      <c r="Z14" s="247"/>
      <c r="AA14" s="247"/>
      <c r="AB14" s="246"/>
      <c r="AC14" s="253"/>
      <c r="AD14" s="246"/>
      <c r="AE14" s="247"/>
      <c r="AF14" s="250"/>
      <c r="AG14" s="254"/>
      <c r="AH14" s="247"/>
      <c r="AI14" s="246"/>
      <c r="AJ14" s="314"/>
      <c r="AK14" s="247"/>
      <c r="AL14" s="247"/>
      <c r="AM14" s="247"/>
      <c r="AN14" s="255"/>
      <c r="AO14" s="256"/>
      <c r="AP14" s="256"/>
      <c r="AQ14" s="256"/>
      <c r="AR14" s="256"/>
      <c r="AS14" s="256"/>
      <c r="AT14" s="315"/>
      <c r="AU14" s="316"/>
      <c r="AV14" s="275"/>
      <c r="AW14" s="256"/>
      <c r="AX14" s="256"/>
      <c r="AY14" s="256"/>
      <c r="AZ14" s="256"/>
      <c r="BA14" s="256"/>
      <c r="BB14" s="256"/>
    </row>
    <row r="15" customFormat="false" ht="12.75" hidden="false" customHeight="true" outlineLevel="0" collapsed="false">
      <c r="A15" s="192" t="n">
        <v>1</v>
      </c>
      <c r="B15" s="113" t="n">
        <v>6868.46</v>
      </c>
      <c r="C15" s="114" t="n">
        <v>183750</v>
      </c>
      <c r="D15" s="225" t="n">
        <f aca="false">C15-C13</f>
        <v>209</v>
      </c>
      <c r="E15" s="114" t="n">
        <f aca="false">C15-152000</f>
        <v>31750</v>
      </c>
      <c r="F15" s="259" t="n">
        <f aca="false">D15/$D$2</f>
        <v>105.369296697756</v>
      </c>
      <c r="G15" s="143" t="n">
        <v>62</v>
      </c>
      <c r="H15" s="307" t="n">
        <v>0</v>
      </c>
      <c r="I15" s="143" t="n">
        <f aca="false">G15+H15</f>
        <v>62</v>
      </c>
      <c r="J15" s="144" t="n">
        <f aca="false">IF(L15&gt;0,L15,0)</f>
        <v>72.0892966977565</v>
      </c>
      <c r="K15" s="143" t="n">
        <f aca="false">I15+J15</f>
        <v>134.089296697756</v>
      </c>
      <c r="L15" s="143" t="n">
        <f aca="false">F15-(I15-AK15)</f>
        <v>72.0892966977565</v>
      </c>
      <c r="M15" s="261" t="n">
        <v>3.22</v>
      </c>
      <c r="N15" s="143" t="n">
        <v>0</v>
      </c>
      <c r="O15" s="143" t="n">
        <f aca="false">0*1.05</f>
        <v>0</v>
      </c>
      <c r="P15" s="171" t="n">
        <v>0</v>
      </c>
      <c r="Q15" s="282" t="n">
        <f aca="false">1022900/325851/1.9835*1.02</f>
        <v>1.61429197361564</v>
      </c>
      <c r="R15" s="139" t="n">
        <f aca="false">(1.7*1.04)-T15</f>
        <v>1.30675584</v>
      </c>
      <c r="S15" s="89" t="n">
        <v>0</v>
      </c>
      <c r="T15" s="139" t="n">
        <f aca="false">(0.4184*1.06)*1.04</f>
        <v>0.46124416</v>
      </c>
      <c r="U15" s="102" t="n">
        <f aca="false">M15-(Q15+R15+S15+T15)</f>
        <v>-0.162291973615642</v>
      </c>
      <c r="V15" s="143" t="n">
        <v>0</v>
      </c>
      <c r="W15" s="143" t="n">
        <v>0</v>
      </c>
      <c r="X15" s="143" t="n">
        <f aca="false">M15-N15-O15-P15-Q15-R15-S15-T15-U15+V15+W15</f>
        <v>0</v>
      </c>
      <c r="Y15" s="143" t="n">
        <f aca="false">X15-AO15</f>
        <v>0</v>
      </c>
      <c r="Z15" s="143"/>
      <c r="AA15" s="143" t="n">
        <f aca="false">Q15+R15</f>
        <v>2.92104781361564</v>
      </c>
      <c r="AB15" s="114"/>
      <c r="AC15" s="144"/>
      <c r="AD15" s="114"/>
      <c r="AE15" s="143" t="n">
        <v>0</v>
      </c>
      <c r="AF15" s="261"/>
      <c r="AG15" s="262"/>
      <c r="AH15" s="143" t="n">
        <v>25.5</v>
      </c>
      <c r="AI15" s="114" t="n">
        <f aca="false">AI13-AH15</f>
        <v>1722.04923115706</v>
      </c>
      <c r="AJ15" s="229"/>
      <c r="AK15" s="142" t="n">
        <f aca="false">N15+O15+P15+Q15+R15+S15+T15+U15+X15+AE15+AH15</f>
        <v>28.72</v>
      </c>
      <c r="AL15" s="143" t="n">
        <f aca="false">IF(L15&lt;0,L15*-1,0)</f>
        <v>0</v>
      </c>
      <c r="AM15" s="143" t="n">
        <f aca="false">AK15+AL15</f>
        <v>28.72</v>
      </c>
      <c r="AN15" s="147" t="n">
        <f aca="false">V15</f>
        <v>0</v>
      </c>
      <c r="AO15" s="225"/>
      <c r="AP15" s="231"/>
      <c r="AQ15" s="114"/>
      <c r="AR15" s="114"/>
      <c r="AS15" s="308"/>
      <c r="AU15" s="86"/>
      <c r="AV15" s="284" t="n">
        <v>0</v>
      </c>
      <c r="AW15" s="225" t="n">
        <v>50</v>
      </c>
      <c r="AX15" s="225" t="n">
        <v>27</v>
      </c>
      <c r="AY15" s="264"/>
      <c r="AZ15" s="263" t="n">
        <f aca="false">SUM(N15,P15:U15)</f>
        <v>3.22</v>
      </c>
      <c r="BA15" s="193" t="n">
        <v>0</v>
      </c>
      <c r="BB15" s="264" t="n">
        <v>16196</v>
      </c>
    </row>
    <row r="16" customFormat="false" ht="12.95" hidden="false" customHeight="true" outlineLevel="0" collapsed="false">
      <c r="A16" s="192" t="n">
        <f aca="false">A15+1</f>
        <v>2</v>
      </c>
      <c r="B16" s="113" t="n">
        <v>6868.43</v>
      </c>
      <c r="C16" s="114" t="n">
        <v>183671</v>
      </c>
      <c r="D16" s="225" t="n">
        <f aca="false">C16-C15</f>
        <v>-79</v>
      </c>
      <c r="E16" s="114" t="n">
        <f aca="false">C16-152000</f>
        <v>31671</v>
      </c>
      <c r="F16" s="259" t="n">
        <f aca="false">D16/$D$2</f>
        <v>-39.8285858331233</v>
      </c>
      <c r="G16" s="143" t="n">
        <v>61</v>
      </c>
      <c r="H16" s="307" t="n">
        <v>0</v>
      </c>
      <c r="I16" s="143" t="n">
        <f aca="false">G16+H16</f>
        <v>61</v>
      </c>
      <c r="J16" s="144" t="n">
        <f aca="false">IF(L16&gt;0,L16,0)</f>
        <v>0</v>
      </c>
      <c r="K16" s="143" t="n">
        <f aca="false">I16+J16</f>
        <v>61</v>
      </c>
      <c r="L16" s="143" t="n">
        <f aca="false">F16-(I16-AK16)</f>
        <v>-72.1085858331233</v>
      </c>
      <c r="M16" s="261" t="n">
        <v>3.22</v>
      </c>
      <c r="N16" s="143" t="n">
        <v>0</v>
      </c>
      <c r="O16" s="143" t="n">
        <f aca="false">0*1.05</f>
        <v>0</v>
      </c>
      <c r="P16" s="171" t="n">
        <v>0</v>
      </c>
      <c r="Q16" s="282" t="n">
        <f aca="false">1034400/325851/1.9835*1.02</f>
        <v>1.63244072490764</v>
      </c>
      <c r="R16" s="139" t="n">
        <f aca="false">(2*1.04)-T16</f>
        <v>1.61875584</v>
      </c>
      <c r="S16" s="89" t="n">
        <v>0</v>
      </c>
      <c r="T16" s="139" t="n">
        <f aca="false">(0.4184*1.06)*1.04</f>
        <v>0.46124416</v>
      </c>
      <c r="U16" s="102" t="n">
        <f aca="false">M16-(Q16+R16+S16+T16)</f>
        <v>-0.492440724907635</v>
      </c>
      <c r="V16" s="143" t="n">
        <v>0</v>
      </c>
      <c r="W16" s="143" t="n">
        <v>0</v>
      </c>
      <c r="X16" s="143" t="n">
        <f aca="false">M16-N16-O16-P16-Q16-R16-S16-T16-U16+V16+W16</f>
        <v>0</v>
      </c>
      <c r="Y16" s="143" t="n">
        <f aca="false">X16-AO16</f>
        <v>0</v>
      </c>
      <c r="Z16" s="143"/>
      <c r="AA16" s="143" t="n">
        <f aca="false">Q16+R16</f>
        <v>3.25119656490764</v>
      </c>
      <c r="AB16" s="114"/>
      <c r="AC16" s="144"/>
      <c r="AD16" s="114"/>
      <c r="AE16" s="143" t="n">
        <v>0</v>
      </c>
      <c r="AF16" s="261"/>
      <c r="AG16" s="262"/>
      <c r="AH16" s="143" t="n">
        <v>25.5</v>
      </c>
      <c r="AI16" s="114" t="n">
        <f aca="false">AI15-AH16</f>
        <v>1696.54923115706</v>
      </c>
      <c r="AJ16" s="229"/>
      <c r="AK16" s="142" t="n">
        <f aca="false">N16+O16+P16+Q16+R16+S16+T16+U16+X16+AE16+AH16</f>
        <v>28.72</v>
      </c>
      <c r="AL16" s="143" t="n">
        <f aca="false">IF(L16&lt;0,L16*-1,0)</f>
        <v>72.1085858331233</v>
      </c>
      <c r="AM16" s="143" t="n">
        <f aca="false">AK16+AL16</f>
        <v>100.828585833123</v>
      </c>
      <c r="AN16" s="147" t="n">
        <f aca="false">V16</f>
        <v>0</v>
      </c>
      <c r="AO16" s="225"/>
      <c r="AP16" s="231"/>
      <c r="AQ16" s="114"/>
      <c r="AR16" s="114"/>
      <c r="AS16" s="308"/>
      <c r="AU16" s="86"/>
      <c r="AV16" s="284" t="n">
        <v>0</v>
      </c>
      <c r="AW16" s="225" t="n">
        <v>55</v>
      </c>
      <c r="AX16" s="225" t="n">
        <v>24</v>
      </c>
      <c r="AY16" s="264"/>
      <c r="AZ16" s="263" t="n">
        <f aca="false">SUM(N16,P16:U16)</f>
        <v>3.22</v>
      </c>
      <c r="BA16" s="193" t="n">
        <v>0</v>
      </c>
      <c r="BB16" s="264" t="n">
        <v>16140</v>
      </c>
    </row>
    <row r="17" customFormat="false" ht="12.95" hidden="false" customHeight="true" outlineLevel="0" collapsed="false">
      <c r="A17" s="192" t="n">
        <f aca="false">A16+1</f>
        <v>3</v>
      </c>
      <c r="B17" s="113" t="n">
        <v>6868.46</v>
      </c>
      <c r="C17" s="114" t="n">
        <v>183750</v>
      </c>
      <c r="D17" s="225" t="n">
        <f aca="false">C17-C16</f>
        <v>79</v>
      </c>
      <c r="E17" s="114" t="n">
        <f aca="false">C17-152000</f>
        <v>31750</v>
      </c>
      <c r="F17" s="259" t="n">
        <f aca="false">D17/$D$2</f>
        <v>39.8285858331233</v>
      </c>
      <c r="G17" s="143" t="n">
        <v>62</v>
      </c>
      <c r="H17" s="307" t="n">
        <v>0</v>
      </c>
      <c r="I17" s="143" t="n">
        <f aca="false">G17+H17</f>
        <v>62</v>
      </c>
      <c r="J17" s="144" t="n">
        <f aca="false">IF(L17&gt;0,L17,0)</f>
        <v>6.66858583312327</v>
      </c>
      <c r="K17" s="143" t="n">
        <f aca="false">I17+J17</f>
        <v>68.6685858331233</v>
      </c>
      <c r="L17" s="143" t="n">
        <f aca="false">F17-(I17-AK17)</f>
        <v>6.66858583312327</v>
      </c>
      <c r="M17" s="261" t="n">
        <v>3.34</v>
      </c>
      <c r="N17" s="143" t="n">
        <v>0</v>
      </c>
      <c r="O17" s="143" t="n">
        <f aca="false">0*1.05</f>
        <v>0</v>
      </c>
      <c r="P17" s="171" t="n">
        <v>0</v>
      </c>
      <c r="Q17" s="282" t="n">
        <f aca="false">1052400/325851/1.9835*1.02</f>
        <v>1.66084746606032</v>
      </c>
      <c r="R17" s="139" t="n">
        <f aca="false">(2*1.04)-T17</f>
        <v>1.61875584</v>
      </c>
      <c r="S17" s="89" t="n">
        <v>0</v>
      </c>
      <c r="T17" s="139" t="n">
        <f aca="false">(0.4184*1.06)*1.04</f>
        <v>0.46124416</v>
      </c>
      <c r="U17" s="102" t="n">
        <f aca="false">M17-(Q17+R17+S17+T17)</f>
        <v>-0.400847466060321</v>
      </c>
      <c r="V17" s="143" t="n">
        <v>0</v>
      </c>
      <c r="W17" s="143" t="n">
        <v>0</v>
      </c>
      <c r="X17" s="143" t="n">
        <f aca="false">M17-N17-O17-P17-Q17-R17-S17-T17-U17+V17+W17</f>
        <v>0</v>
      </c>
      <c r="Y17" s="143" t="n">
        <f aca="false">X17-AO17</f>
        <v>0</v>
      </c>
      <c r="Z17" s="143"/>
      <c r="AA17" s="143" t="n">
        <f aca="false">Q17+R17</f>
        <v>3.27960330606032</v>
      </c>
      <c r="AB17" s="114"/>
      <c r="AC17" s="144"/>
      <c r="AD17" s="114"/>
      <c r="AE17" s="143" t="n">
        <v>0</v>
      </c>
      <c r="AF17" s="261"/>
      <c r="AG17" s="262"/>
      <c r="AH17" s="143" t="n">
        <v>25.5</v>
      </c>
      <c r="AI17" s="114" t="n">
        <f aca="false">AI16-AH17</f>
        <v>1671.04923115706</v>
      </c>
      <c r="AJ17" s="229"/>
      <c r="AK17" s="142" t="n">
        <f aca="false">N17+O17+P17+Q17+R17+S17+T17+U17+X17+AE17+AH17</f>
        <v>28.84</v>
      </c>
      <c r="AL17" s="143" t="n">
        <f aca="false">IF(L17&lt;0,L17*-1,0)</f>
        <v>0</v>
      </c>
      <c r="AM17" s="143" t="n">
        <f aca="false">AK17+AL17</f>
        <v>28.84</v>
      </c>
      <c r="AN17" s="147" t="n">
        <f aca="false">V17</f>
        <v>0</v>
      </c>
      <c r="AO17" s="225"/>
      <c r="AP17" s="231"/>
      <c r="AQ17" s="114"/>
      <c r="AR17" s="114"/>
      <c r="AS17" s="308"/>
      <c r="AU17" s="86"/>
      <c r="AV17" s="284" t="n">
        <v>0</v>
      </c>
      <c r="AW17" s="225" t="n">
        <v>57</v>
      </c>
      <c r="AX17" s="225" t="n">
        <v>27</v>
      </c>
      <c r="AY17" s="264"/>
      <c r="AZ17" s="263" t="n">
        <f aca="false">SUM(N17,P17:U17)</f>
        <v>3.34</v>
      </c>
      <c r="BA17" s="193" t="n">
        <v>0</v>
      </c>
      <c r="BB17" s="264" t="n">
        <v>16218</v>
      </c>
    </row>
    <row r="18" customFormat="false" ht="12.95" hidden="false" customHeight="true" outlineLevel="0" collapsed="false">
      <c r="A18" s="317" t="n">
        <f aca="false">A17+1</f>
        <v>4</v>
      </c>
      <c r="B18" s="318" t="n">
        <v>6868.49</v>
      </c>
      <c r="C18" s="114" t="n">
        <v>183828</v>
      </c>
      <c r="D18" s="225" t="n">
        <f aca="false">C18-C17</f>
        <v>78</v>
      </c>
      <c r="E18" s="114" t="n">
        <f aca="false">C18-152000</f>
        <v>31828</v>
      </c>
      <c r="F18" s="259" t="n">
        <f aca="false">D18/$D$2</f>
        <v>39.3244265187799</v>
      </c>
      <c r="G18" s="143" t="n">
        <v>63</v>
      </c>
      <c r="H18" s="307" t="n">
        <v>0</v>
      </c>
      <c r="I18" s="143" t="n">
        <f aca="false">G18+H18</f>
        <v>63</v>
      </c>
      <c r="J18" s="144" t="n">
        <f aca="false">IF(L18&gt;0,L18,0)</f>
        <v>5.31442651877994</v>
      </c>
      <c r="K18" s="143" t="n">
        <f aca="false">I18+J18</f>
        <v>68.3144265187799</v>
      </c>
      <c r="L18" s="143" t="n">
        <f aca="false">F18-(I18-AK18)</f>
        <v>5.31442651877994</v>
      </c>
      <c r="M18" s="261" t="n">
        <v>3.49</v>
      </c>
      <c r="N18" s="143" t="n">
        <v>0</v>
      </c>
      <c r="O18" s="143" t="n">
        <f aca="false">0*1.05</f>
        <v>0</v>
      </c>
      <c r="P18" s="171" t="n">
        <v>0</v>
      </c>
      <c r="Q18" s="282" t="n">
        <f aca="false">966300/325851/1.9835*1.02</f>
        <v>1.52496855421331</v>
      </c>
      <c r="R18" s="139" t="n">
        <f aca="false">(2.2*1.04)-T18</f>
        <v>1.82675584</v>
      </c>
      <c r="S18" s="89" t="n">
        <v>0</v>
      </c>
      <c r="T18" s="139" t="n">
        <f aca="false">(0.4184*1.06)*1.04</f>
        <v>0.46124416</v>
      </c>
      <c r="U18" s="102" t="n">
        <f aca="false">M18-(Q18+R18+S18+T18)</f>
        <v>-0.322968554213311</v>
      </c>
      <c r="V18" s="143" t="n">
        <v>0</v>
      </c>
      <c r="W18" s="143" t="n">
        <v>0</v>
      </c>
      <c r="X18" s="143" t="n">
        <f aca="false">M18-N18-O18-P18-Q18-R18-S18-T18-U18+V18+W18</f>
        <v>0</v>
      </c>
      <c r="Y18" s="143" t="n">
        <f aca="false">X18-AO18</f>
        <v>0</v>
      </c>
      <c r="Z18" s="143"/>
      <c r="AA18" s="143" t="n">
        <f aca="false">Q18+R18</f>
        <v>3.35172439421331</v>
      </c>
      <c r="AB18" s="114"/>
      <c r="AC18" s="144"/>
      <c r="AD18" s="114"/>
      <c r="AE18" s="143" t="n">
        <v>0</v>
      </c>
      <c r="AF18" s="261"/>
      <c r="AG18" s="262"/>
      <c r="AH18" s="143" t="n">
        <v>25.5</v>
      </c>
      <c r="AI18" s="114" t="n">
        <f aca="false">AI17-AH18</f>
        <v>1645.54923115706</v>
      </c>
      <c r="AJ18" s="229"/>
      <c r="AK18" s="142" t="n">
        <f aca="false">N18+O18+P18+Q18+R18+S18+T18+U18+X18+AE18+AH18</f>
        <v>28.99</v>
      </c>
      <c r="AL18" s="143" t="n">
        <f aca="false">IF(L18&lt;0,L18*-1,0)</f>
        <v>0</v>
      </c>
      <c r="AM18" s="143" t="n">
        <f aca="false">AK18+AL18</f>
        <v>28.99</v>
      </c>
      <c r="AN18" s="147" t="n">
        <f aca="false">V18</f>
        <v>0</v>
      </c>
      <c r="AO18" s="225"/>
      <c r="AP18" s="231"/>
      <c r="AQ18" s="114"/>
      <c r="AR18" s="114"/>
      <c r="AS18" s="308"/>
      <c r="AU18" s="86"/>
      <c r="AV18" s="284" t="n">
        <v>0</v>
      </c>
      <c r="AW18" s="225" t="n">
        <v>58</v>
      </c>
      <c r="AX18" s="225" t="n">
        <v>28</v>
      </c>
      <c r="AY18" s="264"/>
      <c r="AZ18" s="263" t="n">
        <f aca="false">SUM(N18,P18:U18)</f>
        <v>3.49</v>
      </c>
      <c r="BA18" s="193" t="n">
        <v>0</v>
      </c>
      <c r="BB18" s="264" t="n">
        <v>16273</v>
      </c>
    </row>
    <row r="19" customFormat="false" ht="12.95" hidden="false" customHeight="true" outlineLevel="0" collapsed="false">
      <c r="A19" s="317" t="n">
        <f aca="false">A18+1</f>
        <v>5</v>
      </c>
      <c r="B19" s="318" t="n">
        <v>6868.54</v>
      </c>
      <c r="C19" s="114" t="n">
        <v>183958</v>
      </c>
      <c r="D19" s="225" t="n">
        <f aca="false">C19-C18</f>
        <v>130</v>
      </c>
      <c r="E19" s="114" t="n">
        <f aca="false">C19-152000</f>
        <v>31958</v>
      </c>
      <c r="F19" s="259" t="n">
        <f aca="false">D19/$D$2</f>
        <v>65.5407108646332</v>
      </c>
      <c r="G19" s="143" t="n">
        <v>63</v>
      </c>
      <c r="H19" s="307" t="n">
        <v>0</v>
      </c>
      <c r="I19" s="143" t="n">
        <f aca="false">G19+H19</f>
        <v>63</v>
      </c>
      <c r="J19" s="144" t="n">
        <f aca="false">IF(L19&gt;0,L19,0)</f>
        <v>31.5907108646332</v>
      </c>
      <c r="K19" s="143" t="n">
        <f aca="false">I19+J19</f>
        <v>94.5907108646332</v>
      </c>
      <c r="L19" s="143" t="n">
        <f aca="false">F19-(I19-AK19)</f>
        <v>31.5907108646332</v>
      </c>
      <c r="M19" s="261" t="n">
        <v>3.55</v>
      </c>
      <c r="N19" s="143" t="n">
        <v>0</v>
      </c>
      <c r="O19" s="143" t="n">
        <f aca="false">0*1.05</f>
        <v>0</v>
      </c>
      <c r="P19" s="171" t="n">
        <v>0</v>
      </c>
      <c r="Q19" s="282" t="n">
        <f aca="false">984700/325851/1.9835*1.02</f>
        <v>1.5540065562805</v>
      </c>
      <c r="R19" s="139" t="n">
        <f aca="false">(1.9*1.04)-T19</f>
        <v>1.51475584</v>
      </c>
      <c r="S19" s="89" t="n">
        <v>0</v>
      </c>
      <c r="T19" s="139" t="n">
        <f aca="false">(0.4184*1.06)*1.04</f>
        <v>0.46124416</v>
      </c>
      <c r="U19" s="102" t="n">
        <f aca="false">M19-(Q19+R19+S19+T19)</f>
        <v>0.0199934437195002</v>
      </c>
      <c r="V19" s="143" t="n">
        <v>0</v>
      </c>
      <c r="W19" s="143" t="n">
        <v>0</v>
      </c>
      <c r="X19" s="143" t="n">
        <f aca="false">M19-N19-O19-P19-Q19-R19-S19-T19-U19+V19+W19</f>
        <v>1.11022302462516E-016</v>
      </c>
      <c r="Y19" s="143" t="n">
        <f aca="false">X19-AO19</f>
        <v>1.11022302462516E-016</v>
      </c>
      <c r="Z19" s="143"/>
      <c r="AA19" s="143" t="n">
        <f aca="false">Q19+R19</f>
        <v>3.0687623962805</v>
      </c>
      <c r="AB19" s="114"/>
      <c r="AC19" s="144"/>
      <c r="AD19" s="114"/>
      <c r="AE19" s="143" t="n">
        <v>0</v>
      </c>
      <c r="AF19" s="261"/>
      <c r="AG19" s="262"/>
      <c r="AH19" s="143" t="n">
        <v>25.5</v>
      </c>
      <c r="AI19" s="114" t="n">
        <f aca="false">AI18-AH19</f>
        <v>1620.04923115706</v>
      </c>
      <c r="AJ19" s="229"/>
      <c r="AK19" s="142" t="n">
        <f aca="false">N19+O19+P19+Q19+R19+S19+T19+U19+X19+AE19+AH19</f>
        <v>29.05</v>
      </c>
      <c r="AL19" s="143" t="n">
        <f aca="false">IF(L19&lt;0,L19*-1,0)</f>
        <v>0</v>
      </c>
      <c r="AM19" s="143" t="n">
        <f aca="false">AK19+AL19</f>
        <v>29.05</v>
      </c>
      <c r="AN19" s="147" t="n">
        <f aca="false">V19</f>
        <v>0</v>
      </c>
      <c r="AO19" s="225"/>
      <c r="AP19" s="231"/>
      <c r="AQ19" s="114"/>
      <c r="AR19" s="114"/>
      <c r="AS19" s="308"/>
      <c r="AU19" s="86"/>
      <c r="AV19" s="284" t="n">
        <v>0</v>
      </c>
      <c r="AW19" s="225" t="n">
        <v>61</v>
      </c>
      <c r="AX19" s="225" t="n">
        <v>29</v>
      </c>
      <c r="AY19" s="264"/>
      <c r="AZ19" s="263" t="n">
        <f aca="false">SUM(N19,P19:U19)</f>
        <v>3.55</v>
      </c>
      <c r="BA19" s="193" t="n">
        <v>0</v>
      </c>
      <c r="BB19" s="264" t="n">
        <v>16256</v>
      </c>
    </row>
    <row r="20" customFormat="false" ht="12.95" hidden="false" customHeight="true" outlineLevel="0" collapsed="false">
      <c r="A20" s="192" t="n">
        <f aca="false">A19+1</f>
        <v>6</v>
      </c>
      <c r="B20" s="113" t="n">
        <v>6868.56</v>
      </c>
      <c r="C20" s="114" t="n">
        <v>184011</v>
      </c>
      <c r="D20" s="225" t="n">
        <f aca="false">C20-C19</f>
        <v>53</v>
      </c>
      <c r="E20" s="114" t="n">
        <f aca="false">C20-152000</f>
        <v>32011</v>
      </c>
      <c r="F20" s="259" t="n">
        <f aca="false">D20/$D$2</f>
        <v>26.7204436601966</v>
      </c>
      <c r="G20" s="143" t="n">
        <v>64</v>
      </c>
      <c r="H20" s="307" t="n">
        <v>0</v>
      </c>
      <c r="I20" s="143" t="n">
        <f aca="false">G20+H20</f>
        <v>64</v>
      </c>
      <c r="J20" s="144" t="n">
        <f aca="false">IF(L20&gt;0,L20,0)</f>
        <v>0</v>
      </c>
      <c r="K20" s="143" t="n">
        <f aca="false">I20+J20</f>
        <v>64</v>
      </c>
      <c r="L20" s="143" t="n">
        <f aca="false">F20-(I20-AK20)</f>
        <v>-8.22955633980338</v>
      </c>
      <c r="M20" s="261" t="n">
        <v>3.55</v>
      </c>
      <c r="N20" s="143" t="n">
        <v>0</v>
      </c>
      <c r="O20" s="143" t="n">
        <f aca="false">0*1.05</f>
        <v>0</v>
      </c>
      <c r="P20" s="171" t="n">
        <v>0</v>
      </c>
      <c r="Q20" s="282" t="n">
        <f aca="false">856100/325851/1.9835*1.02</f>
        <v>1.35105617226743</v>
      </c>
      <c r="R20" s="139" t="n">
        <f aca="false">(2.1*1.04)-T20</f>
        <v>1.64525712</v>
      </c>
      <c r="S20" s="89" t="n">
        <v>0</v>
      </c>
      <c r="T20" s="139" t="n">
        <f aca="false">(0.4887*1.06)*1.04</f>
        <v>0.53874288</v>
      </c>
      <c r="U20" s="102" t="n">
        <f aca="false">M20-(Q20+R20+S20+T20)</f>
        <v>0.014943827732572</v>
      </c>
      <c r="V20" s="143" t="n">
        <v>0</v>
      </c>
      <c r="W20" s="143" t="n">
        <v>0</v>
      </c>
      <c r="X20" s="143" t="n">
        <f aca="false">M20-N20-O20-P20-Q20-R20-S20-T20-U20+V20+W20</f>
        <v>-1.11022302462516E-016</v>
      </c>
      <c r="Y20" s="143" t="n">
        <f aca="false">X20-AO20</f>
        <v>-1.11022302462516E-016</v>
      </c>
      <c r="Z20" s="143"/>
      <c r="AA20" s="143" t="n">
        <f aca="false">Q20+R20</f>
        <v>2.99631329226743</v>
      </c>
      <c r="AB20" s="114"/>
      <c r="AC20" s="144"/>
      <c r="AD20" s="114"/>
      <c r="AE20" s="143" t="n">
        <v>0</v>
      </c>
      <c r="AF20" s="261"/>
      <c r="AG20" s="262"/>
      <c r="AH20" s="143" t="n">
        <v>25.5</v>
      </c>
      <c r="AI20" s="114" t="n">
        <f aca="false">AI19-AH20</f>
        <v>1594.54923115706</v>
      </c>
      <c r="AJ20" s="229"/>
      <c r="AK20" s="142" t="n">
        <f aca="false">N20+O20+P20+Q20+R20+S20+T20+U20+X20+AE20+AH20</f>
        <v>29.05</v>
      </c>
      <c r="AL20" s="143" t="n">
        <f aca="false">IF(L20&lt;0,L20*-1,0)</f>
        <v>8.22955633980338</v>
      </c>
      <c r="AM20" s="143" t="n">
        <f aca="false">AK20+AL20</f>
        <v>37.2795563398034</v>
      </c>
      <c r="AN20" s="147" t="n">
        <f aca="false">V20</f>
        <v>0</v>
      </c>
      <c r="AO20" s="225"/>
      <c r="AP20" s="143"/>
      <c r="AQ20" s="114"/>
      <c r="AR20" s="114"/>
      <c r="AS20" s="308"/>
      <c r="AU20" s="86"/>
      <c r="AV20" s="284" t="n">
        <v>0</v>
      </c>
      <c r="AW20" s="225" t="n">
        <v>65</v>
      </c>
      <c r="AX20" s="225" t="n">
        <v>29</v>
      </c>
      <c r="AY20" s="264"/>
      <c r="AZ20" s="263" t="n">
        <f aca="false">SUM(N20,P20:U20)</f>
        <v>3.55</v>
      </c>
      <c r="BA20" s="193" t="n">
        <v>0</v>
      </c>
      <c r="BB20" s="264" t="n">
        <v>16268</v>
      </c>
    </row>
    <row r="21" customFormat="false" ht="12.95" hidden="false" customHeight="true" outlineLevel="0" collapsed="false">
      <c r="A21" s="192" t="n">
        <f aca="false">A20+1</f>
        <v>7</v>
      </c>
      <c r="B21" s="113" t="n">
        <v>6868.59</v>
      </c>
      <c r="C21" s="114" t="n">
        <v>184089</v>
      </c>
      <c r="D21" s="225" t="n">
        <f aca="false">C21-C20</f>
        <v>78</v>
      </c>
      <c r="E21" s="114" t="n">
        <f aca="false">C21-152000</f>
        <v>32089</v>
      </c>
      <c r="F21" s="259" t="n">
        <f aca="false">D21/$D$2</f>
        <v>39.3244265187799</v>
      </c>
      <c r="G21" s="143" t="n">
        <v>66</v>
      </c>
      <c r="H21" s="307" t="n">
        <v>0</v>
      </c>
      <c r="I21" s="143" t="n">
        <f aca="false">G21+H21</f>
        <v>66</v>
      </c>
      <c r="J21" s="144" t="n">
        <f aca="false">IF(L21&gt;0,L21,0)</f>
        <v>2.37442651877993</v>
      </c>
      <c r="K21" s="143" t="n">
        <f aca="false">I21+J21</f>
        <v>68.3744265187799</v>
      </c>
      <c r="L21" s="143" t="n">
        <f aca="false">F21-(I21-AK21)</f>
        <v>2.37442651877993</v>
      </c>
      <c r="M21" s="261" t="n">
        <v>3.55</v>
      </c>
      <c r="N21" s="143" t="n">
        <v>0</v>
      </c>
      <c r="O21" s="143" t="n">
        <f aca="false">0*1.05</f>
        <v>0</v>
      </c>
      <c r="P21" s="171" t="n">
        <v>0</v>
      </c>
      <c r="Q21" s="282" t="n">
        <f aca="false">870900/325851/1.9835*1.02</f>
        <v>1.37441282610408</v>
      </c>
      <c r="R21" s="139" t="n">
        <f aca="false">(2.2*1.04)-T21</f>
        <v>1.74925712</v>
      </c>
      <c r="S21" s="89" t="n">
        <v>0</v>
      </c>
      <c r="T21" s="139" t="n">
        <f aca="false">(0.4887*1.06)*1.04</f>
        <v>0.53874288</v>
      </c>
      <c r="U21" s="102" t="n">
        <f aca="false">M21-(Q21+R21+S21+T21)</f>
        <v>-0.11241282610408</v>
      </c>
      <c r="V21" s="143" t="n">
        <v>0</v>
      </c>
      <c r="W21" s="143" t="n">
        <v>0</v>
      </c>
      <c r="X21" s="143" t="n">
        <f aca="false">M21-N21-O21-P21-Q21-R21-S21-T21-U21+V21+W21</f>
        <v>0</v>
      </c>
      <c r="Y21" s="143" t="n">
        <f aca="false">X21-AO21</f>
        <v>0</v>
      </c>
      <c r="Z21" s="143"/>
      <c r="AA21" s="143" t="n">
        <f aca="false">Q21+R21</f>
        <v>3.12366994610408</v>
      </c>
      <c r="AB21" s="114"/>
      <c r="AC21" s="144"/>
      <c r="AD21" s="114"/>
      <c r="AE21" s="143" t="n">
        <v>0</v>
      </c>
      <c r="AF21" s="261"/>
      <c r="AG21" s="262"/>
      <c r="AH21" s="143" t="n">
        <v>25.5</v>
      </c>
      <c r="AI21" s="114" t="n">
        <f aca="false">AI20-AH21</f>
        <v>1569.04923115706</v>
      </c>
      <c r="AJ21" s="229"/>
      <c r="AK21" s="142" t="n">
        <f aca="false">N21+O21+P21+Q21+R21+S21+T21+U21+X21+AE21+AH21</f>
        <v>29.05</v>
      </c>
      <c r="AL21" s="143" t="n">
        <f aca="false">IF(L21&lt;0,L21*-1,0)</f>
        <v>0</v>
      </c>
      <c r="AM21" s="143" t="n">
        <f aca="false">AK21+AL21</f>
        <v>29.05</v>
      </c>
      <c r="AN21" s="147" t="n">
        <f aca="false">V21</f>
        <v>0</v>
      </c>
      <c r="AO21" s="225"/>
      <c r="AP21" s="143"/>
      <c r="AQ21" s="114"/>
      <c r="AR21" s="114"/>
      <c r="AS21" s="308"/>
      <c r="AU21" s="86"/>
      <c r="AV21" s="284" t="n">
        <v>0</v>
      </c>
      <c r="AW21" s="225" t="n">
        <v>61</v>
      </c>
      <c r="AX21" s="225" t="n">
        <v>29</v>
      </c>
      <c r="AY21" s="264"/>
      <c r="AZ21" s="263" t="n">
        <f aca="false">SUM(N21,P21:U21)</f>
        <v>3.55</v>
      </c>
      <c r="BA21" s="193" t="n">
        <v>0</v>
      </c>
      <c r="BB21" s="264" t="n">
        <v>16401</v>
      </c>
    </row>
    <row r="22" customFormat="false" ht="12.95" hidden="false" customHeight="true" outlineLevel="0" collapsed="false">
      <c r="A22" s="192" t="n">
        <f aca="false">A21+1</f>
        <v>8</v>
      </c>
      <c r="B22" s="113" t="n">
        <v>6868.62</v>
      </c>
      <c r="C22" s="114" t="n">
        <v>184167</v>
      </c>
      <c r="D22" s="225" t="n">
        <f aca="false">C22-C21</f>
        <v>78</v>
      </c>
      <c r="E22" s="114" t="n">
        <f aca="false">C22-152000</f>
        <v>32167</v>
      </c>
      <c r="F22" s="259" t="n">
        <f aca="false">D22/$D$2</f>
        <v>39.3244265187799</v>
      </c>
      <c r="G22" s="143" t="n">
        <v>68</v>
      </c>
      <c r="H22" s="307" t="n">
        <v>0</v>
      </c>
      <c r="I22" s="143" t="n">
        <f aca="false">G22+H22</f>
        <v>68</v>
      </c>
      <c r="J22" s="144" t="n">
        <f aca="false">IF(L22&gt;0,L22,0)</f>
        <v>0.374426518779934</v>
      </c>
      <c r="K22" s="143" t="n">
        <f aca="false">I22+J22</f>
        <v>68.3744265187799</v>
      </c>
      <c r="L22" s="143" t="n">
        <f aca="false">F22-(I22-AK22)</f>
        <v>0.374426518779934</v>
      </c>
      <c r="M22" s="261" t="n">
        <v>3.55</v>
      </c>
      <c r="N22" s="143" t="n">
        <v>0</v>
      </c>
      <c r="O22" s="143" t="n">
        <f aca="false">0*1.05</f>
        <v>0</v>
      </c>
      <c r="P22" s="171" t="n">
        <v>0</v>
      </c>
      <c r="Q22" s="282" t="n">
        <f aca="false">1226200/325851/1.9835*1.02</f>
        <v>1.93513033341236</v>
      </c>
      <c r="R22" s="139" t="n">
        <f aca="false">(2.2*1.04)-T22</f>
        <v>1.74925712</v>
      </c>
      <c r="S22" s="89" t="n">
        <v>0</v>
      </c>
      <c r="T22" s="139" t="n">
        <f aca="false">(0.4887*1.06)*1.04</f>
        <v>0.53874288</v>
      </c>
      <c r="U22" s="102" t="n">
        <f aca="false">M22-(Q22+R22+S22+T22)</f>
        <v>-0.673130333412359</v>
      </c>
      <c r="V22" s="143" t="n">
        <v>0</v>
      </c>
      <c r="W22" s="143" t="n">
        <v>0</v>
      </c>
      <c r="X22" s="143" t="n">
        <f aca="false">M22-N22-O22-P22-Q22-R22-S22-T22-U22+V22+W22</f>
        <v>0</v>
      </c>
      <c r="Y22" s="143" t="n">
        <f aca="false">X22-AO22</f>
        <v>0</v>
      </c>
      <c r="Z22" s="143"/>
      <c r="AA22" s="143" t="n">
        <f aca="false">Q22+R22</f>
        <v>3.68438745341236</v>
      </c>
      <c r="AB22" s="114"/>
      <c r="AC22" s="144"/>
      <c r="AD22" s="114"/>
      <c r="AE22" s="143" t="n">
        <v>0</v>
      </c>
      <c r="AF22" s="261"/>
      <c r="AG22" s="262"/>
      <c r="AH22" s="143" t="n">
        <v>25.5</v>
      </c>
      <c r="AI22" s="114" t="n">
        <f aca="false">AI21-AH22</f>
        <v>1543.54923115706</v>
      </c>
      <c r="AJ22" s="229"/>
      <c r="AK22" s="142" t="n">
        <f aca="false">N22+O22+P22+Q22+R22+S22+T22+U22+X22+AE22+AH22</f>
        <v>29.05</v>
      </c>
      <c r="AL22" s="143" t="n">
        <f aca="false">IF(L22&lt;0,L22*-1,0)</f>
        <v>0</v>
      </c>
      <c r="AM22" s="143" t="n">
        <f aca="false">AK22+AL22</f>
        <v>29.05</v>
      </c>
      <c r="AN22" s="147" t="n">
        <f aca="false">V22</f>
        <v>0</v>
      </c>
      <c r="AO22" s="225"/>
      <c r="AP22" s="143"/>
      <c r="AQ22" s="114"/>
      <c r="AR22" s="114"/>
      <c r="AS22" s="308"/>
      <c r="AU22" s="86"/>
      <c r="AV22" s="284" t="n">
        <v>0</v>
      </c>
      <c r="AW22" s="225" t="n">
        <v>64</v>
      </c>
      <c r="AX22" s="225" t="n">
        <v>29</v>
      </c>
      <c r="AY22" s="264"/>
      <c r="AZ22" s="263" t="n">
        <f aca="false">SUM(N22,P22:U22)</f>
        <v>3.55</v>
      </c>
      <c r="BA22" s="193" t="n">
        <v>0</v>
      </c>
      <c r="BB22" s="264" t="n">
        <v>16359</v>
      </c>
    </row>
    <row r="23" customFormat="false" ht="12.95" hidden="false" customHeight="true" outlineLevel="0" collapsed="false">
      <c r="A23" s="192" t="n">
        <f aca="false">A22+1</f>
        <v>9</v>
      </c>
      <c r="B23" s="113" t="n">
        <v>6868.66</v>
      </c>
      <c r="C23" s="114" t="n">
        <v>184271</v>
      </c>
      <c r="D23" s="225" t="n">
        <f aca="false">C23-C22</f>
        <v>104</v>
      </c>
      <c r="E23" s="114" t="n">
        <f aca="false">C23-152000</f>
        <v>32271</v>
      </c>
      <c r="F23" s="259" t="n">
        <f aca="false">D23/$D$2</f>
        <v>52.4325686917066</v>
      </c>
      <c r="G23" s="143" t="n">
        <v>67</v>
      </c>
      <c r="H23" s="307" t="n">
        <v>0</v>
      </c>
      <c r="I23" s="143" t="n">
        <f aca="false">G23+H23</f>
        <v>67</v>
      </c>
      <c r="J23" s="144" t="n">
        <f aca="false">IF(L23&gt;0,L23,0)</f>
        <v>15.0125686917066</v>
      </c>
      <c r="K23" s="143" t="n">
        <f aca="false">I23+J23</f>
        <v>82.0125686917066</v>
      </c>
      <c r="L23" s="143" t="n">
        <f aca="false">F23-(I23-AK23)</f>
        <v>15.0125686917066</v>
      </c>
      <c r="M23" s="261" t="n">
        <v>4.08</v>
      </c>
      <c r="N23" s="143" t="n">
        <v>0</v>
      </c>
      <c r="O23" s="143" t="n">
        <f aca="false">0*1.05</f>
        <v>0</v>
      </c>
      <c r="P23" s="171" t="n">
        <v>0</v>
      </c>
      <c r="Q23" s="282" t="n">
        <f aca="false">1247800/325851/1.9835*1.02</f>
        <v>1.96921842279558</v>
      </c>
      <c r="R23" s="139" t="n">
        <f aca="false">(2.1*1.04)-T23</f>
        <v>1.64525712</v>
      </c>
      <c r="S23" s="89" t="n">
        <v>0</v>
      </c>
      <c r="T23" s="139" t="n">
        <f aca="false">(0.4887*1.06)*1.04</f>
        <v>0.53874288</v>
      </c>
      <c r="U23" s="102" t="n">
        <f aca="false">M23-(Q23+R23+S23+T23)</f>
        <v>-0.0732184227955806</v>
      </c>
      <c r="V23" s="143" t="n">
        <v>0</v>
      </c>
      <c r="W23" s="143" t="n">
        <v>0</v>
      </c>
      <c r="X23" s="143" t="n">
        <f aca="false">M23-N23-O23-P23-Q23-R23-S23-T23-U23+V23+W23</f>
        <v>3.33066907387547E-016</v>
      </c>
      <c r="Y23" s="143" t="n">
        <f aca="false">X23-AO23</f>
        <v>3.33066907387547E-016</v>
      </c>
      <c r="Z23" s="143"/>
      <c r="AA23" s="143" t="n">
        <f aca="false">Q23+R23</f>
        <v>3.61447554279558</v>
      </c>
      <c r="AB23" s="114"/>
      <c r="AC23" s="144"/>
      <c r="AD23" s="114"/>
      <c r="AE23" s="143" t="n">
        <v>0</v>
      </c>
      <c r="AF23" s="261"/>
      <c r="AG23" s="262"/>
      <c r="AH23" s="143" t="n">
        <v>25.5</v>
      </c>
      <c r="AI23" s="114" t="n">
        <f aca="false">AI22-AH23</f>
        <v>1518.04923115706</v>
      </c>
      <c r="AJ23" s="229"/>
      <c r="AK23" s="142" t="n">
        <f aca="false">N23+O23+P23+Q23+R23+S23+T23+U23+X23+AE23+AH23</f>
        <v>29.58</v>
      </c>
      <c r="AL23" s="143" t="n">
        <f aca="false">IF(L23&lt;0,L23*-1,0)</f>
        <v>0</v>
      </c>
      <c r="AM23" s="143" t="n">
        <f aca="false">AK23+AL23</f>
        <v>29.58</v>
      </c>
      <c r="AN23" s="147" t="n">
        <f aca="false">V23</f>
        <v>0</v>
      </c>
      <c r="AO23" s="225"/>
      <c r="AP23" s="143"/>
      <c r="AQ23" s="114"/>
      <c r="AR23" s="114"/>
      <c r="AS23" s="308"/>
      <c r="AU23" s="86"/>
      <c r="AV23" s="284" t="n">
        <v>0</v>
      </c>
      <c r="AW23" s="231" t="n">
        <v>63</v>
      </c>
      <c r="AX23" s="225" t="n">
        <v>32</v>
      </c>
      <c r="AY23" s="264"/>
      <c r="AZ23" s="263" t="n">
        <f aca="false">SUM(N23,P23:U23)</f>
        <v>4.08</v>
      </c>
      <c r="BA23" s="193" t="n">
        <v>0</v>
      </c>
      <c r="BB23" s="264" t="n">
        <v>16074</v>
      </c>
    </row>
    <row r="24" customFormat="false" ht="12.95" hidden="false" customHeight="true" outlineLevel="0" collapsed="false">
      <c r="A24" s="192" t="n">
        <f aca="false">A23+1</f>
        <v>10</v>
      </c>
      <c r="B24" s="113" t="n">
        <v>6868.7</v>
      </c>
      <c r="C24" s="114" t="n">
        <v>184376</v>
      </c>
      <c r="D24" s="225" t="n">
        <f aca="false">C24-C23</f>
        <v>105</v>
      </c>
      <c r="E24" s="114" t="n">
        <f aca="false">C24-152000</f>
        <v>32376</v>
      </c>
      <c r="F24" s="259" t="n">
        <f aca="false">D24/$D$2</f>
        <v>52.9367280060499</v>
      </c>
      <c r="G24" s="143" t="n">
        <v>67</v>
      </c>
      <c r="H24" s="307" t="n">
        <v>0</v>
      </c>
      <c r="I24" s="143" t="n">
        <f aca="false">G24+H24</f>
        <v>67</v>
      </c>
      <c r="J24" s="144" t="n">
        <f aca="false">IF(L24&gt;0,L24,0)</f>
        <v>15.4167280060499</v>
      </c>
      <c r="K24" s="143" t="n">
        <f aca="false">I24+J24</f>
        <v>82.4167280060499</v>
      </c>
      <c r="L24" s="143" t="n">
        <f aca="false">F24-(I24-AK24)</f>
        <v>15.4167280060499</v>
      </c>
      <c r="M24" s="261" t="n">
        <v>3.98</v>
      </c>
      <c r="N24" s="143" t="n">
        <v>0</v>
      </c>
      <c r="O24" s="143" t="n">
        <f aca="false">0*1.05</f>
        <v>0</v>
      </c>
      <c r="P24" s="171" t="n">
        <v>0</v>
      </c>
      <c r="Q24" s="282" t="n">
        <f aca="false">803500/325851/1.9835*1.02</f>
        <v>1.26804536201014</v>
      </c>
      <c r="R24" s="139" t="n">
        <f aca="false">(2.1*1.04)-T24</f>
        <v>1.64525712</v>
      </c>
      <c r="S24" s="89" t="n">
        <v>0</v>
      </c>
      <c r="T24" s="139" t="n">
        <f aca="false">(0.4887*1.06)*1.04</f>
        <v>0.53874288</v>
      </c>
      <c r="U24" s="102" t="n">
        <f aca="false">M24-(Q24+R24+S24+T24)</f>
        <v>0.527954637989863</v>
      </c>
      <c r="V24" s="143" t="n">
        <v>0</v>
      </c>
      <c r="W24" s="143" t="n">
        <v>0</v>
      </c>
      <c r="X24" s="143" t="n">
        <f aca="false">M24-N24-O24-P24-Q24-R24-S24-T24-U24+V24+W24</f>
        <v>0</v>
      </c>
      <c r="Y24" s="143" t="n">
        <f aca="false">X24-AO24</f>
        <v>0</v>
      </c>
      <c r="Z24" s="143"/>
      <c r="AA24" s="143" t="n">
        <f aca="false">Q24+R24</f>
        <v>2.91330248201014</v>
      </c>
      <c r="AB24" s="114"/>
      <c r="AC24" s="144"/>
      <c r="AD24" s="114"/>
      <c r="AE24" s="143" t="n">
        <v>0</v>
      </c>
      <c r="AF24" s="261"/>
      <c r="AG24" s="262"/>
      <c r="AH24" s="143" t="n">
        <v>25.5</v>
      </c>
      <c r="AI24" s="114" t="n">
        <f aca="false">AI23-AH24</f>
        <v>1492.54923115706</v>
      </c>
      <c r="AJ24" s="229"/>
      <c r="AK24" s="142" t="n">
        <f aca="false">N24+O24+P24+Q24+R24+S24+T24+U24+X24+AE24+AH24</f>
        <v>29.48</v>
      </c>
      <c r="AL24" s="143" t="n">
        <f aca="false">IF(L24&lt;0,L24*-1,0)</f>
        <v>0</v>
      </c>
      <c r="AM24" s="143" t="n">
        <f aca="false">AK24+AL24</f>
        <v>29.48</v>
      </c>
      <c r="AN24" s="147" t="n">
        <f aca="false">V24</f>
        <v>0</v>
      </c>
      <c r="AO24" s="225"/>
      <c r="AP24" s="143"/>
      <c r="AQ24" s="114"/>
      <c r="AR24" s="114"/>
      <c r="AS24" s="308"/>
      <c r="AU24" s="86"/>
      <c r="AV24" s="284" t="n">
        <v>0</v>
      </c>
      <c r="AW24" s="225" t="n">
        <v>60</v>
      </c>
      <c r="AX24" s="225" t="n">
        <v>29</v>
      </c>
      <c r="AY24" s="264"/>
      <c r="AZ24" s="263" t="n">
        <f aca="false">SUM(N24,P24:U24)</f>
        <v>3.98</v>
      </c>
      <c r="BA24" s="193" t="n">
        <v>0</v>
      </c>
      <c r="BB24" s="264" t="n">
        <v>16103</v>
      </c>
    </row>
    <row r="25" customFormat="false" ht="12.95" hidden="false" customHeight="true" outlineLevel="0" collapsed="false">
      <c r="A25" s="192" t="n">
        <f aca="false">A24+1</f>
        <v>11</v>
      </c>
      <c r="B25" s="113" t="n">
        <v>6868.75</v>
      </c>
      <c r="C25" s="114" t="n">
        <v>184506</v>
      </c>
      <c r="D25" s="225" t="n">
        <f aca="false">C25-C24</f>
        <v>130</v>
      </c>
      <c r="E25" s="114" t="n">
        <f aca="false">C25-152000</f>
        <v>32506</v>
      </c>
      <c r="F25" s="259" t="n">
        <f aca="false">D25/$D$2</f>
        <v>65.5407108646332</v>
      </c>
      <c r="G25" s="143" t="n">
        <v>67</v>
      </c>
      <c r="H25" s="307" t="n">
        <v>0</v>
      </c>
      <c r="I25" s="143" t="n">
        <f aca="false">G25+H25</f>
        <v>67</v>
      </c>
      <c r="J25" s="144" t="n">
        <f aca="false">IF(L25&gt;0,L25,0)</f>
        <v>27.2607108646332</v>
      </c>
      <c r="K25" s="143" t="n">
        <f aca="false">I25+J25</f>
        <v>94.2607108646332</v>
      </c>
      <c r="L25" s="143" t="n">
        <f aca="false">F25-(I25-AK25)</f>
        <v>27.2607108646332</v>
      </c>
      <c r="M25" s="261" t="n">
        <v>3.22</v>
      </c>
      <c r="N25" s="143" t="n">
        <v>0</v>
      </c>
      <c r="O25" s="143" t="n">
        <f aca="false">0*1.05</f>
        <v>0</v>
      </c>
      <c r="P25" s="171" t="n">
        <v>0</v>
      </c>
      <c r="Q25" s="282" t="n">
        <f aca="false">1070700/325851/1.9835*1.02</f>
        <v>1.68972765289888</v>
      </c>
      <c r="R25" s="139" t="n">
        <f aca="false">(2.1*1.04)-T25</f>
        <v>1.64525712</v>
      </c>
      <c r="S25" s="89" t="n">
        <v>0</v>
      </c>
      <c r="T25" s="139" t="n">
        <f aca="false">(0.4887*1.06)*1.04</f>
        <v>0.53874288</v>
      </c>
      <c r="U25" s="102" t="n">
        <f aca="false">M25-(Q25+R25+S25+T25)</f>
        <v>-0.653727652898884</v>
      </c>
      <c r="V25" s="143" t="n">
        <v>0</v>
      </c>
      <c r="W25" s="143" t="n">
        <v>0</v>
      </c>
      <c r="X25" s="143" t="n">
        <f aca="false">M25-N25-O25-P25-Q25-R25-S25-T25-U25+V25+W25</f>
        <v>0</v>
      </c>
      <c r="Y25" s="143" t="n">
        <f aca="false">X25-AO25</f>
        <v>0</v>
      </c>
      <c r="Z25" s="143"/>
      <c r="AA25" s="143" t="n">
        <f aca="false">Q25+R25</f>
        <v>3.33498477289888</v>
      </c>
      <c r="AB25" s="114"/>
      <c r="AC25" s="144"/>
      <c r="AD25" s="114"/>
      <c r="AE25" s="143" t="n">
        <v>0</v>
      </c>
      <c r="AF25" s="261"/>
      <c r="AG25" s="262"/>
      <c r="AH25" s="143" t="n">
        <v>25.5</v>
      </c>
      <c r="AI25" s="114" t="n">
        <f aca="false">AI24-AH25</f>
        <v>1467.04923115706</v>
      </c>
      <c r="AJ25" s="229"/>
      <c r="AK25" s="142" t="n">
        <f aca="false">N25+O25+P25+Q25+R25+S25+T25+U25+X25+AE25+AH25</f>
        <v>28.72</v>
      </c>
      <c r="AL25" s="143" t="n">
        <f aca="false">IF(L25&lt;0,L25*-1,0)</f>
        <v>0</v>
      </c>
      <c r="AM25" s="143" t="n">
        <f aca="false">AK25+AL25</f>
        <v>28.72</v>
      </c>
      <c r="AN25" s="147" t="n">
        <f aca="false">V25</f>
        <v>0</v>
      </c>
      <c r="AO25" s="225"/>
      <c r="AP25" s="143"/>
      <c r="AQ25" s="114"/>
      <c r="AR25" s="114"/>
      <c r="AS25" s="308"/>
      <c r="AU25" s="86"/>
      <c r="AV25" s="284" t="n">
        <v>0</v>
      </c>
      <c r="AW25" s="225" t="n">
        <v>53</v>
      </c>
      <c r="AX25" s="225" t="n">
        <v>28</v>
      </c>
      <c r="AY25" s="264"/>
      <c r="AZ25" s="263" t="n">
        <f aca="false">SUM(N25,P25:U25)</f>
        <v>3.22</v>
      </c>
      <c r="BA25" s="193" t="n">
        <v>0</v>
      </c>
      <c r="BB25" s="264" t="n">
        <v>16226</v>
      </c>
    </row>
    <row r="26" customFormat="false" ht="12.95" hidden="false" customHeight="true" outlineLevel="0" collapsed="false">
      <c r="A26" s="192" t="n">
        <f aca="false">A25+1</f>
        <v>12</v>
      </c>
      <c r="B26" s="113" t="n">
        <v>6868.79</v>
      </c>
      <c r="C26" s="114" t="n">
        <v>184610</v>
      </c>
      <c r="D26" s="225" t="n">
        <f aca="false">C26-C25</f>
        <v>104</v>
      </c>
      <c r="E26" s="114" t="n">
        <f aca="false">C26-152000</f>
        <v>32610</v>
      </c>
      <c r="F26" s="259" t="n">
        <f aca="false">D26/$D$2</f>
        <v>52.4325686917066</v>
      </c>
      <c r="G26" s="143" t="n">
        <v>66</v>
      </c>
      <c r="H26" s="307" t="n">
        <v>0</v>
      </c>
      <c r="I26" s="143" t="n">
        <f aca="false">G26+H26</f>
        <v>66</v>
      </c>
      <c r="J26" s="144" t="n">
        <f aca="false">IF(L26&gt;0,L26,0)</f>
        <v>15.3825686917066</v>
      </c>
      <c r="K26" s="143" t="n">
        <f aca="false">I26+J26</f>
        <v>81.3825686917066</v>
      </c>
      <c r="L26" s="143" t="n">
        <f aca="false">F26-(I26-AK26)</f>
        <v>15.3825686917066</v>
      </c>
      <c r="M26" s="261" t="n">
        <v>3.45</v>
      </c>
      <c r="N26" s="143" t="n">
        <v>0</v>
      </c>
      <c r="O26" s="143" t="n">
        <f aca="false">0*1.05</f>
        <v>0</v>
      </c>
      <c r="P26" s="171" t="n">
        <v>0</v>
      </c>
      <c r="Q26" s="282" t="n">
        <f aca="false">991200/325851/1.9835*1.02</f>
        <v>1.56426454614119</v>
      </c>
      <c r="R26" s="139" t="n">
        <f aca="false">(2.2*1.04)-T26</f>
        <v>1.74925712</v>
      </c>
      <c r="S26" s="89" t="n">
        <v>0</v>
      </c>
      <c r="T26" s="139" t="n">
        <f aca="false">(0.4887*1.06)*1.04</f>
        <v>0.53874288</v>
      </c>
      <c r="U26" s="102" t="n">
        <f aca="false">M26-(Q26+R26+S26+T26)</f>
        <v>-0.402264546141192</v>
      </c>
      <c r="V26" s="143" t="n">
        <v>0</v>
      </c>
      <c r="W26" s="143" t="n">
        <v>0</v>
      </c>
      <c r="X26" s="143" t="n">
        <f aca="false">M26-N26-O26-P26-Q26-R26-S26-T26-U26+V26+W26</f>
        <v>0</v>
      </c>
      <c r="Y26" s="143" t="n">
        <f aca="false">X26-AO26</f>
        <v>0</v>
      </c>
      <c r="Z26" s="143"/>
      <c r="AA26" s="143" t="n">
        <f aca="false">Q26+R26</f>
        <v>3.31352166614119</v>
      </c>
      <c r="AB26" s="114"/>
      <c r="AC26" s="144"/>
      <c r="AD26" s="114"/>
      <c r="AE26" s="143" t="n">
        <v>0</v>
      </c>
      <c r="AF26" s="261"/>
      <c r="AG26" s="262"/>
      <c r="AH26" s="143" t="n">
        <v>25.5</v>
      </c>
      <c r="AI26" s="114" t="n">
        <f aca="false">AI25-AH26</f>
        <v>1441.54923115706</v>
      </c>
      <c r="AJ26" s="229"/>
      <c r="AK26" s="142" t="n">
        <f aca="false">N26+O26+P26+Q26+R26+S26+T26+U26+X26+AE26+AH26</f>
        <v>28.95</v>
      </c>
      <c r="AL26" s="143" t="n">
        <f aca="false">IF(L26&lt;0,L26*-1,0)</f>
        <v>0</v>
      </c>
      <c r="AM26" s="143" t="n">
        <f aca="false">AK26+AL26</f>
        <v>28.95</v>
      </c>
      <c r="AN26" s="147" t="n">
        <f aca="false">V26</f>
        <v>0</v>
      </c>
      <c r="AO26" s="225"/>
      <c r="AP26" s="143"/>
      <c r="AQ26" s="114"/>
      <c r="AR26" s="114"/>
      <c r="AS26" s="308"/>
      <c r="AU26" s="86"/>
      <c r="AV26" s="284" t="n">
        <v>0</v>
      </c>
      <c r="AW26" s="225" t="n">
        <v>59</v>
      </c>
      <c r="AX26" s="225" t="n">
        <v>24</v>
      </c>
      <c r="AY26" s="264"/>
      <c r="AZ26" s="263" t="n">
        <f aca="false">SUM(N26,P26:U26)</f>
        <v>3.45</v>
      </c>
      <c r="BA26" s="193" t="n">
        <v>0</v>
      </c>
      <c r="BB26" s="264" t="n">
        <v>16227</v>
      </c>
    </row>
    <row r="27" customFormat="false" ht="12.95" hidden="false" customHeight="true" outlineLevel="0" collapsed="false">
      <c r="A27" s="192" t="n">
        <f aca="false">A26+1</f>
        <v>13</v>
      </c>
      <c r="B27" s="113" t="n">
        <v>6868.82</v>
      </c>
      <c r="C27" s="114" t="n">
        <v>184689</v>
      </c>
      <c r="D27" s="225" t="n">
        <f aca="false">C27-C26</f>
        <v>79</v>
      </c>
      <c r="E27" s="114" t="n">
        <f aca="false">C27-152000</f>
        <v>32689</v>
      </c>
      <c r="F27" s="259" t="n">
        <f aca="false">D27/$D$2</f>
        <v>39.8285858331233</v>
      </c>
      <c r="G27" s="143" t="n">
        <v>68</v>
      </c>
      <c r="H27" s="307" t="n">
        <v>0</v>
      </c>
      <c r="I27" s="143" t="n">
        <f aca="false">G27+H27</f>
        <v>68</v>
      </c>
      <c r="J27" s="144" t="n">
        <f aca="false">IF(L27&gt;0,L27,0)</f>
        <v>0.87858583312326</v>
      </c>
      <c r="K27" s="143" t="n">
        <f aca="false">I27+J27</f>
        <v>68.8785858331233</v>
      </c>
      <c r="L27" s="143" t="n">
        <f aca="false">F27-(I27-AK27)</f>
        <v>0.87858583312326</v>
      </c>
      <c r="M27" s="261" t="n">
        <v>3.55</v>
      </c>
      <c r="N27" s="143" t="n">
        <v>0</v>
      </c>
      <c r="O27" s="143" t="n">
        <f aca="false">0*1.05</f>
        <v>0</v>
      </c>
      <c r="P27" s="171" t="n">
        <v>0</v>
      </c>
      <c r="Q27" s="282" t="n">
        <f aca="false">817200/325851/1.9835*1.02</f>
        <v>1.2896660483319</v>
      </c>
      <c r="R27" s="139" t="n">
        <f aca="false">(2.2*1.04)-T27</f>
        <v>1.78607728</v>
      </c>
      <c r="S27" s="89" t="n">
        <v>0</v>
      </c>
      <c r="T27" s="139" t="n">
        <f aca="false">(0.4553*1.06)*1.04</f>
        <v>0.50192272</v>
      </c>
      <c r="U27" s="102" t="n">
        <f aca="false">M27-(Q27+R27+S27+T27)</f>
        <v>-0.0276660483319029</v>
      </c>
      <c r="V27" s="143" t="n">
        <v>0</v>
      </c>
      <c r="W27" s="143" t="n">
        <v>0</v>
      </c>
      <c r="X27" s="143" t="n">
        <f aca="false">M27-N27-O27-P27-Q27-R27-S27-T27-U27+V27+W27</f>
        <v>0</v>
      </c>
      <c r="Y27" s="143" t="n">
        <f aca="false">X27-AO27</f>
        <v>0</v>
      </c>
      <c r="Z27" s="143"/>
      <c r="AA27" s="143" t="n">
        <f aca="false">Q27+R27</f>
        <v>3.0757433283319</v>
      </c>
      <c r="AB27" s="114"/>
      <c r="AC27" s="144"/>
      <c r="AD27" s="114"/>
      <c r="AE27" s="143" t="n">
        <v>0</v>
      </c>
      <c r="AF27" s="261"/>
      <c r="AG27" s="262"/>
      <c r="AH27" s="143" t="n">
        <v>25.5</v>
      </c>
      <c r="AI27" s="114" t="n">
        <f aca="false">AI26-AH27</f>
        <v>1416.04923115706</v>
      </c>
      <c r="AJ27" s="229"/>
      <c r="AK27" s="142" t="n">
        <f aca="false">N27+O27+P27+Q27+R27+S27+T27+U27+X27+AE27+AH27</f>
        <v>29.05</v>
      </c>
      <c r="AL27" s="143" t="n">
        <f aca="false">IF(L27&lt;0,L27*-1,0)</f>
        <v>0</v>
      </c>
      <c r="AM27" s="143" t="n">
        <f aca="false">AK27+AL27</f>
        <v>29.05</v>
      </c>
      <c r="AN27" s="147" t="n">
        <f aca="false">V27</f>
        <v>0</v>
      </c>
      <c r="AO27" s="225"/>
      <c r="AP27" s="143"/>
      <c r="AQ27" s="114"/>
      <c r="AR27" s="114"/>
      <c r="AS27" s="308"/>
      <c r="AU27" s="86"/>
      <c r="AV27" s="284" t="n">
        <v>0</v>
      </c>
      <c r="AW27" s="225" t="n">
        <v>65</v>
      </c>
      <c r="AX27" s="225" t="n">
        <v>27</v>
      </c>
      <c r="AY27" s="264"/>
      <c r="AZ27" s="263" t="n">
        <f aca="false">SUM(N27,P27:U27)</f>
        <v>3.55</v>
      </c>
      <c r="BA27" s="193" t="n">
        <v>0</v>
      </c>
      <c r="BB27" s="264" t="n">
        <v>16216</v>
      </c>
    </row>
    <row r="28" customFormat="false" ht="12.95" hidden="false" customHeight="true" outlineLevel="0" collapsed="false">
      <c r="A28" s="192" t="n">
        <f aca="false">A27+1</f>
        <v>14</v>
      </c>
      <c r="B28" s="113" t="n">
        <v>6868.86</v>
      </c>
      <c r="C28" s="114" t="n">
        <v>184793</v>
      </c>
      <c r="D28" s="225" t="n">
        <f aca="false">C28-C27</f>
        <v>104</v>
      </c>
      <c r="E28" s="114" t="n">
        <f aca="false">C28-152000</f>
        <v>32793</v>
      </c>
      <c r="F28" s="259" t="n">
        <f aca="false">D28/$D$2</f>
        <v>52.4325686917066</v>
      </c>
      <c r="G28" s="143" t="n">
        <v>69</v>
      </c>
      <c r="H28" s="307" t="n">
        <v>0</v>
      </c>
      <c r="I28" s="143" t="n">
        <f aca="false">G28+H28</f>
        <v>69</v>
      </c>
      <c r="J28" s="144" t="n">
        <f aca="false">IF(L28&gt;0,L28,0)</f>
        <v>12.4825686917066</v>
      </c>
      <c r="K28" s="143" t="n">
        <f aca="false">I28+J28</f>
        <v>81.4825686917066</v>
      </c>
      <c r="L28" s="143" t="n">
        <f aca="false">F28-(I28-AK28)</f>
        <v>12.4825686917066</v>
      </c>
      <c r="M28" s="261" t="n">
        <v>3.55</v>
      </c>
      <c r="N28" s="143" t="n">
        <v>0</v>
      </c>
      <c r="O28" s="143" t="n">
        <f aca="false">0*1.05</f>
        <v>0</v>
      </c>
      <c r="P28" s="171" t="n">
        <v>0</v>
      </c>
      <c r="Q28" s="282" t="n">
        <f aca="false">906800/325851/1.9835*1.02</f>
        <v>1.43106849318082</v>
      </c>
      <c r="R28" s="139" t="n">
        <f aca="false">(2.2*1.04)-T28</f>
        <v>1.78607728</v>
      </c>
      <c r="S28" s="89" t="n">
        <v>0</v>
      </c>
      <c r="T28" s="139" t="n">
        <f aca="false">(0.4553*1.06)*1.04</f>
        <v>0.50192272</v>
      </c>
      <c r="U28" s="102" t="n">
        <f aca="false">M28-(Q28+R28+S28+T28)</f>
        <v>-0.169068493180824</v>
      </c>
      <c r="V28" s="143" t="n">
        <v>0</v>
      </c>
      <c r="W28" s="143" t="n">
        <v>0</v>
      </c>
      <c r="X28" s="143" t="n">
        <f aca="false">M28-N28-O28-P28-Q28-R28-S28-T28-U28+V28+W28</f>
        <v>0</v>
      </c>
      <c r="Y28" s="143" t="n">
        <f aca="false">X28-AO28</f>
        <v>0</v>
      </c>
      <c r="Z28" s="143"/>
      <c r="AA28" s="143" t="n">
        <f aca="false">Q28+R28</f>
        <v>3.21714577318082</v>
      </c>
      <c r="AB28" s="114"/>
      <c r="AC28" s="144"/>
      <c r="AD28" s="114"/>
      <c r="AE28" s="143" t="n">
        <v>0</v>
      </c>
      <c r="AF28" s="261"/>
      <c r="AG28" s="262"/>
      <c r="AH28" s="143" t="n">
        <v>25.5</v>
      </c>
      <c r="AI28" s="114" t="n">
        <f aca="false">AI27-AH28</f>
        <v>1390.54923115706</v>
      </c>
      <c r="AJ28" s="229"/>
      <c r="AK28" s="142" t="n">
        <f aca="false">N28+O28+P28+Q28+R28+S28+T28+U28+X28+AE28+AH28</f>
        <v>29.05</v>
      </c>
      <c r="AL28" s="143" t="n">
        <f aca="false">IF(L28&lt;0,L28*-1,0)</f>
        <v>0</v>
      </c>
      <c r="AM28" s="143" t="n">
        <f aca="false">AK28+AL28</f>
        <v>29.05</v>
      </c>
      <c r="AN28" s="147" t="n">
        <f aca="false">V28</f>
        <v>0</v>
      </c>
      <c r="AO28" s="225"/>
      <c r="AP28" s="143"/>
      <c r="AQ28" s="114"/>
      <c r="AR28" s="114"/>
      <c r="AS28" s="308"/>
      <c r="AU28" s="86"/>
      <c r="AV28" s="284" t="n">
        <v>0</v>
      </c>
      <c r="AW28" s="231" t="n">
        <v>66</v>
      </c>
      <c r="AX28" s="225" t="n">
        <v>30</v>
      </c>
      <c r="AY28" s="264"/>
      <c r="AZ28" s="263" t="n">
        <f aca="false">SUM(N28,P28:U28)</f>
        <v>3.55</v>
      </c>
      <c r="BA28" s="193" t="n">
        <v>0</v>
      </c>
      <c r="BB28" s="264" t="n">
        <v>16154</v>
      </c>
    </row>
    <row r="29" customFormat="false" ht="12.95" hidden="false" customHeight="true" outlineLevel="0" collapsed="false">
      <c r="A29" s="192" t="n">
        <f aca="false">A28+1</f>
        <v>15</v>
      </c>
      <c r="B29" s="113" t="n">
        <v>6868.91</v>
      </c>
      <c r="C29" s="114" t="n">
        <v>184923</v>
      </c>
      <c r="D29" s="225" t="n">
        <f aca="false">C29-C28</f>
        <v>130</v>
      </c>
      <c r="E29" s="114" t="n">
        <f aca="false">C29-152000</f>
        <v>32923</v>
      </c>
      <c r="F29" s="259" t="n">
        <f aca="false">D29/$D$2</f>
        <v>65.5407108646332</v>
      </c>
      <c r="G29" s="143" t="n">
        <v>71</v>
      </c>
      <c r="H29" s="307" t="n">
        <v>0</v>
      </c>
      <c r="I29" s="143" t="n">
        <f aca="false">G29+H29</f>
        <v>71</v>
      </c>
      <c r="J29" s="144" t="n">
        <f aca="false">IF(L29&gt;0,L29,0)</f>
        <v>23.5907108646332</v>
      </c>
      <c r="K29" s="143" t="n">
        <f aca="false">I29+J29</f>
        <v>94.5907108646332</v>
      </c>
      <c r="L29" s="143" t="n">
        <f aca="false">F29-(I29-AK29)</f>
        <v>23.5907108646332</v>
      </c>
      <c r="M29" s="261" t="n">
        <v>3.55</v>
      </c>
      <c r="N29" s="143" t="n">
        <v>0</v>
      </c>
      <c r="O29" s="143" t="n">
        <f aca="false">0*1.05</f>
        <v>0</v>
      </c>
      <c r="P29" s="171" t="n">
        <v>0</v>
      </c>
      <c r="Q29" s="282" t="n">
        <f aca="false">1119500/325851/1.9835*1.02</f>
        <v>1.76674148446839</v>
      </c>
      <c r="R29" s="139" t="n">
        <f aca="false">(2.1*1.04)-T29</f>
        <v>1.68207728</v>
      </c>
      <c r="S29" s="89" t="n">
        <v>0</v>
      </c>
      <c r="T29" s="139" t="n">
        <f aca="false">(0.4553*1.06)*1.04</f>
        <v>0.50192272</v>
      </c>
      <c r="U29" s="102" t="n">
        <f aca="false">M29-(Q29+R29+S29+T29)</f>
        <v>-0.400741484468386</v>
      </c>
      <c r="V29" s="143" t="n">
        <v>0</v>
      </c>
      <c r="W29" s="143" t="n">
        <v>0</v>
      </c>
      <c r="X29" s="143" t="n">
        <f aca="false">M29-N29-O29-P29-Q29-R29-S29-T29-U29+V29+W29</f>
        <v>0</v>
      </c>
      <c r="Y29" s="143" t="n">
        <f aca="false">X29-AO29</f>
        <v>0</v>
      </c>
      <c r="Z29" s="143"/>
      <c r="AA29" s="143" t="n">
        <f aca="false">Q29+R29</f>
        <v>3.44881876446839</v>
      </c>
      <c r="AB29" s="114"/>
      <c r="AC29" s="144"/>
      <c r="AD29" s="114"/>
      <c r="AE29" s="143" t="n">
        <v>0</v>
      </c>
      <c r="AF29" s="261"/>
      <c r="AG29" s="262"/>
      <c r="AH29" s="143" t="n">
        <v>25.5</v>
      </c>
      <c r="AI29" s="114" t="n">
        <f aca="false">AI28-AH29</f>
        <v>1365.04923115706</v>
      </c>
      <c r="AJ29" s="229"/>
      <c r="AK29" s="142" t="n">
        <f aca="false">N29+O29+P29+Q29+R29+S29+T29+U29+X29+AE29+AH29</f>
        <v>29.05</v>
      </c>
      <c r="AL29" s="143" t="n">
        <f aca="false">IF(L29&lt;0,L29*-1,0)</f>
        <v>0</v>
      </c>
      <c r="AM29" s="143" t="n">
        <f aca="false">AK29+AL29</f>
        <v>29.05</v>
      </c>
      <c r="AN29" s="147" t="n">
        <f aca="false">V29</f>
        <v>0</v>
      </c>
      <c r="AO29" s="225"/>
      <c r="AP29" s="143"/>
      <c r="AQ29" s="114"/>
      <c r="AR29" s="114"/>
      <c r="AS29" s="308"/>
      <c r="AU29" s="86"/>
      <c r="AV29" s="284" t="n">
        <v>0</v>
      </c>
      <c r="AW29" s="231" t="n">
        <v>62</v>
      </c>
      <c r="AX29" s="225" t="n">
        <v>28</v>
      </c>
      <c r="AY29" s="264"/>
      <c r="AZ29" s="263" t="n">
        <f aca="false">SUM(N29,P29:U29)</f>
        <v>3.55</v>
      </c>
      <c r="BA29" s="193" t="n">
        <v>0</v>
      </c>
      <c r="BB29" s="264" t="n">
        <v>16198</v>
      </c>
    </row>
    <row r="30" customFormat="false" ht="12.95" hidden="false" customHeight="true" outlineLevel="0" collapsed="false">
      <c r="A30" s="192" t="n">
        <f aca="false">A29+1</f>
        <v>16</v>
      </c>
      <c r="B30" s="113" t="n">
        <v>6868.98</v>
      </c>
      <c r="C30" s="114" t="n">
        <v>185106</v>
      </c>
      <c r="D30" s="225" t="n">
        <f aca="false">C30-C29</f>
        <v>183</v>
      </c>
      <c r="E30" s="114" t="n">
        <f aca="false">C30-152000</f>
        <v>33106</v>
      </c>
      <c r="F30" s="259" t="n">
        <f aca="false">D30/$D$2</f>
        <v>92.2611545248298</v>
      </c>
      <c r="G30" s="143" t="n">
        <v>70</v>
      </c>
      <c r="H30" s="307" t="n">
        <v>0</v>
      </c>
      <c r="I30" s="143" t="n">
        <f aca="false">G30+H30</f>
        <v>70</v>
      </c>
      <c r="J30" s="144" t="n">
        <f aca="false">IF(L30&gt;0,L30,0)</f>
        <v>51.0111545248298</v>
      </c>
      <c r="K30" s="143" t="n">
        <f aca="false">I30+J30</f>
        <v>121.01115452483</v>
      </c>
      <c r="L30" s="143" t="n">
        <f aca="false">F30-(I30-AK30)</f>
        <v>51.0111545248298</v>
      </c>
      <c r="M30" s="261" t="n">
        <v>3.55</v>
      </c>
      <c r="N30" s="143" t="n">
        <v>0</v>
      </c>
      <c r="O30" s="143" t="n">
        <f aca="false">0*1.05</f>
        <v>0</v>
      </c>
      <c r="P30" s="171" t="n">
        <v>0</v>
      </c>
      <c r="Q30" s="282" t="n">
        <f aca="false">1091900/325851/1.9835*1.02</f>
        <v>1.7231844813676</v>
      </c>
      <c r="R30" s="139" t="n">
        <f aca="false">(2.1*1.04)-T30</f>
        <v>1.68207728</v>
      </c>
      <c r="S30" s="89" t="n">
        <v>0</v>
      </c>
      <c r="T30" s="139" t="n">
        <f aca="false">(0.4553*1.06)*1.04</f>
        <v>0.50192272</v>
      </c>
      <c r="U30" s="102" t="n">
        <f aca="false">M30-(Q30+R30+S30+T30)</f>
        <v>-0.357184481367602</v>
      </c>
      <c r="V30" s="143" t="n">
        <v>0</v>
      </c>
      <c r="W30" s="143" t="n">
        <v>0</v>
      </c>
      <c r="X30" s="143" t="n">
        <f aca="false">M30-N30-O30-P30-Q30-R30-S30-T30-U30+V30+W30</f>
        <v>0</v>
      </c>
      <c r="Y30" s="143" t="n">
        <f aca="false">X30-AO30</f>
        <v>0</v>
      </c>
      <c r="Z30" s="143"/>
      <c r="AA30" s="143" t="n">
        <f aca="false">Q30+R30</f>
        <v>3.4052617613676</v>
      </c>
      <c r="AB30" s="114"/>
      <c r="AC30" s="144"/>
      <c r="AD30" s="114"/>
      <c r="AE30" s="143" t="n">
        <v>0</v>
      </c>
      <c r="AF30" s="261"/>
      <c r="AG30" s="262"/>
      <c r="AH30" s="143" t="n">
        <v>25.2</v>
      </c>
      <c r="AI30" s="114" t="n">
        <f aca="false">AI29-AH30</f>
        <v>1339.84923115706</v>
      </c>
      <c r="AJ30" s="229"/>
      <c r="AK30" s="142" t="n">
        <f aca="false">N30+O30+P30+Q30+R30+S30+T30+U30+X30+AE30+AH30</f>
        <v>28.75</v>
      </c>
      <c r="AL30" s="143" t="n">
        <f aca="false">IF(L30&lt;0,L30*-1,0)</f>
        <v>0</v>
      </c>
      <c r="AM30" s="143" t="n">
        <f aca="false">AK30+AL30</f>
        <v>28.75</v>
      </c>
      <c r="AN30" s="147" t="n">
        <f aca="false">V30</f>
        <v>0</v>
      </c>
      <c r="AO30" s="225"/>
      <c r="AP30" s="143"/>
      <c r="AQ30" s="114"/>
      <c r="AR30" s="114"/>
      <c r="AS30" s="308"/>
      <c r="AV30" s="232" t="n">
        <v>0</v>
      </c>
      <c r="AW30" s="231" t="n">
        <v>49</v>
      </c>
      <c r="AX30" s="225" t="n">
        <v>20</v>
      </c>
      <c r="AY30" s="264"/>
      <c r="AZ30" s="263" t="n">
        <f aca="false">SUM(N30,P30:U30)</f>
        <v>3.55</v>
      </c>
      <c r="BA30" s="193" t="n">
        <v>0</v>
      </c>
      <c r="BB30" s="264" t="n">
        <v>16241</v>
      </c>
    </row>
    <row r="31" customFormat="false" ht="12.95" hidden="false" customHeight="true" outlineLevel="0" collapsed="false">
      <c r="A31" s="192" t="n">
        <f aca="false">A30+1</f>
        <v>17</v>
      </c>
      <c r="B31" s="113" t="n">
        <v>6869</v>
      </c>
      <c r="C31" s="114" t="n">
        <v>185158</v>
      </c>
      <c r="D31" s="225" t="n">
        <f aca="false">C31-C30</f>
        <v>52</v>
      </c>
      <c r="E31" s="114" t="n">
        <f aca="false">C31-152000</f>
        <v>33158</v>
      </c>
      <c r="F31" s="259" t="n">
        <f aca="false">D31/$D$2</f>
        <v>26.2162843458533</v>
      </c>
      <c r="G31" s="143" t="n">
        <v>64</v>
      </c>
      <c r="H31" s="307" t="n">
        <v>0</v>
      </c>
      <c r="I31" s="143" t="n">
        <f aca="false">G31+H31</f>
        <v>64</v>
      </c>
      <c r="J31" s="144" t="n">
        <f aca="false">IF(L31&gt;0,L31,0)</f>
        <v>0</v>
      </c>
      <c r="K31" s="143" t="n">
        <f aca="false">I31+J31</f>
        <v>64</v>
      </c>
      <c r="L31" s="143" t="n">
        <f aca="false">F31-(I31-AK31)</f>
        <v>-9.33371565414671</v>
      </c>
      <c r="M31" s="261" t="n">
        <v>3.55</v>
      </c>
      <c r="N31" s="143" t="n">
        <v>0</v>
      </c>
      <c r="O31" s="143" t="n">
        <f aca="false">0*1.05</f>
        <v>0</v>
      </c>
      <c r="P31" s="171" t="n">
        <v>0</v>
      </c>
      <c r="Q31" s="282" t="n">
        <f aca="false">926800/325851/1.9835*1.02</f>
        <v>1.46263153890603</v>
      </c>
      <c r="R31" s="139" t="n">
        <f aca="false">(2.2*1.04)-T31</f>
        <v>1.78607728</v>
      </c>
      <c r="S31" s="89" t="n">
        <v>0</v>
      </c>
      <c r="T31" s="139" t="n">
        <f aca="false">(0.4553*1.06)*1.04</f>
        <v>0.50192272</v>
      </c>
      <c r="U31" s="102" t="n">
        <f aca="false">M31-(Q31+R31+S31+T31)</f>
        <v>-0.20063153890603</v>
      </c>
      <c r="V31" s="143" t="n">
        <v>0</v>
      </c>
      <c r="W31" s="143" t="n">
        <v>0</v>
      </c>
      <c r="X31" s="143" t="n">
        <f aca="false">M31-N31-O31-P31-Q31-R31-S31-T31-U31+V31+W31</f>
        <v>0</v>
      </c>
      <c r="Y31" s="143" t="n">
        <f aca="false">X31-AO31</f>
        <v>0</v>
      </c>
      <c r="Z31" s="143"/>
      <c r="AA31" s="143" t="n">
        <f aca="false">Q31+R31</f>
        <v>3.24870881890603</v>
      </c>
      <c r="AB31" s="114"/>
      <c r="AC31" s="144"/>
      <c r="AD31" s="114"/>
      <c r="AE31" s="143" t="n">
        <v>0</v>
      </c>
      <c r="AF31" s="261"/>
      <c r="AG31" s="262"/>
      <c r="AH31" s="143" t="n">
        <v>24.9</v>
      </c>
      <c r="AI31" s="114" t="n">
        <f aca="false">AI30-AH31</f>
        <v>1314.94923115706</v>
      </c>
      <c r="AJ31" s="229"/>
      <c r="AK31" s="142" t="n">
        <f aca="false">N31+O31+P31+Q31+R31+S31+T31+U31+X31+AE31+AH31</f>
        <v>28.45</v>
      </c>
      <c r="AL31" s="143" t="n">
        <f aca="false">IF(L31&lt;0,L31*-1,0)</f>
        <v>9.33371565414671</v>
      </c>
      <c r="AM31" s="143" t="n">
        <f aca="false">AK31+AL31</f>
        <v>37.7837156541467</v>
      </c>
      <c r="AN31" s="147" t="n">
        <f aca="false">V31</f>
        <v>0</v>
      </c>
      <c r="AO31" s="225"/>
      <c r="AP31" s="143"/>
      <c r="AQ31" s="114"/>
      <c r="AR31" s="114"/>
      <c r="AS31" s="308"/>
      <c r="AV31" s="232" t="n">
        <v>0</v>
      </c>
      <c r="AW31" s="231" t="n">
        <v>47</v>
      </c>
      <c r="AX31" s="225" t="n">
        <v>13</v>
      </c>
      <c r="AY31" s="264"/>
      <c r="AZ31" s="263" t="n">
        <f aca="false">SUM(N31,P31:U31)</f>
        <v>3.55</v>
      </c>
      <c r="BA31" s="193" t="n">
        <v>0</v>
      </c>
      <c r="BB31" s="264" t="n">
        <v>16218</v>
      </c>
    </row>
    <row r="32" customFormat="false" ht="12.95" hidden="false" customHeight="true" outlineLevel="0" collapsed="false">
      <c r="A32" s="192" t="n">
        <f aca="false">A31+1</f>
        <v>18</v>
      </c>
      <c r="B32" s="113" t="n">
        <v>6869</v>
      </c>
      <c r="C32" s="319" t="n">
        <v>185158</v>
      </c>
      <c r="D32" s="225" t="n">
        <f aca="false">C32-C31</f>
        <v>0</v>
      </c>
      <c r="E32" s="114" t="n">
        <f aca="false">C32-152000</f>
        <v>33158</v>
      </c>
      <c r="F32" s="259" t="n">
        <f aca="false">D32/$D$2</f>
        <v>0</v>
      </c>
      <c r="G32" s="143" t="n">
        <v>62</v>
      </c>
      <c r="H32" s="307" t="n">
        <v>0.906</v>
      </c>
      <c r="I32" s="143" t="n">
        <f aca="false">G32+H32</f>
        <v>62.906</v>
      </c>
      <c r="J32" s="144" t="n">
        <f aca="false">IF(L32&gt;0,L32,0)</f>
        <v>0</v>
      </c>
      <c r="K32" s="143" t="n">
        <f aca="false">I32+J32</f>
        <v>62.906</v>
      </c>
      <c r="L32" s="143" t="n">
        <f aca="false">F32-(I32-AK32)</f>
        <v>-34.456</v>
      </c>
      <c r="M32" s="261" t="n">
        <v>3.55</v>
      </c>
      <c r="N32" s="143" t="n">
        <v>0</v>
      </c>
      <c r="O32" s="143" t="n">
        <f aca="false">0*1.05</f>
        <v>0</v>
      </c>
      <c r="P32" s="171" t="n">
        <v>0</v>
      </c>
      <c r="Q32" s="282" t="n">
        <f aca="false">1181100/325851/1.9835*1.02</f>
        <v>1.86395566530202</v>
      </c>
      <c r="R32" s="139" t="n">
        <f aca="false">(2.1*1.04)-T32</f>
        <v>1.68207728</v>
      </c>
      <c r="S32" s="89" t="n">
        <v>0</v>
      </c>
      <c r="T32" s="139" t="n">
        <f aca="false">(0.4553*1.06)*1.04</f>
        <v>0.50192272</v>
      </c>
      <c r="U32" s="102" t="n">
        <f aca="false">M32-(Q32+R32+S32+T32)</f>
        <v>-0.49795566530202</v>
      </c>
      <c r="V32" s="143" t="n">
        <v>0</v>
      </c>
      <c r="W32" s="143" t="n">
        <v>0</v>
      </c>
      <c r="X32" s="143" t="n">
        <f aca="false">M32-N32-O32-P32-Q32-R32-S32-T32-U32+V32+W32</f>
        <v>0</v>
      </c>
      <c r="Y32" s="143" t="n">
        <f aca="false">X32-AO32</f>
        <v>0</v>
      </c>
      <c r="Z32" s="143"/>
      <c r="AA32" s="143" t="n">
        <f aca="false">Q32+R32</f>
        <v>3.54603294530202</v>
      </c>
      <c r="AB32" s="114"/>
      <c r="AC32" s="144"/>
      <c r="AD32" s="114"/>
      <c r="AE32" s="143" t="n">
        <v>0</v>
      </c>
      <c r="AF32" s="261"/>
      <c r="AG32" s="262"/>
      <c r="AH32" s="143" t="n">
        <v>24.9</v>
      </c>
      <c r="AI32" s="114" t="n">
        <f aca="false">AI31-AH32</f>
        <v>1290.04923115706</v>
      </c>
      <c r="AJ32" s="229"/>
      <c r="AK32" s="142" t="n">
        <f aca="false">N32+O32+P32+Q32+R32+S32+T32+U32+X32+AE32+AH32</f>
        <v>28.45</v>
      </c>
      <c r="AL32" s="143" t="n">
        <f aca="false">IF(L32&lt;0,L32*-1,0)</f>
        <v>34.456</v>
      </c>
      <c r="AM32" s="143" t="n">
        <f aca="false">AK32+AL32</f>
        <v>62.906</v>
      </c>
      <c r="AN32" s="147" t="n">
        <f aca="false">V32</f>
        <v>0</v>
      </c>
      <c r="AO32" s="225"/>
      <c r="AP32" s="143"/>
      <c r="AQ32" s="114"/>
      <c r="AR32" s="114"/>
      <c r="AS32" s="308"/>
      <c r="AV32" s="232" t="n">
        <v>0</v>
      </c>
      <c r="AW32" s="231" t="n">
        <v>60</v>
      </c>
      <c r="AX32" s="225" t="n">
        <v>19</v>
      </c>
      <c r="AY32" s="264"/>
      <c r="AZ32" s="263" t="n">
        <f aca="false">SUM(N32,P32:U32)</f>
        <v>3.55</v>
      </c>
      <c r="BA32" s="193" t="n">
        <v>0</v>
      </c>
      <c r="BB32" s="264" t="n">
        <v>16171</v>
      </c>
    </row>
    <row r="33" customFormat="false" ht="12.95" hidden="false" customHeight="true" outlineLevel="0" collapsed="false">
      <c r="A33" s="192" t="n">
        <f aca="false">A32+1</f>
        <v>19</v>
      </c>
      <c r="B33" s="113" t="n">
        <v>6869.03</v>
      </c>
      <c r="C33" s="319" t="n">
        <v>185238</v>
      </c>
      <c r="D33" s="225" t="n">
        <f aca="false">C33-C32</f>
        <v>80</v>
      </c>
      <c r="E33" s="114" t="n">
        <f aca="false">C33-152000</f>
        <v>33238</v>
      </c>
      <c r="F33" s="259" t="n">
        <f aca="false">D33/$D$2</f>
        <v>40.3327451474666</v>
      </c>
      <c r="G33" s="143" t="n">
        <v>64</v>
      </c>
      <c r="H33" s="307" t="n">
        <v>0.997</v>
      </c>
      <c r="I33" s="143" t="n">
        <f aca="false">G33+H33</f>
        <v>64.997</v>
      </c>
      <c r="J33" s="144" t="n">
        <f aca="false">IF(L33&gt;0,L33,0)</f>
        <v>3.7857451474666</v>
      </c>
      <c r="K33" s="143" t="n">
        <f aca="false">I33+J33</f>
        <v>68.7827451474666</v>
      </c>
      <c r="L33" s="143" t="n">
        <f aca="false">F33-(I33-AK33)</f>
        <v>3.7857451474666</v>
      </c>
      <c r="M33" s="261" t="n">
        <v>3.55</v>
      </c>
      <c r="N33" s="143" t="n">
        <v>0</v>
      </c>
      <c r="O33" s="143" t="n">
        <f aca="false">0*1.05</f>
        <v>0</v>
      </c>
      <c r="P33" s="171" t="n">
        <v>0</v>
      </c>
      <c r="Q33" s="282" t="n">
        <f aca="false">973300/325851/1.9835*1.02</f>
        <v>1.53601562021713</v>
      </c>
      <c r="R33" s="139" t="n">
        <f aca="false">(2.1*1.04)-T33</f>
        <v>1.68207728</v>
      </c>
      <c r="S33" s="89" t="n">
        <v>0</v>
      </c>
      <c r="T33" s="139" t="n">
        <f aca="false">(0.4553*1.06)*1.04</f>
        <v>0.50192272</v>
      </c>
      <c r="U33" s="102" t="n">
        <f aca="false">M33-(Q33+R33+S33+T33)</f>
        <v>-0.170015620217133</v>
      </c>
      <c r="V33" s="143" t="n">
        <v>0</v>
      </c>
      <c r="W33" s="143" t="n">
        <v>0</v>
      </c>
      <c r="X33" s="143" t="n">
        <f aca="false">M33-N33-O33-P33-Q33-R33-S33-T33-U33+V33+W33</f>
        <v>0</v>
      </c>
      <c r="Y33" s="143" t="n">
        <f aca="false">X33-AO33</f>
        <v>0</v>
      </c>
      <c r="Z33" s="143"/>
      <c r="AA33" s="143" t="n">
        <f aca="false">Q33+R33</f>
        <v>3.21809290021713</v>
      </c>
      <c r="AB33" s="114"/>
      <c r="AC33" s="144"/>
      <c r="AD33" s="114"/>
      <c r="AE33" s="143" t="n">
        <v>0</v>
      </c>
      <c r="AF33" s="261"/>
      <c r="AG33" s="262"/>
      <c r="AH33" s="143" t="n">
        <v>24.9</v>
      </c>
      <c r="AI33" s="114" t="n">
        <f aca="false">AI32-AH33</f>
        <v>1265.14923115706</v>
      </c>
      <c r="AJ33" s="229"/>
      <c r="AK33" s="142" t="n">
        <f aca="false">N33+O33+P33+Q33+R33+S33+T33+U33+X33+AE33+AH33</f>
        <v>28.45</v>
      </c>
      <c r="AL33" s="143" t="n">
        <f aca="false">IF(L33&lt;0,L33*-1,0)</f>
        <v>0</v>
      </c>
      <c r="AM33" s="143" t="n">
        <f aca="false">AK33+AL33</f>
        <v>28.45</v>
      </c>
      <c r="AN33" s="147" t="n">
        <f aca="false">V33</f>
        <v>0</v>
      </c>
      <c r="AO33" s="225"/>
      <c r="AP33" s="143"/>
      <c r="AQ33" s="114"/>
      <c r="AR33" s="114"/>
      <c r="AS33" s="308"/>
      <c r="AV33" s="232" t="n">
        <v>0</v>
      </c>
      <c r="AW33" s="231" t="n">
        <v>60</v>
      </c>
      <c r="AX33" s="225" t="n">
        <v>26</v>
      </c>
      <c r="AY33" s="264"/>
      <c r="AZ33" s="263" t="n">
        <f aca="false">SUM(N33,P33:U33)</f>
        <v>3.55</v>
      </c>
      <c r="BA33" s="193" t="n">
        <v>0</v>
      </c>
      <c r="BB33" s="264" t="n">
        <v>16123</v>
      </c>
    </row>
    <row r="34" customFormat="false" ht="12.95" hidden="false" customHeight="true" outlineLevel="0" collapsed="false">
      <c r="A34" s="192" t="n">
        <f aca="false">A33+1</f>
        <v>20</v>
      </c>
      <c r="B34" s="113" t="n">
        <v>6869.07</v>
      </c>
      <c r="C34" s="114" t="n">
        <v>185343</v>
      </c>
      <c r="D34" s="225" t="n">
        <f aca="false">C34-C33</f>
        <v>105</v>
      </c>
      <c r="E34" s="114" t="n">
        <f aca="false">C34-152000</f>
        <v>33343</v>
      </c>
      <c r="F34" s="259" t="n">
        <f aca="false">D34/$D$2</f>
        <v>52.9367280060499</v>
      </c>
      <c r="G34" s="143" t="n">
        <v>66</v>
      </c>
      <c r="H34" s="307" t="n">
        <v>1.13</v>
      </c>
      <c r="I34" s="143" t="n">
        <f aca="false">G34+H34</f>
        <v>67.13</v>
      </c>
      <c r="J34" s="144" t="n">
        <f aca="false">IF(L34&gt;0,L34,0)</f>
        <v>14.2567280060499</v>
      </c>
      <c r="K34" s="143" t="n">
        <f aca="false">I34+J34</f>
        <v>81.3867280060499</v>
      </c>
      <c r="L34" s="143" t="n">
        <f aca="false">F34-(I34-AK34)</f>
        <v>14.2567280060499</v>
      </c>
      <c r="M34" s="261" t="n">
        <v>3.55</v>
      </c>
      <c r="N34" s="143" t="n">
        <v>0</v>
      </c>
      <c r="O34" s="143" t="n">
        <f aca="false">0*1.05</f>
        <v>0</v>
      </c>
      <c r="P34" s="171" t="n">
        <v>0</v>
      </c>
      <c r="Q34" s="282" t="n">
        <f aca="false">764400/325851/1.9835*1.02</f>
        <v>1.20633960761736</v>
      </c>
      <c r="R34" s="139" t="n">
        <f aca="false">(2.3*1.04)-T34</f>
        <v>1.89790432</v>
      </c>
      <c r="S34" s="89" t="n">
        <v>0</v>
      </c>
      <c r="T34" s="139" t="n">
        <f aca="false">(0.4482*1.06)*1.04</f>
        <v>0.49409568</v>
      </c>
      <c r="U34" s="102" t="n">
        <f aca="false">M34-(Q34+R34+S34+T34)</f>
        <v>-0.0483396076173595</v>
      </c>
      <c r="V34" s="143" t="n">
        <v>0</v>
      </c>
      <c r="W34" s="143" t="n">
        <v>0</v>
      </c>
      <c r="X34" s="143" t="n">
        <f aca="false">M34-N34-O34-P34-Q34-R34-S34-T34-U34+V34+W34</f>
        <v>-4.44089209850063E-016</v>
      </c>
      <c r="Y34" s="143" t="n">
        <f aca="false">X34-AO34</f>
        <v>-4.44089209850063E-016</v>
      </c>
      <c r="Z34" s="143"/>
      <c r="AA34" s="143" t="n">
        <f aca="false">Q34+R34</f>
        <v>3.10424392761736</v>
      </c>
      <c r="AB34" s="114"/>
      <c r="AC34" s="144"/>
      <c r="AD34" s="114"/>
      <c r="AE34" s="143" t="n">
        <v>0</v>
      </c>
      <c r="AF34" s="261"/>
      <c r="AG34" s="262"/>
      <c r="AH34" s="143" t="n">
        <v>24.9</v>
      </c>
      <c r="AI34" s="114" t="n">
        <f aca="false">AI33-AH34</f>
        <v>1240.24923115706</v>
      </c>
      <c r="AJ34" s="229"/>
      <c r="AK34" s="142" t="n">
        <f aca="false">N34+O34+P34+Q34+R34+S34+T34+U34+X34+AE34+AH34</f>
        <v>28.45</v>
      </c>
      <c r="AL34" s="143" t="n">
        <f aca="false">IF(L34&lt;0,L34*-1,0)</f>
        <v>0</v>
      </c>
      <c r="AM34" s="143" t="n">
        <f aca="false">AK34+AL34</f>
        <v>28.45</v>
      </c>
      <c r="AN34" s="147" t="n">
        <f aca="false">V34</f>
        <v>0</v>
      </c>
      <c r="AO34" s="225"/>
      <c r="AP34" s="143"/>
      <c r="AQ34" s="114"/>
      <c r="AR34" s="114"/>
      <c r="AS34" s="308"/>
      <c r="AV34" s="232" t="n">
        <v>0</v>
      </c>
      <c r="AW34" s="231" t="n">
        <v>60</v>
      </c>
      <c r="AX34" s="225" t="n">
        <v>27</v>
      </c>
      <c r="AY34" s="264"/>
      <c r="AZ34" s="263" t="n">
        <f aca="false">SUM(N34,P34:U34)</f>
        <v>3.55</v>
      </c>
      <c r="BA34" s="193" t="n">
        <v>0</v>
      </c>
      <c r="BB34" s="264" t="n">
        <v>16014</v>
      </c>
    </row>
    <row r="35" customFormat="false" ht="12.95" hidden="false" customHeight="true" outlineLevel="0" collapsed="false">
      <c r="A35" s="192" t="n">
        <f aca="false">A34+1</f>
        <v>21</v>
      </c>
      <c r="B35" s="113" t="n">
        <v>6869.13</v>
      </c>
      <c r="C35" s="114" t="n">
        <v>185502</v>
      </c>
      <c r="D35" s="225" t="n">
        <f aca="false">C35-C34</f>
        <v>159</v>
      </c>
      <c r="E35" s="114" t="n">
        <f aca="false">C35-152000</f>
        <v>33502</v>
      </c>
      <c r="F35" s="259" t="n">
        <f aca="false">D35/$D$2</f>
        <v>80.1613309805899</v>
      </c>
      <c r="G35" s="143" t="n">
        <v>67</v>
      </c>
      <c r="H35" s="307" t="n">
        <v>1.08</v>
      </c>
      <c r="I35" s="143" t="n">
        <f aca="false">G35+H35</f>
        <v>68.08</v>
      </c>
      <c r="J35" s="144" t="n">
        <f aca="false">IF(L35&gt;0,L35,0)</f>
        <v>40.5313309805899</v>
      </c>
      <c r="K35" s="143" t="n">
        <f aca="false">I35+J35</f>
        <v>108.61133098059</v>
      </c>
      <c r="L35" s="143" t="n">
        <f aca="false">F35-(I35-AK35)</f>
        <v>40.5313309805899</v>
      </c>
      <c r="M35" s="261" t="n">
        <v>3.55</v>
      </c>
      <c r="N35" s="143" t="n">
        <v>0</v>
      </c>
      <c r="O35" s="143" t="n">
        <f aca="false">0*1.05</f>
        <v>0</v>
      </c>
      <c r="P35" s="171" t="n">
        <v>0</v>
      </c>
      <c r="Q35" s="282" t="n">
        <f aca="false">806700/325851/1.9835*1.02</f>
        <v>1.27309544932617</v>
      </c>
      <c r="R35" s="139" t="n">
        <f aca="false">(2.1*1.04)-T35</f>
        <v>1.68990432</v>
      </c>
      <c r="S35" s="89" t="n">
        <v>0</v>
      </c>
      <c r="T35" s="139" t="n">
        <f aca="false">(0.4482*1.06)*1.04</f>
        <v>0.49409568</v>
      </c>
      <c r="U35" s="102" t="n">
        <f aca="false">M35-(Q35+R35+S35+T35)</f>
        <v>0.09290455067383</v>
      </c>
      <c r="V35" s="143" t="n">
        <v>0</v>
      </c>
      <c r="W35" s="143" t="n">
        <v>0</v>
      </c>
      <c r="X35" s="143" t="n">
        <f aca="false">M35-N35-O35-P35-Q35-R35-S35-T35-U35+V35+W35</f>
        <v>0</v>
      </c>
      <c r="Y35" s="143" t="n">
        <f aca="false">X35-AO35</f>
        <v>0</v>
      </c>
      <c r="Z35" s="143"/>
      <c r="AA35" s="143" t="n">
        <f aca="false">Q35+R35</f>
        <v>2.96299976932617</v>
      </c>
      <c r="AB35" s="114"/>
      <c r="AC35" s="144"/>
      <c r="AD35" s="114"/>
      <c r="AE35" s="143" t="n">
        <v>0</v>
      </c>
      <c r="AF35" s="261"/>
      <c r="AG35" s="262"/>
      <c r="AH35" s="143" t="n">
        <v>24.9</v>
      </c>
      <c r="AI35" s="114" t="n">
        <f aca="false">AI34-AH35</f>
        <v>1215.34923115706</v>
      </c>
      <c r="AJ35" s="229"/>
      <c r="AK35" s="142" t="n">
        <f aca="false">N35+O35+P35+Q35+R35+S35+T35+U35+X35+AE35+AH35</f>
        <v>28.45</v>
      </c>
      <c r="AL35" s="143" t="n">
        <f aca="false">IF(L35&lt;0,L35*-1,0)</f>
        <v>0</v>
      </c>
      <c r="AM35" s="143" t="n">
        <f aca="false">AK35+AL35</f>
        <v>28.45</v>
      </c>
      <c r="AN35" s="147" t="n">
        <f aca="false">V35</f>
        <v>0</v>
      </c>
      <c r="AO35" s="225"/>
      <c r="AP35" s="143"/>
      <c r="AQ35" s="114"/>
      <c r="AR35" s="114"/>
      <c r="AS35" s="308"/>
      <c r="AV35" s="232" t="n">
        <v>0</v>
      </c>
      <c r="AW35" s="225" t="n">
        <v>47</v>
      </c>
      <c r="AX35" s="225" t="n">
        <v>23</v>
      </c>
      <c r="AY35" s="264"/>
      <c r="AZ35" s="263" t="n">
        <f aca="false">SUM(N35,P35:U35)</f>
        <v>3.55</v>
      </c>
      <c r="BA35" s="193" t="n">
        <v>0</v>
      </c>
      <c r="BB35" s="264" t="n">
        <v>16018</v>
      </c>
    </row>
    <row r="36" customFormat="false" ht="12.95" hidden="false" customHeight="true" outlineLevel="0" collapsed="false">
      <c r="A36" s="192" t="n">
        <f aca="false">A35+1</f>
        <v>22</v>
      </c>
      <c r="B36" s="113" t="n">
        <v>6869.24</v>
      </c>
      <c r="C36" s="114" t="n">
        <v>185793</v>
      </c>
      <c r="D36" s="225" t="n">
        <f aca="false">C36-C35</f>
        <v>291</v>
      </c>
      <c r="E36" s="114" t="n">
        <f aca="false">C36-152000</f>
        <v>33793</v>
      </c>
      <c r="F36" s="259" t="n">
        <f aca="false">D36/$D$2</f>
        <v>146.71036047391</v>
      </c>
      <c r="G36" s="143" t="n">
        <v>67</v>
      </c>
      <c r="H36" s="307" t="n">
        <v>1.16</v>
      </c>
      <c r="I36" s="143" t="n">
        <f aca="false">G36+H36</f>
        <v>68.16</v>
      </c>
      <c r="J36" s="144" t="n">
        <f aca="false">IF(L36&gt;0,L36,0)</f>
        <v>107.31036047391</v>
      </c>
      <c r="K36" s="143" t="n">
        <f aca="false">I36+J36</f>
        <v>175.47036047391</v>
      </c>
      <c r="L36" s="143" t="n">
        <f aca="false">F36-(I36-AK36)</f>
        <v>107.31036047391</v>
      </c>
      <c r="M36" s="261" t="n">
        <v>3.36</v>
      </c>
      <c r="N36" s="143" t="n">
        <v>0</v>
      </c>
      <c r="O36" s="143" t="n">
        <f aca="false">0*1.05</f>
        <v>0</v>
      </c>
      <c r="P36" s="171" t="n">
        <v>0</v>
      </c>
      <c r="Q36" s="282" t="n">
        <f aca="false">837200/325851/1.9835*1.02</f>
        <v>1.32122909405711</v>
      </c>
      <c r="R36" s="139" t="n">
        <f aca="false">(2.2*1.04)-T36</f>
        <v>1.79390432</v>
      </c>
      <c r="S36" s="89" t="n">
        <v>0</v>
      </c>
      <c r="T36" s="139" t="n">
        <f aca="false">(0.4482*1.06)*1.04</f>
        <v>0.49409568</v>
      </c>
      <c r="U36" s="102" t="n">
        <f aca="false">M36-(Q36+R36+S36+T36)</f>
        <v>-0.249229094057108</v>
      </c>
      <c r="V36" s="143" t="n">
        <v>0</v>
      </c>
      <c r="W36" s="143" t="n">
        <v>0</v>
      </c>
      <c r="X36" s="143" t="n">
        <f aca="false">M36-N36-O36-P36-Q36-R36-S36-T36-U36+V36+W36</f>
        <v>0</v>
      </c>
      <c r="Y36" s="143" t="n">
        <f aca="false">X36-AO36</f>
        <v>0</v>
      </c>
      <c r="Z36" s="143"/>
      <c r="AA36" s="143" t="n">
        <f aca="false">Q36+R36</f>
        <v>3.11513341405711</v>
      </c>
      <c r="AB36" s="114"/>
      <c r="AC36" s="144"/>
      <c r="AD36" s="114"/>
      <c r="AE36" s="143" t="n">
        <v>0</v>
      </c>
      <c r="AF36" s="261"/>
      <c r="AG36" s="262"/>
      <c r="AH36" s="143" t="n">
        <v>25.4</v>
      </c>
      <c r="AI36" s="114" t="n">
        <f aca="false">AI35-AH36</f>
        <v>1189.94923115706</v>
      </c>
      <c r="AJ36" s="229"/>
      <c r="AK36" s="142" t="n">
        <f aca="false">N36+O36+P36+Q36+R36+S36+T36+U36+X36+AE36+AH36</f>
        <v>28.76</v>
      </c>
      <c r="AL36" s="143" t="n">
        <f aca="false">IF(L36&lt;0,L36*-1,0)</f>
        <v>0</v>
      </c>
      <c r="AM36" s="143" t="n">
        <f aca="false">AK36+AL36</f>
        <v>28.76</v>
      </c>
      <c r="AN36" s="147" t="n">
        <f aca="false">V36</f>
        <v>0</v>
      </c>
      <c r="AO36" s="225"/>
      <c r="AP36" s="143"/>
      <c r="AQ36" s="114"/>
      <c r="AR36" s="114"/>
      <c r="AS36" s="308"/>
      <c r="AV36" s="232" t="n">
        <v>1.41</v>
      </c>
      <c r="AW36" s="225" t="n">
        <v>41</v>
      </c>
      <c r="AX36" s="225" t="n">
        <v>28</v>
      </c>
      <c r="AY36" s="264"/>
      <c r="AZ36" s="263" t="n">
        <f aca="false">SUM(N36,P36:U36)</f>
        <v>3.36</v>
      </c>
      <c r="BA36" s="193" t="n">
        <v>0</v>
      </c>
      <c r="BB36" s="264" t="n">
        <v>16023</v>
      </c>
    </row>
    <row r="37" customFormat="false" ht="12.95" hidden="false" customHeight="true" outlineLevel="0" collapsed="false">
      <c r="A37" s="192" t="n">
        <f aca="false">A36+1</f>
        <v>23</v>
      </c>
      <c r="B37" s="113" t="n">
        <v>6869.33</v>
      </c>
      <c r="C37" s="114" t="n">
        <v>186031</v>
      </c>
      <c r="D37" s="225" t="n">
        <f aca="false">C37-C36</f>
        <v>238</v>
      </c>
      <c r="E37" s="114" t="n">
        <f aca="false">C37-152000</f>
        <v>34031</v>
      </c>
      <c r="F37" s="259" t="n">
        <f aca="false">D37/$D$2</f>
        <v>119.989916813713</v>
      </c>
      <c r="G37" s="143" t="n">
        <v>67</v>
      </c>
      <c r="H37" s="307" t="n">
        <v>1.1</v>
      </c>
      <c r="I37" s="143" t="n">
        <f aca="false">G37+H37</f>
        <v>68.1</v>
      </c>
      <c r="J37" s="144" t="n">
        <f aca="false">IF(L37&gt;0,L37,0)</f>
        <v>111.589916813713</v>
      </c>
      <c r="K37" s="143" t="n">
        <f aca="false">I37+J37</f>
        <v>179.689916813713</v>
      </c>
      <c r="L37" s="143" t="n">
        <f aca="false">F37-(I37-AK37)</f>
        <v>111.589916813713</v>
      </c>
      <c r="M37" s="261" t="n">
        <v>2.7</v>
      </c>
      <c r="N37" s="143" t="n">
        <v>0</v>
      </c>
      <c r="O37" s="143" t="n">
        <f aca="false">0*1.05</f>
        <v>0</v>
      </c>
      <c r="P37" s="171" t="n">
        <v>0</v>
      </c>
      <c r="Q37" s="282" t="n">
        <f aca="false">837900/325851/1.9835*1.02</f>
        <v>1.32233380065749</v>
      </c>
      <c r="R37" s="139" t="n">
        <f aca="false">(2.2*1.04)-T37</f>
        <v>1.79390432</v>
      </c>
      <c r="S37" s="89" t="n">
        <v>0</v>
      </c>
      <c r="T37" s="139" t="n">
        <f aca="false">(0.4482*1.06)*1.04</f>
        <v>0.49409568</v>
      </c>
      <c r="U37" s="102" t="n">
        <f aca="false">M37-(Q37+R37+S37+T37)</f>
        <v>-0.91033380065749</v>
      </c>
      <c r="V37" s="143" t="n">
        <v>31.6</v>
      </c>
      <c r="W37" s="143" t="n">
        <v>0</v>
      </c>
      <c r="X37" s="143" t="n">
        <f aca="false">M37-N37-O37-P37-Q37-R37-S37-T37-U37+V37+W37</f>
        <v>31.6</v>
      </c>
      <c r="Y37" s="143" t="n">
        <f aca="false">X37-AO37</f>
        <v>31.6</v>
      </c>
      <c r="Z37" s="143"/>
      <c r="AA37" s="143" t="n">
        <f aca="false">Q37+R37</f>
        <v>3.11623812065749</v>
      </c>
      <c r="AB37" s="114"/>
      <c r="AC37" s="144"/>
      <c r="AD37" s="114"/>
      <c r="AE37" s="143" t="n">
        <v>0</v>
      </c>
      <c r="AF37" s="261"/>
      <c r="AG37" s="262"/>
      <c r="AH37" s="143" t="n">
        <v>25.4</v>
      </c>
      <c r="AI37" s="114" t="n">
        <f aca="false">AI36-AH37</f>
        <v>1164.54923115706</v>
      </c>
      <c r="AJ37" s="229"/>
      <c r="AK37" s="142" t="n">
        <f aca="false">N37+O37+P37+Q37+R37+S37+T37+U37+X37+AE37+AH37</f>
        <v>59.7</v>
      </c>
      <c r="AL37" s="143" t="n">
        <f aca="false">IF(L37&lt;0,L37*-1,0)</f>
        <v>0</v>
      </c>
      <c r="AM37" s="143" t="n">
        <f aca="false">AK37+AL37</f>
        <v>59.7</v>
      </c>
      <c r="AN37" s="147" t="n">
        <f aca="false">V37</f>
        <v>31.6</v>
      </c>
      <c r="AO37" s="225"/>
      <c r="AP37" s="143"/>
      <c r="AQ37" s="114"/>
      <c r="AR37" s="114"/>
      <c r="AS37" s="308"/>
      <c r="AV37" s="232" t="n">
        <v>0.35</v>
      </c>
      <c r="AW37" s="225" t="n">
        <v>47</v>
      </c>
      <c r="AX37" s="231" t="n">
        <v>27</v>
      </c>
      <c r="AY37" s="264"/>
      <c r="AZ37" s="263" t="n">
        <f aca="false">SUM(N37,P37:U37)</f>
        <v>2.7</v>
      </c>
      <c r="BA37" s="193" t="n">
        <v>0</v>
      </c>
      <c r="BB37" s="264" t="n">
        <v>16052</v>
      </c>
    </row>
    <row r="38" customFormat="false" ht="12.95" hidden="false" customHeight="true" outlineLevel="0" collapsed="false">
      <c r="A38" s="192" t="n">
        <f aca="false">A37+1</f>
        <v>24</v>
      </c>
      <c r="B38" s="113" t="n">
        <v>6869.34</v>
      </c>
      <c r="C38" s="114" t="n">
        <v>186057</v>
      </c>
      <c r="D38" s="225" t="n">
        <f aca="false">C38-C37</f>
        <v>26</v>
      </c>
      <c r="E38" s="114" t="n">
        <f aca="false">C38-152000</f>
        <v>34057</v>
      </c>
      <c r="F38" s="259" t="n">
        <f aca="false">D38/$D$2</f>
        <v>13.1081421729266</v>
      </c>
      <c r="G38" s="143" t="n">
        <v>65</v>
      </c>
      <c r="H38" s="307" t="n">
        <v>1.26</v>
      </c>
      <c r="I38" s="143" t="n">
        <f aca="false">G38+H38</f>
        <v>66.26</v>
      </c>
      <c r="J38" s="144" t="n">
        <f aca="false">IF(L38&gt;0,L38,0)</f>
        <v>22.6881421729266</v>
      </c>
      <c r="K38" s="143" t="n">
        <f aca="false">I38+J38</f>
        <v>88.9481421729267</v>
      </c>
      <c r="L38" s="143" t="n">
        <f aca="false">F38-(I38-AK38)</f>
        <v>22.6881421729266</v>
      </c>
      <c r="M38" s="261" t="n">
        <v>2.54</v>
      </c>
      <c r="N38" s="143" t="n">
        <v>0</v>
      </c>
      <c r="O38" s="143" t="n">
        <f aca="false">0*1.05</f>
        <v>0</v>
      </c>
      <c r="P38" s="171" t="n">
        <v>0</v>
      </c>
      <c r="Q38" s="282" t="n">
        <f aca="false">828800/325851/1.9835*1.02</f>
        <v>1.30797261485252</v>
      </c>
      <c r="R38" s="139" t="n">
        <v>0</v>
      </c>
      <c r="S38" s="89" t="n">
        <v>0</v>
      </c>
      <c r="T38" s="139" t="n">
        <f aca="false">(0.4482*1.06)*1.04</f>
        <v>0.49409568</v>
      </c>
      <c r="U38" s="102" t="n">
        <f aca="false">M38-(Q38+R38+S38+T38)</f>
        <v>0.737931705147478</v>
      </c>
      <c r="V38" s="143" t="n">
        <v>48</v>
      </c>
      <c r="W38" s="143" t="n">
        <v>0</v>
      </c>
      <c r="X38" s="143" t="n">
        <f aca="false">M38-N38-O38-P38-Q38-R38-S38-T38-U38+V38+W38</f>
        <v>48</v>
      </c>
      <c r="Y38" s="143" t="n">
        <f aca="false">X38-AO38</f>
        <v>48</v>
      </c>
      <c r="Z38" s="143"/>
      <c r="AA38" s="143" t="n">
        <f aca="false">Q38+R38</f>
        <v>1.30797261485252</v>
      </c>
      <c r="AB38" s="114"/>
      <c r="AC38" s="144"/>
      <c r="AD38" s="114"/>
      <c r="AE38" s="143" t="n">
        <v>0</v>
      </c>
      <c r="AF38" s="261"/>
      <c r="AG38" s="262"/>
      <c r="AH38" s="143" t="n">
        <v>25.3</v>
      </c>
      <c r="AI38" s="114" t="n">
        <f aca="false">AI37-AH38</f>
        <v>1139.24923115706</v>
      </c>
      <c r="AJ38" s="229"/>
      <c r="AK38" s="142" t="n">
        <f aca="false">N38+O38+P38+Q38+R38+S38+T38+U38+X38+AE38+AH38</f>
        <v>75.84</v>
      </c>
      <c r="AL38" s="143" t="n">
        <f aca="false">IF(L38&lt;0,L38*-1,0)</f>
        <v>0</v>
      </c>
      <c r="AM38" s="143" t="n">
        <f aca="false">AK38+AL38</f>
        <v>75.84</v>
      </c>
      <c r="AN38" s="147" t="n">
        <f aca="false">V38</f>
        <v>48</v>
      </c>
      <c r="AO38" s="225"/>
      <c r="AP38" s="143"/>
      <c r="AQ38" s="114"/>
      <c r="AR38" s="114"/>
      <c r="AS38" s="308"/>
      <c r="AV38" s="232" t="n">
        <v>0.13</v>
      </c>
      <c r="AW38" s="225" t="n">
        <v>48</v>
      </c>
      <c r="AX38" s="231" t="n">
        <v>20</v>
      </c>
      <c r="AY38" s="264"/>
      <c r="AZ38" s="263" t="n">
        <f aca="false">SUM(N38,P38:U38)</f>
        <v>2.54</v>
      </c>
      <c r="BA38" s="193" t="n">
        <v>0</v>
      </c>
      <c r="BB38" s="264" t="n">
        <v>16075</v>
      </c>
    </row>
    <row r="39" customFormat="false" ht="12.95" hidden="false" customHeight="true" outlineLevel="0" collapsed="false">
      <c r="A39" s="192" t="n">
        <f aca="false">A38+1</f>
        <v>25</v>
      </c>
      <c r="B39" s="113" t="n">
        <v>6869.3</v>
      </c>
      <c r="C39" s="114" t="n">
        <v>185952</v>
      </c>
      <c r="D39" s="225" t="n">
        <f aca="false">C39-C38</f>
        <v>-105</v>
      </c>
      <c r="E39" s="114" t="n">
        <f aca="false">C39-152000</f>
        <v>33952</v>
      </c>
      <c r="F39" s="259" t="n">
        <f aca="false">D39/$D$2</f>
        <v>-52.9367280060499</v>
      </c>
      <c r="G39" s="143" t="n">
        <v>65</v>
      </c>
      <c r="H39" s="307" t="n">
        <v>1.54</v>
      </c>
      <c r="I39" s="143" t="n">
        <f aca="false">G39+H39</f>
        <v>66.54</v>
      </c>
      <c r="J39" s="144" t="n">
        <f aca="false">IF(L39&gt;0,L39,0)</f>
        <v>0</v>
      </c>
      <c r="K39" s="143" t="n">
        <f aca="false">I39+J39</f>
        <v>66.54</v>
      </c>
      <c r="L39" s="143" t="n">
        <f aca="false">F39-(I39-AK39)</f>
        <v>-45.2367280060499</v>
      </c>
      <c r="M39" s="261" t="n">
        <v>3.24</v>
      </c>
      <c r="N39" s="143" t="n">
        <v>0</v>
      </c>
      <c r="O39" s="143" t="n">
        <f aca="false">0*1.05</f>
        <v>0</v>
      </c>
      <c r="P39" s="171" t="n">
        <v>0</v>
      </c>
      <c r="Q39" s="282" t="n">
        <f aca="false">708000/325851/1.9835*1.02</f>
        <v>1.11733181867228</v>
      </c>
      <c r="R39" s="139" t="n">
        <f aca="false">(0.9*1.04)-T39</f>
        <v>0.44190432</v>
      </c>
      <c r="S39" s="89" t="n">
        <v>0</v>
      </c>
      <c r="T39" s="139" t="n">
        <f aca="false">(0.4482*1.06)*1.04</f>
        <v>0.49409568</v>
      </c>
      <c r="U39" s="102" t="n">
        <f aca="false">M39-(Q39+R39+S39+T39)</f>
        <v>1.18666818132772</v>
      </c>
      <c r="V39" s="143" t="n">
        <v>47.9</v>
      </c>
      <c r="W39" s="143" t="n">
        <v>0</v>
      </c>
      <c r="X39" s="143" t="n">
        <f aca="false">M39-N39-O39-P39-Q39-R39-S39-T39-U39+V39+W39</f>
        <v>47.9</v>
      </c>
      <c r="Y39" s="143" t="n">
        <f aca="false">X39-AO39</f>
        <v>47.9</v>
      </c>
      <c r="Z39" s="143"/>
      <c r="AA39" s="143" t="n">
        <f aca="false">Q39+R39</f>
        <v>1.55923613867228</v>
      </c>
      <c r="AB39" s="114"/>
      <c r="AC39" s="144"/>
      <c r="AD39" s="114"/>
      <c r="AE39" s="143" t="n">
        <v>0</v>
      </c>
      <c r="AF39" s="261"/>
      <c r="AG39" s="262"/>
      <c r="AH39" s="143" t="n">
        <v>23.1</v>
      </c>
      <c r="AI39" s="114" t="n">
        <f aca="false">AI38-AH39</f>
        <v>1116.14923115706</v>
      </c>
      <c r="AJ39" s="229"/>
      <c r="AK39" s="142" t="n">
        <f aca="false">N39+O39+P39+Q39+R39+S39+T39+U39+X39+AE39+AH39</f>
        <v>74.24</v>
      </c>
      <c r="AL39" s="143" t="n">
        <f aca="false">IF(L39&lt;0,L39*-1,0)</f>
        <v>45.2367280060499</v>
      </c>
      <c r="AM39" s="143" t="n">
        <f aca="false">AK39+AL39</f>
        <v>119.47672800605</v>
      </c>
      <c r="AN39" s="147" t="n">
        <f aca="false">V39</f>
        <v>47.9</v>
      </c>
      <c r="AO39" s="225"/>
      <c r="AP39" s="143"/>
      <c r="AQ39" s="114"/>
      <c r="AR39" s="114"/>
      <c r="AS39" s="308"/>
      <c r="AV39" s="232" t="n">
        <v>0.01</v>
      </c>
      <c r="AW39" s="225" t="n">
        <v>46</v>
      </c>
      <c r="AX39" s="231" t="n">
        <v>17</v>
      </c>
      <c r="AY39" s="264"/>
      <c r="AZ39" s="263" t="n">
        <f aca="false">SUM(N39,P39:U39)</f>
        <v>3.24</v>
      </c>
      <c r="BA39" s="193" t="n">
        <v>0</v>
      </c>
      <c r="BB39" s="264" t="n">
        <v>16098</v>
      </c>
    </row>
    <row r="40" customFormat="false" ht="12.95" hidden="false" customHeight="true" outlineLevel="0" collapsed="false">
      <c r="A40" s="192" t="n">
        <f aca="false">A39+1</f>
        <v>26</v>
      </c>
      <c r="B40" s="113" t="n">
        <v>6869.36</v>
      </c>
      <c r="C40" s="114" t="n">
        <v>186110</v>
      </c>
      <c r="D40" s="225" t="n">
        <f aca="false">C40-C39</f>
        <v>158</v>
      </c>
      <c r="E40" s="114" t="n">
        <f aca="false">C40-152000</f>
        <v>34110</v>
      </c>
      <c r="F40" s="259" t="n">
        <f aca="false">D40/$D$2</f>
        <v>79.6571716662465</v>
      </c>
      <c r="G40" s="143" t="n">
        <v>64</v>
      </c>
      <c r="H40" s="307" t="n">
        <v>1.38</v>
      </c>
      <c r="I40" s="143" t="n">
        <f aca="false">G40+H40</f>
        <v>65.38</v>
      </c>
      <c r="J40" s="144" t="n">
        <f aca="false">IF(L40&gt;0,L40,0)</f>
        <v>86.1671716662465</v>
      </c>
      <c r="K40" s="143" t="n">
        <f aca="false">I40+J40</f>
        <v>151.547171666247</v>
      </c>
      <c r="L40" s="143" t="n">
        <f aca="false">F40-(I40-AK40)</f>
        <v>86.1671716662465</v>
      </c>
      <c r="M40" s="261" t="n">
        <v>2.29</v>
      </c>
      <c r="N40" s="143" t="n">
        <v>0</v>
      </c>
      <c r="O40" s="143" t="n">
        <f aca="false">0*1.05</f>
        <v>0</v>
      </c>
      <c r="P40" s="171" t="n">
        <v>0</v>
      </c>
      <c r="Q40" s="282" t="n">
        <f aca="false">854300/325851/1.9835*1.02</f>
        <v>1.34821549815216</v>
      </c>
      <c r="R40" s="139" t="n">
        <f aca="false">(1.7*1.04)-T40</f>
        <v>1.27390432</v>
      </c>
      <c r="S40" s="89" t="n">
        <v>0</v>
      </c>
      <c r="T40" s="139" t="n">
        <f aca="false">(0.4482*1.06)*1.04</f>
        <v>0.49409568</v>
      </c>
      <c r="U40" s="102" t="n">
        <f aca="false">M40-(Q40+R40+S40+T40)</f>
        <v>-0.826215498152159</v>
      </c>
      <c r="V40" s="143" t="n">
        <v>47.9</v>
      </c>
      <c r="W40" s="143" t="n">
        <v>0</v>
      </c>
      <c r="X40" s="143" t="n">
        <f aca="false">M40-N40-O40-P40-Q40-R40-S40-T40-U40+V40+W40</f>
        <v>47.9</v>
      </c>
      <c r="Y40" s="143" t="n">
        <f aca="false">X40-AO40</f>
        <v>47.9</v>
      </c>
      <c r="Z40" s="143"/>
      <c r="AA40" s="143" t="n">
        <f aca="false">Q40+R40</f>
        <v>2.62211981815216</v>
      </c>
      <c r="AB40" s="114"/>
      <c r="AC40" s="144"/>
      <c r="AD40" s="114"/>
      <c r="AE40" s="143" t="n">
        <v>0</v>
      </c>
      <c r="AF40" s="261"/>
      <c r="AG40" s="262"/>
      <c r="AH40" s="143" t="n">
        <v>21.7</v>
      </c>
      <c r="AI40" s="114" t="n">
        <f aca="false">AI39-AH40</f>
        <v>1094.44923115706</v>
      </c>
      <c r="AJ40" s="229"/>
      <c r="AK40" s="142" t="n">
        <f aca="false">N40+O40+P40+Q40+R40+S40+T40+U40+X40+AE40+AH40</f>
        <v>71.89</v>
      </c>
      <c r="AL40" s="143" t="n">
        <f aca="false">IF(L40&lt;0,L40*-1,0)</f>
        <v>0</v>
      </c>
      <c r="AM40" s="143" t="n">
        <f aca="false">AK40+AL40</f>
        <v>71.89</v>
      </c>
      <c r="AN40" s="147" t="n">
        <f aca="false">V40</f>
        <v>47.9</v>
      </c>
      <c r="AO40" s="225"/>
      <c r="AP40" s="143"/>
      <c r="AQ40" s="114"/>
      <c r="AR40" s="114"/>
      <c r="AS40" s="308"/>
      <c r="AV40" s="232" t="n">
        <v>0</v>
      </c>
      <c r="AW40" s="225" t="n">
        <v>43</v>
      </c>
      <c r="AX40" s="225" t="n">
        <v>17</v>
      </c>
      <c r="AY40" s="264"/>
      <c r="AZ40" s="263" t="n">
        <f aca="false">SUM(N40,P40:U40)</f>
        <v>2.29</v>
      </c>
      <c r="BA40" s="193" t="n">
        <v>0</v>
      </c>
      <c r="BB40" s="264" t="n">
        <v>16086</v>
      </c>
    </row>
    <row r="41" customFormat="false" ht="12.95" hidden="false" customHeight="true" outlineLevel="0" collapsed="false">
      <c r="A41" s="192" t="n">
        <f aca="false">A40+1</f>
        <v>27</v>
      </c>
      <c r="B41" s="113" t="n">
        <v>6869.36</v>
      </c>
      <c r="C41" s="114" t="n">
        <v>186110</v>
      </c>
      <c r="D41" s="225" t="n">
        <f aca="false">C41-C40</f>
        <v>0</v>
      </c>
      <c r="E41" s="114" t="n">
        <f aca="false">C41-152000</f>
        <v>34110</v>
      </c>
      <c r="F41" s="259" t="n">
        <f aca="false">D41/$D$2</f>
        <v>0</v>
      </c>
      <c r="G41" s="143" t="n">
        <v>65</v>
      </c>
      <c r="H41" s="307" t="n">
        <v>1.34</v>
      </c>
      <c r="I41" s="143" t="n">
        <f aca="false">G41+H41</f>
        <v>66.34</v>
      </c>
      <c r="J41" s="144" t="n">
        <f aca="false">IF(L41&gt;0,L41,0)</f>
        <v>6.83999999999999</v>
      </c>
      <c r="K41" s="143" t="n">
        <f aca="false">I41+J41</f>
        <v>73.18</v>
      </c>
      <c r="L41" s="143" t="n">
        <f aca="false">F41-(I41-AK41)</f>
        <v>6.83999999999999</v>
      </c>
      <c r="M41" s="261" t="n">
        <v>3.58</v>
      </c>
      <c r="N41" s="143" t="n">
        <v>0</v>
      </c>
      <c r="O41" s="143" t="n">
        <f aca="false">0*1.05</f>
        <v>0</v>
      </c>
      <c r="P41" s="171" t="n">
        <v>0</v>
      </c>
      <c r="Q41" s="282" t="n">
        <f aca="false">770200/325851/1.9835*1.02</f>
        <v>1.21549289087767</v>
      </c>
      <c r="R41" s="139" t="n">
        <f aca="false">(2*1.04)-T41</f>
        <v>1.54191856</v>
      </c>
      <c r="S41" s="89" t="n">
        <v>0</v>
      </c>
      <c r="T41" s="139" t="n">
        <f aca="false">(0.4881*1.06)*1.04</f>
        <v>0.53808144</v>
      </c>
      <c r="U41" s="102" t="n">
        <f aca="false">M41-(Q41+R41+S41+T41)</f>
        <v>0.284507109122331</v>
      </c>
      <c r="V41" s="143" t="n">
        <v>47.9</v>
      </c>
      <c r="W41" s="143" t="n">
        <v>0</v>
      </c>
      <c r="X41" s="143" t="n">
        <f aca="false">M41-N41-O41-P41-Q41-R41-S41-T41-U41+V41+W41</f>
        <v>47.9</v>
      </c>
      <c r="Y41" s="143" t="n">
        <f aca="false">X41-AO41</f>
        <v>47.9</v>
      </c>
      <c r="Z41" s="143"/>
      <c r="AA41" s="143" t="n">
        <f aca="false">Q41+R41</f>
        <v>2.75741145087767</v>
      </c>
      <c r="AB41" s="114"/>
      <c r="AC41" s="144"/>
      <c r="AD41" s="114"/>
      <c r="AE41" s="143" t="n">
        <v>0</v>
      </c>
      <c r="AF41" s="261"/>
      <c r="AG41" s="262"/>
      <c r="AH41" s="143" t="n">
        <v>21.7</v>
      </c>
      <c r="AI41" s="114" t="n">
        <f aca="false">AI40-AH41</f>
        <v>1072.74923115706</v>
      </c>
      <c r="AJ41" s="229"/>
      <c r="AK41" s="142" t="n">
        <f aca="false">N41+O41+P41+Q41+R41+S41+T41+U41+X41+AE41+AH41</f>
        <v>73.18</v>
      </c>
      <c r="AL41" s="143" t="n">
        <f aca="false">IF(L41&lt;0,L41*-1,0)</f>
        <v>0</v>
      </c>
      <c r="AM41" s="143" t="n">
        <f aca="false">AK41+AL41</f>
        <v>73.18</v>
      </c>
      <c r="AN41" s="147" t="n">
        <f aca="false">V41</f>
        <v>47.9</v>
      </c>
      <c r="AO41" s="225"/>
      <c r="AP41" s="143"/>
      <c r="AQ41" s="114"/>
      <c r="AR41" s="114"/>
      <c r="AS41" s="308"/>
      <c r="AV41" s="232" t="n">
        <v>0.18</v>
      </c>
      <c r="AW41" s="225" t="n">
        <v>39</v>
      </c>
      <c r="AX41" s="225" t="n">
        <v>20</v>
      </c>
      <c r="AY41" s="264"/>
      <c r="AZ41" s="263" t="n">
        <f aca="false">SUM(N41,P41:U41)</f>
        <v>3.58</v>
      </c>
      <c r="BA41" s="193" t="n">
        <v>0</v>
      </c>
      <c r="BB41" s="264" t="n">
        <v>16095</v>
      </c>
    </row>
    <row r="42" customFormat="false" ht="12.95" hidden="false" customHeight="true" outlineLevel="0" collapsed="false">
      <c r="A42" s="192" t="n">
        <v>28</v>
      </c>
      <c r="B42" s="113" t="n">
        <v>6869.36</v>
      </c>
      <c r="C42" s="114" t="n">
        <v>186110</v>
      </c>
      <c r="D42" s="225" t="n">
        <f aca="false">C42-C41</f>
        <v>0</v>
      </c>
      <c r="E42" s="114" t="n">
        <f aca="false">C42-152000</f>
        <v>34110</v>
      </c>
      <c r="F42" s="259" t="n">
        <f aca="false">D42/$D$2</f>
        <v>0</v>
      </c>
      <c r="G42" s="143" t="n">
        <v>66</v>
      </c>
      <c r="H42" s="307" t="n">
        <v>1.24</v>
      </c>
      <c r="I42" s="143" t="n">
        <f aca="false">G42+H42</f>
        <v>67.24</v>
      </c>
      <c r="J42" s="144" t="n">
        <f aca="false">IF(L42&gt;0,L42,0)</f>
        <v>4.86</v>
      </c>
      <c r="K42" s="143" t="n">
        <f aca="false">I42+J42</f>
        <v>72.1</v>
      </c>
      <c r="L42" s="143" t="n">
        <f aca="false">F42-(I42-AK42)</f>
        <v>4.86</v>
      </c>
      <c r="M42" s="261" t="n">
        <v>2.5</v>
      </c>
      <c r="N42" s="143" t="n">
        <v>0</v>
      </c>
      <c r="O42" s="143" t="n">
        <f aca="false">0*1.05</f>
        <v>0</v>
      </c>
      <c r="P42" s="171" t="n">
        <v>0</v>
      </c>
      <c r="Q42" s="282" t="n">
        <f aca="false">809000/325851/1.9835*1.02</f>
        <v>1.27672519958457</v>
      </c>
      <c r="R42" s="139" t="n">
        <f aca="false">(1.9*1.04)-T42</f>
        <v>1.43791856</v>
      </c>
      <c r="S42" s="89" t="n">
        <v>0</v>
      </c>
      <c r="T42" s="139" t="n">
        <f aca="false">(0.4881*1.06)*1.04</f>
        <v>0.53808144</v>
      </c>
      <c r="U42" s="102" t="n">
        <f aca="false">M42-(Q42+R42+S42+T42)</f>
        <v>-0.752725199584568</v>
      </c>
      <c r="V42" s="143" t="n">
        <v>47.9</v>
      </c>
      <c r="W42" s="143" t="n">
        <v>0</v>
      </c>
      <c r="X42" s="143" t="n">
        <f aca="false">M42-N42-O42-P42-Q42-R42-S42-T42-U42+V42+W42</f>
        <v>47.9</v>
      </c>
      <c r="Y42" s="143" t="n">
        <f aca="false">X42-AO42</f>
        <v>47.9</v>
      </c>
      <c r="Z42" s="143"/>
      <c r="AA42" s="143" t="n">
        <f aca="false">Q42+R42</f>
        <v>2.71464375958457</v>
      </c>
      <c r="AB42" s="114"/>
      <c r="AC42" s="144"/>
      <c r="AD42" s="114"/>
      <c r="AE42" s="143" t="n">
        <v>0</v>
      </c>
      <c r="AF42" s="261"/>
      <c r="AG42" s="262"/>
      <c r="AH42" s="143" t="n">
        <v>21.7</v>
      </c>
      <c r="AI42" s="114" t="n">
        <f aca="false">AI41-AH42</f>
        <v>1051.04923115706</v>
      </c>
      <c r="AJ42" s="229"/>
      <c r="AK42" s="142" t="n">
        <f aca="false">N42+O42+P42+Q42+R42+S42+T42+U42+X42+AE42+AH42</f>
        <v>72.1</v>
      </c>
      <c r="AL42" s="143" t="n">
        <f aca="false">IF(L42&lt;0,L42*-1,0)</f>
        <v>0</v>
      </c>
      <c r="AM42" s="143" t="n">
        <f aca="false">AK42+AL42</f>
        <v>72.1</v>
      </c>
      <c r="AN42" s="147" t="n">
        <f aca="false">V42</f>
        <v>47.9</v>
      </c>
      <c r="AO42" s="225"/>
      <c r="AP42" s="143"/>
      <c r="AQ42" s="114"/>
      <c r="AR42" s="114"/>
      <c r="AS42" s="308"/>
      <c r="AV42" s="232" t="n">
        <v>0.35</v>
      </c>
      <c r="AW42" s="225" t="n">
        <v>46</v>
      </c>
      <c r="AX42" s="225" t="n">
        <v>21</v>
      </c>
      <c r="AY42" s="264"/>
      <c r="AZ42" s="263" t="n">
        <f aca="false">SUM(N42,P42:U42)</f>
        <v>2.5</v>
      </c>
      <c r="BA42" s="193" t="n">
        <v>0</v>
      </c>
      <c r="BB42" s="264" t="n">
        <v>16114</v>
      </c>
    </row>
    <row r="43" customFormat="false" ht="3" hidden="false" customHeight="true" outlineLevel="0" collapsed="false">
      <c r="A43" s="320"/>
      <c r="B43" s="266"/>
      <c r="C43" s="246"/>
      <c r="D43" s="246"/>
      <c r="E43" s="246"/>
      <c r="F43" s="270"/>
      <c r="G43" s="246"/>
      <c r="H43" s="256"/>
      <c r="I43" s="246"/>
      <c r="J43" s="246"/>
      <c r="K43" s="246"/>
      <c r="L43" s="246"/>
      <c r="M43" s="271"/>
      <c r="N43" s="246"/>
      <c r="O43" s="246"/>
      <c r="P43" s="251"/>
      <c r="Q43" s="246"/>
      <c r="R43" s="246"/>
      <c r="S43" s="256"/>
      <c r="T43" s="256"/>
      <c r="U43" s="252"/>
      <c r="V43" s="246"/>
      <c r="W43" s="246"/>
      <c r="X43" s="246"/>
      <c r="Y43" s="246"/>
      <c r="Z43" s="246"/>
      <c r="AA43" s="246"/>
      <c r="AB43" s="246"/>
      <c r="AC43" s="253"/>
      <c r="AD43" s="246"/>
      <c r="AE43" s="246"/>
      <c r="AF43" s="271"/>
      <c r="AG43" s="272"/>
      <c r="AH43" s="246"/>
      <c r="AI43" s="247"/>
      <c r="AJ43" s="321"/>
      <c r="AK43" s="246"/>
      <c r="AL43" s="246"/>
      <c r="AM43" s="270"/>
      <c r="AN43" s="256"/>
      <c r="AO43" s="256"/>
      <c r="AP43" s="246"/>
      <c r="AQ43" s="246"/>
      <c r="AR43" s="246"/>
      <c r="AS43" s="256"/>
      <c r="AT43" s="315"/>
      <c r="AU43" s="315"/>
      <c r="AV43" s="274"/>
      <c r="AW43" s="246"/>
      <c r="AX43" s="246"/>
      <c r="AY43" s="246"/>
      <c r="AZ43" s="246"/>
      <c r="BA43" s="246"/>
      <c r="BB43" s="246"/>
    </row>
    <row r="44" customFormat="false" ht="12.95" hidden="false" customHeight="true" outlineLevel="0" collapsed="false">
      <c r="A44" s="194" t="s">
        <v>104</v>
      </c>
      <c r="B44" s="230"/>
      <c r="C44" s="225"/>
      <c r="D44" s="225"/>
      <c r="E44" s="225"/>
      <c r="F44" s="233" t="n">
        <f aca="false">SUM(F15:F42)</f>
        <v>1295.18527854802</v>
      </c>
      <c r="G44" s="225" t="n">
        <f aca="false">SUM(G15:G42)</f>
        <v>1836</v>
      </c>
      <c r="H44" s="225" t="n">
        <f aca="false">SUM(H15:H42)</f>
        <v>13.133</v>
      </c>
      <c r="I44" s="225" t="n">
        <f aca="false">SUM(I15:I42)</f>
        <v>1849.133</v>
      </c>
      <c r="J44" s="225" t="n">
        <f aca="false">SUM(J15:J42)</f>
        <v>677.476864381144</v>
      </c>
      <c r="K44" s="225" t="n">
        <f aca="false">SUM(K15:K42)</f>
        <v>2526.60986438114</v>
      </c>
      <c r="L44" s="225" t="n">
        <f aca="false">SUM(L15:L42)</f>
        <v>508.112278548021</v>
      </c>
      <c r="M44" s="322" t="n">
        <f aca="false">SUM(M15:M42)</f>
        <v>94.36</v>
      </c>
      <c r="N44" s="225" t="n">
        <f aca="false">SUM(N15:N42)</f>
        <v>0</v>
      </c>
      <c r="O44" s="225" t="n">
        <f aca="false">SUM(O15:O42)</f>
        <v>0</v>
      </c>
      <c r="P44" s="225" t="n">
        <f aca="false">SUM(P15:P42)</f>
        <v>0</v>
      </c>
      <c r="Q44" s="225" t="n">
        <f aca="false">SUM(Q15:Q42)</f>
        <v>41.6004098962783</v>
      </c>
      <c r="R44" s="225" t="n">
        <f aca="false">SUM(R15:R42)</f>
        <v>43.67238304</v>
      </c>
      <c r="S44" s="225" t="n">
        <f aca="false">SUM(S15:S42)</f>
        <v>0</v>
      </c>
      <c r="T44" s="225" t="n">
        <f aca="false">SUM(T15:T42)</f>
        <v>14.12571264</v>
      </c>
      <c r="U44" s="323" t="n">
        <f aca="false">SUM(U15:U42)</f>
        <v>-5.03850557627829</v>
      </c>
      <c r="V44" s="225" t="n">
        <f aca="false">SUM(V15:V42)</f>
        <v>271.2</v>
      </c>
      <c r="W44" s="225" t="n">
        <f aca="false">SUM(W15:W42)</f>
        <v>0</v>
      </c>
      <c r="X44" s="225" t="n">
        <f aca="false">SUM(X15:X42)</f>
        <v>271.2</v>
      </c>
      <c r="Y44" s="225" t="n">
        <f aca="false">SUM(Y15:Y42)</f>
        <v>271.2</v>
      </c>
      <c r="Z44" s="225"/>
      <c r="AA44" s="225"/>
      <c r="AB44" s="225"/>
      <c r="AC44" s="144" t="n">
        <f aca="false">SUM(AC15:AC42)</f>
        <v>0</v>
      </c>
      <c r="AD44" s="225"/>
      <c r="AE44" s="225"/>
      <c r="AF44" s="261"/>
      <c r="AG44" s="262"/>
      <c r="AH44" s="225" t="n">
        <f aca="false">SUM(AH15:AH42)</f>
        <v>696.5</v>
      </c>
      <c r="AI44" s="225"/>
      <c r="AJ44" s="225" t="n">
        <f aca="false">SUM(AJ15:AJ42)</f>
        <v>0</v>
      </c>
      <c r="AK44" s="225" t="n">
        <f aca="false">SUM(AK15:AK42)</f>
        <v>1062.06</v>
      </c>
      <c r="AL44" s="225" t="n">
        <f aca="false">SUM(AL15:AL42)</f>
        <v>169.364585833123</v>
      </c>
      <c r="AM44" s="233" t="n">
        <f aca="false">SUM(AM15:AM42)</f>
        <v>1231.42458583312</v>
      </c>
      <c r="AN44" s="225" t="n">
        <f aca="false">SUM(AN15:AN42)</f>
        <v>271.2</v>
      </c>
      <c r="AO44" s="225" t="n">
        <f aca="false">SUM(AO15:AO42)</f>
        <v>0</v>
      </c>
      <c r="AP44" s="143"/>
      <c r="AQ44" s="143"/>
      <c r="AR44" s="143"/>
      <c r="AS44" s="308"/>
      <c r="AV44" s="232" t="n">
        <f aca="false">SUM(AV15:AV42)</f>
        <v>2.43</v>
      </c>
      <c r="AW44" s="225" t="n">
        <f aca="false">AVERAGE(AW15:AW42)</f>
        <v>54.7142857142857</v>
      </c>
      <c r="AX44" s="225" t="n">
        <f aca="false">AVERAGE(AX15:AX42)</f>
        <v>24.9285714285714</v>
      </c>
      <c r="AY44" s="324" t="s">
        <v>123</v>
      </c>
      <c r="AZ44" s="325" t="n">
        <f aca="false">SUM(AZ15:AZ42)</f>
        <v>94.36</v>
      </c>
      <c r="BA44" s="193" t="n">
        <f aca="false">SUM(BA15:BA42)</f>
        <v>0</v>
      </c>
      <c r="BB44" s="264"/>
    </row>
    <row r="45" customFormat="false" ht="12.95" hidden="false" customHeight="true" outlineLevel="0" collapsed="false">
      <c r="A45" s="194" t="s">
        <v>106</v>
      </c>
      <c r="B45" s="230"/>
      <c r="C45" s="225"/>
      <c r="D45" s="225" t="n">
        <f aca="false">SUM(D15:D42)</f>
        <v>2569</v>
      </c>
      <c r="E45" s="225"/>
      <c r="F45" s="233" t="n">
        <f aca="false">F44*$D$2</f>
        <v>2569</v>
      </c>
      <c r="G45" s="225" t="n">
        <f aca="false">G44*$D$2</f>
        <v>3641.706</v>
      </c>
      <c r="H45" s="225" t="n">
        <f aca="false">H44*$D$2</f>
        <v>26.0493055</v>
      </c>
      <c r="I45" s="225" t="n">
        <f aca="false">I44*$D$2</f>
        <v>3667.7553055</v>
      </c>
      <c r="J45" s="225" t="n">
        <f aca="false">J44*$D$2</f>
        <v>1343.7753605</v>
      </c>
      <c r="K45" s="225" t="n">
        <f aca="false">K44*$D$2</f>
        <v>5011.530666</v>
      </c>
      <c r="L45" s="225" t="n">
        <f aca="false">L44*$D$2</f>
        <v>1007.8407045</v>
      </c>
      <c r="M45" s="326" t="n">
        <f aca="false">M44*$D$2</f>
        <v>187.16306</v>
      </c>
      <c r="N45" s="225" t="n">
        <f aca="false">N44*$D$2</f>
        <v>0</v>
      </c>
      <c r="O45" s="225" t="n">
        <f aca="false">O44*$D$2</f>
        <v>0</v>
      </c>
      <c r="P45" s="171"/>
      <c r="Q45" s="225" t="n">
        <f aca="false">Q44*$D$2</f>
        <v>82.514413029268</v>
      </c>
      <c r="R45" s="225" t="n">
        <f aca="false">R44*$D$2</f>
        <v>86.62417175984</v>
      </c>
      <c r="S45" s="225" t="n">
        <f aca="false">S44*$D$2</f>
        <v>0</v>
      </c>
      <c r="T45" s="225" t="n">
        <f aca="false">T44*$D$2</f>
        <v>28.01835102144</v>
      </c>
      <c r="U45" s="327" t="n">
        <f aca="false">U44*$D$2</f>
        <v>-9.99387581054799</v>
      </c>
      <c r="V45" s="225" t="n">
        <f aca="false">V44*$D$2</f>
        <v>537.9252</v>
      </c>
      <c r="W45" s="225" t="n">
        <f aca="false">W44*$D$2</f>
        <v>0</v>
      </c>
      <c r="X45" s="225" t="n">
        <f aca="false">X44*$D$2</f>
        <v>537.9252</v>
      </c>
      <c r="Y45" s="225" t="n">
        <f aca="false">Y44*$D$2</f>
        <v>537.9252</v>
      </c>
      <c r="Z45" s="225"/>
      <c r="AA45" s="225"/>
      <c r="AB45" s="225"/>
      <c r="AC45" s="144" t="n">
        <f aca="false">AC44*$D$2</f>
        <v>0</v>
      </c>
      <c r="AD45" s="225"/>
      <c r="AE45" s="225"/>
      <c r="AF45" s="261"/>
      <c r="AG45" s="262"/>
      <c r="AH45" s="225" t="n">
        <f aca="false">AH44*$D$2</f>
        <v>1381.50775</v>
      </c>
      <c r="AI45" s="225"/>
      <c r="AJ45" s="225" t="n">
        <f aca="false">AJ44*$D$2</f>
        <v>0</v>
      </c>
      <c r="AK45" s="225" t="n">
        <f aca="false">AK44*$D$2</f>
        <v>2106.59601</v>
      </c>
      <c r="AL45" s="225" t="n">
        <f aca="false">AL44*$D$2</f>
        <v>335.934656</v>
      </c>
      <c r="AM45" s="233" t="n">
        <f aca="false">AM44*$D$2</f>
        <v>2442.530666</v>
      </c>
      <c r="AN45" s="225" t="n">
        <f aca="false">AN44*$D$2</f>
        <v>537.9252</v>
      </c>
      <c r="AO45" s="225" t="n">
        <f aca="false">AO44*$D$2</f>
        <v>0</v>
      </c>
      <c r="AP45" s="143"/>
      <c r="AQ45" s="143"/>
      <c r="AR45" s="143"/>
      <c r="AS45" s="308"/>
      <c r="AV45" s="232"/>
      <c r="AW45" s="225" t="n">
        <f aca="false">MAX(AW15:AW42)</f>
        <v>66</v>
      </c>
      <c r="AX45" s="225" t="n">
        <f aca="false">MAX(AX15:AX42)</f>
        <v>32</v>
      </c>
      <c r="AY45" s="233" t="s">
        <v>107</v>
      </c>
      <c r="AZ45" s="325" t="n">
        <f aca="false">AZ44*$D$2</f>
        <v>187.16306</v>
      </c>
      <c r="BA45" s="193" t="n">
        <f aca="false">BA44*D2</f>
        <v>0</v>
      </c>
      <c r="BB45" s="264"/>
    </row>
    <row r="46" customFormat="false" ht="3" hidden="false" customHeight="true" outlineLevel="0" collapsed="false">
      <c r="A46" s="244"/>
      <c r="B46" s="266"/>
      <c r="C46" s="246"/>
      <c r="D46" s="246"/>
      <c r="E46" s="246"/>
      <c r="F46" s="270"/>
      <c r="G46" s="246"/>
      <c r="H46" s="256"/>
      <c r="I46" s="246"/>
      <c r="J46" s="246"/>
      <c r="K46" s="246"/>
      <c r="L46" s="246"/>
      <c r="M46" s="271"/>
      <c r="N46" s="246"/>
      <c r="O46" s="246"/>
      <c r="P46" s="251"/>
      <c r="Q46" s="246"/>
      <c r="R46" s="246"/>
      <c r="S46" s="256"/>
      <c r="T46" s="256"/>
      <c r="U46" s="252"/>
      <c r="V46" s="246"/>
      <c r="W46" s="246"/>
      <c r="X46" s="246"/>
      <c r="Y46" s="246"/>
      <c r="Z46" s="246"/>
      <c r="AA46" s="246"/>
      <c r="AB46" s="246"/>
      <c r="AC46" s="253"/>
      <c r="AD46" s="246"/>
      <c r="AE46" s="246"/>
      <c r="AF46" s="271"/>
      <c r="AG46" s="272"/>
      <c r="AH46" s="246"/>
      <c r="AI46" s="247"/>
      <c r="AJ46" s="246"/>
      <c r="AK46" s="246"/>
      <c r="AL46" s="246"/>
      <c r="AM46" s="270"/>
      <c r="AN46" s="256"/>
      <c r="AO46" s="256"/>
      <c r="AP46" s="246"/>
      <c r="AQ46" s="246"/>
      <c r="AR46" s="246"/>
      <c r="AS46" s="256"/>
      <c r="AT46" s="315"/>
      <c r="AU46" s="315"/>
      <c r="AV46" s="274"/>
      <c r="AW46" s="246"/>
      <c r="AX46" s="246"/>
      <c r="AY46" s="246"/>
      <c r="AZ46" s="246"/>
      <c r="BA46" s="246"/>
      <c r="BB46" s="246"/>
    </row>
    <row r="47" customFormat="false" ht="12.95" hidden="false" customHeight="true" outlineLevel="0" collapsed="false">
      <c r="A47" s="194" t="s">
        <v>108</v>
      </c>
      <c r="B47" s="230"/>
      <c r="C47" s="225"/>
      <c r="D47" s="225"/>
      <c r="E47" s="225"/>
      <c r="F47" s="233"/>
      <c r="G47" s="225"/>
      <c r="H47" s="225"/>
      <c r="I47" s="225"/>
      <c r="J47" s="225"/>
      <c r="K47" s="225"/>
      <c r="L47" s="225"/>
      <c r="M47" s="326"/>
      <c r="N47" s="225"/>
      <c r="O47" s="225"/>
      <c r="P47" s="171"/>
      <c r="Q47" s="225"/>
      <c r="R47" s="225"/>
      <c r="S47" s="225"/>
      <c r="T47" s="225"/>
      <c r="U47" s="227"/>
      <c r="V47" s="225"/>
      <c r="W47" s="225"/>
      <c r="X47" s="225"/>
      <c r="Y47" s="225"/>
      <c r="Z47" s="225"/>
      <c r="AA47" s="225"/>
      <c r="AB47" s="225"/>
      <c r="AC47" s="144"/>
      <c r="AD47" s="225"/>
      <c r="AE47" s="225"/>
      <c r="AF47" s="261"/>
      <c r="AG47" s="262"/>
      <c r="AH47" s="225"/>
      <c r="AI47" s="225"/>
      <c r="AJ47" s="225"/>
      <c r="AK47" s="225"/>
      <c r="AL47" s="225"/>
      <c r="AM47" s="233"/>
      <c r="AN47" s="225"/>
      <c r="AO47" s="225"/>
      <c r="AP47" s="225"/>
      <c r="AQ47" s="225"/>
      <c r="AR47" s="225"/>
      <c r="AS47" s="328"/>
      <c r="AV47" s="230"/>
      <c r="AW47" s="225" t="n">
        <f aca="false">MIN(AW15:AW42)</f>
        <v>39</v>
      </c>
      <c r="AX47" s="225" t="n">
        <f aca="false">MIN(AX15:AX42)</f>
        <v>13</v>
      </c>
      <c r="AY47" s="233" t="s">
        <v>109</v>
      </c>
      <c r="AZ47" s="325"/>
      <c r="BB47" s="264"/>
    </row>
    <row r="48" customFormat="false" ht="12.95" hidden="false" customHeight="true" outlineLevel="0" collapsed="false">
      <c r="A48" s="194" t="s">
        <v>110</v>
      </c>
      <c r="B48" s="230"/>
      <c r="C48" s="225"/>
      <c r="D48" s="225"/>
      <c r="E48" s="225"/>
      <c r="F48" s="233"/>
      <c r="G48" s="225"/>
      <c r="H48" s="225"/>
      <c r="I48" s="225"/>
      <c r="J48" s="225"/>
      <c r="K48" s="225"/>
      <c r="L48" s="225"/>
      <c r="M48" s="326"/>
      <c r="N48" s="225"/>
      <c r="O48" s="225"/>
      <c r="P48" s="171"/>
      <c r="Q48" s="225"/>
      <c r="R48" s="225"/>
      <c r="S48" s="225"/>
      <c r="T48" s="225"/>
      <c r="U48" s="227"/>
      <c r="V48" s="225"/>
      <c r="W48" s="225"/>
      <c r="X48" s="225"/>
      <c r="Y48" s="225"/>
      <c r="Z48" s="225"/>
      <c r="AA48" s="225"/>
      <c r="AB48" s="225"/>
      <c r="AC48" s="144"/>
      <c r="AD48" s="225"/>
      <c r="AE48" s="225"/>
      <c r="AF48" s="261"/>
      <c r="AG48" s="262"/>
      <c r="AH48" s="225"/>
      <c r="AI48" s="225"/>
      <c r="AJ48" s="225"/>
      <c r="AK48" s="225"/>
      <c r="AL48" s="225"/>
      <c r="AM48" s="233"/>
      <c r="AN48" s="225"/>
      <c r="AO48" s="225"/>
      <c r="AP48" s="225"/>
      <c r="AQ48" s="225"/>
      <c r="AR48" s="225"/>
      <c r="AS48" s="328"/>
      <c r="AV48" s="230"/>
      <c r="AW48" s="225"/>
      <c r="AX48" s="225"/>
      <c r="AY48" s="264"/>
      <c r="AZ48" s="325"/>
      <c r="BB48" s="264"/>
    </row>
    <row r="49" customFormat="false" ht="3" hidden="false" customHeight="true" outlineLevel="0" collapsed="false">
      <c r="A49" s="244"/>
      <c r="B49" s="255"/>
      <c r="C49" s="256"/>
      <c r="D49" s="256"/>
      <c r="E49" s="256"/>
      <c r="F49" s="289"/>
      <c r="G49" s="256"/>
      <c r="H49" s="256"/>
      <c r="I49" s="256"/>
      <c r="J49" s="256"/>
      <c r="K49" s="256"/>
      <c r="L49" s="256"/>
      <c r="M49" s="329"/>
      <c r="N49" s="256"/>
      <c r="O49" s="256"/>
      <c r="P49" s="251"/>
      <c r="Q49" s="256"/>
      <c r="R49" s="256"/>
      <c r="S49" s="256"/>
      <c r="T49" s="256"/>
      <c r="U49" s="252"/>
      <c r="V49" s="256"/>
      <c r="W49" s="256"/>
      <c r="X49" s="256"/>
      <c r="Y49" s="256"/>
      <c r="Z49" s="256"/>
      <c r="AA49" s="256"/>
      <c r="AB49" s="256"/>
      <c r="AC49" s="253"/>
      <c r="AD49" s="256"/>
      <c r="AE49" s="256"/>
      <c r="AF49" s="329"/>
      <c r="AG49" s="291"/>
      <c r="AH49" s="256"/>
      <c r="AI49" s="256"/>
      <c r="AJ49" s="256"/>
      <c r="AK49" s="256"/>
      <c r="AL49" s="256"/>
      <c r="AM49" s="289"/>
      <c r="AN49" s="256"/>
      <c r="AO49" s="256"/>
      <c r="AP49" s="256"/>
      <c r="AQ49" s="256"/>
      <c r="AR49" s="256"/>
      <c r="AS49" s="256"/>
      <c r="AT49" s="315"/>
      <c r="AU49" s="315"/>
      <c r="AV49" s="255"/>
      <c r="AW49" s="256"/>
      <c r="AX49" s="256"/>
      <c r="AY49" s="256"/>
      <c r="AZ49" s="256"/>
      <c r="BA49" s="275"/>
      <c r="BB49" s="256"/>
    </row>
    <row r="50" customFormat="false" ht="12.95" hidden="false" customHeight="true" outlineLevel="0" collapsed="false">
      <c r="A50" s="194" t="s">
        <v>111</v>
      </c>
      <c r="B50" s="230"/>
      <c r="C50" s="225"/>
      <c r="D50" s="225"/>
      <c r="E50" s="225"/>
      <c r="F50" s="233" t="n">
        <f aca="false">F13+F44</f>
        <v>186.538946307033</v>
      </c>
      <c r="G50" s="225" t="n">
        <f aca="false">G13+G44</f>
        <v>8720</v>
      </c>
      <c r="H50" s="225" t="n">
        <f aca="false">H13+H44</f>
        <v>37.692</v>
      </c>
      <c r="I50" s="225" t="n">
        <f aca="false">I13+I44</f>
        <v>8757.072</v>
      </c>
      <c r="J50" s="225" t="n">
        <f aca="false">J13+J44</f>
        <v>1483.09801058735</v>
      </c>
      <c r="K50" s="225" t="n">
        <f aca="false">K13+K44</f>
        <v>10240.1700105873</v>
      </c>
      <c r="L50" s="225" t="n">
        <f aca="false">L13+L44</f>
        <v>-645.963053692967</v>
      </c>
      <c r="M50" s="326" t="n">
        <f aca="false">M13+M44</f>
        <v>385.88</v>
      </c>
      <c r="N50" s="225" t="n">
        <f aca="false">N13+N44</f>
        <v>0</v>
      </c>
      <c r="O50" s="225" t="n">
        <f aca="false">O13+O44</f>
        <v>0</v>
      </c>
      <c r="P50" s="225" t="n">
        <f aca="false">P13+P44</f>
        <v>0</v>
      </c>
      <c r="Q50" s="225" t="n">
        <f aca="false">Q13+Q44</f>
        <v>176.589683260945</v>
      </c>
      <c r="R50" s="225" t="n">
        <f aca="false">R13+R44</f>
        <v>188.15816032</v>
      </c>
      <c r="S50" s="225" t="n">
        <f aca="false">S13+S44</f>
        <v>0</v>
      </c>
      <c r="T50" s="225" t="n">
        <f aca="false">T13+T44</f>
        <v>60.58393536</v>
      </c>
      <c r="U50" s="327" t="n">
        <f aca="false">U13+U44</f>
        <v>-39.4517789409449</v>
      </c>
      <c r="V50" s="225" t="n">
        <f aca="false">V13+V44</f>
        <v>4455.19</v>
      </c>
      <c r="W50" s="225" t="n">
        <f aca="false">W13+W44</f>
        <v>0</v>
      </c>
      <c r="X50" s="225" t="n">
        <f aca="false">X13+X44</f>
        <v>4423.15345</v>
      </c>
      <c r="Y50" s="225" t="n">
        <f aca="false">Y13+Y44</f>
        <v>4423.15345</v>
      </c>
      <c r="Z50" s="225"/>
      <c r="AA50" s="225"/>
      <c r="AB50" s="225"/>
      <c r="AC50" s="144" t="n">
        <f aca="false">AC13+AC44</f>
        <v>1714.13281966001</v>
      </c>
      <c r="AD50" s="225"/>
      <c r="AE50" s="225"/>
      <c r="AF50" s="261"/>
      <c r="AG50" s="262"/>
      <c r="AH50" s="225" t="n">
        <f aca="false">AH13+AH44</f>
        <v>3083.5</v>
      </c>
      <c r="AI50" s="225" t="n">
        <f aca="false">AI42</f>
        <v>1051.04923115706</v>
      </c>
      <c r="AJ50" s="225" t="n">
        <f aca="false">AJ13+AJ44</f>
        <v>0</v>
      </c>
      <c r="AK50" s="225" t="n">
        <f aca="false">AK13+AK44</f>
        <v>7924.57</v>
      </c>
      <c r="AL50" s="225" t="n">
        <f aca="false">AL13+AL44</f>
        <v>2129.06106428031</v>
      </c>
      <c r="AM50" s="233" t="n">
        <f aca="false">AM13+AM44</f>
        <v>10053.6310642803</v>
      </c>
      <c r="AN50" s="225" t="n">
        <f aca="false">AN13+AN44</f>
        <v>4455.19</v>
      </c>
      <c r="AO50" s="225" t="n">
        <f aca="false">AO13+AO44</f>
        <v>0</v>
      </c>
      <c r="AP50" s="225"/>
      <c r="AQ50" s="225"/>
      <c r="AR50" s="225"/>
      <c r="AS50" s="328"/>
      <c r="AV50" s="330" t="n">
        <f aca="false">AV13+AV44</f>
        <v>4.98</v>
      </c>
      <c r="AW50" s="225"/>
      <c r="AX50" s="225"/>
      <c r="AY50" s="264"/>
      <c r="AZ50" s="325" t="n">
        <f aca="false">AZ13+AZ44</f>
        <v>385.88</v>
      </c>
      <c r="BA50" s="243" t="n">
        <f aca="false">BA44+BA13</f>
        <v>12.2</v>
      </c>
      <c r="BB50" s="264"/>
    </row>
    <row r="51" customFormat="false" ht="12.95" hidden="false" customHeight="true" outlineLevel="0" collapsed="false">
      <c r="A51" s="194" t="s">
        <v>112</v>
      </c>
      <c r="B51" s="230"/>
      <c r="C51" s="225"/>
      <c r="D51" s="225" t="n">
        <f aca="false">D13+D45</f>
        <v>370</v>
      </c>
      <c r="E51" s="114" t="n">
        <f aca="false">E42</f>
        <v>34110</v>
      </c>
      <c r="F51" s="233" t="n">
        <f aca="false">F50*$D$2</f>
        <v>370</v>
      </c>
      <c r="G51" s="225" t="n">
        <f aca="false">G50*$D$2</f>
        <v>17296.12</v>
      </c>
      <c r="H51" s="225" t="n">
        <f aca="false">H50*$D$2</f>
        <v>74.762082</v>
      </c>
      <c r="I51" s="225" t="n">
        <f aca="false">I50*$D$2</f>
        <v>17369.652312</v>
      </c>
      <c r="J51" s="225" t="n">
        <f aca="false">J50*$D$2</f>
        <v>2941.724904</v>
      </c>
      <c r="K51" s="225" t="n">
        <f aca="false">K50*$D$2</f>
        <v>20311.377216</v>
      </c>
      <c r="L51" s="225" t="n">
        <f aca="false">L50*$D$2</f>
        <v>-1281.267717</v>
      </c>
      <c r="M51" s="326" t="n">
        <f aca="false">M50*$D$2</f>
        <v>765.39298</v>
      </c>
      <c r="N51" s="225" t="n">
        <f aca="false">N50*$D$2</f>
        <v>0</v>
      </c>
      <c r="O51" s="225" t="n">
        <f aca="false">O50*$D$2</f>
        <v>0</v>
      </c>
      <c r="P51" s="225" t="n">
        <f aca="false">P50*$D$2</f>
        <v>0</v>
      </c>
      <c r="Q51" s="225" t="n">
        <f aca="false">Q50*$D$2</f>
        <v>350.265636748084</v>
      </c>
      <c r="R51" s="225" t="n">
        <f aca="false">R50*$D$2</f>
        <v>373.21171099472</v>
      </c>
      <c r="S51" s="225" t="n">
        <f aca="false">S50*$D$2</f>
        <v>0</v>
      </c>
      <c r="T51" s="225" t="n">
        <f aca="false">T50*$D$2</f>
        <v>120.16823578656</v>
      </c>
      <c r="U51" s="327" t="n">
        <f aca="false">U50*$D$2</f>
        <v>-78.2526035293643</v>
      </c>
      <c r="V51" s="225" t="n">
        <f aca="false">V50*$D$2</f>
        <v>8836.869365</v>
      </c>
      <c r="W51" s="225" t="n">
        <f aca="false">W50*$D$2</f>
        <v>0</v>
      </c>
      <c r="X51" s="225" t="n">
        <f aca="false">X50*$D$2</f>
        <v>8773.324868075</v>
      </c>
      <c r="Y51" s="225" t="n">
        <f aca="false">Y50*$D$2</f>
        <v>8773.324868075</v>
      </c>
      <c r="Z51" s="225"/>
      <c r="AA51" s="225"/>
      <c r="AB51" s="225"/>
      <c r="AC51" s="144" t="n">
        <f aca="false">AC50*$D$2</f>
        <v>3399.98244779563</v>
      </c>
      <c r="AD51" s="225"/>
      <c r="AE51" s="225"/>
      <c r="AF51" s="261"/>
      <c r="AG51" s="262"/>
      <c r="AH51" s="225" t="n">
        <f aca="false">AH50*$D$2</f>
        <v>6116.12225</v>
      </c>
      <c r="AI51" s="225" t="n">
        <f aca="false">AI50*$D$2</f>
        <v>2084.75615000002</v>
      </c>
      <c r="AJ51" s="225" t="n">
        <f aca="false">AJ50*$D$2</f>
        <v>0</v>
      </c>
      <c r="AK51" s="225" t="n">
        <f aca="false">AK50*$D$2</f>
        <v>15718.384595</v>
      </c>
      <c r="AL51" s="225" t="n">
        <f aca="false">AL50*$D$2</f>
        <v>4222.992621</v>
      </c>
      <c r="AM51" s="331" t="n">
        <f aca="false">AM50*$D$2</f>
        <v>19941.377216</v>
      </c>
      <c r="AN51" s="225" t="n">
        <f aca="false">AN50*$D$2</f>
        <v>8836.869365</v>
      </c>
      <c r="AO51" s="225" t="n">
        <f aca="false">AO50*$D$2</f>
        <v>0</v>
      </c>
      <c r="AP51" s="225"/>
      <c r="AQ51" s="225"/>
      <c r="AR51" s="225"/>
      <c r="AS51" s="328"/>
      <c r="AT51" s="332"/>
      <c r="AV51" s="230"/>
      <c r="AW51" s="225"/>
      <c r="AX51" s="225"/>
      <c r="AY51" s="264"/>
      <c r="AZ51" s="325" t="n">
        <f aca="false">AZ50*$D$2</f>
        <v>765.39298</v>
      </c>
      <c r="BA51" s="193" t="n">
        <f aca="false">BA50*D2</f>
        <v>24.1987</v>
      </c>
      <c r="BB51" s="264"/>
    </row>
    <row r="52" customFormat="false" ht="3" hidden="false" customHeight="true" outlineLevel="0" collapsed="false">
      <c r="A52" s="244"/>
      <c r="B52" s="266"/>
      <c r="C52" s="246"/>
      <c r="D52" s="247"/>
      <c r="E52" s="246"/>
      <c r="F52" s="248"/>
      <c r="G52" s="247"/>
      <c r="H52" s="313"/>
      <c r="I52" s="247"/>
      <c r="J52" s="247"/>
      <c r="K52" s="247"/>
      <c r="L52" s="247"/>
      <c r="M52" s="250"/>
      <c r="N52" s="247"/>
      <c r="O52" s="247"/>
      <c r="P52" s="251"/>
      <c r="Q52" s="247"/>
      <c r="R52" s="247"/>
      <c r="S52" s="251"/>
      <c r="T52" s="251"/>
      <c r="U52" s="252"/>
      <c r="V52" s="247"/>
      <c r="W52" s="247"/>
      <c r="X52" s="247"/>
      <c r="Y52" s="247"/>
      <c r="Z52" s="247"/>
      <c r="AA52" s="247"/>
      <c r="AB52" s="246"/>
      <c r="AC52" s="253"/>
      <c r="AD52" s="246"/>
      <c r="AE52" s="247"/>
      <c r="AF52" s="250"/>
      <c r="AG52" s="254"/>
      <c r="AH52" s="247"/>
      <c r="AI52" s="246"/>
      <c r="AJ52" s="314"/>
      <c r="AK52" s="247"/>
      <c r="AL52" s="247"/>
      <c r="AM52" s="247"/>
      <c r="AN52" s="255"/>
      <c r="AO52" s="256"/>
      <c r="AP52" s="247"/>
      <c r="AQ52" s="247"/>
      <c r="AR52" s="247"/>
      <c r="AS52" s="256"/>
      <c r="AT52" s="315"/>
      <c r="AU52" s="315"/>
      <c r="AV52" s="266"/>
      <c r="AW52" s="247"/>
      <c r="AX52" s="247"/>
      <c r="AY52" s="247"/>
      <c r="AZ52" s="247"/>
      <c r="BA52" s="247"/>
      <c r="BB52" s="247"/>
    </row>
    <row r="53" customFormat="false" ht="11.1" hidden="false" customHeight="true" outlineLevel="0" collapsed="false">
      <c r="A53" s="194"/>
      <c r="B53" s="281"/>
      <c r="D53" s="194"/>
      <c r="F53" s="194"/>
      <c r="G53" s="194"/>
      <c r="I53" s="194"/>
      <c r="J53" s="194"/>
      <c r="K53" s="194"/>
      <c r="L53" s="194"/>
      <c r="M53" s="194"/>
      <c r="N53" s="194"/>
      <c r="O53" s="194"/>
      <c r="Q53" s="194"/>
      <c r="R53" s="194"/>
      <c r="V53" s="194"/>
      <c r="W53" s="194"/>
      <c r="X53" s="194"/>
      <c r="Y53" s="194"/>
      <c r="Z53" s="194"/>
      <c r="AA53" s="194"/>
      <c r="AB53" s="161"/>
      <c r="AD53" s="161"/>
      <c r="AE53" s="194"/>
      <c r="AF53" s="194"/>
      <c r="AG53" s="194"/>
      <c r="AH53" s="194"/>
      <c r="AI53" s="161"/>
      <c r="AJ53" s="237"/>
      <c r="AK53" s="194"/>
      <c r="AL53" s="194"/>
      <c r="AM53" s="194"/>
      <c r="AP53" s="197"/>
      <c r="AQ53" s="333"/>
      <c r="AR53" s="333"/>
    </row>
    <row r="54" customFormat="false" ht="11.1" hidden="false" customHeight="true" outlineLevel="0" collapsed="false">
      <c r="A54" s="194"/>
      <c r="B54" s="282"/>
      <c r="F54" s="194"/>
      <c r="G54" s="194"/>
      <c r="H54" s="334"/>
      <c r="I54" s="161"/>
      <c r="J54" s="194"/>
      <c r="K54" s="186"/>
      <c r="L54" s="194"/>
      <c r="M54" s="194"/>
      <c r="N54" s="194"/>
      <c r="O54" s="194"/>
      <c r="Q54" s="194"/>
      <c r="R54" s="194"/>
      <c r="V54" s="194"/>
      <c r="W54" s="194"/>
      <c r="X54" s="194"/>
      <c r="Y54" s="194"/>
      <c r="Z54" s="194"/>
      <c r="AA54" s="194"/>
      <c r="AB54" s="161"/>
      <c r="AD54" s="161"/>
      <c r="AE54" s="194"/>
      <c r="AF54" s="194"/>
      <c r="AG54" s="194"/>
      <c r="AH54" s="194"/>
      <c r="AI54" s="161"/>
      <c r="AJ54" s="237"/>
      <c r="AK54" s="194"/>
      <c r="AL54" s="194"/>
      <c r="AM54" s="194"/>
      <c r="AN54" s="192"/>
      <c r="AO54" s="192"/>
      <c r="AP54" s="197"/>
      <c r="AQ54" s="333"/>
      <c r="AR54" s="333"/>
      <c r="AX54" s="191"/>
    </row>
    <row r="55" customFormat="false" ht="11.1" hidden="false" customHeight="true" outlineLevel="0" collapsed="false">
      <c r="D55" s="161"/>
      <c r="I55" s="161"/>
      <c r="X55" s="56"/>
      <c r="Y55" s="56"/>
      <c r="Z55" s="56"/>
      <c r="AA55" s="56"/>
      <c r="AB55" s="161"/>
      <c r="AD55" s="161"/>
      <c r="AH55" s="56"/>
      <c r="AI55" s="161"/>
      <c r="AJ55" s="237"/>
      <c r="AM55" s="56"/>
      <c r="AN55" s="192"/>
      <c r="AO55" s="192"/>
      <c r="AP55" s="189"/>
      <c r="AQ55" s="72"/>
      <c r="AR55" s="72"/>
      <c r="AX55" s="191"/>
    </row>
    <row r="56" customFormat="false" ht="11.1" hidden="false" customHeight="true" outlineLevel="0" collapsed="false">
      <c r="B56" s="8"/>
      <c r="D56" s="161"/>
      <c r="I56" s="161"/>
      <c r="X56" s="56"/>
      <c r="Y56" s="56"/>
      <c r="Z56" s="56"/>
      <c r="AA56" s="56"/>
      <c r="AB56" s="161"/>
      <c r="AD56" s="161"/>
      <c r="AH56" s="56"/>
      <c r="AI56" s="161"/>
      <c r="AJ56" s="237"/>
      <c r="AM56" s="56"/>
      <c r="AN56" s="192"/>
      <c r="AO56" s="192"/>
      <c r="AP56" s="189"/>
      <c r="AQ56" s="72"/>
      <c r="AR56" s="72"/>
      <c r="AX56" s="191"/>
    </row>
    <row r="57" customFormat="false" ht="11.1" hidden="false" customHeight="true" outlineLevel="0" collapsed="false">
      <c r="G57" s="283"/>
      <c r="X57" s="56"/>
      <c r="Y57" s="56"/>
      <c r="Z57" s="56"/>
      <c r="AA57" s="56"/>
      <c r="AB57" s="161"/>
      <c r="AD57" s="161"/>
      <c r="AH57" s="56"/>
      <c r="AI57" s="161"/>
      <c r="AJ57" s="237"/>
      <c r="AM57" s="56"/>
      <c r="AN57" s="192"/>
      <c r="AO57" s="192"/>
      <c r="AP57" s="189"/>
      <c r="AQ57" s="72"/>
      <c r="AR57" s="72"/>
      <c r="AX57" s="191"/>
    </row>
    <row r="58" customFormat="false" ht="11.1" hidden="false" customHeight="true" outlineLevel="0" collapsed="false">
      <c r="X58" s="56"/>
      <c r="Y58" s="56"/>
      <c r="Z58" s="56"/>
      <c r="AA58" s="56"/>
      <c r="AB58" s="161"/>
      <c r="AD58" s="161"/>
      <c r="AH58" s="56"/>
      <c r="AI58" s="161"/>
      <c r="AJ58" s="237"/>
      <c r="AM58" s="56"/>
      <c r="AN58" s="192"/>
      <c r="AO58" s="192"/>
      <c r="AX58" s="191"/>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6" width="4.66"/>
    <col collapsed="false" customWidth="true" hidden="false" outlineLevel="0" max="2" min="2" style="56" width="6.99"/>
    <col collapsed="false" customWidth="true" hidden="false" outlineLevel="0" max="3" min="3" style="161" width="6.32"/>
    <col collapsed="false" customWidth="true" hidden="false" outlineLevel="0" max="4" min="4" style="56" width="6.32"/>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188" width="5.66"/>
    <col collapsed="false" customWidth="true" hidden="false" outlineLevel="0" max="11" min="9" style="56" width="6.32"/>
    <col collapsed="false" customWidth="true" hidden="false" outlineLevel="0" max="12" min="12" style="56" width="6.82"/>
    <col collapsed="false" customWidth="true" hidden="false" outlineLevel="0" max="13" min="13" style="111" width="5.49"/>
    <col collapsed="false" customWidth="true" hidden="false" outlineLevel="0" max="14" min="14" style="111" width="4.49"/>
    <col collapsed="false" customWidth="true" hidden="false" outlineLevel="0" max="15" min="15" style="111" width="5.49"/>
    <col collapsed="false" customWidth="true" hidden="false" outlineLevel="0" max="16" min="16" style="8" width="4.82"/>
    <col collapsed="false" customWidth="true" hidden="false" outlineLevel="0" max="18" min="17" style="111" width="4.32"/>
    <col collapsed="false" customWidth="true" hidden="false" outlineLevel="0" max="20" min="19" style="56" width="4.32"/>
    <col collapsed="false" customWidth="true" hidden="false" outlineLevel="0" max="21" min="21" style="300" width="5.16"/>
    <col collapsed="false" customWidth="true" hidden="false" outlineLevel="0" max="23" min="22" style="56" width="5.49"/>
    <col collapsed="false" customWidth="true" hidden="false" outlineLevel="0" max="27" min="24" style="161" width="6.32"/>
    <col collapsed="false" customWidth="true" hidden="false" outlineLevel="0" max="28" min="28" style="56" width="5.49"/>
    <col collapsed="false" customWidth="true" hidden="false" outlineLevel="0" max="29" min="29" style="111" width="5.82"/>
    <col collapsed="false" customWidth="true" hidden="false" outlineLevel="0" max="33" min="30" style="56" width="5.49"/>
    <col collapsed="false" customWidth="true" hidden="false" outlineLevel="0" max="34" min="34" style="161" width="6.32"/>
    <col collapsed="false" customWidth="true" hidden="false" outlineLevel="0" max="35" min="35" style="56" width="5.49"/>
    <col collapsed="false" customWidth="true" hidden="false" outlineLevel="0" max="36" min="36" style="335" width="6.32"/>
    <col collapsed="false" customWidth="true" hidden="false" outlineLevel="0" max="37" min="37" style="56" width="6.32"/>
    <col collapsed="false" customWidth="true" hidden="false" outlineLevel="0" max="38" min="38" style="56" width="6.82"/>
    <col collapsed="false" customWidth="true" hidden="false" outlineLevel="0" max="39" min="39" style="8" width="6.82"/>
    <col collapsed="false" customWidth="true" hidden="false" outlineLevel="0" max="40" min="40" style="191" width="5.49"/>
    <col collapsed="false" customWidth="true" hidden="false" outlineLevel="0" max="41" min="41" style="111" width="5.49"/>
    <col collapsed="false" customWidth="true" hidden="false" outlineLevel="0" max="43" min="42" style="56" width="6.32"/>
    <col collapsed="false" customWidth="true" hidden="false" outlineLevel="0" max="44" min="44" style="56" width="5.49"/>
    <col collapsed="false" customWidth="true" hidden="false" outlineLevel="0" max="45" min="45" style="56" width="5.32"/>
    <col collapsed="false" customWidth="true" hidden="false" outlineLevel="0" max="46" min="46" style="294" width="5.82"/>
    <col collapsed="false" customWidth="true" hidden="false" outlineLevel="0" max="47" min="47" style="189" width="4.99"/>
    <col collapsed="false" customWidth="true" hidden="false" outlineLevel="0" max="48" min="48" style="188" width="5.32"/>
    <col collapsed="false" customWidth="true" hidden="false" outlineLevel="0" max="49" min="49" style="191" width="3.82"/>
    <col collapsed="false" customWidth="true" hidden="false" outlineLevel="0" max="50" min="50" style="192" width="3.82"/>
    <col collapsed="false" customWidth="true" hidden="false" outlineLevel="0" max="51" min="51" style="193" width="3.82"/>
    <col collapsed="false" customWidth="true" hidden="false" outlineLevel="0" max="52" min="52" style="193" width="5.49"/>
    <col collapsed="false" customWidth="false" hidden="false" outlineLevel="0" max="257" min="53" style="193" width="9.32"/>
  </cols>
  <sheetData>
    <row r="1" customFormat="false" ht="14.1" hidden="false" customHeight="true" outlineLevel="0" collapsed="false">
      <c r="A1" s="194"/>
      <c r="B1" s="194"/>
      <c r="D1" s="194"/>
      <c r="F1" s="194"/>
      <c r="G1" s="194"/>
      <c r="I1" s="194"/>
      <c r="J1" s="194"/>
      <c r="K1" s="196" t="s">
        <v>0</v>
      </c>
      <c r="L1" s="194"/>
      <c r="M1" s="194"/>
      <c r="N1" s="194"/>
      <c r="O1" s="194"/>
      <c r="Q1" s="194"/>
      <c r="R1" s="194"/>
      <c r="S1" s="194"/>
      <c r="T1" s="194"/>
      <c r="V1" s="194"/>
      <c r="W1" s="194"/>
      <c r="AB1" s="194"/>
      <c r="AD1" s="194"/>
      <c r="AE1" s="194"/>
      <c r="AF1" s="194"/>
      <c r="AG1" s="194"/>
      <c r="AI1" s="194"/>
      <c r="AK1" s="194"/>
      <c r="AL1" s="194"/>
      <c r="AN1" s="296"/>
      <c r="AO1" s="335"/>
      <c r="AP1" s="197"/>
    </row>
    <row r="2" customFormat="false" ht="14.1" hidden="false" customHeight="true" outlineLevel="0" collapsed="false">
      <c r="A2" s="197" t="s">
        <v>1</v>
      </c>
      <c r="B2" s="194"/>
      <c r="D2" s="198" t="n">
        <v>1.9835</v>
      </c>
      <c r="F2" s="194"/>
      <c r="G2" s="194"/>
      <c r="I2" s="194"/>
      <c r="J2" s="194"/>
      <c r="K2" s="299" t="s">
        <v>124</v>
      </c>
      <c r="L2" s="299"/>
      <c r="M2" s="299"/>
      <c r="N2" s="299"/>
      <c r="O2" s="299"/>
      <c r="P2" s="299"/>
      <c r="Q2" s="299"/>
      <c r="R2" s="299"/>
      <c r="S2" s="299"/>
      <c r="T2" s="299"/>
      <c r="V2" s="200"/>
      <c r="W2" s="200"/>
      <c r="X2" s="90"/>
      <c r="Y2" s="90"/>
      <c r="Z2" s="90"/>
      <c r="AA2" s="90"/>
      <c r="AB2" s="200"/>
      <c r="AC2" s="201"/>
      <c r="AD2" s="200"/>
      <c r="AE2" s="194"/>
      <c r="AF2" s="194"/>
      <c r="AG2" s="194"/>
      <c r="AI2" s="194"/>
      <c r="AK2" s="194"/>
      <c r="AL2" s="194"/>
      <c r="AN2" s="296"/>
      <c r="AO2" s="335"/>
      <c r="AP2" s="197"/>
    </row>
    <row r="3" customFormat="false" ht="14.1" hidden="false" customHeight="true" outlineLevel="0" collapsed="false">
      <c r="A3" s="202"/>
      <c r="B3" s="202"/>
      <c r="C3" s="203"/>
      <c r="D3" s="204"/>
      <c r="E3" s="203"/>
      <c r="F3" s="202"/>
      <c r="G3" s="202"/>
      <c r="H3" s="211"/>
      <c r="I3" s="202"/>
      <c r="J3" s="202"/>
      <c r="K3" s="202"/>
      <c r="L3" s="202"/>
      <c r="M3" s="202"/>
      <c r="N3" s="202"/>
      <c r="O3" s="202"/>
      <c r="P3" s="206"/>
      <c r="Q3" s="202"/>
      <c r="R3" s="202"/>
      <c r="S3" s="202"/>
      <c r="T3" s="202"/>
      <c r="U3" s="336"/>
      <c r="V3" s="202"/>
      <c r="W3" s="202"/>
      <c r="X3" s="203"/>
      <c r="Y3" s="203"/>
      <c r="Z3" s="203"/>
      <c r="AA3" s="203"/>
      <c r="AB3" s="202"/>
      <c r="AC3" s="207"/>
      <c r="AD3" s="202"/>
      <c r="AE3" s="202"/>
      <c r="AF3" s="202"/>
      <c r="AG3" s="202"/>
      <c r="AH3" s="203"/>
      <c r="AI3" s="202"/>
      <c r="AJ3" s="337"/>
      <c r="AK3" s="202"/>
      <c r="AL3" s="202"/>
      <c r="AM3" s="206"/>
      <c r="AN3" s="302"/>
      <c r="AO3" s="337"/>
      <c r="AP3" s="208"/>
      <c r="AQ3" s="209"/>
      <c r="AV3" s="211"/>
      <c r="AW3" s="212"/>
      <c r="AX3" s="213"/>
      <c r="BA3" s="214"/>
      <c r="BB3" s="214"/>
    </row>
    <row r="4" s="1" customFormat="true" ht="14.1" hidden="false" customHeight="true" outlineLevel="0" collapsed="false">
      <c r="A4" s="32"/>
      <c r="B4" s="33"/>
      <c r="C4" s="34"/>
      <c r="D4" s="35" t="s">
        <v>3</v>
      </c>
      <c r="E4" s="34"/>
      <c r="F4" s="32"/>
      <c r="G4" s="36"/>
      <c r="H4" s="36"/>
      <c r="I4" s="37" t="s">
        <v>114</v>
      </c>
      <c r="J4" s="36"/>
      <c r="K4" s="36"/>
      <c r="L4" s="38"/>
      <c r="M4" s="36"/>
      <c r="N4" s="36"/>
      <c r="O4" s="36"/>
      <c r="P4" s="39"/>
      <c r="Q4" s="36"/>
      <c r="R4" s="36"/>
      <c r="S4" s="36"/>
      <c r="T4" s="36"/>
      <c r="U4" s="39"/>
      <c r="V4" s="36"/>
      <c r="W4" s="36"/>
      <c r="X4" s="40" t="s">
        <v>121</v>
      </c>
      <c r="Y4" s="40"/>
      <c r="Z4" s="40"/>
      <c r="AA4" s="40"/>
      <c r="AB4" s="41"/>
      <c r="AC4" s="42"/>
      <c r="AD4" s="42"/>
      <c r="AE4" s="36"/>
      <c r="AF4" s="36"/>
      <c r="AG4" s="36"/>
      <c r="AH4" s="34"/>
      <c r="AI4" s="36"/>
      <c r="AJ4" s="43"/>
      <c r="AK4" s="36"/>
      <c r="AL4" s="36"/>
      <c r="AM4" s="39"/>
      <c r="AN4" s="44"/>
      <c r="AO4" s="45"/>
      <c r="AP4" s="46" t="s">
        <v>6</v>
      </c>
      <c r="AQ4" s="47"/>
      <c r="AR4" s="48"/>
      <c r="AS4" s="49"/>
      <c r="AT4" s="50"/>
      <c r="AU4" s="50"/>
      <c r="AV4" s="52"/>
      <c r="AW4" s="53" t="s">
        <v>7</v>
      </c>
      <c r="AX4" s="54"/>
      <c r="AY4" s="304"/>
      <c r="AZ4" s="338"/>
      <c r="BA4" s="71"/>
      <c r="BB4" s="217"/>
    </row>
    <row r="5" customFormat="false" ht="12.95" hidden="false" customHeight="true" outlineLevel="0" collapsed="false">
      <c r="A5" s="58" t="s">
        <v>8</v>
      </c>
      <c r="B5" s="59" t="s">
        <v>9</v>
      </c>
      <c r="C5" s="60" t="s">
        <v>9</v>
      </c>
      <c r="D5" s="61" t="s">
        <v>10</v>
      </c>
      <c r="E5" s="60" t="s">
        <v>11</v>
      </c>
      <c r="F5" s="62" t="s">
        <v>12</v>
      </c>
      <c r="G5" s="58" t="s">
        <v>13</v>
      </c>
      <c r="H5" s="58" t="s">
        <v>14</v>
      </c>
      <c r="I5" s="58" t="s">
        <v>15</v>
      </c>
      <c r="J5" s="58" t="s">
        <v>16</v>
      </c>
      <c r="K5" s="58" t="s">
        <v>17</v>
      </c>
      <c r="L5" s="82" t="s">
        <v>16</v>
      </c>
      <c r="M5" s="218" t="s">
        <v>18</v>
      </c>
      <c r="N5" s="218"/>
      <c r="O5" s="218"/>
      <c r="P5" s="218"/>
      <c r="Q5" s="218"/>
      <c r="R5" s="218"/>
      <c r="S5" s="218"/>
      <c r="T5" s="218"/>
      <c r="U5" s="218"/>
      <c r="V5" s="58" t="s">
        <v>19</v>
      </c>
      <c r="W5" s="58" t="s">
        <v>20</v>
      </c>
      <c r="X5" s="58" t="s">
        <v>17</v>
      </c>
      <c r="Y5" s="58" t="s">
        <v>17</v>
      </c>
      <c r="Z5" s="64" t="s">
        <v>21</v>
      </c>
      <c r="AA5" s="58" t="s">
        <v>21</v>
      </c>
      <c r="AB5" s="64" t="s">
        <v>21</v>
      </c>
      <c r="AC5" s="65" t="s">
        <v>22</v>
      </c>
      <c r="AD5" s="65" t="s">
        <v>21</v>
      </c>
      <c r="AE5" s="58" t="s">
        <v>23</v>
      </c>
      <c r="AF5" s="66" t="s">
        <v>24</v>
      </c>
      <c r="AG5" s="67"/>
      <c r="AH5" s="58" t="s">
        <v>25</v>
      </c>
      <c r="AI5" s="68" t="s">
        <v>26</v>
      </c>
      <c r="AJ5" s="68" t="s">
        <v>27</v>
      </c>
      <c r="AK5" s="58" t="s">
        <v>15</v>
      </c>
      <c r="AL5" s="58" t="s">
        <v>16</v>
      </c>
      <c r="AM5" s="61" t="s">
        <v>17</v>
      </c>
      <c r="AN5" s="69" t="s">
        <v>28</v>
      </c>
      <c r="AO5" s="65" t="s">
        <v>21</v>
      </c>
      <c r="AP5" s="64" t="s">
        <v>29</v>
      </c>
      <c r="AQ5" s="70" t="s">
        <v>29</v>
      </c>
      <c r="AR5" s="65" t="s">
        <v>30</v>
      </c>
      <c r="AS5" s="71" t="s">
        <v>31</v>
      </c>
      <c r="AT5" s="71" t="s">
        <v>32</v>
      </c>
      <c r="AU5" s="72" t="s">
        <v>33</v>
      </c>
      <c r="AV5" s="73" t="s">
        <v>34</v>
      </c>
      <c r="AW5" s="74" t="s">
        <v>35</v>
      </c>
      <c r="AX5" s="74" t="s">
        <v>36</v>
      </c>
      <c r="AY5" s="149"/>
      <c r="AZ5" s="305" t="s">
        <v>17</v>
      </c>
      <c r="BA5" s="221" t="s">
        <v>37</v>
      </c>
      <c r="BB5" s="222" t="s">
        <v>37</v>
      </c>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78" t="s">
        <v>125</v>
      </c>
      <c r="B6" s="59" t="s">
        <v>39</v>
      </c>
      <c r="C6" s="60"/>
      <c r="D6" s="61" t="s">
        <v>40</v>
      </c>
      <c r="E6" s="60" t="s">
        <v>41</v>
      </c>
      <c r="F6" s="62" t="s">
        <v>42</v>
      </c>
      <c r="G6" s="58" t="s">
        <v>43</v>
      </c>
      <c r="H6" s="58" t="s">
        <v>44</v>
      </c>
      <c r="I6" s="58" t="s">
        <v>45</v>
      </c>
      <c r="J6" s="58" t="s">
        <v>45</v>
      </c>
      <c r="K6" s="58" t="s">
        <v>45</v>
      </c>
      <c r="L6" s="82" t="s">
        <v>46</v>
      </c>
      <c r="M6" s="61" t="s">
        <v>47</v>
      </c>
      <c r="N6" s="61" t="s">
        <v>48</v>
      </c>
      <c r="O6" s="61" t="s">
        <v>49</v>
      </c>
      <c r="P6" s="80" t="s">
        <v>50</v>
      </c>
      <c r="Q6" s="61" t="s">
        <v>51</v>
      </c>
      <c r="R6" s="61" t="s">
        <v>52</v>
      </c>
      <c r="S6" s="61"/>
      <c r="T6" s="61" t="s">
        <v>49</v>
      </c>
      <c r="U6" s="81" t="s">
        <v>53</v>
      </c>
      <c r="V6" s="58" t="s">
        <v>54</v>
      </c>
      <c r="W6" s="58" t="s">
        <v>55</v>
      </c>
      <c r="X6" s="58" t="s">
        <v>21</v>
      </c>
      <c r="Y6" s="58" t="s">
        <v>21</v>
      </c>
      <c r="Z6" s="64" t="s">
        <v>56</v>
      </c>
      <c r="AA6" s="58" t="s">
        <v>56</v>
      </c>
      <c r="AB6" s="64" t="s">
        <v>57</v>
      </c>
      <c r="AC6" s="65" t="s">
        <v>58</v>
      </c>
      <c r="AD6" s="65" t="s">
        <v>59</v>
      </c>
      <c r="AE6" s="58" t="s">
        <v>60</v>
      </c>
      <c r="AF6" s="79" t="s">
        <v>61</v>
      </c>
      <c r="AG6" s="82" t="s">
        <v>62</v>
      </c>
      <c r="AH6" s="58" t="s">
        <v>63</v>
      </c>
      <c r="AI6" s="68" t="s">
        <v>64</v>
      </c>
      <c r="AJ6" s="68"/>
      <c r="AK6" s="58" t="s">
        <v>65</v>
      </c>
      <c r="AL6" s="58" t="s">
        <v>65</v>
      </c>
      <c r="AM6" s="61" t="s">
        <v>65</v>
      </c>
      <c r="AN6" s="69" t="s">
        <v>66</v>
      </c>
      <c r="AO6" s="65" t="s">
        <v>67</v>
      </c>
      <c r="AP6" s="64" t="s">
        <v>68</v>
      </c>
      <c r="AQ6" s="70" t="s">
        <v>68</v>
      </c>
      <c r="AR6" s="65" t="s">
        <v>69</v>
      </c>
      <c r="AS6" s="71" t="s">
        <v>70</v>
      </c>
      <c r="AT6" s="71" t="s">
        <v>71</v>
      </c>
      <c r="AU6" s="72" t="s">
        <v>72</v>
      </c>
      <c r="AV6" s="83"/>
      <c r="AW6" s="74" t="s">
        <v>73</v>
      </c>
      <c r="AX6" s="74" t="s">
        <v>73</v>
      </c>
      <c r="AY6" s="149"/>
      <c r="AZ6" s="305" t="s">
        <v>74</v>
      </c>
      <c r="BA6" s="221" t="s">
        <v>75</v>
      </c>
      <c r="BB6" s="222" t="s">
        <v>76</v>
      </c>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58"/>
      <c r="B7" s="59"/>
      <c r="C7" s="60"/>
      <c r="D7" s="61"/>
      <c r="E7" s="60"/>
      <c r="F7" s="62"/>
      <c r="G7" s="58"/>
      <c r="H7" s="58"/>
      <c r="I7" s="58"/>
      <c r="J7" s="58"/>
      <c r="K7" s="58"/>
      <c r="L7" s="82"/>
      <c r="M7" s="61"/>
      <c r="N7" s="61" t="s">
        <v>77</v>
      </c>
      <c r="O7" s="61" t="s">
        <v>78</v>
      </c>
      <c r="P7" s="80"/>
      <c r="Q7" s="61" t="s">
        <v>79</v>
      </c>
      <c r="R7" s="61" t="s">
        <v>79</v>
      </c>
      <c r="S7" s="61" t="s">
        <v>62</v>
      </c>
      <c r="T7" s="61" t="s">
        <v>62</v>
      </c>
      <c r="U7" s="81" t="s">
        <v>80</v>
      </c>
      <c r="V7" s="58"/>
      <c r="W7" s="58"/>
      <c r="X7" s="68" t="s">
        <v>81</v>
      </c>
      <c r="Y7" s="60" t="s">
        <v>82</v>
      </c>
      <c r="Z7" s="64" t="s">
        <v>83</v>
      </c>
      <c r="AA7" s="58" t="s">
        <v>84</v>
      </c>
      <c r="AB7" s="64" t="s">
        <v>85</v>
      </c>
      <c r="AC7" s="65"/>
      <c r="AD7" s="65"/>
      <c r="AE7" s="82"/>
      <c r="AF7" s="84" t="n">
        <v>1.7</v>
      </c>
      <c r="AG7" s="84" t="n">
        <v>1.3</v>
      </c>
      <c r="AH7" s="79"/>
      <c r="AI7" s="85" t="n">
        <v>29007</v>
      </c>
      <c r="AJ7" s="68"/>
      <c r="AK7" s="58"/>
      <c r="AL7" s="58"/>
      <c r="AM7" s="61"/>
      <c r="AN7" s="69"/>
      <c r="AO7" s="65"/>
      <c r="AP7" s="64" t="s">
        <v>86</v>
      </c>
      <c r="AQ7" s="70" t="s">
        <v>87</v>
      </c>
      <c r="AR7" s="65" t="s">
        <v>88</v>
      </c>
      <c r="AS7" s="71" t="s">
        <v>89</v>
      </c>
      <c r="AT7" s="71" t="s">
        <v>90</v>
      </c>
      <c r="AU7" s="72" t="s">
        <v>81</v>
      </c>
      <c r="AV7" s="83"/>
      <c r="AW7" s="74"/>
      <c r="AX7" s="74"/>
      <c r="AY7" s="149"/>
      <c r="AZ7" s="305" t="s">
        <v>91</v>
      </c>
      <c r="BA7" s="221"/>
      <c r="BB7" s="222"/>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58"/>
      <c r="B8" s="59"/>
      <c r="C8" s="60"/>
      <c r="D8" s="61"/>
      <c r="E8" s="60"/>
      <c r="F8" s="62"/>
      <c r="G8" s="58"/>
      <c r="H8" s="58"/>
      <c r="I8" s="58"/>
      <c r="J8" s="58"/>
      <c r="K8" s="58"/>
      <c r="L8" s="82"/>
      <c r="M8" s="61"/>
      <c r="N8" s="61"/>
      <c r="O8" s="61"/>
      <c r="P8" s="80"/>
      <c r="Q8" s="61" t="s">
        <v>62</v>
      </c>
      <c r="R8" s="61" t="s">
        <v>62</v>
      </c>
      <c r="S8" s="61"/>
      <c r="T8" s="61"/>
      <c r="U8" s="81"/>
      <c r="V8" s="58"/>
      <c r="W8" s="58"/>
      <c r="X8" s="68" t="s">
        <v>92</v>
      </c>
      <c r="Y8" s="60" t="s">
        <v>81</v>
      </c>
      <c r="Z8" s="64"/>
      <c r="AA8" s="60" t="s">
        <v>93</v>
      </c>
      <c r="AB8" s="64" t="s">
        <v>94</v>
      </c>
      <c r="AC8" s="65"/>
      <c r="AD8" s="65"/>
      <c r="AE8" s="82"/>
      <c r="AF8" s="84"/>
      <c r="AG8" s="84"/>
      <c r="AH8" s="79"/>
      <c r="AI8" s="85"/>
      <c r="AJ8" s="68"/>
      <c r="AK8" s="58"/>
      <c r="AL8" s="58"/>
      <c r="AM8" s="61"/>
      <c r="AN8" s="69"/>
      <c r="AO8" s="65"/>
      <c r="AP8" s="64"/>
      <c r="AQ8" s="70"/>
      <c r="AR8" s="65"/>
      <c r="AS8" s="71"/>
      <c r="AT8" s="71"/>
      <c r="AU8" s="72"/>
      <c r="AV8" s="83"/>
      <c r="AW8" s="74"/>
      <c r="AX8" s="74"/>
      <c r="AY8" s="149"/>
      <c r="AZ8" s="305"/>
      <c r="BA8" s="221"/>
      <c r="BB8" s="222"/>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58"/>
      <c r="B9" s="59"/>
      <c r="C9" s="60"/>
      <c r="D9" s="61"/>
      <c r="E9" s="60"/>
      <c r="F9" s="62"/>
      <c r="G9" s="58"/>
      <c r="H9" s="58"/>
      <c r="I9" s="58"/>
      <c r="J9" s="58"/>
      <c r="K9" s="58"/>
      <c r="L9" s="82"/>
      <c r="M9" s="61"/>
      <c r="N9" s="61"/>
      <c r="O9" s="61"/>
      <c r="P9" s="80"/>
      <c r="Q9" s="61"/>
      <c r="R9" s="87" t="n">
        <v>4.2</v>
      </c>
      <c r="S9" s="61"/>
      <c r="T9" s="61"/>
      <c r="U9" s="81"/>
      <c r="V9" s="58"/>
      <c r="W9" s="58"/>
      <c r="X9" s="68"/>
      <c r="Y9" s="60" t="s">
        <v>92</v>
      </c>
      <c r="Z9" s="64"/>
      <c r="AA9" s="60" t="s">
        <v>92</v>
      </c>
      <c r="AB9" s="64" t="s">
        <v>95</v>
      </c>
      <c r="AC9" s="65"/>
      <c r="AD9" s="65"/>
      <c r="AE9" s="82"/>
      <c r="AF9" s="84"/>
      <c r="AG9" s="84"/>
      <c r="AH9" s="79"/>
      <c r="AI9" s="85"/>
      <c r="AJ9" s="68"/>
      <c r="AK9" s="58"/>
      <c r="AL9" s="58"/>
      <c r="AM9" s="61"/>
      <c r="AN9" s="69"/>
      <c r="AO9" s="65"/>
      <c r="AP9" s="64"/>
      <c r="AQ9" s="70"/>
      <c r="AR9" s="65"/>
      <c r="AS9" s="71"/>
      <c r="AT9" s="71"/>
      <c r="AU9" s="72"/>
      <c r="AV9" s="83"/>
      <c r="AW9" s="74"/>
      <c r="AX9" s="74"/>
      <c r="AY9" s="149"/>
      <c r="AZ9" s="305"/>
      <c r="BA9" s="221"/>
      <c r="BB9" s="222" t="s">
        <v>96</v>
      </c>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58"/>
      <c r="B10" s="59"/>
      <c r="C10" s="60" t="s">
        <v>97</v>
      </c>
      <c r="D10" s="61"/>
      <c r="E10" s="60" t="s">
        <v>98</v>
      </c>
      <c r="F10" s="62"/>
      <c r="G10" s="61" t="s">
        <v>42</v>
      </c>
      <c r="H10" s="61" t="s">
        <v>42</v>
      </c>
      <c r="I10" s="61" t="s">
        <v>42</v>
      </c>
      <c r="J10" s="61" t="s">
        <v>42</v>
      </c>
      <c r="K10" s="61" t="s">
        <v>42</v>
      </c>
      <c r="L10" s="82" t="s">
        <v>42</v>
      </c>
      <c r="M10" s="61" t="s">
        <v>42</v>
      </c>
      <c r="N10" s="61" t="s">
        <v>42</v>
      </c>
      <c r="O10" s="61" t="s">
        <v>42</v>
      </c>
      <c r="P10" s="61" t="s">
        <v>42</v>
      </c>
      <c r="Q10" s="61" t="s">
        <v>42</v>
      </c>
      <c r="R10" s="61" t="s">
        <v>42</v>
      </c>
      <c r="S10" s="61" t="s">
        <v>42</v>
      </c>
      <c r="T10" s="61" t="s">
        <v>42</v>
      </c>
      <c r="U10" s="82" t="s">
        <v>42</v>
      </c>
      <c r="V10" s="61" t="s">
        <v>42</v>
      </c>
      <c r="W10" s="61" t="s">
        <v>42</v>
      </c>
      <c r="X10" s="60" t="n">
        <v>153400</v>
      </c>
      <c r="Y10" s="60" t="n">
        <v>150400</v>
      </c>
      <c r="Z10" s="61"/>
      <c r="AA10" s="60"/>
      <c r="AB10" s="60" t="n">
        <v>72000</v>
      </c>
      <c r="AC10" s="306" t="s">
        <v>42</v>
      </c>
      <c r="AD10" s="61" t="s">
        <v>42</v>
      </c>
      <c r="AE10" s="82" t="s">
        <v>42</v>
      </c>
      <c r="AF10" s="61" t="s">
        <v>42</v>
      </c>
      <c r="AG10" s="61" t="s">
        <v>42</v>
      </c>
      <c r="AH10" s="79" t="s">
        <v>42</v>
      </c>
      <c r="AI10" s="61" t="s">
        <v>42</v>
      </c>
      <c r="AJ10" s="61" t="s">
        <v>42</v>
      </c>
      <c r="AK10" s="61" t="s">
        <v>42</v>
      </c>
      <c r="AL10" s="61" t="s">
        <v>42</v>
      </c>
      <c r="AM10" s="61" t="s">
        <v>42</v>
      </c>
      <c r="AN10" s="69" t="s">
        <v>42</v>
      </c>
      <c r="AO10" s="65" t="s">
        <v>42</v>
      </c>
      <c r="AP10" s="65" t="s">
        <v>42</v>
      </c>
      <c r="AQ10" s="70" t="s">
        <v>99</v>
      </c>
      <c r="AR10" s="65" t="s">
        <v>42</v>
      </c>
      <c r="AS10" s="65" t="s">
        <v>42</v>
      </c>
      <c r="AT10" s="65" t="s">
        <v>42</v>
      </c>
      <c r="AU10" s="65" t="s">
        <v>42</v>
      </c>
      <c r="AV10" s="83"/>
      <c r="AW10" s="74"/>
      <c r="AX10" s="74"/>
      <c r="AY10" s="149"/>
      <c r="AZ10" s="305" t="s">
        <v>100</v>
      </c>
      <c r="BA10" s="221" t="s">
        <v>42</v>
      </c>
      <c r="BB10" s="222" t="s">
        <v>98</v>
      </c>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row>
    <row r="11" customFormat="false" ht="12.95" hidden="false" customHeight="true" outlineLevel="0" collapsed="false">
      <c r="A11" s="58"/>
      <c r="B11" s="59"/>
      <c r="C11" s="60"/>
      <c r="D11" s="61"/>
      <c r="E11" s="60"/>
      <c r="F11" s="62"/>
      <c r="G11" s="58"/>
      <c r="H11" s="58"/>
      <c r="I11" s="58"/>
      <c r="J11" s="58"/>
      <c r="K11" s="58"/>
      <c r="L11" s="82"/>
      <c r="M11" s="61"/>
      <c r="N11" s="47" t="n">
        <v>1.03</v>
      </c>
      <c r="O11" s="47" t="n">
        <v>1.05</v>
      </c>
      <c r="P11" s="47" t="n">
        <v>1.02</v>
      </c>
      <c r="Q11" s="88" t="n">
        <v>1.02</v>
      </c>
      <c r="R11" s="89" t="n">
        <v>1.04</v>
      </c>
      <c r="S11" s="61"/>
      <c r="T11" s="88" t="n">
        <v>1.04</v>
      </c>
      <c r="U11" s="81"/>
      <c r="V11" s="58"/>
      <c r="W11" s="58"/>
      <c r="X11" s="61" t="s">
        <v>42</v>
      </c>
      <c r="Y11" s="61" t="s">
        <v>42</v>
      </c>
      <c r="Z11" s="61" t="s">
        <v>42</v>
      </c>
      <c r="AA11" s="60" t="s">
        <v>42</v>
      </c>
      <c r="AB11" s="90" t="s">
        <v>101</v>
      </c>
      <c r="AC11" s="65"/>
      <c r="AD11" s="64"/>
      <c r="AE11" s="91"/>
      <c r="AF11" s="84"/>
      <c r="AG11" s="84"/>
      <c r="AH11" s="79"/>
      <c r="AI11" s="85"/>
      <c r="AJ11" s="92"/>
      <c r="AK11" s="58"/>
      <c r="AL11" s="58"/>
      <c r="AM11" s="61"/>
      <c r="AN11" s="69"/>
      <c r="AO11" s="65"/>
      <c r="AP11" s="64"/>
      <c r="AQ11" s="70"/>
      <c r="AR11" s="70"/>
      <c r="AS11" s="93"/>
      <c r="AT11" s="93"/>
      <c r="AU11" s="93"/>
      <c r="AV11" s="83"/>
      <c r="AW11" s="74"/>
      <c r="AX11" s="74"/>
      <c r="AY11" s="149"/>
      <c r="AZ11" s="305" t="s">
        <v>42</v>
      </c>
      <c r="BA11" s="221"/>
      <c r="BB11" s="222"/>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row>
    <row r="12" customFormat="false" ht="12.95" hidden="false" customHeight="true" outlineLevel="0" collapsed="false">
      <c r="A12" s="197" t="s">
        <v>102</v>
      </c>
      <c r="B12" s="223"/>
      <c r="C12" s="114"/>
      <c r="D12" s="114"/>
      <c r="E12" s="114"/>
      <c r="F12" s="224"/>
      <c r="G12" s="114"/>
      <c r="H12" s="284"/>
      <c r="I12" s="114"/>
      <c r="J12" s="114"/>
      <c r="K12" s="114"/>
      <c r="L12" s="114"/>
      <c r="M12" s="226"/>
      <c r="N12" s="114"/>
      <c r="O12" s="114"/>
      <c r="P12" s="171"/>
      <c r="Q12" s="114"/>
      <c r="R12" s="114"/>
      <c r="S12" s="114"/>
      <c r="T12" s="114"/>
      <c r="U12" s="339"/>
      <c r="V12" s="114"/>
      <c r="W12" s="114"/>
      <c r="X12" s="114"/>
      <c r="Y12" s="114"/>
      <c r="Z12" s="114"/>
      <c r="AA12" s="114"/>
      <c r="AB12" s="114"/>
      <c r="AC12" s="144"/>
      <c r="AD12" s="114"/>
      <c r="AE12" s="114"/>
      <c r="AF12" s="226"/>
      <c r="AG12" s="228"/>
      <c r="AH12" s="114"/>
      <c r="AI12" s="114"/>
      <c r="AJ12" s="340"/>
      <c r="AK12" s="114"/>
      <c r="AL12" s="114"/>
      <c r="AM12" s="114"/>
      <c r="AN12" s="230"/>
      <c r="AO12" s="144"/>
      <c r="AP12" s="143"/>
      <c r="AQ12" s="231"/>
      <c r="AR12" s="231"/>
      <c r="AS12" s="231"/>
      <c r="AV12" s="232"/>
      <c r="AW12" s="225"/>
      <c r="AX12" s="225"/>
      <c r="AY12" s="264"/>
      <c r="AZ12" s="341"/>
      <c r="BA12" s="310"/>
      <c r="BB12" s="236"/>
    </row>
    <row r="13" s="243" customFormat="true" ht="12.95" hidden="false" customHeight="true" outlineLevel="0" collapsed="false">
      <c r="A13" s="237" t="s">
        <v>103</v>
      </c>
      <c r="B13" s="311" t="n">
        <f aca="false">FEB!B42</f>
        <v>6869.36</v>
      </c>
      <c r="C13" s="114" t="n">
        <f aca="false">FEB!C42</f>
        <v>186110</v>
      </c>
      <c r="D13" s="114" t="n">
        <f aca="false">FEB!D51</f>
        <v>370</v>
      </c>
      <c r="E13" s="114" t="n">
        <f aca="false">FEB!E51</f>
        <v>34110</v>
      </c>
      <c r="F13" s="224" t="n">
        <f aca="false">FEB!F50</f>
        <v>186.538946307033</v>
      </c>
      <c r="G13" s="114" t="n">
        <f aca="false">FEB!G50</f>
        <v>8720</v>
      </c>
      <c r="H13" s="342" t="n">
        <f aca="false">FEB!H50</f>
        <v>37.692</v>
      </c>
      <c r="I13" s="114" t="n">
        <f aca="false">FEB!I50</f>
        <v>8757.072</v>
      </c>
      <c r="J13" s="114" t="n">
        <f aca="false">FEB!J50</f>
        <v>1483.09801058735</v>
      </c>
      <c r="K13" s="114" t="n">
        <f aca="false">FEB!K50</f>
        <v>10240.1700105873</v>
      </c>
      <c r="L13" s="114" t="n">
        <f aca="false">FEB!L50</f>
        <v>-645.963053692967</v>
      </c>
      <c r="M13" s="226" t="n">
        <f aca="false">FEB!M50</f>
        <v>385.88</v>
      </c>
      <c r="N13" s="114" t="n">
        <f aca="false">FEB!N50</f>
        <v>0</v>
      </c>
      <c r="O13" s="114" t="n">
        <f aca="false">FEB!O50</f>
        <v>0</v>
      </c>
      <c r="P13" s="114" t="n">
        <f aca="false">FEB!P50</f>
        <v>0</v>
      </c>
      <c r="Q13" s="114" t="n">
        <f aca="false">FEB!Q50</f>
        <v>176.589683260945</v>
      </c>
      <c r="R13" s="114" t="n">
        <f aca="false">FEB!R50</f>
        <v>188.15816032</v>
      </c>
      <c r="S13" s="114" t="n">
        <f aca="false">FEB!S50</f>
        <v>0</v>
      </c>
      <c r="T13" s="114" t="n">
        <f aca="false">FEB!T50</f>
        <v>60.58393536</v>
      </c>
      <c r="U13" s="327" t="n">
        <f aca="false">FEB!U50</f>
        <v>-39.4517789409449</v>
      </c>
      <c r="V13" s="114" t="n">
        <f aca="false">FEB!V50</f>
        <v>4455.19</v>
      </c>
      <c r="W13" s="114" t="n">
        <f aca="false">FEB!W50</f>
        <v>0</v>
      </c>
      <c r="X13" s="114" t="n">
        <f aca="false">FEB!X50</f>
        <v>4423.15345</v>
      </c>
      <c r="Y13" s="114" t="n">
        <f aca="false">FEB!Y50</f>
        <v>4423.15345</v>
      </c>
      <c r="Z13" s="114"/>
      <c r="AA13" s="114"/>
      <c r="AB13" s="114"/>
      <c r="AC13" s="144" t="n">
        <f aca="false">FEB!AC50</f>
        <v>1714.13281966001</v>
      </c>
      <c r="AD13" s="114"/>
      <c r="AE13" s="114"/>
      <c r="AF13" s="226"/>
      <c r="AG13" s="228"/>
      <c r="AH13" s="277" t="n">
        <f aca="false">FEB!AH50</f>
        <v>3083.5</v>
      </c>
      <c r="AI13" s="114" t="n">
        <f aca="false">FEB!AI50</f>
        <v>1051.04923115706</v>
      </c>
      <c r="AJ13" s="144" t="n">
        <f aca="false">FEB!AJ50</f>
        <v>0</v>
      </c>
      <c r="AK13" s="114" t="n">
        <f aca="false">FEB!AK50</f>
        <v>7924.57</v>
      </c>
      <c r="AL13" s="114" t="n">
        <f aca="false">FEB!AL50</f>
        <v>2129.06106428031</v>
      </c>
      <c r="AM13" s="114" t="n">
        <f aca="false">FEB!AM50</f>
        <v>10053.6310642803</v>
      </c>
      <c r="AN13" s="230" t="n">
        <f aca="false">FEB!AN50</f>
        <v>4455.19</v>
      </c>
      <c r="AO13" s="144" t="n">
        <f aca="false">FEB!AO50</f>
        <v>0</v>
      </c>
      <c r="AP13" s="114"/>
      <c r="AQ13" s="143"/>
      <c r="AR13" s="143"/>
      <c r="AS13" s="114"/>
      <c r="AT13" s="90"/>
      <c r="AU13" s="161"/>
      <c r="AV13" s="232" t="n">
        <f aca="false">FEB!AV50</f>
        <v>4.98</v>
      </c>
      <c r="AW13" s="225"/>
      <c r="AX13" s="225"/>
      <c r="AY13" s="312"/>
      <c r="AZ13" s="241" t="n">
        <f aca="false">FEB!AZ50</f>
        <v>385.88</v>
      </c>
      <c r="BA13" s="235" t="n">
        <f aca="false">FEB!BA50</f>
        <v>12.2</v>
      </c>
      <c r="BB13" s="242"/>
    </row>
    <row r="14" customFormat="false" ht="3" hidden="false" customHeight="true" outlineLevel="0" collapsed="false">
      <c r="A14" s="244"/>
      <c r="B14" s="245"/>
      <c r="C14" s="246"/>
      <c r="D14" s="247"/>
      <c r="E14" s="246"/>
      <c r="F14" s="248"/>
      <c r="G14" s="247"/>
      <c r="H14" s="275"/>
      <c r="I14" s="247"/>
      <c r="J14" s="247"/>
      <c r="K14" s="247"/>
      <c r="L14" s="247"/>
      <c r="M14" s="250"/>
      <c r="N14" s="247"/>
      <c r="O14" s="247"/>
      <c r="P14" s="251"/>
      <c r="Q14" s="247"/>
      <c r="R14" s="247"/>
      <c r="S14" s="247"/>
      <c r="T14" s="247"/>
      <c r="U14" s="343"/>
      <c r="V14" s="247"/>
      <c r="W14" s="247"/>
      <c r="X14" s="247"/>
      <c r="Y14" s="247"/>
      <c r="Z14" s="247"/>
      <c r="AA14" s="247"/>
      <c r="AB14" s="246"/>
      <c r="AC14" s="253"/>
      <c r="AD14" s="246"/>
      <c r="AE14" s="247"/>
      <c r="AF14" s="250"/>
      <c r="AG14" s="254"/>
      <c r="AH14" s="247"/>
      <c r="AI14" s="246"/>
      <c r="AJ14" s="253"/>
      <c r="AK14" s="247"/>
      <c r="AL14" s="247"/>
      <c r="AM14" s="247"/>
      <c r="AN14" s="255"/>
      <c r="AO14" s="253"/>
      <c r="AP14" s="256"/>
      <c r="AQ14" s="256"/>
      <c r="AR14" s="256"/>
      <c r="AS14" s="256"/>
      <c r="AT14" s="344"/>
      <c r="AU14" s="344"/>
      <c r="AV14" s="258"/>
      <c r="AW14" s="256"/>
      <c r="AX14" s="256"/>
      <c r="AY14" s="256"/>
      <c r="AZ14" s="256"/>
      <c r="BA14" s="256"/>
      <c r="BB14" s="256"/>
    </row>
    <row r="15" customFormat="false" ht="12.95" hidden="false" customHeight="true" outlineLevel="0" collapsed="false">
      <c r="A15" s="192" t="n">
        <v>1</v>
      </c>
      <c r="B15" s="113" t="n">
        <v>6869.37</v>
      </c>
      <c r="C15" s="114" t="n">
        <v>186137</v>
      </c>
      <c r="D15" s="225" t="n">
        <f aca="false">C15-C13</f>
        <v>27</v>
      </c>
      <c r="E15" s="114" t="n">
        <f aca="false">C15-152000</f>
        <v>34137</v>
      </c>
      <c r="F15" s="259" t="n">
        <f aca="false">D15/$D$2</f>
        <v>13.61230148727</v>
      </c>
      <c r="G15" s="143" t="n">
        <v>68</v>
      </c>
      <c r="H15" s="345" t="n">
        <v>1.19</v>
      </c>
      <c r="I15" s="143" t="n">
        <f aca="false">G15+H15</f>
        <v>69.19</v>
      </c>
      <c r="J15" s="144" t="n">
        <f aca="false">IF(L15&gt;0,L15,0)</f>
        <v>17.03230148727</v>
      </c>
      <c r="K15" s="143" t="n">
        <f aca="false">I15+J15</f>
        <v>86.22230148727</v>
      </c>
      <c r="L15" s="143" t="n">
        <f aca="false">F15-(I15-AK15)</f>
        <v>17.03230148727</v>
      </c>
      <c r="M15" s="261" t="n">
        <v>3.01</v>
      </c>
      <c r="N15" s="143" t="n">
        <v>0</v>
      </c>
      <c r="O15" s="143" t="n">
        <f aca="false">0*1.05</f>
        <v>0</v>
      </c>
      <c r="P15" s="171" t="n">
        <v>0</v>
      </c>
      <c r="Q15" s="346" t="n">
        <f aca="false">941600/325851/1.9835*1.02</f>
        <v>1.48598819274268</v>
      </c>
      <c r="R15" s="139" t="n">
        <f aca="false">(1.9*1.04)-T15</f>
        <v>1.47969952</v>
      </c>
      <c r="S15" s="139" t="n">
        <v>0</v>
      </c>
      <c r="T15" s="139" t="n">
        <f aca="false">(0.4502*1.06)*1.04</f>
        <v>0.49630048</v>
      </c>
      <c r="U15" s="102" t="n">
        <f aca="false">M15-(Q15+R15+S15+T15)</f>
        <v>-0.451988192742682</v>
      </c>
      <c r="V15" s="143" t="n">
        <v>47.9</v>
      </c>
      <c r="W15" s="143" t="n">
        <v>0</v>
      </c>
      <c r="X15" s="143" t="n">
        <f aca="false">M15-N15-O15-P15-Q15-R15-S15-T15-U15+V15+W15</f>
        <v>47.9</v>
      </c>
      <c r="Y15" s="143" t="n">
        <f aca="false">X15-AO15</f>
        <v>47.9</v>
      </c>
      <c r="Z15" s="143"/>
      <c r="AA15" s="143"/>
      <c r="AB15" s="114"/>
      <c r="AC15" s="144"/>
      <c r="AD15" s="114"/>
      <c r="AE15" s="143" t="n">
        <v>0</v>
      </c>
      <c r="AF15" s="261"/>
      <c r="AG15" s="262"/>
      <c r="AH15" s="143" t="n">
        <v>21.7</v>
      </c>
      <c r="AI15" s="114" t="n">
        <f aca="false">AI13-AH15</f>
        <v>1029.34923115706</v>
      </c>
      <c r="AJ15" s="144"/>
      <c r="AK15" s="142" t="n">
        <f aca="false">N15+O15+P15+Q15+R15+S15+T15+U15+X15+AE15+AH15</f>
        <v>72.61</v>
      </c>
      <c r="AL15" s="143" t="n">
        <f aca="false">IF(L15&lt;0,L15*-1,0)</f>
        <v>0</v>
      </c>
      <c r="AM15" s="143" t="n">
        <f aca="false">AK15+AL15</f>
        <v>72.61</v>
      </c>
      <c r="AN15" s="147" t="n">
        <f aca="false">V15</f>
        <v>47.9</v>
      </c>
      <c r="AO15" s="144"/>
      <c r="AP15" s="231"/>
      <c r="AQ15" s="114"/>
      <c r="AR15" s="114"/>
      <c r="AS15" s="231"/>
      <c r="AU15" s="56"/>
      <c r="AV15" s="232" t="n">
        <v>0.15</v>
      </c>
      <c r="AW15" s="225" t="n">
        <v>44</v>
      </c>
      <c r="AX15" s="225" t="n">
        <v>25</v>
      </c>
      <c r="AY15" s="264"/>
      <c r="AZ15" s="263" t="n">
        <f aca="false">SUM(N15,P15:U15)</f>
        <v>3.01</v>
      </c>
      <c r="BA15" s="193" t="n">
        <v>0</v>
      </c>
      <c r="BB15" s="264" t="n">
        <v>16122</v>
      </c>
    </row>
    <row r="16" customFormat="false" ht="12.95" hidden="false" customHeight="true" outlineLevel="0" collapsed="false">
      <c r="A16" s="192" t="n">
        <f aca="false">A15+1</f>
        <v>2</v>
      </c>
      <c r="B16" s="113" t="n">
        <v>6869.39</v>
      </c>
      <c r="C16" s="114" t="n">
        <v>186190</v>
      </c>
      <c r="D16" s="225" t="n">
        <f aca="false">C16-C15</f>
        <v>53</v>
      </c>
      <c r="E16" s="114" t="n">
        <f aca="false">C16-152000</f>
        <v>34190</v>
      </c>
      <c r="F16" s="259" t="n">
        <f aca="false">D16/$D$2</f>
        <v>26.7204436601966</v>
      </c>
      <c r="G16" s="143" t="n">
        <v>68</v>
      </c>
      <c r="H16" s="345" t="n">
        <v>1.63</v>
      </c>
      <c r="I16" s="143" t="n">
        <f aca="false">G16+H16</f>
        <v>69.63</v>
      </c>
      <c r="J16" s="144" t="n">
        <f aca="false">IF(L16&gt;0,L16,0)</f>
        <v>37.4704436601966</v>
      </c>
      <c r="K16" s="143" t="n">
        <f aca="false">I16+J16</f>
        <v>107.100443660197</v>
      </c>
      <c r="L16" s="143" t="n">
        <f aca="false">F16-(I16-AK16)</f>
        <v>37.4704436601966</v>
      </c>
      <c r="M16" s="261" t="n">
        <v>3.38</v>
      </c>
      <c r="N16" s="143" t="n">
        <v>0</v>
      </c>
      <c r="O16" s="143" t="n">
        <f aca="false">0*1.05</f>
        <v>0</v>
      </c>
      <c r="P16" s="171" t="n">
        <v>0</v>
      </c>
      <c r="Q16" s="346" t="n">
        <f aca="false">780500/325851/1.9835*1.02</f>
        <v>1.23174785942615</v>
      </c>
      <c r="R16" s="139" t="n">
        <f aca="false">(1.9*1.04)-T16</f>
        <v>1.47969952</v>
      </c>
      <c r="S16" s="139" t="n">
        <v>0</v>
      </c>
      <c r="T16" s="139" t="n">
        <f aca="false">(0.4502*1.06)*1.04</f>
        <v>0.49630048</v>
      </c>
      <c r="U16" s="102" t="n">
        <f aca="false">M16-(Q16+R16+S16+T16)</f>
        <v>0.17225214057385</v>
      </c>
      <c r="V16" s="143" t="n">
        <v>48.1</v>
      </c>
      <c r="W16" s="143" t="n">
        <v>0</v>
      </c>
      <c r="X16" s="143" t="n">
        <f aca="false">M16-N16-O16-P16-Q16-R16-S16-T16-U16+V16+W16</f>
        <v>48.1</v>
      </c>
      <c r="Y16" s="143" t="n">
        <f aca="false">X16-AO16</f>
        <v>48.1</v>
      </c>
      <c r="Z16" s="143"/>
      <c r="AA16" s="143"/>
      <c r="AB16" s="114"/>
      <c r="AC16" s="144"/>
      <c r="AD16" s="114"/>
      <c r="AE16" s="143" t="n">
        <v>0</v>
      </c>
      <c r="AF16" s="261"/>
      <c r="AG16" s="262"/>
      <c r="AH16" s="143" t="n">
        <v>28.9</v>
      </c>
      <c r="AI16" s="114" t="n">
        <f aca="false">AI15-AH16</f>
        <v>1000.44923115706</v>
      </c>
      <c r="AJ16" s="144"/>
      <c r="AK16" s="142" t="n">
        <f aca="false">N16+O16+P16+Q16+R16+S16+T16+U16+X16+AE16+AH16</f>
        <v>80.38</v>
      </c>
      <c r="AL16" s="143" t="n">
        <f aca="false">IF(L16&lt;0,L16*-1,0)</f>
        <v>0</v>
      </c>
      <c r="AM16" s="143" t="n">
        <f aca="false">AK16+AL16</f>
        <v>80.38</v>
      </c>
      <c r="AN16" s="147" t="n">
        <f aca="false">V16</f>
        <v>48.1</v>
      </c>
      <c r="AO16" s="144"/>
      <c r="AP16" s="231"/>
      <c r="AQ16" s="114"/>
      <c r="AR16" s="114"/>
      <c r="AS16" s="231"/>
      <c r="AU16" s="56"/>
      <c r="AV16" s="232" t="n">
        <v>0.14</v>
      </c>
      <c r="AW16" s="225" t="n">
        <v>51</v>
      </c>
      <c r="AX16" s="225" t="n">
        <v>29</v>
      </c>
      <c r="AY16" s="264"/>
      <c r="AZ16" s="263" t="n">
        <f aca="false">SUM(N16,P16:U16)</f>
        <v>3.38</v>
      </c>
      <c r="BA16" s="193" t="n">
        <v>0</v>
      </c>
      <c r="BB16" s="264" t="n">
        <v>16185</v>
      </c>
    </row>
    <row r="17" customFormat="false" ht="12.95" hidden="false" customHeight="true" outlineLevel="0" collapsed="false">
      <c r="A17" s="192" t="n">
        <f aca="false">A16+1</f>
        <v>3</v>
      </c>
      <c r="B17" s="113" t="n">
        <v>6869.42</v>
      </c>
      <c r="C17" s="114" t="n">
        <v>186269</v>
      </c>
      <c r="D17" s="225" t="n">
        <f aca="false">C17-C16</f>
        <v>79</v>
      </c>
      <c r="E17" s="114" t="n">
        <f aca="false">C17-152000</f>
        <v>34269</v>
      </c>
      <c r="F17" s="259" t="n">
        <f aca="false">D17/$D$2</f>
        <v>39.8285858331233</v>
      </c>
      <c r="G17" s="143" t="n">
        <v>66</v>
      </c>
      <c r="H17" s="345" t="n">
        <v>1.7</v>
      </c>
      <c r="I17" s="143" t="n">
        <f aca="false">G17+H17</f>
        <v>67.7</v>
      </c>
      <c r="J17" s="144" t="n">
        <f aca="false">IF(L17&gt;0,L17,0)</f>
        <v>57.0485858331233</v>
      </c>
      <c r="K17" s="143" t="n">
        <f aca="false">I17+J17</f>
        <v>124.748585833123</v>
      </c>
      <c r="L17" s="143" t="n">
        <f aca="false">F17-(I17-AK17)</f>
        <v>57.0485858331233</v>
      </c>
      <c r="M17" s="261" t="n">
        <v>2.92</v>
      </c>
      <c r="N17" s="143" t="n">
        <v>0</v>
      </c>
      <c r="O17" s="143" t="n">
        <f aca="false">0*1.05</f>
        <v>0</v>
      </c>
      <c r="P17" s="171" t="n">
        <v>0</v>
      </c>
      <c r="Q17" s="346" t="n">
        <f aca="false">698700/325851/1.9835*1.02</f>
        <v>1.10265500241006</v>
      </c>
      <c r="R17" s="139" t="n">
        <f aca="false">(2*1.04)-T17</f>
        <v>1.58369952</v>
      </c>
      <c r="S17" s="139" t="n">
        <v>0</v>
      </c>
      <c r="T17" s="139" t="n">
        <f aca="false">(0.4502*1.06)*1.04</f>
        <v>0.49630048</v>
      </c>
      <c r="U17" s="102" t="n">
        <f aca="false">M17-(Q17+R17+S17+T17)</f>
        <v>-0.262655002410059</v>
      </c>
      <c r="V17" s="143" t="n">
        <v>47.9</v>
      </c>
      <c r="W17" s="143" t="n">
        <v>0</v>
      </c>
      <c r="X17" s="143" t="n">
        <f aca="false">M17-N17-O17-P17-Q17-R17-S17-T17-U17+V17+W17</f>
        <v>47.9</v>
      </c>
      <c r="Y17" s="143" t="n">
        <f aca="false">X17-AO17</f>
        <v>47.9</v>
      </c>
      <c r="Z17" s="143"/>
      <c r="AA17" s="143"/>
      <c r="AB17" s="114"/>
      <c r="AC17" s="144"/>
      <c r="AD17" s="114"/>
      <c r="AE17" s="143" t="n">
        <v>0</v>
      </c>
      <c r="AF17" s="261"/>
      <c r="AG17" s="262"/>
      <c r="AH17" s="143" t="n">
        <v>34.1</v>
      </c>
      <c r="AI17" s="114" t="n">
        <f aca="false">AI16-AH17</f>
        <v>966.349231157057</v>
      </c>
      <c r="AJ17" s="144"/>
      <c r="AK17" s="142" t="n">
        <f aca="false">N17+O17+P17+Q17+R17+S17+T17+U17+X17+AE17+AH17</f>
        <v>84.92</v>
      </c>
      <c r="AL17" s="143" t="n">
        <f aca="false">IF(L17&lt;0,L17*-1,0)</f>
        <v>0</v>
      </c>
      <c r="AM17" s="143" t="n">
        <f aca="false">AK17+AL17</f>
        <v>84.92</v>
      </c>
      <c r="AN17" s="147" t="n">
        <f aca="false">V17</f>
        <v>47.9</v>
      </c>
      <c r="AO17" s="144"/>
      <c r="AP17" s="231"/>
      <c r="AQ17" s="114"/>
      <c r="AR17" s="114"/>
      <c r="AS17" s="231"/>
      <c r="AU17" s="56"/>
      <c r="AV17" s="232" t="n">
        <v>0.09</v>
      </c>
      <c r="AW17" s="225" t="n">
        <v>47</v>
      </c>
      <c r="AX17" s="225" t="n">
        <v>19</v>
      </c>
      <c r="AY17" s="264"/>
      <c r="AZ17" s="263" t="n">
        <f aca="false">SUM(N17,P17:U17)</f>
        <v>2.92</v>
      </c>
      <c r="BA17" s="193" t="n">
        <v>0</v>
      </c>
      <c r="BB17" s="264" t="n">
        <v>16217</v>
      </c>
    </row>
    <row r="18" customFormat="false" ht="12.95" hidden="false" customHeight="true" outlineLevel="0" collapsed="false">
      <c r="A18" s="192" t="n">
        <f aca="false">A17+1</f>
        <v>4</v>
      </c>
      <c r="B18" s="113" t="n">
        <v>6869.41</v>
      </c>
      <c r="C18" s="114" t="n">
        <v>186243</v>
      </c>
      <c r="D18" s="225" t="n">
        <f aca="false">C18-C17</f>
        <v>-26</v>
      </c>
      <c r="E18" s="114" t="n">
        <f aca="false">C18-152000</f>
        <v>34243</v>
      </c>
      <c r="F18" s="259" t="n">
        <f aca="false">D18/$D$2</f>
        <v>-13.1081421729266</v>
      </c>
      <c r="G18" s="143" t="n">
        <v>63</v>
      </c>
      <c r="H18" s="345" t="n">
        <v>1.48</v>
      </c>
      <c r="I18" s="143" t="n">
        <f aca="false">G18+H18</f>
        <v>64.48</v>
      </c>
      <c r="J18" s="144" t="n">
        <f aca="false">IF(L18&gt;0,L18,0)</f>
        <v>6.84185782707336</v>
      </c>
      <c r="K18" s="143" t="n">
        <f aca="false">I18+J18</f>
        <v>71.3218578270734</v>
      </c>
      <c r="L18" s="143" t="n">
        <f aca="false">F18-(I18-AK18)</f>
        <v>6.84185782707336</v>
      </c>
      <c r="M18" s="261" t="n">
        <v>2.53</v>
      </c>
      <c r="N18" s="143" t="n">
        <v>0</v>
      </c>
      <c r="O18" s="143" t="n">
        <f aca="false">0*1.05</f>
        <v>0</v>
      </c>
      <c r="P18" s="171" t="n">
        <v>0</v>
      </c>
      <c r="Q18" s="346" t="n">
        <f aca="false">873600/325851/1.9835*1.02</f>
        <v>1.37867383727698</v>
      </c>
      <c r="R18" s="139" t="n">
        <f aca="false">(1.9*1.04)-T18</f>
        <v>1.47969952</v>
      </c>
      <c r="S18" s="139" t="n">
        <v>0</v>
      </c>
      <c r="T18" s="139" t="n">
        <f aca="false">(0.4502*1.06)*1.04</f>
        <v>0.49630048</v>
      </c>
      <c r="U18" s="102" t="n">
        <f aca="false">M18-(Q18+R18+S18+T18)</f>
        <v>-0.824673837276983</v>
      </c>
      <c r="V18" s="143" t="n">
        <v>48</v>
      </c>
      <c r="W18" s="143" t="n">
        <v>0</v>
      </c>
      <c r="X18" s="143" t="n">
        <f aca="false">M18-N18-O18-P18-Q18-R18-S18-T18-U18+V18+W18</f>
        <v>48</v>
      </c>
      <c r="Y18" s="143" t="n">
        <f aca="false">X18-AO18</f>
        <v>48</v>
      </c>
      <c r="Z18" s="143"/>
      <c r="AA18" s="143"/>
      <c r="AB18" s="114"/>
      <c r="AC18" s="144"/>
      <c r="AD18" s="114"/>
      <c r="AE18" s="143" t="n">
        <v>0</v>
      </c>
      <c r="AF18" s="261"/>
      <c r="AG18" s="262"/>
      <c r="AH18" s="143" t="n">
        <v>33.9</v>
      </c>
      <c r="AI18" s="114" t="n">
        <f aca="false">AI17-AH18</f>
        <v>932.449231157057</v>
      </c>
      <c r="AJ18" s="144"/>
      <c r="AK18" s="142" t="n">
        <f aca="false">N18+O18+P18+Q18+R18+S18+T18+U18+X18+AE18+AH18</f>
        <v>84.43</v>
      </c>
      <c r="AL18" s="143" t="n">
        <f aca="false">IF(L18&lt;0,L18*-1,0)</f>
        <v>0</v>
      </c>
      <c r="AM18" s="143" t="n">
        <f aca="false">AK18+AL18</f>
        <v>84.43</v>
      </c>
      <c r="AN18" s="147" t="n">
        <f aca="false">V18</f>
        <v>48</v>
      </c>
      <c r="AO18" s="144"/>
      <c r="AP18" s="231"/>
      <c r="AQ18" s="114"/>
      <c r="AR18" s="114"/>
      <c r="AS18" s="231"/>
      <c r="AU18" s="56"/>
      <c r="AV18" s="232" t="n">
        <v>0.03</v>
      </c>
      <c r="AW18" s="225" t="n">
        <v>37</v>
      </c>
      <c r="AX18" s="225" t="n">
        <v>13</v>
      </c>
      <c r="AY18" s="264"/>
      <c r="AZ18" s="263" t="n">
        <f aca="false">SUM(N18,P18:U18)</f>
        <v>2.53</v>
      </c>
      <c r="BA18" s="193" t="n">
        <v>0</v>
      </c>
      <c r="BB18" s="264" t="n">
        <v>16244</v>
      </c>
    </row>
    <row r="19" customFormat="false" ht="12.95" hidden="false" customHeight="true" outlineLevel="0" collapsed="false">
      <c r="A19" s="192" t="n">
        <f aca="false">A18+1</f>
        <v>5</v>
      </c>
      <c r="B19" s="113" t="n">
        <v>6869.39</v>
      </c>
      <c r="C19" s="114" t="n">
        <v>186190</v>
      </c>
      <c r="D19" s="225" t="n">
        <f aca="false">C19-C18</f>
        <v>-53</v>
      </c>
      <c r="E19" s="114" t="n">
        <f aca="false">C19-152000</f>
        <v>34190</v>
      </c>
      <c r="F19" s="259" t="n">
        <f aca="false">D19/$D$2</f>
        <v>-26.7204436601966</v>
      </c>
      <c r="G19" s="143" t="n">
        <v>61</v>
      </c>
      <c r="H19" s="345" t="n">
        <v>1.21</v>
      </c>
      <c r="I19" s="143" t="n">
        <f aca="false">G19+H19</f>
        <v>62.21</v>
      </c>
      <c r="J19" s="144" t="n">
        <f aca="false">IF(L19&gt;0,L19,0)</f>
        <v>0</v>
      </c>
      <c r="K19" s="143" t="n">
        <f aca="false">I19+J19</f>
        <v>62.21</v>
      </c>
      <c r="L19" s="143" t="n">
        <f aca="false">F19-(I19-AK19)</f>
        <v>-2.87044366019662</v>
      </c>
      <c r="M19" s="261" t="n">
        <v>3.66</v>
      </c>
      <c r="N19" s="143" t="n">
        <v>0</v>
      </c>
      <c r="O19" s="143" t="n">
        <f aca="false">0*1.05</f>
        <v>0</v>
      </c>
      <c r="P19" s="171" t="n">
        <v>0</v>
      </c>
      <c r="Q19" s="346" t="n">
        <f aca="false">818900/325851/1.9835*1.02</f>
        <v>1.29234890721855</v>
      </c>
      <c r="R19" s="139" t="n">
        <f aca="false">(2*1.04)-T19</f>
        <v>1.58369952</v>
      </c>
      <c r="S19" s="139" t="n">
        <v>0</v>
      </c>
      <c r="T19" s="139" t="n">
        <f aca="false">(0.4502*1.06)*1.04</f>
        <v>0.49630048</v>
      </c>
      <c r="U19" s="102" t="n">
        <f aca="false">M19-(Q19+R19+S19+T19)</f>
        <v>0.287651092781455</v>
      </c>
      <c r="V19" s="143" t="n">
        <v>47.9</v>
      </c>
      <c r="W19" s="143" t="n">
        <v>0</v>
      </c>
      <c r="X19" s="143" t="n">
        <f aca="false">M19-N19-O19-P19-Q19-R19-S19-T19-U19+V19+W19</f>
        <v>47.9</v>
      </c>
      <c r="Y19" s="143" t="n">
        <f aca="false">X19-AO19</f>
        <v>47.9</v>
      </c>
      <c r="Z19" s="143"/>
      <c r="AA19" s="143"/>
      <c r="AB19" s="114"/>
      <c r="AC19" s="144"/>
      <c r="AD19" s="114"/>
      <c r="AE19" s="143" t="n">
        <v>0</v>
      </c>
      <c r="AF19" s="261"/>
      <c r="AG19" s="262"/>
      <c r="AH19" s="143" t="n">
        <v>34.5</v>
      </c>
      <c r="AI19" s="114" t="n">
        <f aca="false">AI18-AH19</f>
        <v>897.949231157057</v>
      </c>
      <c r="AJ19" s="144"/>
      <c r="AK19" s="142" t="n">
        <f aca="false">N19+O19+P19+Q19+R19+S19+T19+U19+X19+AE19+AH19</f>
        <v>86.06</v>
      </c>
      <c r="AL19" s="143" t="n">
        <f aca="false">IF(L19&lt;0,L19*-1,0)</f>
        <v>2.87044366019662</v>
      </c>
      <c r="AM19" s="143" t="n">
        <f aca="false">AK19+AL19</f>
        <v>88.9304436601966</v>
      </c>
      <c r="AN19" s="147" t="n">
        <f aca="false">V19</f>
        <v>47.9</v>
      </c>
      <c r="AO19" s="144"/>
      <c r="AP19" s="231"/>
      <c r="AQ19" s="114"/>
      <c r="AR19" s="114"/>
      <c r="AS19" s="231"/>
      <c r="AU19" s="56"/>
      <c r="AV19" s="232" t="n">
        <v>0</v>
      </c>
      <c r="AW19" s="225" t="n">
        <v>43</v>
      </c>
      <c r="AX19" s="225" t="n">
        <v>9</v>
      </c>
      <c r="AY19" s="264"/>
      <c r="AZ19" s="263" t="n">
        <f aca="false">SUM(N19,P19:U19)</f>
        <v>3.66</v>
      </c>
      <c r="BA19" s="193" t="n">
        <v>0</v>
      </c>
      <c r="BB19" s="264" t="n">
        <v>16243</v>
      </c>
    </row>
    <row r="20" customFormat="false" ht="12.95" hidden="false" customHeight="true" outlineLevel="0" collapsed="false">
      <c r="A20" s="192" t="n">
        <f aca="false">A19+1</f>
        <v>6</v>
      </c>
      <c r="B20" s="113" t="n">
        <v>6869.35</v>
      </c>
      <c r="C20" s="114" t="n">
        <v>186084</v>
      </c>
      <c r="D20" s="225" t="n">
        <f aca="false">C20-C19</f>
        <v>-106</v>
      </c>
      <c r="E20" s="114" t="n">
        <f aca="false">C20-152000</f>
        <v>34084</v>
      </c>
      <c r="F20" s="259" t="n">
        <f aca="false">D20/$D$2</f>
        <v>-53.4408873203932</v>
      </c>
      <c r="G20" s="143" t="n">
        <v>65</v>
      </c>
      <c r="H20" s="345" t="n">
        <v>1.28</v>
      </c>
      <c r="I20" s="143" t="n">
        <f aca="false">G20+H20</f>
        <v>66.28</v>
      </c>
      <c r="J20" s="144" t="n">
        <f aca="false">IF(L20&gt;0,L20,0)</f>
        <v>0</v>
      </c>
      <c r="K20" s="143" t="n">
        <f aca="false">I20+J20</f>
        <v>66.28</v>
      </c>
      <c r="L20" s="143" t="n">
        <f aca="false">F20-(I20-AK20)</f>
        <v>-34.4208873203932</v>
      </c>
      <c r="M20" s="261" t="n">
        <v>2.9</v>
      </c>
      <c r="N20" s="143" t="n">
        <v>0</v>
      </c>
      <c r="O20" s="143" t="n">
        <f aca="false">0*1.05</f>
        <v>0</v>
      </c>
      <c r="P20" s="171" t="n">
        <v>0</v>
      </c>
      <c r="Q20" s="346" t="n">
        <f aca="false">733100/325851/1.9835*1.02</f>
        <v>1.15694344105741</v>
      </c>
      <c r="R20" s="139" t="n">
        <f aca="false">(2*1.04)-T20</f>
        <v>1.57995136</v>
      </c>
      <c r="S20" s="139" t="n">
        <v>0</v>
      </c>
      <c r="T20" s="139" t="n">
        <f aca="false">(0.4536*1.06)*1.04</f>
        <v>0.50004864</v>
      </c>
      <c r="U20" s="102" t="n">
        <f aca="false">M20-(Q20+R20+S20+T20)</f>
        <v>-0.336943441057413</v>
      </c>
      <c r="V20" s="143" t="n">
        <v>47.9</v>
      </c>
      <c r="W20" s="143" t="n">
        <v>0</v>
      </c>
      <c r="X20" s="143" t="n">
        <f aca="false">M20-N20-O20-P20-Q20-R20-S20-T20-U20+V20+W20</f>
        <v>47.9</v>
      </c>
      <c r="Y20" s="143" t="n">
        <f aca="false">X20-AO20</f>
        <v>47.9</v>
      </c>
      <c r="Z20" s="143"/>
      <c r="AA20" s="143"/>
      <c r="AB20" s="114"/>
      <c r="AC20" s="144"/>
      <c r="AD20" s="114"/>
      <c r="AE20" s="143" t="n">
        <v>0</v>
      </c>
      <c r="AF20" s="261"/>
      <c r="AG20" s="262"/>
      <c r="AH20" s="143" t="n">
        <v>34.5</v>
      </c>
      <c r="AI20" s="114" t="n">
        <f aca="false">AI19-AH20</f>
        <v>863.449231157057</v>
      </c>
      <c r="AJ20" s="144"/>
      <c r="AK20" s="142" t="n">
        <f aca="false">N20+O20+P20+Q20+R20+S20+T20+U20+X20+AE20+AH20</f>
        <v>85.3</v>
      </c>
      <c r="AL20" s="143" t="n">
        <f aca="false">IF(L20&lt;0,L20*-1,0)</f>
        <v>34.4208873203932</v>
      </c>
      <c r="AM20" s="143" t="n">
        <f aca="false">AK20+AL20</f>
        <v>119.720887320393</v>
      </c>
      <c r="AN20" s="147" t="n">
        <f aca="false">V20</f>
        <v>47.9</v>
      </c>
      <c r="AO20" s="144"/>
      <c r="AP20" s="143"/>
      <c r="AQ20" s="114"/>
      <c r="AR20" s="114"/>
      <c r="AS20" s="231"/>
      <c r="AU20" s="56"/>
      <c r="AV20" s="232" t="n">
        <v>0</v>
      </c>
      <c r="AW20" s="225" t="n">
        <v>50</v>
      </c>
      <c r="AX20" s="225" t="n">
        <v>17</v>
      </c>
      <c r="AY20" s="264"/>
      <c r="AZ20" s="263" t="n">
        <f aca="false">SUM(N20,P20:U20)</f>
        <v>2.9</v>
      </c>
      <c r="BA20" s="193" t="n">
        <v>0</v>
      </c>
      <c r="BB20" s="264" t="n">
        <v>16285</v>
      </c>
    </row>
    <row r="21" customFormat="false" ht="12.95" hidden="false" customHeight="true" outlineLevel="0" collapsed="false">
      <c r="A21" s="192" t="n">
        <f aca="false">A20+1</f>
        <v>7</v>
      </c>
      <c r="B21" s="113" t="n">
        <v>6869.34</v>
      </c>
      <c r="C21" s="114" t="n">
        <v>186057</v>
      </c>
      <c r="D21" s="225" t="n">
        <f aca="false">C21-C20</f>
        <v>-27</v>
      </c>
      <c r="E21" s="114" t="n">
        <f aca="false">C21-152000</f>
        <v>34057</v>
      </c>
      <c r="F21" s="259" t="n">
        <f aca="false">D21/$D$2</f>
        <v>-13.61230148727</v>
      </c>
      <c r="G21" s="143" t="n">
        <v>72</v>
      </c>
      <c r="H21" s="345" t="n">
        <v>1.51</v>
      </c>
      <c r="I21" s="143" t="n">
        <f aca="false">G21+H21</f>
        <v>73.51</v>
      </c>
      <c r="J21" s="144" t="n">
        <f aca="false">IF(L21&gt;0,L21,0)</f>
        <v>0</v>
      </c>
      <c r="K21" s="143" t="n">
        <f aca="false">I21+J21</f>
        <v>73.51</v>
      </c>
      <c r="L21" s="143" t="n">
        <f aca="false">F21-(I21-AK21)</f>
        <v>-1.56230148726998</v>
      </c>
      <c r="M21" s="261" t="n">
        <v>2.96</v>
      </c>
      <c r="N21" s="143" t="n">
        <v>0</v>
      </c>
      <c r="O21" s="143" t="n">
        <f aca="false">0*1.05</f>
        <v>0</v>
      </c>
      <c r="P21" s="171" t="n">
        <v>0</v>
      </c>
      <c r="Q21" s="346" t="n">
        <f aca="false">861900/325851/1.9835*1.02</f>
        <v>1.36020945552774</v>
      </c>
      <c r="R21" s="139" t="n">
        <f aca="false">(2*1.04)-T21</f>
        <v>1.57995136</v>
      </c>
      <c r="S21" s="139" t="n">
        <v>0</v>
      </c>
      <c r="T21" s="139" t="n">
        <f aca="false">(0.4536*1.06)*1.04</f>
        <v>0.50004864</v>
      </c>
      <c r="U21" s="102" t="n">
        <f aca="false">M21-(Q21+R21+S21+T21)</f>
        <v>-0.480209455527737</v>
      </c>
      <c r="V21" s="143" t="n">
        <v>47.9</v>
      </c>
      <c r="W21" s="143" t="n">
        <v>0</v>
      </c>
      <c r="X21" s="143" t="n">
        <f aca="false">M21-N21-O21-P21-Q21-R21-S21-T21-U21+V21+W21</f>
        <v>47.9</v>
      </c>
      <c r="Y21" s="143" t="n">
        <f aca="false">X21-AO21</f>
        <v>47.9</v>
      </c>
      <c r="Z21" s="143"/>
      <c r="AA21" s="143"/>
      <c r="AB21" s="114"/>
      <c r="AC21" s="144"/>
      <c r="AD21" s="114"/>
      <c r="AE21" s="143" t="n">
        <v>0</v>
      </c>
      <c r="AF21" s="261"/>
      <c r="AG21" s="262"/>
      <c r="AH21" s="143" t="n">
        <v>34.7</v>
      </c>
      <c r="AI21" s="114" t="n">
        <f aca="false">AI20-AH21</f>
        <v>828.749231157057</v>
      </c>
      <c r="AJ21" s="144"/>
      <c r="AK21" s="142" t="n">
        <f aca="false">N21+O21+P21+Q21+R21+S21+T21+U21+X21+AE21+AH21</f>
        <v>85.56</v>
      </c>
      <c r="AL21" s="143" t="n">
        <f aca="false">IF(L21&lt;0,L21*-1,0)</f>
        <v>1.56230148726998</v>
      </c>
      <c r="AM21" s="143" t="n">
        <f aca="false">AK21+AL21</f>
        <v>87.12230148727</v>
      </c>
      <c r="AN21" s="147" t="n">
        <f aca="false">V21</f>
        <v>47.9</v>
      </c>
      <c r="AO21" s="144"/>
      <c r="AP21" s="143"/>
      <c r="AQ21" s="114"/>
      <c r="AR21" s="114"/>
      <c r="AS21" s="231"/>
      <c r="AU21" s="56"/>
      <c r="AV21" s="232" t="n">
        <v>0</v>
      </c>
      <c r="AW21" s="225" t="n">
        <v>59</v>
      </c>
      <c r="AX21" s="225" t="n">
        <v>24</v>
      </c>
      <c r="AY21" s="264"/>
      <c r="AZ21" s="263" t="n">
        <f aca="false">SUM(N21,P21:U21)</f>
        <v>2.96</v>
      </c>
      <c r="BA21" s="193" t="n">
        <v>0</v>
      </c>
      <c r="BB21" s="264" t="n">
        <v>16211</v>
      </c>
    </row>
    <row r="22" customFormat="false" ht="12.95" hidden="false" customHeight="true" outlineLevel="0" collapsed="false">
      <c r="A22" s="192" t="n">
        <f aca="false">A21+1</f>
        <v>8</v>
      </c>
      <c r="B22" s="113" t="n">
        <v>6869.34</v>
      </c>
      <c r="C22" s="114" t="n">
        <v>186057</v>
      </c>
      <c r="D22" s="225" t="n">
        <f aca="false">C22-C21</f>
        <v>0</v>
      </c>
      <c r="E22" s="114" t="n">
        <f aca="false">C22-152000</f>
        <v>34057</v>
      </c>
      <c r="F22" s="259" t="n">
        <f aca="false">D22/$D$2</f>
        <v>0</v>
      </c>
      <c r="G22" s="143" t="n">
        <v>77</v>
      </c>
      <c r="H22" s="345" t="n">
        <v>1.75</v>
      </c>
      <c r="I22" s="143" t="n">
        <f aca="false">G22+H22</f>
        <v>78.75</v>
      </c>
      <c r="J22" s="144" t="n">
        <f aca="false">IF(L22&gt;0,L22,0)</f>
        <v>7.16999999999999</v>
      </c>
      <c r="K22" s="143" t="n">
        <f aca="false">I22+J22</f>
        <v>85.92</v>
      </c>
      <c r="L22" s="143" t="n">
        <f aca="false">F22-(I22-AK22)</f>
        <v>7.16999999999999</v>
      </c>
      <c r="M22" s="261" t="n">
        <v>3.22</v>
      </c>
      <c r="N22" s="143" t="n">
        <v>0</v>
      </c>
      <c r="O22" s="143" t="n">
        <f aca="false">0*1.05</f>
        <v>0</v>
      </c>
      <c r="P22" s="171" t="n">
        <v>0</v>
      </c>
      <c r="Q22" s="346" t="n">
        <f aca="false">915200/325851/1.9835*1.02</f>
        <v>1.44432497238541</v>
      </c>
      <c r="R22" s="139" t="n">
        <f aca="false">(1.9*1.04)-T22</f>
        <v>1.47595136</v>
      </c>
      <c r="S22" s="139" t="n">
        <v>0</v>
      </c>
      <c r="T22" s="139" t="n">
        <f aca="false">(0.4536*1.06)*1.04</f>
        <v>0.50004864</v>
      </c>
      <c r="U22" s="102" t="n">
        <f aca="false">M22-(Q22+R22+S22+T22)</f>
        <v>-0.20032497238541</v>
      </c>
      <c r="V22" s="143" t="n">
        <v>47.9</v>
      </c>
      <c r="W22" s="143" t="n">
        <v>0</v>
      </c>
      <c r="X22" s="143" t="n">
        <f aca="false">M22-N22-O22-P22-Q22-R22-S22-T22-U22+V22+W22</f>
        <v>47.9</v>
      </c>
      <c r="Y22" s="143" t="n">
        <f aca="false">X22-AO22</f>
        <v>47.9</v>
      </c>
      <c r="Z22" s="143"/>
      <c r="AA22" s="143"/>
      <c r="AB22" s="114"/>
      <c r="AC22" s="144"/>
      <c r="AD22" s="114"/>
      <c r="AE22" s="143" t="n">
        <v>0</v>
      </c>
      <c r="AF22" s="261"/>
      <c r="AG22" s="262"/>
      <c r="AH22" s="143" t="n">
        <v>34.8</v>
      </c>
      <c r="AI22" s="114" t="n">
        <f aca="false">AI21-AH22</f>
        <v>793.949231157057</v>
      </c>
      <c r="AJ22" s="144"/>
      <c r="AK22" s="142" t="n">
        <f aca="false">N22+O22+P22+Q22+R22+S22+T22+U22+X22+AE22+AH22</f>
        <v>85.92</v>
      </c>
      <c r="AL22" s="143" t="n">
        <f aca="false">IF(L22&lt;0,L22*-1,0)</f>
        <v>0</v>
      </c>
      <c r="AM22" s="143" t="n">
        <f aca="false">AK22+AL22</f>
        <v>85.92</v>
      </c>
      <c r="AN22" s="147" t="n">
        <f aca="false">V22</f>
        <v>47.9</v>
      </c>
      <c r="AO22" s="144"/>
      <c r="AP22" s="143"/>
      <c r="AQ22" s="114"/>
      <c r="AR22" s="114"/>
      <c r="AS22" s="231"/>
      <c r="AU22" s="56"/>
      <c r="AV22" s="232" t="n">
        <v>0</v>
      </c>
      <c r="AW22" s="225" t="n">
        <v>55</v>
      </c>
      <c r="AX22" s="225" t="n">
        <v>25</v>
      </c>
      <c r="AY22" s="264"/>
      <c r="AZ22" s="263" t="n">
        <f aca="false">SUM(N22,P22:U22)</f>
        <v>3.22</v>
      </c>
      <c r="BA22" s="193" t="n">
        <v>0</v>
      </c>
      <c r="BB22" s="264" t="n">
        <v>16214</v>
      </c>
    </row>
    <row r="23" customFormat="false" ht="12.95" hidden="false" customHeight="true" outlineLevel="0" collapsed="false">
      <c r="A23" s="192" t="n">
        <f aca="false">A22+1</f>
        <v>9</v>
      </c>
      <c r="B23" s="113" t="n">
        <v>6869.31</v>
      </c>
      <c r="C23" s="114" t="n">
        <v>185978</v>
      </c>
      <c r="D23" s="225" t="n">
        <f aca="false">C23-C22</f>
        <v>-79</v>
      </c>
      <c r="E23" s="114" t="n">
        <f aca="false">C23-152000</f>
        <v>33978</v>
      </c>
      <c r="F23" s="259" t="n">
        <f aca="false">D23/$D$2</f>
        <v>-39.8285858331233</v>
      </c>
      <c r="G23" s="143" t="n">
        <v>86</v>
      </c>
      <c r="H23" s="345" t="n">
        <v>1.98</v>
      </c>
      <c r="I23" s="143" t="n">
        <f aca="false">G23+H23</f>
        <v>87.98</v>
      </c>
      <c r="J23" s="144" t="n">
        <f aca="false">IF(L23&gt;0,L23,0)</f>
        <v>0</v>
      </c>
      <c r="K23" s="143" t="n">
        <f aca="false">I23+J23</f>
        <v>87.98</v>
      </c>
      <c r="L23" s="143" t="n">
        <f aca="false">F23-(I23-AK23)</f>
        <v>-10.4885858331233</v>
      </c>
      <c r="M23" s="261" t="n">
        <v>3.22</v>
      </c>
      <c r="N23" s="143" t="n">
        <v>0</v>
      </c>
      <c r="O23" s="143" t="n">
        <f aca="false">0*1.05</f>
        <v>0</v>
      </c>
      <c r="P23" s="171" t="n">
        <v>0</v>
      </c>
      <c r="Q23" s="346" t="n">
        <f aca="false">864600/325851/1.9835*1.02</f>
        <v>1.36447046670064</v>
      </c>
      <c r="R23" s="139" t="n">
        <f aca="false">(2*1.04)-T23</f>
        <v>1.57995136</v>
      </c>
      <c r="S23" s="139" t="n">
        <v>0</v>
      </c>
      <c r="T23" s="139" t="n">
        <f aca="false">(0.4536*1.06)*1.04</f>
        <v>0.50004864</v>
      </c>
      <c r="U23" s="102" t="n">
        <f aca="false">M23-(Q23+R23+S23+T23)</f>
        <v>-0.22447046670064</v>
      </c>
      <c r="V23" s="143" t="n">
        <v>79.3</v>
      </c>
      <c r="W23" s="143" t="n">
        <v>0</v>
      </c>
      <c r="X23" s="143" t="n">
        <f aca="false">M23-N23-O23-P23-Q23-R23-S23-T23-U23+V23+W23</f>
        <v>79.3</v>
      </c>
      <c r="Y23" s="143" t="n">
        <f aca="false">X23-AO23</f>
        <v>79.3</v>
      </c>
      <c r="Z23" s="143"/>
      <c r="AA23" s="143"/>
      <c r="AB23" s="114"/>
      <c r="AC23" s="144"/>
      <c r="AD23" s="114"/>
      <c r="AE23" s="143" t="n">
        <v>0</v>
      </c>
      <c r="AF23" s="261"/>
      <c r="AG23" s="262"/>
      <c r="AH23" s="143" t="n">
        <v>34.8</v>
      </c>
      <c r="AI23" s="114" t="n">
        <f aca="false">AI22-AH23</f>
        <v>759.149231157057</v>
      </c>
      <c r="AJ23" s="144"/>
      <c r="AK23" s="142" t="n">
        <f aca="false">N23+O23+P23+Q23+R23+S23+T23+U23+X23+AE23+AH23</f>
        <v>117.32</v>
      </c>
      <c r="AL23" s="143" t="n">
        <f aca="false">IF(L23&lt;0,L23*-1,0)</f>
        <v>10.4885858331233</v>
      </c>
      <c r="AM23" s="143" t="n">
        <f aca="false">AK23+AL23</f>
        <v>127.808585833123</v>
      </c>
      <c r="AN23" s="147" t="n">
        <f aca="false">V23</f>
        <v>79.3</v>
      </c>
      <c r="AO23" s="144"/>
      <c r="AP23" s="143"/>
      <c r="AQ23" s="114"/>
      <c r="AR23" s="114"/>
      <c r="AS23" s="231"/>
      <c r="AU23" s="56"/>
      <c r="AV23" s="232" t="n">
        <v>0</v>
      </c>
      <c r="AW23" s="231" t="n">
        <v>57</v>
      </c>
      <c r="AX23" s="225" t="n">
        <v>25</v>
      </c>
      <c r="AY23" s="264"/>
      <c r="AZ23" s="263" t="n">
        <f aca="false">SUM(N23,P23:U23)</f>
        <v>3.22</v>
      </c>
      <c r="BA23" s="193" t="n">
        <v>0</v>
      </c>
      <c r="BB23" s="264" t="n">
        <v>16200</v>
      </c>
    </row>
    <row r="24" customFormat="false" ht="12.95" hidden="false" customHeight="true" outlineLevel="0" collapsed="false">
      <c r="A24" s="192" t="n">
        <f aca="false">A23+1</f>
        <v>10</v>
      </c>
      <c r="B24" s="113" t="n">
        <v>6869.28</v>
      </c>
      <c r="C24" s="114" t="n">
        <v>185899</v>
      </c>
      <c r="D24" s="225" t="n">
        <f aca="false">C24-C23</f>
        <v>-79</v>
      </c>
      <c r="E24" s="114" t="n">
        <f aca="false">C24-152000</f>
        <v>33899</v>
      </c>
      <c r="F24" s="259" t="n">
        <f aca="false">D24/$D$2</f>
        <v>-39.8285858331233</v>
      </c>
      <c r="G24" s="143" t="n">
        <v>91</v>
      </c>
      <c r="H24" s="345" t="n">
        <v>2.12</v>
      </c>
      <c r="I24" s="143" t="n">
        <f aca="false">G24+H24</f>
        <v>93.12</v>
      </c>
      <c r="J24" s="144" t="n">
        <f aca="false">IF(L24&gt;0,L24,0)</f>
        <v>4.61141416687673</v>
      </c>
      <c r="K24" s="143" t="n">
        <f aca="false">I24+J24</f>
        <v>97.7314141668767</v>
      </c>
      <c r="L24" s="143" t="n">
        <f aca="false">F24-(I24-AK24)</f>
        <v>4.61141416687673</v>
      </c>
      <c r="M24" s="261" t="n">
        <v>2.96</v>
      </c>
      <c r="N24" s="143" t="n">
        <v>0</v>
      </c>
      <c r="O24" s="143" t="n">
        <f aca="false">0*1.05</f>
        <v>0</v>
      </c>
      <c r="P24" s="171" t="n">
        <v>0</v>
      </c>
      <c r="Q24" s="346" t="n">
        <f aca="false">719700/325851/1.9835*1.02</f>
        <v>1.13579620042153</v>
      </c>
      <c r="R24" s="139" t="n">
        <f aca="false">(2*1.04)-T24</f>
        <v>1.57995136</v>
      </c>
      <c r="S24" s="139" t="n">
        <v>0</v>
      </c>
      <c r="T24" s="139" t="n">
        <f aca="false">(0.4536*1.06)*1.04</f>
        <v>0.50004864</v>
      </c>
      <c r="U24" s="102" t="n">
        <f aca="false">M24-(Q24+R24+S24+T24)</f>
        <v>-0.255796200421525</v>
      </c>
      <c r="V24" s="143" t="n">
        <v>99.8</v>
      </c>
      <c r="W24" s="143" t="n">
        <v>0</v>
      </c>
      <c r="X24" s="143" t="n">
        <f aca="false">M24-N24-O24-P24-Q24-R24-S24-T24-U24+V24+W24</f>
        <v>99.8</v>
      </c>
      <c r="Y24" s="143" t="n">
        <f aca="false">X24-AO24</f>
        <v>99.8</v>
      </c>
      <c r="Z24" s="143"/>
      <c r="AA24" s="143"/>
      <c r="AB24" s="114"/>
      <c r="AC24" s="144"/>
      <c r="AD24" s="114"/>
      <c r="AE24" s="143" t="n">
        <v>0</v>
      </c>
      <c r="AF24" s="261"/>
      <c r="AG24" s="262"/>
      <c r="AH24" s="143" t="n">
        <v>34.8</v>
      </c>
      <c r="AI24" s="114" t="n">
        <f aca="false">AI23-AH24</f>
        <v>724.349231157057</v>
      </c>
      <c r="AJ24" s="144"/>
      <c r="AK24" s="142" t="n">
        <f aca="false">N24+O24+P24+Q24+R24+S24+T24+U24+X24+AE24+AH24</f>
        <v>137.56</v>
      </c>
      <c r="AL24" s="143" t="n">
        <f aca="false">IF(L24&lt;0,L24*-1,0)</f>
        <v>0</v>
      </c>
      <c r="AM24" s="143" t="n">
        <f aca="false">AK24+AL24</f>
        <v>137.56</v>
      </c>
      <c r="AN24" s="147" t="n">
        <f aca="false">V24</f>
        <v>99.8</v>
      </c>
      <c r="AO24" s="144"/>
      <c r="AP24" s="143"/>
      <c r="AQ24" s="114"/>
      <c r="AR24" s="114"/>
      <c r="AS24" s="231"/>
      <c r="AU24" s="56"/>
      <c r="AV24" s="232" t="n">
        <v>0</v>
      </c>
      <c r="AW24" s="225" t="n">
        <v>61</v>
      </c>
      <c r="AX24" s="225" t="n">
        <v>28</v>
      </c>
      <c r="AY24" s="264"/>
      <c r="AZ24" s="263" t="n">
        <f aca="false">SUM(N24,P24:U24)</f>
        <v>2.96</v>
      </c>
      <c r="BA24" s="193" t="n">
        <v>0</v>
      </c>
      <c r="BB24" s="264" t="n">
        <v>16205</v>
      </c>
    </row>
    <row r="25" customFormat="false" ht="12.95" hidden="false" customHeight="true" outlineLevel="0" collapsed="false">
      <c r="A25" s="192" t="n">
        <f aca="false">A24+1</f>
        <v>11</v>
      </c>
      <c r="B25" s="113" t="n">
        <v>6869.26</v>
      </c>
      <c r="C25" s="114" t="n">
        <v>185846</v>
      </c>
      <c r="D25" s="225" t="n">
        <f aca="false">C25-C24</f>
        <v>-53</v>
      </c>
      <c r="E25" s="114" t="n">
        <f aca="false">C25-152000</f>
        <v>33846</v>
      </c>
      <c r="F25" s="259" t="n">
        <f aca="false">D25/$D$2</f>
        <v>-26.7204436601966</v>
      </c>
      <c r="G25" s="143" t="n">
        <v>104</v>
      </c>
      <c r="H25" s="345" t="n">
        <v>2.22</v>
      </c>
      <c r="I25" s="143" t="n">
        <f aca="false">G25+H25</f>
        <v>106.22</v>
      </c>
      <c r="J25" s="144" t="n">
        <f aca="false">IF(L25&gt;0,L25,0)</f>
        <v>4.43955633980337</v>
      </c>
      <c r="K25" s="143" t="n">
        <f aca="false">I25+J25</f>
        <v>110.659556339803</v>
      </c>
      <c r="L25" s="143" t="n">
        <f aca="false">F25-(I25-AK25)</f>
        <v>4.43955633980337</v>
      </c>
      <c r="M25" s="261" t="n">
        <v>2.88</v>
      </c>
      <c r="N25" s="143" t="n">
        <v>0</v>
      </c>
      <c r="O25" s="143" t="n">
        <f aca="false">0*1.05</f>
        <v>0</v>
      </c>
      <c r="P25" s="171" t="n">
        <v>0</v>
      </c>
      <c r="Q25" s="346" t="n">
        <f aca="false">1079700/325851/1.9835*1.02</f>
        <v>1.70393102347523</v>
      </c>
      <c r="R25" s="139" t="n">
        <f aca="false">(2*1.04)-T25</f>
        <v>1.57995136</v>
      </c>
      <c r="S25" s="139" t="n">
        <v>0</v>
      </c>
      <c r="T25" s="139" t="n">
        <f aca="false">(0.4536*1.06)*1.04</f>
        <v>0.50004864</v>
      </c>
      <c r="U25" s="102" t="n">
        <f aca="false">M25-(Q25+R25+S25+T25)</f>
        <v>-0.903931023475227</v>
      </c>
      <c r="V25" s="143" t="n">
        <v>99.7</v>
      </c>
      <c r="W25" s="143" t="n">
        <v>0</v>
      </c>
      <c r="X25" s="143" t="n">
        <f aca="false">M25-N25-O25-P25-Q25-R25-S25-T25-U25+V25+W25</f>
        <v>99.7</v>
      </c>
      <c r="Y25" s="143" t="n">
        <f aca="false">X25-AO25</f>
        <v>99.7</v>
      </c>
      <c r="Z25" s="143"/>
      <c r="AA25" s="143"/>
      <c r="AB25" s="114"/>
      <c r="AC25" s="144"/>
      <c r="AD25" s="114"/>
      <c r="AE25" s="143" t="n">
        <v>0</v>
      </c>
      <c r="AF25" s="261"/>
      <c r="AG25" s="262"/>
      <c r="AH25" s="143" t="n">
        <v>34.8</v>
      </c>
      <c r="AI25" s="114" t="n">
        <f aca="false">AI24-AH25</f>
        <v>689.549231157057</v>
      </c>
      <c r="AJ25" s="144"/>
      <c r="AK25" s="142" t="n">
        <f aca="false">N25+O25+P25+Q25+R25+S25+T25+U25+X25+AE25+AH25</f>
        <v>137.38</v>
      </c>
      <c r="AL25" s="143" t="n">
        <f aca="false">IF(L25&lt;0,L25*-1,0)</f>
        <v>0</v>
      </c>
      <c r="AM25" s="143" t="n">
        <f aca="false">AK25+AL25</f>
        <v>137.38</v>
      </c>
      <c r="AN25" s="147" t="n">
        <f aca="false">V25</f>
        <v>99.7</v>
      </c>
      <c r="AO25" s="144"/>
      <c r="AP25" s="143"/>
      <c r="AQ25" s="114"/>
      <c r="AR25" s="114"/>
      <c r="AS25" s="231"/>
      <c r="AU25" s="56"/>
      <c r="AV25" s="232" t="n">
        <v>0</v>
      </c>
      <c r="AW25" s="225" t="n">
        <v>62</v>
      </c>
      <c r="AX25" s="225" t="n">
        <v>31</v>
      </c>
      <c r="AY25" s="264"/>
      <c r="AZ25" s="263" t="n">
        <f aca="false">SUM(N25,P25:U25)</f>
        <v>2.88</v>
      </c>
      <c r="BA25" s="193" t="n">
        <v>0</v>
      </c>
      <c r="BB25" s="264" t="n">
        <v>16220</v>
      </c>
    </row>
    <row r="26" customFormat="false" ht="12.95" hidden="false" customHeight="true" outlineLevel="0" collapsed="false">
      <c r="A26" s="192" t="n">
        <f aca="false">A25+1</f>
        <v>12</v>
      </c>
      <c r="B26" s="113" t="n">
        <v>6869.28</v>
      </c>
      <c r="C26" s="114" t="n">
        <v>185899</v>
      </c>
      <c r="D26" s="225" t="n">
        <f aca="false">C26-C25</f>
        <v>53</v>
      </c>
      <c r="E26" s="114" t="n">
        <f aca="false">C26-152000</f>
        <v>33899</v>
      </c>
      <c r="F26" s="259" t="n">
        <f aca="false">D26/$D$2</f>
        <v>26.7204436601966</v>
      </c>
      <c r="G26" s="143" t="n">
        <v>118</v>
      </c>
      <c r="H26" s="345" t="n">
        <v>2.49</v>
      </c>
      <c r="I26" s="143" t="n">
        <f aca="false">G26+H26</f>
        <v>120.49</v>
      </c>
      <c r="J26" s="144" t="n">
        <f aca="false">IF(L26&gt;0,L26,0)</f>
        <v>12.2804436601966</v>
      </c>
      <c r="K26" s="143" t="n">
        <f aca="false">I26+J26</f>
        <v>132.770443660197</v>
      </c>
      <c r="L26" s="143" t="n">
        <f aca="false">F26-(I26-AK26)</f>
        <v>12.2804436601966</v>
      </c>
      <c r="M26" s="261" t="n">
        <v>3.55</v>
      </c>
      <c r="N26" s="143" t="n">
        <v>0</v>
      </c>
      <c r="O26" s="143" t="n">
        <f aca="false">0*1.05</f>
        <v>0</v>
      </c>
      <c r="P26" s="171" t="n">
        <v>0</v>
      </c>
      <c r="Q26" s="346" t="n">
        <f aca="false">853500/325851/1.9835*1.02</f>
        <v>1.34695297632315</v>
      </c>
      <c r="R26" s="139" t="n">
        <f aca="false">(2.2*1.04)-T26</f>
        <v>1.78795136</v>
      </c>
      <c r="S26" s="139" t="n">
        <v>0</v>
      </c>
      <c r="T26" s="139" t="n">
        <f aca="false">(0.4536*1.06)*1.04</f>
        <v>0.50004864</v>
      </c>
      <c r="U26" s="102" t="n">
        <f aca="false">M26-(Q26+R26+S26+T26)</f>
        <v>-0.0849529763231511</v>
      </c>
      <c r="V26" s="143" t="n">
        <v>67.7</v>
      </c>
      <c r="W26" s="143" t="n">
        <v>0</v>
      </c>
      <c r="X26" s="143" t="n">
        <f aca="false">M26-N26-O26-P26-Q26-R26-S26-T26-U26+V26+W26</f>
        <v>67.7</v>
      </c>
      <c r="Y26" s="143" t="n">
        <f aca="false">X26-AO26</f>
        <v>67.7</v>
      </c>
      <c r="Z26" s="143"/>
      <c r="AA26" s="143"/>
      <c r="AB26" s="114"/>
      <c r="AC26" s="144"/>
      <c r="AD26" s="114"/>
      <c r="AE26" s="143" t="n">
        <v>0</v>
      </c>
      <c r="AF26" s="261"/>
      <c r="AG26" s="262"/>
      <c r="AH26" s="143" t="n">
        <v>34.8</v>
      </c>
      <c r="AI26" s="114" t="n">
        <f aca="false">AI25-AH26</f>
        <v>654.749231157057</v>
      </c>
      <c r="AJ26" s="144"/>
      <c r="AK26" s="142" t="n">
        <f aca="false">N26+O26+P26+Q26+R26+S26+T26+U26+X26+AE26+AH26</f>
        <v>106.05</v>
      </c>
      <c r="AL26" s="143" t="n">
        <f aca="false">IF(L26&lt;0,L26*-1,0)</f>
        <v>0</v>
      </c>
      <c r="AM26" s="143" t="n">
        <f aca="false">AK26+AL26</f>
        <v>106.05</v>
      </c>
      <c r="AN26" s="147" t="n">
        <f aca="false">V26</f>
        <v>67.7</v>
      </c>
      <c r="AO26" s="144"/>
      <c r="AP26" s="143"/>
      <c r="AQ26" s="114"/>
      <c r="AR26" s="114"/>
      <c r="AS26" s="231"/>
      <c r="AU26" s="56"/>
      <c r="AV26" s="232" t="n">
        <v>0</v>
      </c>
      <c r="AW26" s="225" t="n">
        <v>58</v>
      </c>
      <c r="AX26" s="225" t="n">
        <v>36</v>
      </c>
      <c r="AY26" s="264"/>
      <c r="AZ26" s="263" t="n">
        <f aca="false">SUM(N26,P26:U26)</f>
        <v>3.55</v>
      </c>
      <c r="BA26" s="193" t="n">
        <v>0</v>
      </c>
      <c r="BB26" s="264" t="n">
        <v>16208</v>
      </c>
    </row>
    <row r="27" customFormat="false" ht="12.95" hidden="false" customHeight="true" outlineLevel="0" collapsed="false">
      <c r="A27" s="192" t="n">
        <f aca="false">A26+1</f>
        <v>13</v>
      </c>
      <c r="B27" s="113" t="n">
        <v>6869.32</v>
      </c>
      <c r="C27" s="114" t="n">
        <v>186005</v>
      </c>
      <c r="D27" s="225" t="n">
        <f aca="false">C27-C26</f>
        <v>106</v>
      </c>
      <c r="E27" s="114" t="n">
        <f aca="false">C27-152000</f>
        <v>34005</v>
      </c>
      <c r="F27" s="259" t="n">
        <f aca="false">D27/$D$2</f>
        <v>53.4408873203932</v>
      </c>
      <c r="G27" s="143" t="n">
        <v>116</v>
      </c>
      <c r="H27" s="345" t="n">
        <v>2.47</v>
      </c>
      <c r="I27" s="143" t="n">
        <f aca="false">G27+H27</f>
        <v>118.47</v>
      </c>
      <c r="J27" s="144" t="n">
        <f aca="false">IF(L27&gt;0,L27,0)</f>
        <v>22.3508873203932</v>
      </c>
      <c r="K27" s="143" t="n">
        <f aca="false">I27+J27</f>
        <v>140.820887320393</v>
      </c>
      <c r="L27" s="143" t="n">
        <f aca="false">F27-(I27-AK27)</f>
        <v>22.3508873203932</v>
      </c>
      <c r="M27" s="261" t="n">
        <v>2.78</v>
      </c>
      <c r="N27" s="143" t="n">
        <v>0</v>
      </c>
      <c r="O27" s="143" t="n">
        <f aca="false">0*1.05</f>
        <v>0</v>
      </c>
      <c r="P27" s="171" t="n">
        <v>0</v>
      </c>
      <c r="Q27" s="346" t="n">
        <f aca="false">740300/325851/1.9835*1.02</f>
        <v>1.16830613751849</v>
      </c>
      <c r="R27" s="139" t="n">
        <f aca="false">(1.8*1.04)-T27</f>
        <v>1.3549744</v>
      </c>
      <c r="S27" s="139" t="n">
        <v>0</v>
      </c>
      <c r="T27" s="139" t="n">
        <f aca="false">(0.469*1.06)*1.04</f>
        <v>0.5170256</v>
      </c>
      <c r="U27" s="102" t="n">
        <f aca="false">M27-(Q27+R27+S27+T27)</f>
        <v>-0.260306137518488</v>
      </c>
      <c r="V27" s="143" t="n">
        <v>50.2</v>
      </c>
      <c r="W27" s="143" t="n">
        <v>0</v>
      </c>
      <c r="X27" s="143" t="n">
        <f aca="false">M27-N27-O27-P27-Q27-R27-S27-T27-U27+V27+W27</f>
        <v>50.2</v>
      </c>
      <c r="Y27" s="143" t="n">
        <f aca="false">X27-AO27</f>
        <v>50.2</v>
      </c>
      <c r="Z27" s="143"/>
      <c r="AA27" s="143"/>
      <c r="AB27" s="114"/>
      <c r="AC27" s="144"/>
      <c r="AD27" s="114"/>
      <c r="AE27" s="143" t="n">
        <v>0</v>
      </c>
      <c r="AF27" s="261"/>
      <c r="AG27" s="262"/>
      <c r="AH27" s="143" t="n">
        <v>34.4</v>
      </c>
      <c r="AI27" s="114" t="n">
        <f aca="false">AI26-AH27</f>
        <v>620.349231157057</v>
      </c>
      <c r="AJ27" s="144"/>
      <c r="AK27" s="142" t="n">
        <f aca="false">N27+O27+P27+Q27+R27+S27+T27+U27+X27+AE27+AH27</f>
        <v>87.38</v>
      </c>
      <c r="AL27" s="143" t="n">
        <f aca="false">IF(L27&lt;0,L27*-1,0)</f>
        <v>0</v>
      </c>
      <c r="AM27" s="143" t="n">
        <f aca="false">AK27+AL27</f>
        <v>87.38</v>
      </c>
      <c r="AN27" s="147" t="n">
        <f aca="false">V27</f>
        <v>50.2</v>
      </c>
      <c r="AO27" s="144"/>
      <c r="AP27" s="143"/>
      <c r="AQ27" s="114"/>
      <c r="AR27" s="114"/>
      <c r="AS27" s="231"/>
      <c r="AU27" s="56"/>
      <c r="AV27" s="232" t="n">
        <v>0</v>
      </c>
      <c r="AW27" s="225" t="n">
        <v>61</v>
      </c>
      <c r="AX27" s="225" t="n">
        <v>36</v>
      </c>
      <c r="AY27" s="264"/>
      <c r="AZ27" s="263" t="n">
        <f aca="false">SUM(N27,P27:U27)</f>
        <v>2.78</v>
      </c>
      <c r="BA27" s="193" t="n">
        <v>0</v>
      </c>
      <c r="BB27" s="264" t="n">
        <v>16238</v>
      </c>
    </row>
    <row r="28" customFormat="false" ht="12.95" hidden="false" customHeight="true" outlineLevel="0" collapsed="false">
      <c r="A28" s="192" t="n">
        <f aca="false">A27+1</f>
        <v>14</v>
      </c>
      <c r="B28" s="113" t="n">
        <v>6869.37</v>
      </c>
      <c r="C28" s="114" t="n">
        <v>186137</v>
      </c>
      <c r="D28" s="225" t="n">
        <f aca="false">C28-C27</f>
        <v>132</v>
      </c>
      <c r="E28" s="114" t="n">
        <f aca="false">C28-152000</f>
        <v>34137</v>
      </c>
      <c r="F28" s="259" t="n">
        <f aca="false">D28/$D$2</f>
        <v>66.5490294933199</v>
      </c>
      <c r="G28" s="143" t="n">
        <v>118</v>
      </c>
      <c r="H28" s="345" t="n">
        <v>2.48</v>
      </c>
      <c r="I28" s="143" t="n">
        <f aca="false">G28+H28</f>
        <v>120.48</v>
      </c>
      <c r="J28" s="144" t="n">
        <f aca="false">IF(L28&gt;0,L28,0)</f>
        <v>33.5190294933199</v>
      </c>
      <c r="K28" s="143" t="n">
        <f aca="false">I28+J28</f>
        <v>153.99902949332</v>
      </c>
      <c r="L28" s="143" t="n">
        <f aca="false">F28-(I28-AK28)</f>
        <v>33.5190294933199</v>
      </c>
      <c r="M28" s="261" t="n">
        <v>3.35</v>
      </c>
      <c r="N28" s="143" t="n">
        <v>0</v>
      </c>
      <c r="O28" s="143" t="n">
        <f aca="false">0*1.05</f>
        <v>0</v>
      </c>
      <c r="P28" s="171" t="n">
        <v>0</v>
      </c>
      <c r="Q28" s="346" t="n">
        <f aca="false">851100/325851/1.9835*1.02</f>
        <v>1.34316541083613</v>
      </c>
      <c r="R28" s="139" t="n">
        <f aca="false">(2*1.04)-T28</f>
        <v>1.5629744</v>
      </c>
      <c r="S28" s="139" t="n">
        <v>0</v>
      </c>
      <c r="T28" s="139" t="n">
        <f aca="false">(0.469*1.06)*1.04</f>
        <v>0.5170256</v>
      </c>
      <c r="U28" s="102" t="n">
        <f aca="false">M28-(Q28+R28+S28+T28)</f>
        <v>-0.0731654108361259</v>
      </c>
      <c r="V28" s="143" t="n">
        <v>50.2</v>
      </c>
      <c r="W28" s="143" t="n">
        <v>0</v>
      </c>
      <c r="X28" s="143" t="n">
        <f aca="false">M28-N28-O28-P28-Q28-R28-S28-T28-U28+V28+W28</f>
        <v>50.2</v>
      </c>
      <c r="Y28" s="143" t="n">
        <f aca="false">X28-AO28</f>
        <v>50.2</v>
      </c>
      <c r="Z28" s="143"/>
      <c r="AA28" s="143"/>
      <c r="AB28" s="114"/>
      <c r="AC28" s="144"/>
      <c r="AD28" s="114"/>
      <c r="AE28" s="143" t="n">
        <v>0</v>
      </c>
      <c r="AF28" s="261"/>
      <c r="AG28" s="262"/>
      <c r="AH28" s="143" t="n">
        <v>33.9</v>
      </c>
      <c r="AI28" s="114" t="n">
        <f aca="false">AI27-AH28</f>
        <v>586.449231157057</v>
      </c>
      <c r="AJ28" s="144"/>
      <c r="AK28" s="142" t="n">
        <f aca="false">N28+O28+P28+Q28+R28+S28+T28+U28+X28+AE28+AH28</f>
        <v>87.45</v>
      </c>
      <c r="AL28" s="143" t="n">
        <f aca="false">IF(L28&lt;0,L28*-1,0)</f>
        <v>0</v>
      </c>
      <c r="AM28" s="143" t="n">
        <f aca="false">AK28+AL28</f>
        <v>87.45</v>
      </c>
      <c r="AN28" s="147" t="n">
        <f aca="false">V28</f>
        <v>50.2</v>
      </c>
      <c r="AO28" s="144"/>
      <c r="AP28" s="143"/>
      <c r="AQ28" s="114"/>
      <c r="AR28" s="114"/>
      <c r="AS28" s="231"/>
      <c r="AU28" s="56"/>
      <c r="AV28" s="232" t="n">
        <v>0</v>
      </c>
      <c r="AW28" s="231" t="n">
        <v>64</v>
      </c>
      <c r="AX28" s="225" t="n">
        <v>32</v>
      </c>
      <c r="AY28" s="264"/>
      <c r="AZ28" s="263" t="n">
        <f aca="false">SUM(N28,P28:U28)</f>
        <v>3.35</v>
      </c>
      <c r="BA28" s="193" t="n">
        <v>0</v>
      </c>
      <c r="BB28" s="264" t="n">
        <v>16228</v>
      </c>
    </row>
    <row r="29" customFormat="false" ht="12.95" hidden="false" customHeight="true" outlineLevel="0" collapsed="false">
      <c r="A29" s="192" t="n">
        <f aca="false">A28+1</f>
        <v>15</v>
      </c>
      <c r="B29" s="113" t="n">
        <v>6869.45</v>
      </c>
      <c r="C29" s="114" t="n">
        <v>186348</v>
      </c>
      <c r="D29" s="225" t="n">
        <f aca="false">C29-C28</f>
        <v>211</v>
      </c>
      <c r="E29" s="114" t="n">
        <f aca="false">C29-152000</f>
        <v>34348</v>
      </c>
      <c r="F29" s="259" t="n">
        <f aca="false">D29/$D$2</f>
        <v>106.377615326443</v>
      </c>
      <c r="G29" s="143" t="n">
        <v>135</v>
      </c>
      <c r="H29" s="345" t="n">
        <v>2.73</v>
      </c>
      <c r="I29" s="143" t="n">
        <f aca="false">G29+H29</f>
        <v>137.73</v>
      </c>
      <c r="J29" s="144" t="n">
        <f aca="false">IF(L29&gt;0,L29,0)</f>
        <v>56.1576153264432</v>
      </c>
      <c r="K29" s="143" t="n">
        <f aca="false">I29+J29</f>
        <v>193.887615326443</v>
      </c>
      <c r="L29" s="143" t="n">
        <f aca="false">F29-(I29-AK29)</f>
        <v>56.1576153264432</v>
      </c>
      <c r="M29" s="261" t="n">
        <v>3.41</v>
      </c>
      <c r="N29" s="143" t="n">
        <v>0</v>
      </c>
      <c r="O29" s="143" t="n">
        <f aca="false">0*1.05</f>
        <v>0</v>
      </c>
      <c r="P29" s="171" t="n">
        <v>0</v>
      </c>
      <c r="Q29" s="346" t="n">
        <f aca="false">1058100/325851/1.9835*1.02</f>
        <v>1.669842934092</v>
      </c>
      <c r="R29" s="139" t="n">
        <f aca="false">(1.8*1.04)-T29</f>
        <v>1.3549744</v>
      </c>
      <c r="S29" s="139" t="n">
        <v>0</v>
      </c>
      <c r="T29" s="139" t="n">
        <f aca="false">(0.469*1.06)*1.04</f>
        <v>0.5170256</v>
      </c>
      <c r="U29" s="102" t="n">
        <f aca="false">M29-(Q29+R29+S29+T29)</f>
        <v>-0.131842934092004</v>
      </c>
      <c r="V29" s="143" t="n">
        <v>50.4</v>
      </c>
      <c r="W29" s="143" t="n">
        <v>0</v>
      </c>
      <c r="X29" s="143" t="n">
        <f aca="false">M29-N29-O29-P29-Q29-R29-S29-T29-U29+V29+W29</f>
        <v>50.4</v>
      </c>
      <c r="Y29" s="143" t="n">
        <f aca="false">X29-AO29</f>
        <v>50.4</v>
      </c>
      <c r="Z29" s="143"/>
      <c r="AA29" s="143"/>
      <c r="AB29" s="114"/>
      <c r="AC29" s="144"/>
      <c r="AD29" s="114"/>
      <c r="AE29" s="143" t="n">
        <v>0</v>
      </c>
      <c r="AF29" s="261"/>
      <c r="AG29" s="262"/>
      <c r="AH29" s="143" t="n">
        <v>33.7</v>
      </c>
      <c r="AI29" s="114" t="n">
        <f aca="false">AI28-AH29</f>
        <v>552.749231157057</v>
      </c>
      <c r="AJ29" s="144"/>
      <c r="AK29" s="142" t="n">
        <f aca="false">N29+O29+P29+Q29+R29+S29+T29+U29+X29+AE29+AH29</f>
        <v>87.51</v>
      </c>
      <c r="AL29" s="143" t="n">
        <f aca="false">IF(L29&lt;0,L29*-1,0)</f>
        <v>0</v>
      </c>
      <c r="AM29" s="143" t="n">
        <f aca="false">AK29+AL29</f>
        <v>87.51</v>
      </c>
      <c r="AN29" s="147" t="n">
        <f aca="false">V29</f>
        <v>50.4</v>
      </c>
      <c r="AO29" s="144"/>
      <c r="AP29" s="143"/>
      <c r="AQ29" s="114"/>
      <c r="AR29" s="114"/>
      <c r="AS29" s="231"/>
      <c r="AU29" s="56"/>
      <c r="AV29" s="232" t="n">
        <v>0</v>
      </c>
      <c r="AW29" s="231" t="n">
        <v>70</v>
      </c>
      <c r="AX29" s="225" t="n">
        <v>32</v>
      </c>
      <c r="AY29" s="264"/>
      <c r="AZ29" s="263" t="n">
        <f aca="false">SUM(N29,P29:U29)</f>
        <v>3.41</v>
      </c>
      <c r="BA29" s="193" t="n">
        <v>0</v>
      </c>
      <c r="BB29" s="264" t="n">
        <v>16262</v>
      </c>
    </row>
    <row r="30" customFormat="false" ht="12.95" hidden="false" customHeight="true" outlineLevel="0" collapsed="false">
      <c r="A30" s="192" t="n">
        <f aca="false">A29+1</f>
        <v>16</v>
      </c>
      <c r="B30" s="113" t="n">
        <v>6869.58</v>
      </c>
      <c r="C30" s="114" t="n">
        <v>186692</v>
      </c>
      <c r="D30" s="225" t="n">
        <f aca="false">C30-C29</f>
        <v>344</v>
      </c>
      <c r="E30" s="114" t="n">
        <f aca="false">C30-152000</f>
        <v>34692</v>
      </c>
      <c r="F30" s="259" t="n">
        <f aca="false">D30/$D$2</f>
        <v>173.430804134106</v>
      </c>
      <c r="G30" s="143" t="n">
        <v>170</v>
      </c>
      <c r="H30" s="345" t="n">
        <v>2.54</v>
      </c>
      <c r="I30" s="143" t="n">
        <f aca="false">G30+H30</f>
        <v>172.54</v>
      </c>
      <c r="J30" s="144" t="n">
        <f aca="false">IF(L30&gt;0,L30,0)</f>
        <v>88.3208041341064</v>
      </c>
      <c r="K30" s="143" t="n">
        <f aca="false">I30+J30</f>
        <v>260.860804134106</v>
      </c>
      <c r="L30" s="143" t="n">
        <f aca="false">F30-(I30-AK30)</f>
        <v>88.3208041341064</v>
      </c>
      <c r="M30" s="261" t="n">
        <v>2.93</v>
      </c>
      <c r="N30" s="143" t="n">
        <v>0</v>
      </c>
      <c r="O30" s="143" t="n">
        <f aca="false">0*1.05</f>
        <v>0</v>
      </c>
      <c r="P30" s="171" t="n">
        <v>0</v>
      </c>
      <c r="Q30" s="346" t="n">
        <f aca="false">992500/325851/1.9835*1.02</f>
        <v>1.56631614411333</v>
      </c>
      <c r="R30" s="139" t="n">
        <f aca="false">(1.9*1.04)-T30</f>
        <v>1.4589744</v>
      </c>
      <c r="S30" s="139" t="n">
        <v>0</v>
      </c>
      <c r="T30" s="139" t="n">
        <f aca="false">(0.469*1.06)*1.04</f>
        <v>0.5170256</v>
      </c>
      <c r="U30" s="102" t="n">
        <f aca="false">M30-(Q30+R30+S30+T30)</f>
        <v>-0.61231614411333</v>
      </c>
      <c r="V30" s="143" t="n">
        <v>50.9</v>
      </c>
      <c r="W30" s="143" t="n">
        <v>0</v>
      </c>
      <c r="X30" s="143" t="n">
        <f aca="false">M30-N30-O30-P30-Q30-R30-S30-T30-U30+V30+W30</f>
        <v>50.9</v>
      </c>
      <c r="Y30" s="143" t="n">
        <f aca="false">X30-AO30</f>
        <v>50.9</v>
      </c>
      <c r="Z30" s="143"/>
      <c r="AA30" s="143"/>
      <c r="AB30" s="114"/>
      <c r="AC30" s="144"/>
      <c r="AD30" s="114"/>
      <c r="AE30" s="143" t="n">
        <v>0</v>
      </c>
      <c r="AF30" s="261"/>
      <c r="AG30" s="262"/>
      <c r="AH30" s="143" t="n">
        <v>33.6</v>
      </c>
      <c r="AI30" s="114" t="n">
        <f aca="false">AI29-AH30</f>
        <v>519.149231157057</v>
      </c>
      <c r="AJ30" s="144"/>
      <c r="AK30" s="142" t="n">
        <f aca="false">N30+O30+P30+Q30+R30+S30+T30+U30+X30+AE30+AH30</f>
        <v>87.43</v>
      </c>
      <c r="AL30" s="143" t="n">
        <f aca="false">IF(L30&lt;0,L30*-1,0)</f>
        <v>0</v>
      </c>
      <c r="AM30" s="143" t="n">
        <f aca="false">AK30+AL30</f>
        <v>87.43</v>
      </c>
      <c r="AN30" s="147" t="n">
        <f aca="false">V30</f>
        <v>50.9</v>
      </c>
      <c r="AO30" s="144"/>
      <c r="AP30" s="143"/>
      <c r="AQ30" s="107"/>
      <c r="AR30" s="107"/>
      <c r="AS30" s="231"/>
      <c r="AU30" s="56"/>
      <c r="AV30" s="232" t="n">
        <v>0</v>
      </c>
      <c r="AW30" s="231" t="n">
        <v>71</v>
      </c>
      <c r="AX30" s="225" t="n">
        <v>34</v>
      </c>
      <c r="AY30" s="264"/>
      <c r="AZ30" s="263" t="n">
        <f aca="false">SUM(N30,P30:U30)</f>
        <v>2.93</v>
      </c>
      <c r="BA30" s="193" t="n">
        <v>0</v>
      </c>
      <c r="BB30" s="264" t="n">
        <v>16289</v>
      </c>
    </row>
    <row r="31" customFormat="false" ht="12.95" hidden="false" customHeight="true" outlineLevel="0" collapsed="false">
      <c r="A31" s="192" t="n">
        <v>17</v>
      </c>
      <c r="B31" s="113" t="n">
        <v>6869.73</v>
      </c>
      <c r="C31" s="114" t="n">
        <v>187089</v>
      </c>
      <c r="D31" s="225" t="n">
        <f aca="false">C31-C30</f>
        <v>397</v>
      </c>
      <c r="E31" s="114" t="n">
        <f aca="false">C31-152000</f>
        <v>35089</v>
      </c>
      <c r="F31" s="259" t="n">
        <f aca="false">D31/$D$2</f>
        <v>200.151247794303</v>
      </c>
      <c r="G31" s="143" t="n">
        <v>219</v>
      </c>
      <c r="H31" s="345" t="n">
        <v>2.09</v>
      </c>
      <c r="I31" s="143" t="n">
        <f aca="false">G31+H31</f>
        <v>221.09</v>
      </c>
      <c r="J31" s="144" t="n">
        <f aca="false">IF(L31&gt;0,L31,0)</f>
        <v>66.851247794303</v>
      </c>
      <c r="K31" s="143" t="n">
        <f aca="false">I31+J31</f>
        <v>287.941247794303</v>
      </c>
      <c r="L31" s="143" t="n">
        <f aca="false">F31-(I31-AK31)</f>
        <v>66.851247794303</v>
      </c>
      <c r="M31" s="261" t="n">
        <v>3.29</v>
      </c>
      <c r="N31" s="143" t="n">
        <v>0</v>
      </c>
      <c r="O31" s="143" t="n">
        <f aca="false">0*1.05</f>
        <v>0</v>
      </c>
      <c r="P31" s="171" t="n">
        <v>0</v>
      </c>
      <c r="Q31" s="346" t="n">
        <f aca="false">946100/325851/1.9835*1.02</f>
        <v>1.49308987803085</v>
      </c>
      <c r="R31" s="139" t="n">
        <f aca="false">(2*1.04)-T31</f>
        <v>1.5629744</v>
      </c>
      <c r="S31" s="139" t="n">
        <v>0</v>
      </c>
      <c r="T31" s="139" t="n">
        <f aca="false">(0.469*1.06)*1.04</f>
        <v>0.5170256</v>
      </c>
      <c r="U31" s="102" t="n">
        <f aca="false">M31-(Q31+R31+S31+T31)</f>
        <v>-0.283089878030853</v>
      </c>
      <c r="V31" s="143" t="n">
        <v>50.9</v>
      </c>
      <c r="W31" s="143" t="n">
        <v>0</v>
      </c>
      <c r="X31" s="143" t="n">
        <f aca="false">M31-N31-O31-P31-Q31-R31-S31-T31-U31+V31+W31</f>
        <v>50.9</v>
      </c>
      <c r="Y31" s="143" t="n">
        <f aca="false">X31-AO31</f>
        <v>50.9</v>
      </c>
      <c r="Z31" s="143"/>
      <c r="AA31" s="143"/>
      <c r="AB31" s="114"/>
      <c r="AC31" s="144"/>
      <c r="AD31" s="114"/>
      <c r="AE31" s="143" t="n">
        <v>0</v>
      </c>
      <c r="AF31" s="261"/>
      <c r="AG31" s="262"/>
      <c r="AH31" s="143" t="n">
        <v>33.6</v>
      </c>
      <c r="AI31" s="114" t="n">
        <f aca="false">AI30-AH31</f>
        <v>485.549231157057</v>
      </c>
      <c r="AJ31" s="144"/>
      <c r="AK31" s="142" t="n">
        <f aca="false">N31+O31+P31+Q31+R31+S31+T31+U31+X31+AE31+AH31</f>
        <v>87.79</v>
      </c>
      <c r="AL31" s="143" t="n">
        <f aca="false">IF(L31&lt;0,L31*-1,0)</f>
        <v>0</v>
      </c>
      <c r="AM31" s="143" t="n">
        <f aca="false">AK31+AL31</f>
        <v>87.79</v>
      </c>
      <c r="AN31" s="147" t="n">
        <f aca="false">V31</f>
        <v>50.9</v>
      </c>
      <c r="AO31" s="144"/>
      <c r="AP31" s="143"/>
      <c r="AQ31" s="114"/>
      <c r="AR31" s="114"/>
      <c r="AS31" s="231"/>
      <c r="AU31" s="56"/>
      <c r="AV31" s="232" t="n">
        <v>0</v>
      </c>
      <c r="AW31" s="231" t="n">
        <v>73</v>
      </c>
      <c r="AX31" s="225" t="n">
        <v>36</v>
      </c>
      <c r="AY31" s="264"/>
      <c r="AZ31" s="263" t="n">
        <f aca="false">SUM(N31,P31:U31)</f>
        <v>3.29</v>
      </c>
      <c r="BA31" s="193" t="n">
        <v>0</v>
      </c>
      <c r="BB31" s="264" t="n">
        <v>16317</v>
      </c>
    </row>
    <row r="32" customFormat="false" ht="12.95" hidden="false" customHeight="true" outlineLevel="0" collapsed="false">
      <c r="A32" s="192" t="n">
        <f aca="false">A31+1</f>
        <v>18</v>
      </c>
      <c r="B32" s="113" t="n">
        <v>6869.96</v>
      </c>
      <c r="C32" s="114" t="n">
        <v>187697</v>
      </c>
      <c r="D32" s="225" t="n">
        <f aca="false">C32-C31</f>
        <v>608</v>
      </c>
      <c r="E32" s="114" t="n">
        <f aca="false">C32-152000</f>
        <v>35697</v>
      </c>
      <c r="F32" s="259" t="n">
        <f aca="false">D32/$D$2</f>
        <v>306.528863120746</v>
      </c>
      <c r="G32" s="143" t="n">
        <v>286</v>
      </c>
      <c r="H32" s="345" t="n">
        <v>2.22</v>
      </c>
      <c r="I32" s="143" t="n">
        <f aca="false">G32+H32</f>
        <v>288.22</v>
      </c>
      <c r="J32" s="144" t="n">
        <f aca="false">IF(L32&gt;0,L32,0)</f>
        <v>106.398863120746</v>
      </c>
      <c r="K32" s="143" t="n">
        <f aca="false">I32+J32</f>
        <v>394.618863120746</v>
      </c>
      <c r="L32" s="143" t="n">
        <f aca="false">F32-(I32-AK32)</f>
        <v>106.398863120746</v>
      </c>
      <c r="M32" s="261" t="n">
        <v>3.49</v>
      </c>
      <c r="N32" s="143" t="n">
        <v>0</v>
      </c>
      <c r="O32" s="143" t="n">
        <f aca="false">0*1.05</f>
        <v>0</v>
      </c>
      <c r="P32" s="171" t="n">
        <v>0</v>
      </c>
      <c r="Q32" s="346" t="n">
        <f aca="false">900200/325851/1.9835*1.02</f>
        <v>1.42065268809151</v>
      </c>
      <c r="R32" s="139" t="n">
        <f aca="false">(2*1.04)-T32</f>
        <v>1.5629744</v>
      </c>
      <c r="S32" s="139" t="n">
        <v>0</v>
      </c>
      <c r="T32" s="139" t="n">
        <f aca="false">(0.469*1.06)*1.04</f>
        <v>0.5170256</v>
      </c>
      <c r="U32" s="102" t="n">
        <f aca="false">M32-(Q32+R32+S32+T32)</f>
        <v>-0.0106526880915059</v>
      </c>
      <c r="V32" s="143" t="n">
        <v>51</v>
      </c>
      <c r="W32" s="143" t="n">
        <v>0</v>
      </c>
      <c r="X32" s="143" t="n">
        <f aca="false">M32-N32-O32-P32-Q32-R32-S32-T32-U32+V32+W32</f>
        <v>51</v>
      </c>
      <c r="Y32" s="143" t="n">
        <f aca="false">X32-AO32</f>
        <v>51</v>
      </c>
      <c r="Z32" s="143"/>
      <c r="AA32" s="143"/>
      <c r="AB32" s="114"/>
      <c r="AC32" s="144"/>
      <c r="AD32" s="114"/>
      <c r="AE32" s="143" t="n">
        <v>0</v>
      </c>
      <c r="AF32" s="261"/>
      <c r="AG32" s="262"/>
      <c r="AH32" s="143" t="n">
        <v>33.6</v>
      </c>
      <c r="AI32" s="114" t="n">
        <f aca="false">AI31-AH32</f>
        <v>451.949231157057</v>
      </c>
      <c r="AJ32" s="144"/>
      <c r="AK32" s="142" t="n">
        <f aca="false">N32+O32+P32+Q32+R32+S32+T32+U32+X32+AE32+AH32</f>
        <v>88.09</v>
      </c>
      <c r="AL32" s="143" t="n">
        <f aca="false">IF(L32&lt;0,L32*-1,0)</f>
        <v>0</v>
      </c>
      <c r="AM32" s="143" t="n">
        <f aca="false">AK32+AL32</f>
        <v>88.09</v>
      </c>
      <c r="AN32" s="147" t="n">
        <f aca="false">V32</f>
        <v>51</v>
      </c>
      <c r="AO32" s="144"/>
      <c r="AP32" s="143"/>
      <c r="AQ32" s="114"/>
      <c r="AR32" s="114"/>
      <c r="AS32" s="231"/>
      <c r="AU32" s="56"/>
      <c r="AV32" s="232" t="n">
        <v>0</v>
      </c>
      <c r="AW32" s="231" t="n">
        <v>64</v>
      </c>
      <c r="AX32" s="225" t="n">
        <v>41</v>
      </c>
      <c r="AY32" s="264"/>
      <c r="AZ32" s="263" t="n">
        <f aca="false">SUM(N32,P32:U32)</f>
        <v>3.49</v>
      </c>
      <c r="BA32" s="193" t="n">
        <v>0</v>
      </c>
      <c r="BB32" s="264" t="n">
        <v>16382</v>
      </c>
    </row>
    <row r="33" customFormat="false" ht="12.95" hidden="false" customHeight="true" outlineLevel="0" collapsed="false">
      <c r="A33" s="192" t="n">
        <f aca="false">A32+1</f>
        <v>19</v>
      </c>
      <c r="B33" s="113" t="n">
        <v>6870.15</v>
      </c>
      <c r="C33" s="319" t="n">
        <v>188205</v>
      </c>
      <c r="D33" s="225" t="n">
        <f aca="false">C33-C32</f>
        <v>508</v>
      </c>
      <c r="E33" s="114" t="n">
        <f aca="false">C33-152000</f>
        <v>36205</v>
      </c>
      <c r="F33" s="259" t="n">
        <f aca="false">D33/$D$2</f>
        <v>256.112931686413</v>
      </c>
      <c r="G33" s="143" t="n">
        <v>308</v>
      </c>
      <c r="H33" s="345" t="n">
        <v>2.04</v>
      </c>
      <c r="I33" s="143" t="n">
        <f aca="false">G33+H33</f>
        <v>310.04</v>
      </c>
      <c r="J33" s="144" t="n">
        <f aca="false">IF(L33&gt;0,L33,0)</f>
        <v>2.38293168641286</v>
      </c>
      <c r="K33" s="143" t="n">
        <f aca="false">I33+J33</f>
        <v>312.422931686413</v>
      </c>
      <c r="L33" s="143" t="n">
        <f aca="false">F33-(I33-AK33)</f>
        <v>2.38293168641286</v>
      </c>
      <c r="M33" s="261" t="n">
        <v>3.31</v>
      </c>
      <c r="N33" s="143" t="n">
        <v>0</v>
      </c>
      <c r="O33" s="143" t="n">
        <f aca="false">0*1.05</f>
        <v>0</v>
      </c>
      <c r="P33" s="171" t="n">
        <v>0</v>
      </c>
      <c r="Q33" s="346" t="n">
        <f aca="false">827700/325851/1.9835*1.02</f>
        <v>1.30623664733764</v>
      </c>
      <c r="R33" s="139" t="n">
        <f aca="false">(2*1.04)-T33</f>
        <v>1.5629744</v>
      </c>
      <c r="S33" s="139" t="n">
        <v>0</v>
      </c>
      <c r="T33" s="139" t="n">
        <f aca="false">(0.469*1.06)*1.04</f>
        <v>0.5170256</v>
      </c>
      <c r="U33" s="102" t="n">
        <f aca="false">M33-(Q33+R33+S33+T33)</f>
        <v>-0.0762366473376352</v>
      </c>
      <c r="V33" s="143" t="n">
        <v>19.1</v>
      </c>
      <c r="W33" s="143" t="n">
        <v>0</v>
      </c>
      <c r="X33" s="143" t="n">
        <f aca="false">M33-N33-O33-P33-Q33-R33-S33-T33-U33+V33+W33</f>
        <v>19.1</v>
      </c>
      <c r="Y33" s="143" t="n">
        <f aca="false">X33-AO33</f>
        <v>19.1</v>
      </c>
      <c r="Z33" s="143"/>
      <c r="AA33" s="143"/>
      <c r="AB33" s="114"/>
      <c r="AC33" s="144"/>
      <c r="AD33" s="114"/>
      <c r="AE33" s="143" t="n">
        <v>0</v>
      </c>
      <c r="AF33" s="261"/>
      <c r="AG33" s="262"/>
      <c r="AH33" s="143" t="n">
        <v>33.9</v>
      </c>
      <c r="AI33" s="114" t="n">
        <f aca="false">AI32-AH33</f>
        <v>418.049231157057</v>
      </c>
      <c r="AJ33" s="144"/>
      <c r="AK33" s="142" t="n">
        <f aca="false">N33+O33+P33+Q33+R33+S33+T33+U33+X33+AE33+AH33</f>
        <v>56.31</v>
      </c>
      <c r="AL33" s="143" t="n">
        <f aca="false">IF(L33&lt;0,L33*-1,0)</f>
        <v>0</v>
      </c>
      <c r="AM33" s="143" t="n">
        <f aca="false">AK33+AL33</f>
        <v>56.31</v>
      </c>
      <c r="AN33" s="147" t="n">
        <f aca="false">V33</f>
        <v>19.1</v>
      </c>
      <c r="AO33" s="144"/>
      <c r="AP33" s="143"/>
      <c r="AQ33" s="114"/>
      <c r="AR33" s="114"/>
      <c r="AS33" s="231"/>
      <c r="AU33" s="56"/>
      <c r="AV33" s="232" t="n">
        <v>0</v>
      </c>
      <c r="AW33" s="231" t="n">
        <v>56</v>
      </c>
      <c r="AX33" s="225" t="n">
        <v>37</v>
      </c>
      <c r="AY33" s="264"/>
      <c r="AZ33" s="263" t="n">
        <f aca="false">SUM(N33,P33:U33)</f>
        <v>3.31</v>
      </c>
      <c r="BA33" s="193" t="n">
        <v>0</v>
      </c>
      <c r="BB33" s="264" t="n">
        <v>16459</v>
      </c>
    </row>
    <row r="34" customFormat="false" ht="12.95" hidden="false" customHeight="true" outlineLevel="0" collapsed="false">
      <c r="A34" s="192" t="n">
        <f aca="false">A33+1</f>
        <v>20</v>
      </c>
      <c r="B34" s="113" t="n">
        <v>6870.42</v>
      </c>
      <c r="C34" s="114" t="n">
        <v>188929</v>
      </c>
      <c r="D34" s="225" t="n">
        <f aca="false">C34-C33</f>
        <v>724</v>
      </c>
      <c r="E34" s="114" t="n">
        <f aca="false">C34-152000</f>
        <v>36929</v>
      </c>
      <c r="F34" s="259" t="n">
        <f aca="false">D34/$D$2</f>
        <v>365.011343584573</v>
      </c>
      <c r="G34" s="143" t="n">
        <v>288</v>
      </c>
      <c r="H34" s="345" t="n">
        <v>1.64</v>
      </c>
      <c r="I34" s="143" t="n">
        <f aca="false">G34+H34</f>
        <v>289.64</v>
      </c>
      <c r="J34" s="144" t="n">
        <f aca="false">IF(L34&gt;0,L34,0)</f>
        <v>114.491343584573</v>
      </c>
      <c r="K34" s="143" t="n">
        <f aca="false">I34+J34</f>
        <v>404.131343584573</v>
      </c>
      <c r="L34" s="143" t="n">
        <f aca="false">F34-(I34-AK34)</f>
        <v>114.491343584573</v>
      </c>
      <c r="M34" s="261" t="n">
        <v>5.32</v>
      </c>
      <c r="N34" s="143" t="n">
        <v>0</v>
      </c>
      <c r="O34" s="143" t="n">
        <f aca="false">0*1.05</f>
        <v>0</v>
      </c>
      <c r="P34" s="171" t="n">
        <v>0</v>
      </c>
      <c r="Q34" s="346" t="n">
        <f aca="false">973400/325851/1.9835*1.02</f>
        <v>1.53617343544576</v>
      </c>
      <c r="R34" s="139" t="n">
        <v>4.2</v>
      </c>
      <c r="S34" s="139" t="n">
        <f aca="false">((5.2*1.04)-T34)-4.2</f>
        <v>0.64952416</v>
      </c>
      <c r="T34" s="139" t="n">
        <f aca="false">(0.5066*1.06)*1.04</f>
        <v>0.55847584</v>
      </c>
      <c r="U34" s="102" t="n">
        <f aca="false">M34-(Q34+R34+S34+T34)</f>
        <v>-1.62417343544576</v>
      </c>
      <c r="V34" s="143" t="n">
        <v>0</v>
      </c>
      <c r="W34" s="143" t="n">
        <v>0</v>
      </c>
      <c r="X34" s="143" t="n">
        <f aca="false">M34-N34-O34-P34-Q34-R34-S34-T34-U34+V34+W34</f>
        <v>0</v>
      </c>
      <c r="Y34" s="143" t="n">
        <f aca="false">X34-AO34</f>
        <v>0</v>
      </c>
      <c r="Z34" s="143"/>
      <c r="AA34" s="143"/>
      <c r="AB34" s="114"/>
      <c r="AC34" s="144"/>
      <c r="AD34" s="114"/>
      <c r="AE34" s="143" t="n">
        <v>0</v>
      </c>
      <c r="AF34" s="261"/>
      <c r="AG34" s="262"/>
      <c r="AH34" s="143" t="n">
        <v>33.8</v>
      </c>
      <c r="AI34" s="114" t="n">
        <f aca="false">AI33-AH34</f>
        <v>384.249231157057</v>
      </c>
      <c r="AJ34" s="144"/>
      <c r="AK34" s="142" t="n">
        <f aca="false">N34+O34+P34+Q34+R34+S34+T34+U34+X34+AE34+AH34</f>
        <v>39.12</v>
      </c>
      <c r="AL34" s="143" t="n">
        <f aca="false">IF(L34&lt;0,L34*-1,0)</f>
        <v>0</v>
      </c>
      <c r="AM34" s="143" t="n">
        <f aca="false">AK34+AL34</f>
        <v>39.12</v>
      </c>
      <c r="AN34" s="147" t="n">
        <f aca="false">V34</f>
        <v>0</v>
      </c>
      <c r="AO34" s="144"/>
      <c r="AP34" s="143"/>
      <c r="AQ34" s="114"/>
      <c r="AR34" s="114"/>
      <c r="AS34" s="231"/>
      <c r="AU34" s="56"/>
      <c r="AV34" s="232" t="n">
        <v>0</v>
      </c>
      <c r="AW34" s="231" t="n">
        <v>63</v>
      </c>
      <c r="AX34" s="225" t="n">
        <v>34</v>
      </c>
      <c r="AY34" s="264"/>
      <c r="AZ34" s="263" t="n">
        <f aca="false">SUM(N34,P34:U34)</f>
        <v>5.32</v>
      </c>
      <c r="BA34" s="193" t="n">
        <v>0</v>
      </c>
      <c r="BB34" s="264" t="n">
        <v>16560</v>
      </c>
    </row>
    <row r="35" customFormat="false" ht="12.95" hidden="false" customHeight="true" outlineLevel="0" collapsed="false">
      <c r="A35" s="192" t="n">
        <f aca="false">A34+1</f>
        <v>21</v>
      </c>
      <c r="B35" s="113" t="n">
        <v>6870.61</v>
      </c>
      <c r="C35" s="114" t="n">
        <v>189438</v>
      </c>
      <c r="D35" s="225" t="n">
        <f aca="false">C35-C34</f>
        <v>509</v>
      </c>
      <c r="E35" s="114" t="n">
        <f aca="false">C35-152000</f>
        <v>37438</v>
      </c>
      <c r="F35" s="259" t="n">
        <f aca="false">D35/$D$2</f>
        <v>256.617091000756</v>
      </c>
      <c r="G35" s="347" t="n">
        <v>281</v>
      </c>
      <c r="H35" s="345" t="n">
        <v>1.63</v>
      </c>
      <c r="I35" s="143" t="n">
        <f aca="false">G35+H35</f>
        <v>282.63</v>
      </c>
      <c r="J35" s="144" t="n">
        <f aca="false">IF(L35&gt;0,L35,0)</f>
        <v>12.7270910007563</v>
      </c>
      <c r="K35" s="143" t="n">
        <f aca="false">I35+J35</f>
        <v>295.357091000756</v>
      </c>
      <c r="L35" s="143" t="n">
        <f aca="false">F35-(I35-AK35)</f>
        <v>12.7270910007563</v>
      </c>
      <c r="M35" s="261" t="n">
        <v>4.84</v>
      </c>
      <c r="N35" s="143" t="n">
        <v>0</v>
      </c>
      <c r="O35" s="143" t="n">
        <f aca="false">0*1.05</f>
        <v>0</v>
      </c>
      <c r="P35" s="171" t="n">
        <v>0</v>
      </c>
      <c r="Q35" s="346" t="n">
        <f aca="false">897100/325851/1.9835*1.02</f>
        <v>1.4157604160041</v>
      </c>
      <c r="R35" s="139" t="n">
        <f aca="false">(2*1.04)-T35</f>
        <v>1.52152416</v>
      </c>
      <c r="S35" s="139" t="n">
        <v>0</v>
      </c>
      <c r="T35" s="139" t="n">
        <f aca="false">(0.5066*1.06)*1.04</f>
        <v>0.55847584</v>
      </c>
      <c r="U35" s="102" t="n">
        <f aca="false">M35-(Q35+R35+S35+T35)</f>
        <v>1.3442395839959</v>
      </c>
      <c r="V35" s="143" t="n">
        <v>0</v>
      </c>
      <c r="W35" s="143" t="n">
        <v>0</v>
      </c>
      <c r="X35" s="143" t="n">
        <f aca="false">M35-N35-O35-P35-Q35-R35-S35-T35-U35+V35+W35</f>
        <v>0</v>
      </c>
      <c r="Y35" s="143" t="n">
        <f aca="false">X35-AO35</f>
        <v>0</v>
      </c>
      <c r="Z35" s="143"/>
      <c r="AA35" s="143"/>
      <c r="AB35" s="114"/>
      <c r="AC35" s="144"/>
      <c r="AD35" s="114"/>
      <c r="AE35" s="143" t="n">
        <v>0</v>
      </c>
      <c r="AF35" s="261"/>
      <c r="AG35" s="262"/>
      <c r="AH35" s="143" t="n">
        <v>33.9</v>
      </c>
      <c r="AI35" s="114" t="n">
        <f aca="false">AI34-AH35</f>
        <v>350.349231157057</v>
      </c>
      <c r="AJ35" s="144"/>
      <c r="AK35" s="142" t="n">
        <f aca="false">N35+O35+P35+Q35+R35+S35+T35+U35+X35+AE35+AH35</f>
        <v>38.74</v>
      </c>
      <c r="AL35" s="143" t="n">
        <f aca="false">IF(L35&lt;0,L35*-1,0)</f>
        <v>0</v>
      </c>
      <c r="AM35" s="143" t="n">
        <f aca="false">AK35+AL35</f>
        <v>38.74</v>
      </c>
      <c r="AN35" s="147" t="n">
        <f aca="false">V35</f>
        <v>0</v>
      </c>
      <c r="AO35" s="144"/>
      <c r="AP35" s="143"/>
      <c r="AQ35" s="114"/>
      <c r="AR35" s="114"/>
      <c r="AS35" s="231"/>
      <c r="AU35" s="56"/>
      <c r="AV35" s="232" t="n">
        <v>0</v>
      </c>
      <c r="AW35" s="225" t="n">
        <v>66</v>
      </c>
      <c r="AX35" s="225" t="n">
        <v>32</v>
      </c>
      <c r="AY35" s="264"/>
      <c r="AZ35" s="263" t="n">
        <f aca="false">SUM(N35,P35:U35)</f>
        <v>4.84</v>
      </c>
      <c r="BA35" s="193" t="n">
        <v>0.01</v>
      </c>
      <c r="BB35" s="264" t="n">
        <v>16650</v>
      </c>
    </row>
    <row r="36" customFormat="false" ht="12.75" hidden="false" customHeight="true" outlineLevel="0" collapsed="false">
      <c r="A36" s="192" t="n">
        <f aca="false">A35+1</f>
        <v>22</v>
      </c>
      <c r="B36" s="113" t="n">
        <v>6870.84</v>
      </c>
      <c r="C36" s="114" t="n">
        <v>190055</v>
      </c>
      <c r="D36" s="225" t="n">
        <f aca="false">C36-C35</f>
        <v>617</v>
      </c>
      <c r="E36" s="114" t="n">
        <f aca="false">C36-152000</f>
        <v>38055</v>
      </c>
      <c r="F36" s="259" t="n">
        <f aca="false">D36/$D$2</f>
        <v>311.066296949836</v>
      </c>
      <c r="G36" s="143" t="n">
        <v>296</v>
      </c>
      <c r="H36" s="345" t="n">
        <v>3.24</v>
      </c>
      <c r="I36" s="143" t="n">
        <f aca="false">G36+H36</f>
        <v>299.24</v>
      </c>
      <c r="J36" s="144" t="n">
        <f aca="false">IF(L36&gt;0,L36,0)</f>
        <v>48.9062969498361</v>
      </c>
      <c r="K36" s="143" t="n">
        <f aca="false">I36+J36</f>
        <v>348.146296949836</v>
      </c>
      <c r="L36" s="143" t="n">
        <f aca="false">F36-(I36-AK36)</f>
        <v>48.9062969498361</v>
      </c>
      <c r="M36" s="261" t="n">
        <v>3.18</v>
      </c>
      <c r="N36" s="143" t="n">
        <v>0</v>
      </c>
      <c r="O36" s="143" t="n">
        <f aca="false">0*1.05</f>
        <v>0</v>
      </c>
      <c r="P36" s="171" t="n">
        <v>0</v>
      </c>
      <c r="Q36" s="346" t="n">
        <f aca="false">1090800/325851/1.9835*1.02</f>
        <v>1.72144851385272</v>
      </c>
      <c r="R36" s="139" t="n">
        <f aca="false">(2*1.04)-T36</f>
        <v>1.52152416</v>
      </c>
      <c r="S36" s="139" t="n">
        <v>0</v>
      </c>
      <c r="T36" s="139" t="n">
        <f aca="false">(0.5066*1.06)*1.04</f>
        <v>0.55847584</v>
      </c>
      <c r="U36" s="102" t="n">
        <f aca="false">M36-(Q36+R36+S36+T36)</f>
        <v>-0.621448513852716</v>
      </c>
      <c r="V36" s="143" t="n">
        <v>0</v>
      </c>
      <c r="W36" s="143" t="n">
        <v>0</v>
      </c>
      <c r="X36" s="143" t="n">
        <f aca="false">M36-N36-O36-P36-Q36-R36-S36-T36-U36+V36+W36</f>
        <v>0</v>
      </c>
      <c r="Y36" s="143" t="n">
        <f aca="false">X36-AO36</f>
        <v>0</v>
      </c>
      <c r="Z36" s="143"/>
      <c r="AA36" s="143"/>
      <c r="AB36" s="114"/>
      <c r="AC36" s="144"/>
      <c r="AD36" s="114"/>
      <c r="AE36" s="143" t="n">
        <v>0</v>
      </c>
      <c r="AF36" s="261"/>
      <c r="AG36" s="262"/>
      <c r="AH36" s="143" t="n">
        <v>33.9</v>
      </c>
      <c r="AI36" s="114" t="n">
        <f aca="false">AI35-AH36</f>
        <v>316.449231157057</v>
      </c>
      <c r="AJ36" s="144"/>
      <c r="AK36" s="142" t="n">
        <f aca="false">N36+O36+P36+Q36+R36+S36+T36+U36+X36+AE36+AH36</f>
        <v>37.08</v>
      </c>
      <c r="AL36" s="143" t="n">
        <f aca="false">IF(L36&lt;0,L36*-1,0)</f>
        <v>0</v>
      </c>
      <c r="AM36" s="143" t="n">
        <f aca="false">AK36+AL36</f>
        <v>37.08</v>
      </c>
      <c r="AN36" s="147" t="n">
        <f aca="false">V36</f>
        <v>0</v>
      </c>
      <c r="AO36" s="144"/>
      <c r="AP36" s="143"/>
      <c r="AQ36" s="114"/>
      <c r="AR36" s="114"/>
      <c r="AS36" s="231"/>
      <c r="AU36" s="56"/>
      <c r="AV36" s="232" t="n">
        <v>0</v>
      </c>
      <c r="AW36" s="225" t="n">
        <v>67</v>
      </c>
      <c r="AX36" s="225" t="n">
        <v>33</v>
      </c>
      <c r="AY36" s="264"/>
      <c r="AZ36" s="263" t="n">
        <f aca="false">SUM(N36,P36:U36)</f>
        <v>3.18</v>
      </c>
      <c r="BA36" s="193" t="n">
        <v>0.052</v>
      </c>
      <c r="BB36" s="264" t="n">
        <v>16740</v>
      </c>
    </row>
    <row r="37" customFormat="false" ht="12.95" hidden="false" customHeight="true" outlineLevel="0" collapsed="false">
      <c r="A37" s="192" t="n">
        <f aca="false">A36+1</f>
        <v>23</v>
      </c>
      <c r="B37" s="113" t="n">
        <v>6871.04</v>
      </c>
      <c r="C37" s="114" t="n">
        <v>190593</v>
      </c>
      <c r="D37" s="225" t="n">
        <f aca="false">C37-C36</f>
        <v>538</v>
      </c>
      <c r="E37" s="114" t="n">
        <f aca="false">C37-152000</f>
        <v>38593</v>
      </c>
      <c r="F37" s="259" t="n">
        <f aca="false">D37/$D$2</f>
        <v>271.237711116713</v>
      </c>
      <c r="G37" s="143" t="n">
        <v>321</v>
      </c>
      <c r="H37" s="345" t="n">
        <v>4.01</v>
      </c>
      <c r="I37" s="143" t="n">
        <f aca="false">G37+H37</f>
        <v>325.01</v>
      </c>
      <c r="J37" s="144" t="n">
        <f aca="false">IF(L37&gt;0,L37,0)</f>
        <v>30.5277111167129</v>
      </c>
      <c r="K37" s="143" t="n">
        <f aca="false">I37+J37</f>
        <v>355.537711116713</v>
      </c>
      <c r="L37" s="143" t="n">
        <f aca="false">F37-(I37-AK37)</f>
        <v>30.5277111167129</v>
      </c>
      <c r="M37" s="261" t="n">
        <v>17.9</v>
      </c>
      <c r="N37" s="143" t="n">
        <v>0</v>
      </c>
      <c r="O37" s="143" t="n">
        <f aca="false">0*1.05</f>
        <v>0</v>
      </c>
      <c r="P37" s="171" t="n">
        <v>0</v>
      </c>
      <c r="Q37" s="346" t="n">
        <f aca="false">964800/325851/1.9835*1.02</f>
        <v>1.52260132578392</v>
      </c>
      <c r="R37" s="139" t="n">
        <f aca="false">(2*1.04)-T37</f>
        <v>1.52152416</v>
      </c>
      <c r="S37" s="139" t="n">
        <v>0</v>
      </c>
      <c r="T37" s="139" t="n">
        <f aca="false">(0.5066*1.06)*1.04</f>
        <v>0.55847584</v>
      </c>
      <c r="U37" s="102" t="n">
        <v>0</v>
      </c>
      <c r="V37" s="143" t="n">
        <v>31.9</v>
      </c>
      <c r="W37" s="143" t="n">
        <v>0</v>
      </c>
      <c r="X37" s="143" t="n">
        <f aca="false">M37-N37-O37-P37-Q37-R37-S37-T37-U37+V37+W37</f>
        <v>46.1973986742161</v>
      </c>
      <c r="Y37" s="143" t="n">
        <f aca="false">X37-AO37</f>
        <v>46.1973986742161</v>
      </c>
      <c r="Z37" s="143"/>
      <c r="AA37" s="143"/>
      <c r="AB37" s="114"/>
      <c r="AC37" s="144"/>
      <c r="AD37" s="114"/>
      <c r="AE37" s="143" t="n">
        <v>0</v>
      </c>
      <c r="AF37" s="261"/>
      <c r="AG37" s="262"/>
      <c r="AH37" s="143" t="n">
        <v>34.5</v>
      </c>
      <c r="AI37" s="114" t="n">
        <f aca="false">AI36-AH37</f>
        <v>281.949231157057</v>
      </c>
      <c r="AJ37" s="144"/>
      <c r="AK37" s="142" t="n">
        <f aca="false">N37+O37+P37+Q37+R37+S37+T37+U37+X37+AE37+AH37</f>
        <v>84.3</v>
      </c>
      <c r="AL37" s="143" t="n">
        <f aca="false">IF(L37&lt;0,L37*-1,0)</f>
        <v>0</v>
      </c>
      <c r="AM37" s="143" t="n">
        <f aca="false">AK37+AL37</f>
        <v>84.3</v>
      </c>
      <c r="AN37" s="147" t="n">
        <f aca="false">V37</f>
        <v>31.9</v>
      </c>
      <c r="AO37" s="144"/>
      <c r="AP37" s="143"/>
      <c r="AQ37" s="114"/>
      <c r="AR37" s="114"/>
      <c r="AS37" s="231"/>
      <c r="AU37" s="56"/>
      <c r="AV37" s="232" t="n">
        <v>0</v>
      </c>
      <c r="AW37" s="225" t="n">
        <v>65</v>
      </c>
      <c r="AX37" s="231" t="n">
        <v>34</v>
      </c>
      <c r="AY37" s="264"/>
      <c r="AZ37" s="263" t="n">
        <f aca="false">SUM(N37,P37:U37)</f>
        <v>3.60260132578392</v>
      </c>
      <c r="BA37" s="193" t="n">
        <v>0.154</v>
      </c>
      <c r="BB37" s="264" t="n">
        <v>16858</v>
      </c>
    </row>
    <row r="38" customFormat="false" ht="12.95" hidden="false" customHeight="true" outlineLevel="0" collapsed="false">
      <c r="A38" s="192" t="n">
        <f aca="false">A37+1</f>
        <v>24</v>
      </c>
      <c r="B38" s="113" t="n">
        <v>6871.21</v>
      </c>
      <c r="C38" s="114" t="n">
        <v>191055</v>
      </c>
      <c r="D38" s="225" t="n">
        <f aca="false">C38-C37</f>
        <v>462</v>
      </c>
      <c r="E38" s="114" t="n">
        <f aca="false">C38-152000</f>
        <v>39055</v>
      </c>
      <c r="F38" s="259" t="n">
        <f aca="false">D38/$D$2</f>
        <v>232.92160322662</v>
      </c>
      <c r="G38" s="143" t="n">
        <v>329</v>
      </c>
      <c r="H38" s="307" t="n">
        <v>4.38</v>
      </c>
      <c r="I38" s="143" t="n">
        <f aca="false">G38+H38</f>
        <v>333.38</v>
      </c>
      <c r="J38" s="144" t="n">
        <f aca="false">IF(L38&gt;0,L38,0)</f>
        <v>9.84160322661961</v>
      </c>
      <c r="K38" s="143" t="n">
        <f aca="false">I38+J38</f>
        <v>343.22160322662</v>
      </c>
      <c r="L38" s="143" t="n">
        <f aca="false">F38-(I38-AK38)</f>
        <v>9.84160322661961</v>
      </c>
      <c r="M38" s="261" t="n">
        <v>24.5</v>
      </c>
      <c r="N38" s="143" t="n">
        <v>0</v>
      </c>
      <c r="O38" s="143" t="n">
        <f aca="false">0*1.05</f>
        <v>0</v>
      </c>
      <c r="P38" s="171" t="n">
        <v>0</v>
      </c>
      <c r="Q38" s="346" t="n">
        <f aca="false">903100/325851/1.9835*1.02</f>
        <v>1.42522932972166</v>
      </c>
      <c r="R38" s="139" t="n">
        <f aca="false">(2*1.04)-T38</f>
        <v>1.52152416</v>
      </c>
      <c r="S38" s="139" t="n">
        <v>0</v>
      </c>
      <c r="T38" s="139" t="n">
        <f aca="false">(0.5066*1.06)*1.04</f>
        <v>0.55847584</v>
      </c>
      <c r="U38" s="102" t="n">
        <v>0</v>
      </c>
      <c r="V38" s="143" t="n">
        <v>50.2</v>
      </c>
      <c r="W38" s="143" t="n">
        <v>0</v>
      </c>
      <c r="X38" s="143" t="n">
        <f aca="false">M38-N38-O38-P38-Q38-R38-S38-T38-U38+V38+W38</f>
        <v>71.1947706702784</v>
      </c>
      <c r="Y38" s="143" t="n">
        <f aca="false">X38-AO38</f>
        <v>71.1947706702784</v>
      </c>
      <c r="Z38" s="143"/>
      <c r="AA38" s="143"/>
      <c r="AB38" s="114"/>
      <c r="AC38" s="144"/>
      <c r="AD38" s="114"/>
      <c r="AE38" s="143" t="n">
        <v>0</v>
      </c>
      <c r="AF38" s="261"/>
      <c r="AG38" s="262"/>
      <c r="AH38" s="143" t="n">
        <v>35.6</v>
      </c>
      <c r="AI38" s="114" t="n">
        <f aca="false">AI37-AH38</f>
        <v>246.349231157057</v>
      </c>
      <c r="AJ38" s="144"/>
      <c r="AK38" s="142" t="n">
        <f aca="false">N38+O38+P38+Q38+R38+S38+T38+U38+X38+AE38+AH38</f>
        <v>110.3</v>
      </c>
      <c r="AL38" s="143" t="n">
        <f aca="false">IF(L38&lt;0,L38*-1,0)</f>
        <v>0</v>
      </c>
      <c r="AM38" s="143" t="n">
        <f aca="false">AK38+AL38</f>
        <v>110.3</v>
      </c>
      <c r="AN38" s="147" t="n">
        <f aca="false">V38</f>
        <v>50.2</v>
      </c>
      <c r="AO38" s="144"/>
      <c r="AP38" s="143"/>
      <c r="AQ38" s="114"/>
      <c r="AR38" s="114"/>
      <c r="AS38" s="231"/>
      <c r="AU38" s="56"/>
      <c r="AV38" s="232" t="n">
        <v>0</v>
      </c>
      <c r="AW38" s="225" t="n">
        <v>61</v>
      </c>
      <c r="AX38" s="231" t="n">
        <v>34</v>
      </c>
      <c r="AY38" s="264"/>
      <c r="AZ38" s="263" t="n">
        <f aca="false">SUM(N38,P38:U38)</f>
        <v>3.50522932972166</v>
      </c>
      <c r="BA38" s="193" t="n">
        <v>0.054</v>
      </c>
      <c r="BB38" s="264" t="n">
        <v>16982</v>
      </c>
    </row>
    <row r="39" customFormat="false" ht="12.95" hidden="false" customHeight="true" outlineLevel="0" collapsed="false">
      <c r="A39" s="192" t="n">
        <f aca="false">A38+1</f>
        <v>25</v>
      </c>
      <c r="B39" s="113" t="n">
        <v>6871.4</v>
      </c>
      <c r="C39" s="114" t="n">
        <v>191571</v>
      </c>
      <c r="D39" s="225" t="n">
        <f aca="false">C39-C38</f>
        <v>516</v>
      </c>
      <c r="E39" s="114" t="n">
        <f aca="false">C39-152000</f>
        <v>39571</v>
      </c>
      <c r="F39" s="259" t="n">
        <f aca="false">D39/$D$2</f>
        <v>260.14620620116</v>
      </c>
      <c r="G39" s="143" t="n">
        <v>310</v>
      </c>
      <c r="H39" s="307" t="n">
        <v>3.44</v>
      </c>
      <c r="I39" s="143" t="n">
        <f aca="false">G39+H39</f>
        <v>313.44</v>
      </c>
      <c r="J39" s="144" t="n">
        <f aca="false">IF(L39&gt;0,L39,0)</f>
        <v>52.9062062011595</v>
      </c>
      <c r="K39" s="143" t="n">
        <f aca="false">I39+J39</f>
        <v>366.34620620116</v>
      </c>
      <c r="L39" s="143" t="n">
        <f aca="false">F39-(I39-AK39)</f>
        <v>52.9062062011595</v>
      </c>
      <c r="M39" s="261" t="n">
        <v>33.6</v>
      </c>
      <c r="N39" s="143" t="n">
        <v>0</v>
      </c>
      <c r="O39" s="143" t="n">
        <f aca="false">0*1.05</f>
        <v>0</v>
      </c>
      <c r="P39" s="171" t="n">
        <v>0</v>
      </c>
      <c r="Q39" s="346" t="n">
        <f aca="false">873600/325851/1.9835*1.02</f>
        <v>1.37867383727698</v>
      </c>
      <c r="R39" s="139" t="n">
        <f aca="false">(2.4*1.04)-T39</f>
        <v>1.93752416</v>
      </c>
      <c r="S39" s="139" t="n">
        <v>0</v>
      </c>
      <c r="T39" s="139" t="n">
        <f aca="false">(0.5066*1.06)*1.04</f>
        <v>0.55847584</v>
      </c>
      <c r="U39" s="102" t="n">
        <v>0</v>
      </c>
      <c r="V39" s="143" t="n">
        <v>36.8</v>
      </c>
      <c r="W39" s="143" t="n">
        <v>0</v>
      </c>
      <c r="X39" s="143" t="n">
        <f aca="false">M39-N39-O39-P39-Q39-R39-S39-T39-U39+V39+W39</f>
        <v>66.525326162723</v>
      </c>
      <c r="Y39" s="143" t="n">
        <f aca="false">X39-AO39</f>
        <v>66.525326162723</v>
      </c>
      <c r="Z39" s="143"/>
      <c r="AA39" s="143"/>
      <c r="AB39" s="114"/>
      <c r="AC39" s="144"/>
      <c r="AD39" s="114"/>
      <c r="AE39" s="143" t="n">
        <v>0</v>
      </c>
      <c r="AF39" s="261"/>
      <c r="AG39" s="262"/>
      <c r="AH39" s="143" t="n">
        <v>35.8</v>
      </c>
      <c r="AI39" s="114" t="n">
        <f aca="false">AI38-AH39</f>
        <v>210.549231157057</v>
      </c>
      <c r="AJ39" s="144"/>
      <c r="AK39" s="142" t="n">
        <f aca="false">N39+O39+P39+Q39+R39+S39+T39+U39+X39+AE39+AH39</f>
        <v>106.2</v>
      </c>
      <c r="AL39" s="143" t="n">
        <f aca="false">IF(L39&lt;0,L39*-1,0)</f>
        <v>0</v>
      </c>
      <c r="AM39" s="143" t="n">
        <f aca="false">AK39+AL39</f>
        <v>106.2</v>
      </c>
      <c r="AN39" s="147" t="n">
        <f aca="false">V39</f>
        <v>36.8</v>
      </c>
      <c r="AO39" s="144"/>
      <c r="AP39" s="143"/>
      <c r="AQ39" s="114"/>
      <c r="AR39" s="114"/>
      <c r="AS39" s="231"/>
      <c r="AU39" s="56"/>
      <c r="AV39" s="232" t="n">
        <v>0</v>
      </c>
      <c r="AW39" s="225" t="n">
        <v>54</v>
      </c>
      <c r="AX39" s="231" t="n">
        <v>31</v>
      </c>
      <c r="AY39" s="264"/>
      <c r="AZ39" s="263" t="n">
        <f aca="false">SUM(N39,P39:U39)</f>
        <v>3.87467383727698</v>
      </c>
      <c r="BA39" s="193" t="n">
        <v>0.064</v>
      </c>
      <c r="BB39" s="264" t="n">
        <v>17095</v>
      </c>
    </row>
    <row r="40" customFormat="false" ht="12.95" hidden="false" customHeight="true" outlineLevel="0" collapsed="false">
      <c r="A40" s="192" t="n">
        <f aca="false">A39+1</f>
        <v>26</v>
      </c>
      <c r="B40" s="113" t="n">
        <v>6871.53</v>
      </c>
      <c r="C40" s="114" t="n">
        <v>191924</v>
      </c>
      <c r="D40" s="225" t="n">
        <f aca="false">C40-C39</f>
        <v>353</v>
      </c>
      <c r="E40" s="114" t="n">
        <f aca="false">C40-152000</f>
        <v>39924</v>
      </c>
      <c r="F40" s="259" t="n">
        <f aca="false">D40/$D$2</f>
        <v>177.968237963196</v>
      </c>
      <c r="G40" s="143" t="n">
        <v>275</v>
      </c>
      <c r="H40" s="307" t="n">
        <v>1.78</v>
      </c>
      <c r="I40" s="143" t="n">
        <f aca="false">G40+H40</f>
        <v>276.78</v>
      </c>
      <c r="J40" s="144" t="n">
        <f aca="false">IF(L40&gt;0,L40,0)</f>
        <v>0</v>
      </c>
      <c r="K40" s="143" t="n">
        <f aca="false">I40+J40</f>
        <v>276.78</v>
      </c>
      <c r="L40" s="143" t="n">
        <f aca="false">F40-(I40-AK40)</f>
        <v>-20.7117620368036</v>
      </c>
      <c r="M40" s="261" t="n">
        <v>42.4</v>
      </c>
      <c r="N40" s="143" t="n">
        <v>0</v>
      </c>
      <c r="O40" s="143" t="n">
        <f aca="false">0.081*1.05</f>
        <v>0.08505</v>
      </c>
      <c r="P40" s="171" t="n">
        <v>0</v>
      </c>
      <c r="Q40" s="346" t="n">
        <f aca="false">875000/325851/1.9835*1.02</f>
        <v>1.38088325047775</v>
      </c>
      <c r="R40" s="139" t="n">
        <f aca="false">(2.6*1.04)-T40</f>
        <v>2.14552416</v>
      </c>
      <c r="S40" s="139" t="n">
        <v>0</v>
      </c>
      <c r="T40" s="139" t="n">
        <f aca="false">(0.5066*1.06)*1.04</f>
        <v>0.55847584</v>
      </c>
      <c r="U40" s="102" t="n">
        <v>0</v>
      </c>
      <c r="V40" s="143" t="n">
        <v>0</v>
      </c>
      <c r="W40" s="143" t="n">
        <v>0</v>
      </c>
      <c r="X40" s="143" t="n">
        <f aca="false">M40-N40-O40-P40-Q40-R40-S40-T40-U40+V40+W40</f>
        <v>38.2300667495223</v>
      </c>
      <c r="Y40" s="143" t="n">
        <f aca="false">X40-AO40</f>
        <v>38.2300667495223</v>
      </c>
      <c r="Z40" s="143"/>
      <c r="AA40" s="143"/>
      <c r="AB40" s="114"/>
      <c r="AC40" s="144"/>
      <c r="AD40" s="114"/>
      <c r="AE40" s="143" t="n">
        <v>0</v>
      </c>
      <c r="AF40" s="261"/>
      <c r="AG40" s="262"/>
      <c r="AH40" s="143" t="n">
        <v>35.7</v>
      </c>
      <c r="AI40" s="114" t="n">
        <f aca="false">AI39-AH40</f>
        <v>174.849231157057</v>
      </c>
      <c r="AJ40" s="144"/>
      <c r="AK40" s="142" t="n">
        <f aca="false">N40+O40+P40+Q40+R40+S40+T40+U40+X40+AE40+AH40</f>
        <v>78.1</v>
      </c>
      <c r="AL40" s="143" t="n">
        <f aca="false">IF(L40&lt;0,L40*-1,0)</f>
        <v>20.7117620368036</v>
      </c>
      <c r="AM40" s="143" t="n">
        <f aca="false">AK40+AL40</f>
        <v>98.8117620368036</v>
      </c>
      <c r="AN40" s="147" t="n">
        <f aca="false">V40</f>
        <v>0</v>
      </c>
      <c r="AO40" s="144"/>
      <c r="AP40" s="143"/>
      <c r="AQ40" s="114"/>
      <c r="AR40" s="114"/>
      <c r="AS40" s="231"/>
      <c r="AU40" s="56"/>
      <c r="AV40" s="232" t="n">
        <v>0</v>
      </c>
      <c r="AW40" s="225" t="n">
        <v>66</v>
      </c>
      <c r="AX40" s="225" t="n">
        <v>24</v>
      </c>
      <c r="AY40" s="264"/>
      <c r="AZ40" s="263" t="n">
        <f aca="false">SUM(N40,P40:U40)</f>
        <v>4.08488325047775</v>
      </c>
      <c r="BA40" s="193" t="n">
        <v>0.049</v>
      </c>
      <c r="BB40" s="264" t="n">
        <v>17159</v>
      </c>
    </row>
    <row r="41" customFormat="false" ht="12.95" hidden="false" customHeight="true" outlineLevel="0" collapsed="false">
      <c r="A41" s="192" t="n">
        <f aca="false">A40+1</f>
        <v>27</v>
      </c>
      <c r="B41" s="113" t="n">
        <v>6871.73</v>
      </c>
      <c r="C41" s="114" t="n">
        <v>192467</v>
      </c>
      <c r="D41" s="225" t="n">
        <f aca="false">C41-C40</f>
        <v>543</v>
      </c>
      <c r="E41" s="114" t="n">
        <f aca="false">C41-152000</f>
        <v>40467</v>
      </c>
      <c r="F41" s="259" t="n">
        <f aca="false">D41/$D$2</f>
        <v>273.758507688429</v>
      </c>
      <c r="G41" s="143" t="n">
        <v>297</v>
      </c>
      <c r="H41" s="307" t="n">
        <v>1.66</v>
      </c>
      <c r="I41" s="143" t="n">
        <f aca="false">G41+H41</f>
        <v>298.66</v>
      </c>
      <c r="J41" s="144" t="n">
        <f aca="false">IF(L41&gt;0,L41,0)</f>
        <v>16.7285076884295</v>
      </c>
      <c r="K41" s="143" t="n">
        <f aca="false">I41+J41</f>
        <v>315.38850768843</v>
      </c>
      <c r="L41" s="143" t="n">
        <f aca="false">F41-(I41-AK41)</f>
        <v>16.7285076884295</v>
      </c>
      <c r="M41" s="261" t="n">
        <v>6.23</v>
      </c>
      <c r="N41" s="143" t="n">
        <v>0</v>
      </c>
      <c r="O41" s="143" t="n">
        <f aca="false">0*1.05</f>
        <v>0</v>
      </c>
      <c r="P41" s="171" t="n">
        <v>0</v>
      </c>
      <c r="Q41" s="346" t="n">
        <f aca="false">922800/325851/1.9835*1.02</f>
        <v>1.45631892976099</v>
      </c>
      <c r="R41" s="139" t="n">
        <f aca="false">(2.6*1.04)-T41</f>
        <v>2.0469696</v>
      </c>
      <c r="S41" s="139" t="n">
        <v>0</v>
      </c>
      <c r="T41" s="139" t="n">
        <f aca="false">(0.596*1.06)*1.04</f>
        <v>0.6570304</v>
      </c>
      <c r="U41" s="102" t="n">
        <v>0</v>
      </c>
      <c r="V41" s="143" t="n">
        <v>0</v>
      </c>
      <c r="W41" s="143" t="n">
        <v>0</v>
      </c>
      <c r="X41" s="143" t="n">
        <f aca="false">M41-N41-O41-P41-Q41-R41-S41-T41-U41+V41+W41</f>
        <v>2.06968107023901</v>
      </c>
      <c r="Y41" s="143" t="n">
        <f aca="false">X41-AO41</f>
        <v>2.06968107023901</v>
      </c>
      <c r="Z41" s="143"/>
      <c r="AA41" s="143"/>
      <c r="AB41" s="114"/>
      <c r="AC41" s="144"/>
      <c r="AD41" s="114"/>
      <c r="AE41" s="143" t="n">
        <v>0</v>
      </c>
      <c r="AF41" s="261"/>
      <c r="AG41" s="262"/>
      <c r="AH41" s="143" t="n">
        <v>35.4</v>
      </c>
      <c r="AI41" s="114" t="n">
        <f aca="false">AI40-AH41</f>
        <v>139.449231157057</v>
      </c>
      <c r="AJ41" s="144"/>
      <c r="AK41" s="142" t="n">
        <f aca="false">N41+O41+P41+Q41+R41+S41+T41+U41+X41+AE41+AH41</f>
        <v>41.63</v>
      </c>
      <c r="AL41" s="143" t="n">
        <f aca="false">IF(L41&lt;0,L41*-1,0)</f>
        <v>0</v>
      </c>
      <c r="AM41" s="143" t="n">
        <f aca="false">AK41+AL41</f>
        <v>41.63</v>
      </c>
      <c r="AN41" s="147" t="n">
        <f aca="false">V41</f>
        <v>0</v>
      </c>
      <c r="AO41" s="144"/>
      <c r="AP41" s="143"/>
      <c r="AQ41" s="114"/>
      <c r="AR41" s="114"/>
      <c r="AS41" s="346"/>
      <c r="AU41" s="56"/>
      <c r="AV41" s="232" t="n">
        <v>0</v>
      </c>
      <c r="AW41" s="225" t="n">
        <v>71</v>
      </c>
      <c r="AX41" s="225" t="n">
        <v>24</v>
      </c>
      <c r="AY41" s="264"/>
      <c r="AZ41" s="263" t="n">
        <f aca="false">SUM(N41,P41:U41)</f>
        <v>4.16031892976099</v>
      </c>
      <c r="BA41" s="193" t="n">
        <v>0.199</v>
      </c>
      <c r="BB41" s="264" t="n">
        <v>17248</v>
      </c>
    </row>
    <row r="42" customFormat="false" ht="12.95" hidden="false" customHeight="true" outlineLevel="0" collapsed="false">
      <c r="A42" s="192" t="n">
        <f aca="false">A41+1</f>
        <v>28</v>
      </c>
      <c r="B42" s="113" t="n">
        <v>6871.97</v>
      </c>
      <c r="C42" s="114" t="n">
        <v>193119</v>
      </c>
      <c r="D42" s="225" t="n">
        <f aca="false">C42-C41</f>
        <v>652</v>
      </c>
      <c r="E42" s="114" t="n">
        <f aca="false">C42-152000</f>
        <v>41119</v>
      </c>
      <c r="F42" s="259" t="n">
        <f aca="false">D42/$D$2</f>
        <v>328.711872951853</v>
      </c>
      <c r="G42" s="143" t="n">
        <v>355</v>
      </c>
      <c r="H42" s="307" t="n">
        <v>2.58</v>
      </c>
      <c r="I42" s="143" t="n">
        <f aca="false">G42+H42</f>
        <v>357.58</v>
      </c>
      <c r="J42" s="144" t="n">
        <f aca="false">IF(L42&gt;0,L42,0)</f>
        <v>12.7618729518528</v>
      </c>
      <c r="K42" s="143" t="n">
        <f aca="false">I42+J42</f>
        <v>370.341872951853</v>
      </c>
      <c r="L42" s="143" t="n">
        <f aca="false">F42-(I42-AK42)</f>
        <v>12.7618729518528</v>
      </c>
      <c r="M42" s="261" t="n">
        <v>6.23</v>
      </c>
      <c r="N42" s="143" t="n">
        <v>0</v>
      </c>
      <c r="O42" s="143" t="n">
        <f aca="false">0*1.05</f>
        <v>0</v>
      </c>
      <c r="P42" s="171" t="n">
        <v>0</v>
      </c>
      <c r="Q42" s="346" t="n">
        <f aca="false">1081900/325851/1.9835*1.02</f>
        <v>1.707402958505</v>
      </c>
      <c r="R42" s="139" t="n">
        <f aca="false">(2.5*1.04)-T42</f>
        <v>1.9429696</v>
      </c>
      <c r="S42" s="139" t="n">
        <v>0</v>
      </c>
      <c r="T42" s="139" t="n">
        <f aca="false">(0.596*1.06)*1.04</f>
        <v>0.6570304</v>
      </c>
      <c r="U42" s="102" t="n">
        <v>0</v>
      </c>
      <c r="V42" s="143" t="n">
        <v>0</v>
      </c>
      <c r="W42" s="143" t="n">
        <v>0</v>
      </c>
      <c r="X42" s="143" t="n">
        <f aca="false">M42-N42-O42-P42-Q42-R42-S42-T42-U42+V42+W42</f>
        <v>1.922597041495</v>
      </c>
      <c r="Y42" s="143" t="n">
        <f aca="false">X42-AO42</f>
        <v>1.922597041495</v>
      </c>
      <c r="Z42" s="143"/>
      <c r="AA42" s="143"/>
      <c r="AB42" s="114"/>
      <c r="AC42" s="144"/>
      <c r="AD42" s="114"/>
      <c r="AE42" s="143" t="n">
        <v>0</v>
      </c>
      <c r="AF42" s="261"/>
      <c r="AG42" s="262"/>
      <c r="AH42" s="143" t="n">
        <v>35.4</v>
      </c>
      <c r="AI42" s="114" t="n">
        <f aca="false">AI41-AH42</f>
        <v>104.049231157057</v>
      </c>
      <c r="AJ42" s="144"/>
      <c r="AK42" s="142" t="n">
        <f aca="false">N42+O42+P42+Q42+R42+S42+T42+U42+X42+AE42+AH42</f>
        <v>41.63</v>
      </c>
      <c r="AL42" s="143" t="n">
        <f aca="false">IF(L42&lt;0,L42*-1,0)</f>
        <v>0</v>
      </c>
      <c r="AM42" s="143" t="n">
        <f aca="false">AK42+AL42</f>
        <v>41.63</v>
      </c>
      <c r="AN42" s="147" t="n">
        <f aca="false">V42</f>
        <v>0</v>
      </c>
      <c r="AO42" s="144"/>
      <c r="AP42" s="143"/>
      <c r="AQ42" s="114"/>
      <c r="AR42" s="114"/>
      <c r="AS42" s="346"/>
      <c r="AU42" s="56"/>
      <c r="AV42" s="232" t="n">
        <v>0</v>
      </c>
      <c r="AW42" s="225" t="n">
        <v>73</v>
      </c>
      <c r="AX42" s="225" t="n">
        <v>36</v>
      </c>
      <c r="AY42" s="264"/>
      <c r="AZ42" s="263" t="n">
        <f aca="false">SUM(N42,P42:U42)</f>
        <v>4.307402958505</v>
      </c>
      <c r="BA42" s="193" t="n">
        <v>0.227</v>
      </c>
      <c r="BB42" s="264" t="n">
        <v>17364</v>
      </c>
    </row>
    <row r="43" customFormat="false" ht="12.95" hidden="false" customHeight="true" outlineLevel="0" collapsed="false">
      <c r="A43" s="192" t="n">
        <f aca="false">A42+1</f>
        <v>29</v>
      </c>
      <c r="B43" s="113" t="n">
        <v>6872.22</v>
      </c>
      <c r="C43" s="114" t="n">
        <v>193806</v>
      </c>
      <c r="D43" s="225" t="n">
        <f aca="false">C43-C42</f>
        <v>687</v>
      </c>
      <c r="E43" s="114" t="n">
        <f aca="false">C43-152000</f>
        <v>41806</v>
      </c>
      <c r="F43" s="259" t="n">
        <f aca="false">D43/$D$2</f>
        <v>346.357448953869</v>
      </c>
      <c r="G43" s="143" t="n">
        <v>444</v>
      </c>
      <c r="H43" s="307" t="n">
        <v>8.25</v>
      </c>
      <c r="I43" s="143" t="n">
        <f aca="false">G43+H43</f>
        <v>452.25</v>
      </c>
      <c r="J43" s="144" t="n">
        <f aca="false">IF(L43&gt;0,L43,0)</f>
        <v>18.6074489538694</v>
      </c>
      <c r="K43" s="143" t="n">
        <f aca="false">I43+J43</f>
        <v>470.857448953869</v>
      </c>
      <c r="L43" s="143" t="n">
        <f aca="false">F43-(I43-AK43)</f>
        <v>18.6074489538694</v>
      </c>
      <c r="M43" s="261" t="n">
        <v>59.7</v>
      </c>
      <c r="N43" s="143" t="n">
        <v>0</v>
      </c>
      <c r="O43" s="143" t="n">
        <f aca="false">14.1*1.05</f>
        <v>14.805</v>
      </c>
      <c r="P43" s="171" t="n">
        <v>0</v>
      </c>
      <c r="Q43" s="346" t="n">
        <f aca="false">1275700/325851/1.9835*1.02</f>
        <v>2.01324887158224</v>
      </c>
      <c r="R43" s="139" t="n">
        <f aca="false">(2.9*1.04)-T43</f>
        <v>2.3589696</v>
      </c>
      <c r="S43" s="139" t="n">
        <v>0</v>
      </c>
      <c r="T43" s="139" t="n">
        <f aca="false">(0.596*1.06)*1.04</f>
        <v>0.6570304</v>
      </c>
      <c r="U43" s="102" t="n">
        <v>0</v>
      </c>
      <c r="V43" s="143" t="n">
        <v>29.4</v>
      </c>
      <c r="W43" s="143" t="n">
        <v>0</v>
      </c>
      <c r="X43" s="143" t="n">
        <f aca="false">M43-N43-O43-P43-Q43-R43-S43-T43-U43+V43+W43</f>
        <v>69.2657511284178</v>
      </c>
      <c r="Y43" s="143" t="n">
        <f aca="false">X43-AO43</f>
        <v>42.2257511284178</v>
      </c>
      <c r="Z43" s="143"/>
      <c r="AA43" s="143"/>
      <c r="AB43" s="114"/>
      <c r="AC43" s="144"/>
      <c r="AD43" s="114"/>
      <c r="AE43" s="143" t="n">
        <v>0</v>
      </c>
      <c r="AF43" s="261"/>
      <c r="AG43" s="262"/>
      <c r="AH43" s="143" t="n">
        <v>35.4</v>
      </c>
      <c r="AI43" s="114" t="n">
        <f aca="false">AI42-AH43</f>
        <v>68.6492311570569</v>
      </c>
      <c r="AJ43" s="144"/>
      <c r="AK43" s="142" t="n">
        <f aca="false">N43+O43+P43+Q43+R43+S43+T43+U43+X43+AE43+AH43</f>
        <v>124.5</v>
      </c>
      <c r="AL43" s="143" t="n">
        <f aca="false">IF(L43&lt;0,L43*-1,0)</f>
        <v>0</v>
      </c>
      <c r="AM43" s="143" t="n">
        <f aca="false">AK43+AL43</f>
        <v>124.5</v>
      </c>
      <c r="AN43" s="147" t="n">
        <f aca="false">V43</f>
        <v>29.4</v>
      </c>
      <c r="AO43" s="103" t="n">
        <f aca="false">V43+W43-AN43+14.1+12.94</f>
        <v>27.04</v>
      </c>
      <c r="AP43" s="143"/>
      <c r="AQ43" s="114"/>
      <c r="AR43" s="114"/>
      <c r="AS43" s="346"/>
      <c r="AU43" s="56"/>
      <c r="AV43" s="232" t="n">
        <v>0</v>
      </c>
      <c r="AW43" s="231" t="n">
        <v>74</v>
      </c>
      <c r="AX43" s="225" t="n">
        <v>37</v>
      </c>
      <c r="AY43" s="264"/>
      <c r="AZ43" s="263" t="n">
        <f aca="false">SUM(N43,P43:U43)</f>
        <v>5.02924887158224</v>
      </c>
      <c r="BA43" s="193" t="n">
        <v>0.25</v>
      </c>
      <c r="BB43" s="264" t="n">
        <v>17570</v>
      </c>
    </row>
    <row r="44" customFormat="false" ht="12.95" hidden="false" customHeight="true" outlineLevel="0" collapsed="false">
      <c r="A44" s="192" t="n">
        <v>30</v>
      </c>
      <c r="B44" s="113" t="n">
        <v>6872.5</v>
      </c>
      <c r="C44" s="114" t="n">
        <v>194577</v>
      </c>
      <c r="D44" s="225" t="n">
        <f aca="false">C44-C43</f>
        <v>771</v>
      </c>
      <c r="E44" s="114" t="n">
        <f aca="false">C44-152000</f>
        <v>42577</v>
      </c>
      <c r="F44" s="259" t="n">
        <f aca="false">D44/$D$2</f>
        <v>388.706831358709</v>
      </c>
      <c r="G44" s="143" t="n">
        <v>503</v>
      </c>
      <c r="H44" s="307" t="n">
        <v>6.32</v>
      </c>
      <c r="I44" s="143" t="n">
        <f aca="false">G44+H44</f>
        <v>509.32</v>
      </c>
      <c r="J44" s="144" t="n">
        <f aca="false">IF(L44&gt;0,L44,0)</f>
        <v>21.6168313587093</v>
      </c>
      <c r="K44" s="143" t="n">
        <f aca="false">I44+J44</f>
        <v>530.936831358709</v>
      </c>
      <c r="L44" s="143" t="n">
        <f aca="false">F44-(I44-AK44)</f>
        <v>21.6168313587093</v>
      </c>
      <c r="M44" s="261" t="n">
        <v>56.1</v>
      </c>
      <c r="N44" s="143" t="n">
        <v>0</v>
      </c>
      <c r="O44" s="143" t="n">
        <f aca="false">20.7*1.05</f>
        <v>21.735</v>
      </c>
      <c r="P44" s="171" t="n">
        <v>0</v>
      </c>
      <c r="Q44" s="346" t="n">
        <f aca="false">1084900/325851/1.9835*1.02</f>
        <v>1.71213741536378</v>
      </c>
      <c r="R44" s="139" t="n">
        <f aca="false">(2.6*1.04)-T44</f>
        <v>2.0469696</v>
      </c>
      <c r="S44" s="139" t="n">
        <v>0</v>
      </c>
      <c r="T44" s="139" t="n">
        <f aca="false">(0.596*1.06)*1.04</f>
        <v>0.6570304</v>
      </c>
      <c r="U44" s="102" t="n">
        <v>0</v>
      </c>
      <c r="V44" s="143" t="n">
        <v>41.1</v>
      </c>
      <c r="W44" s="143" t="n">
        <v>9.63</v>
      </c>
      <c r="X44" s="143" t="n">
        <f aca="false">M44-N44-O44-P44-Q44-R44-S44-T44-U44+V44+W44</f>
        <v>80.6788625846362</v>
      </c>
      <c r="Y44" s="143" t="n">
        <f aca="false">X44-AO44</f>
        <v>-10.4311374153638</v>
      </c>
      <c r="Z44" s="143"/>
      <c r="AA44" s="143"/>
      <c r="AB44" s="114"/>
      <c r="AC44" s="144"/>
      <c r="AD44" s="114"/>
      <c r="AE44" s="143" t="n">
        <v>0</v>
      </c>
      <c r="AF44" s="261"/>
      <c r="AG44" s="262"/>
      <c r="AH44" s="143" t="n">
        <v>35.4</v>
      </c>
      <c r="AI44" s="114" t="n">
        <f aca="false">AI43-AH44</f>
        <v>33.2492311570569</v>
      </c>
      <c r="AJ44" s="144"/>
      <c r="AK44" s="142" t="n">
        <f aca="false">N44+O44+P44+Q44+R44+S44+T44+U44+X44+AE44+AH44</f>
        <v>142.23</v>
      </c>
      <c r="AL44" s="143" t="n">
        <f aca="false">IF(L44&lt;0,L44*-1,0)</f>
        <v>0</v>
      </c>
      <c r="AM44" s="143" t="n">
        <f aca="false">AK44+AL44</f>
        <v>142.23</v>
      </c>
      <c r="AN44" s="147" t="n">
        <f aca="false">V44-17.34</f>
        <v>23.76</v>
      </c>
      <c r="AO44" s="103" t="n">
        <f aca="false">V44+W44-AN44+17.34+13.86+20+12.94</f>
        <v>91.11</v>
      </c>
      <c r="AP44" s="143"/>
      <c r="AQ44" s="114"/>
      <c r="AR44" s="114"/>
      <c r="AS44" s="171"/>
      <c r="AU44" s="56"/>
      <c r="AV44" s="232" t="n">
        <v>0</v>
      </c>
      <c r="AW44" s="231" t="n">
        <v>75</v>
      </c>
      <c r="AX44" s="225" t="n">
        <v>39</v>
      </c>
      <c r="AY44" s="264"/>
      <c r="AZ44" s="263" t="n">
        <f aca="false">SUM(N44,P44:U44)</f>
        <v>4.41613741536378</v>
      </c>
      <c r="BA44" s="193" t="n">
        <v>0.193</v>
      </c>
      <c r="BB44" s="264" t="n">
        <v>17662</v>
      </c>
    </row>
    <row r="45" customFormat="false" ht="12.95" hidden="false" customHeight="true" outlineLevel="0" collapsed="false">
      <c r="A45" s="192" t="n">
        <v>31</v>
      </c>
      <c r="B45" s="113" t="n">
        <v>6872.79</v>
      </c>
      <c r="C45" s="114" t="n">
        <v>195375</v>
      </c>
      <c r="D45" s="225" t="n">
        <f aca="false">C45-C44</f>
        <v>798</v>
      </c>
      <c r="E45" s="114" t="n">
        <f aca="false">C45-152000</f>
        <v>43375</v>
      </c>
      <c r="F45" s="259" t="n">
        <f aca="false">D45/$D$2</f>
        <v>402.319132845979</v>
      </c>
      <c r="G45" s="143" t="n">
        <v>519</v>
      </c>
      <c r="H45" s="307" t="n">
        <v>3.75</v>
      </c>
      <c r="I45" s="143" t="n">
        <f aca="false">G45+H45</f>
        <v>522.75</v>
      </c>
      <c r="J45" s="144" t="n">
        <f aca="false">IF(L45&gt;0,L45,0)</f>
        <v>0</v>
      </c>
      <c r="K45" s="143" t="n">
        <f aca="false">I45+J45</f>
        <v>522.75</v>
      </c>
      <c r="L45" s="143" t="n">
        <f aca="false">F45-(I45-AK45)</f>
        <v>-16.5308671540207</v>
      </c>
      <c r="M45" s="261" t="n">
        <v>38.9</v>
      </c>
      <c r="N45" s="143" t="n">
        <v>0</v>
      </c>
      <c r="O45" s="143" t="n">
        <f aca="false">0.662*1.05</f>
        <v>0.6951</v>
      </c>
      <c r="P45" s="171" t="n">
        <v>0</v>
      </c>
      <c r="Q45" s="346" t="n">
        <f aca="false">1144700/325851/1.9835*1.02</f>
        <v>1.80651092208215</v>
      </c>
      <c r="R45" s="139" t="n">
        <f aca="false">(2.6*1.04)-T45</f>
        <v>2.0469696</v>
      </c>
      <c r="S45" s="139" t="n">
        <v>0</v>
      </c>
      <c r="T45" s="139" t="n">
        <f aca="false">(0.596*1.06)*1.04</f>
        <v>0.6570304</v>
      </c>
      <c r="U45" s="102" t="n">
        <v>0</v>
      </c>
      <c r="V45" s="143" t="n">
        <v>15.2</v>
      </c>
      <c r="W45" s="143" t="n">
        <v>14.4</v>
      </c>
      <c r="X45" s="143" t="n">
        <f aca="false">M45-N45-O45-P45-Q45-R45-S45-T45-U45+V45+W45</f>
        <v>63.2943890779178</v>
      </c>
      <c r="Y45" s="143" t="n">
        <f aca="false">X45-AO45</f>
        <v>-14.1789442554155</v>
      </c>
      <c r="Z45" s="143"/>
      <c r="AA45" s="143"/>
      <c r="AB45" s="114"/>
      <c r="AC45" s="144"/>
      <c r="AD45" s="114"/>
      <c r="AE45" s="143" t="n">
        <v>0</v>
      </c>
      <c r="AF45" s="261"/>
      <c r="AG45" s="262"/>
      <c r="AH45" s="143" t="n">
        <v>35.4</v>
      </c>
      <c r="AI45" s="114" t="n">
        <f aca="false">AI44-AH45</f>
        <v>-2.15076884294309</v>
      </c>
      <c r="AJ45" s="144"/>
      <c r="AK45" s="142" t="n">
        <f aca="false">N45+O45+P45+Q45+R45+S45+T45+U45+X45+AE45+AH45</f>
        <v>103.9</v>
      </c>
      <c r="AL45" s="143" t="n">
        <f aca="false">IF(L45&lt;0,L45*-1,0)</f>
        <v>16.5308671540207</v>
      </c>
      <c r="AM45" s="259" t="n">
        <f aca="false">AK45+AL45</f>
        <v>120.430867154021</v>
      </c>
      <c r="AN45" s="147" t="n">
        <f aca="false">V45*(1/3)</f>
        <v>5.06666666666667</v>
      </c>
      <c r="AO45" s="103" t="n">
        <f aca="false">(V45*(2/3))+W45+20+20+12.94</f>
        <v>77.4733333333333</v>
      </c>
      <c r="AP45" s="143"/>
      <c r="AQ45" s="143"/>
      <c r="AR45" s="143"/>
      <c r="AS45" s="231"/>
      <c r="AU45" s="56"/>
      <c r="AV45" s="232" t="n">
        <v>0</v>
      </c>
      <c r="AW45" s="231" t="n">
        <v>74</v>
      </c>
      <c r="AX45" s="225" t="n">
        <v>38</v>
      </c>
      <c r="AY45" s="264"/>
      <c r="AZ45" s="263" t="n">
        <f aca="false">SUM(N45,P45:U45)</f>
        <v>4.51051092208215</v>
      </c>
      <c r="BA45" s="193" t="n">
        <v>0.154</v>
      </c>
      <c r="BB45" s="264" t="n">
        <v>17733</v>
      </c>
    </row>
    <row r="46" customFormat="false" ht="3" hidden="false" customHeight="true" outlineLevel="0" collapsed="false">
      <c r="A46" s="244"/>
      <c r="B46" s="266"/>
      <c r="C46" s="246"/>
      <c r="D46" s="247"/>
      <c r="E46" s="246"/>
      <c r="F46" s="248"/>
      <c r="G46" s="247"/>
      <c r="H46" s="275"/>
      <c r="I46" s="247"/>
      <c r="J46" s="247"/>
      <c r="K46" s="247"/>
      <c r="L46" s="247"/>
      <c r="M46" s="250"/>
      <c r="N46" s="247"/>
      <c r="O46" s="247"/>
      <c r="P46" s="251"/>
      <c r="Q46" s="247"/>
      <c r="R46" s="247"/>
      <c r="S46" s="247"/>
      <c r="T46" s="247"/>
      <c r="U46" s="343"/>
      <c r="V46" s="247"/>
      <c r="W46" s="247"/>
      <c r="X46" s="247"/>
      <c r="Y46" s="247"/>
      <c r="Z46" s="247"/>
      <c r="AA46" s="247"/>
      <c r="AB46" s="246"/>
      <c r="AC46" s="253"/>
      <c r="AD46" s="246"/>
      <c r="AE46" s="247"/>
      <c r="AF46" s="250"/>
      <c r="AG46" s="254"/>
      <c r="AH46" s="247"/>
      <c r="AI46" s="247"/>
      <c r="AJ46" s="253"/>
      <c r="AK46" s="247"/>
      <c r="AL46" s="247"/>
      <c r="AM46" s="248"/>
      <c r="AN46" s="256"/>
      <c r="AO46" s="253"/>
      <c r="AP46" s="256"/>
      <c r="AQ46" s="256"/>
      <c r="AR46" s="256"/>
      <c r="AS46" s="256"/>
      <c r="AT46" s="344"/>
      <c r="AU46" s="344"/>
      <c r="AV46" s="258"/>
      <c r="AW46" s="256"/>
      <c r="AX46" s="256"/>
      <c r="AY46" s="256"/>
      <c r="AZ46" s="256"/>
      <c r="BA46" s="256"/>
      <c r="BB46" s="256"/>
    </row>
    <row r="47" customFormat="false" ht="12.95" hidden="false" customHeight="true" outlineLevel="0" collapsed="false">
      <c r="A47" s="194" t="s">
        <v>104</v>
      </c>
      <c r="B47" s="223"/>
      <c r="C47" s="114"/>
      <c r="D47" s="114"/>
      <c r="E47" s="114"/>
      <c r="F47" s="224" t="n">
        <f aca="false">SUM(F15:F45)</f>
        <v>4671.03604739098</v>
      </c>
      <c r="G47" s="114" t="n">
        <f aca="false">SUM(G15:G45)</f>
        <v>6509</v>
      </c>
      <c r="H47" s="342" t="n">
        <f aca="false">SUM(H15:H45)</f>
        <v>79.81</v>
      </c>
      <c r="I47" s="114" t="n">
        <f aca="false">SUM(I15:I45)</f>
        <v>6588.81</v>
      </c>
      <c r="J47" s="114" t="n">
        <f aca="false">SUM(J15:J45)</f>
        <v>861.990894882783</v>
      </c>
      <c r="K47" s="114" t="n">
        <f aca="false">SUM(K15:K45)</f>
        <v>7450.80089488278</v>
      </c>
      <c r="L47" s="114" t="n">
        <f aca="false">SUM(L15:L45)</f>
        <v>775.406047390976</v>
      </c>
      <c r="M47" s="226" t="n">
        <f aca="false">SUM(M15:M45)</f>
        <v>358.65</v>
      </c>
      <c r="N47" s="114" t="n">
        <f aca="false">SUM(N15:N45)</f>
        <v>0</v>
      </c>
      <c r="O47" s="114" t="n">
        <f aca="false">SUM(O15:O45)</f>
        <v>37.32015</v>
      </c>
      <c r="P47" s="171"/>
      <c r="Q47" s="114" t="n">
        <f aca="false">SUM(Q15:Q45)</f>
        <v>45.0480413808425</v>
      </c>
      <c r="R47" s="114" t="n">
        <f aca="false">SUM(R15:R45)</f>
        <v>54.00297088</v>
      </c>
      <c r="S47" s="114" t="n">
        <f aca="false">SUM(S15:S45)</f>
        <v>0.64952416</v>
      </c>
      <c r="T47" s="114" t="n">
        <f aca="false">SUM(T15:T45)</f>
        <v>16.79550496</v>
      </c>
      <c r="U47" s="327" t="n">
        <f aca="false">SUM(U15:U45)</f>
        <v>-5.91503454028804</v>
      </c>
      <c r="V47" s="114" t="n">
        <f aca="false">SUM(V15:V45)</f>
        <v>1257.3</v>
      </c>
      <c r="W47" s="114" t="n">
        <f aca="false">SUM(W15:W45)</f>
        <v>24.03</v>
      </c>
      <c r="X47" s="114" t="n">
        <f aca="false">SUM(X15:X45)</f>
        <v>1492.07884315945</v>
      </c>
      <c r="Y47" s="114" t="n">
        <f aca="false">SUM(Y15:Y45)</f>
        <v>1296.45550982611</v>
      </c>
      <c r="Z47" s="114"/>
      <c r="AA47" s="114"/>
      <c r="AB47" s="114"/>
      <c r="AC47" s="144" t="n">
        <f aca="false">SUM(AC15:AC45)</f>
        <v>0</v>
      </c>
      <c r="AD47" s="114"/>
      <c r="AE47" s="114"/>
      <c r="AF47" s="226"/>
      <c r="AG47" s="228"/>
      <c r="AH47" s="114" t="n">
        <f aca="false">SUM(AH15:AH45)</f>
        <v>1053.2</v>
      </c>
      <c r="AI47" s="114"/>
      <c r="AJ47" s="144" t="n">
        <f aca="false">SUM(AJ15:AJ45)</f>
        <v>0</v>
      </c>
      <c r="AK47" s="114" t="n">
        <f aca="false">SUM(AK15:AK45)</f>
        <v>2693.18</v>
      </c>
      <c r="AL47" s="114" t="n">
        <f aca="false">SUM(AL15:AL45)</f>
        <v>86.5848474918074</v>
      </c>
      <c r="AM47" s="224" t="n">
        <f aca="false">SUM(AM15:AM45)</f>
        <v>2779.76484749181</v>
      </c>
      <c r="AN47" s="144" t="n">
        <f aca="false">SUM(AN15:AN45)</f>
        <v>1229.82666666667</v>
      </c>
      <c r="AO47" s="144" t="n">
        <f aca="false">SUM(AO15:AO45)</f>
        <v>195.623333333333</v>
      </c>
      <c r="AP47" s="143"/>
      <c r="AQ47" s="143"/>
      <c r="AR47" s="143"/>
      <c r="AS47" s="231"/>
      <c r="AT47" s="90" t="s">
        <v>117</v>
      </c>
      <c r="AU47" s="56"/>
      <c r="AV47" s="232" t="n">
        <f aca="false">SUM(AV15:AV45)</f>
        <v>0.41</v>
      </c>
      <c r="AW47" s="225" t="n">
        <f aca="false">AVERAGE(AW15:AW45)</f>
        <v>61.0322580645161</v>
      </c>
      <c r="AX47" s="225" t="n">
        <f aca="false">AVERAGE(AX15:AX45)</f>
        <v>29.8387096774194</v>
      </c>
      <c r="AY47" s="233" t="s">
        <v>123</v>
      </c>
      <c r="AZ47" s="348" t="n">
        <f aca="false">SUM(AZ15:AZ45)</f>
        <v>110.581006840554</v>
      </c>
      <c r="BA47" s="193" t="n">
        <f aca="false">SUM(BA15:BA45)</f>
        <v>1.406</v>
      </c>
      <c r="BB47" s="264"/>
    </row>
    <row r="48" customFormat="false" ht="12.95" hidden="false" customHeight="true" outlineLevel="0" collapsed="false">
      <c r="A48" s="194" t="s">
        <v>106</v>
      </c>
      <c r="B48" s="223"/>
      <c r="C48" s="114"/>
      <c r="D48" s="114" t="n">
        <f aca="false">SUM(D15:D45)</f>
        <v>9265</v>
      </c>
      <c r="E48" s="114"/>
      <c r="F48" s="224" t="n">
        <f aca="false">F47*$D$2</f>
        <v>9265</v>
      </c>
      <c r="G48" s="114" t="n">
        <f aca="false">G47*$D$2</f>
        <v>12910.6015</v>
      </c>
      <c r="H48" s="342" t="n">
        <f aca="false">H47*$D$2</f>
        <v>158.303135</v>
      </c>
      <c r="I48" s="114" t="n">
        <f aca="false">I47*$D$2</f>
        <v>13068.904635</v>
      </c>
      <c r="J48" s="114" t="n">
        <f aca="false">J47*$D$2</f>
        <v>1709.75894</v>
      </c>
      <c r="K48" s="114" t="n">
        <f aca="false">K47*$D$2</f>
        <v>14778.663575</v>
      </c>
      <c r="L48" s="114" t="n">
        <f aca="false">L47*$D$2</f>
        <v>1538.017895</v>
      </c>
      <c r="M48" s="226" t="n">
        <f aca="false">M47*$D$2</f>
        <v>711.382275</v>
      </c>
      <c r="N48" s="114" t="n">
        <f aca="false">N47*$D$2</f>
        <v>0</v>
      </c>
      <c r="O48" s="114" t="n">
        <f aca="false">O47*$D$2</f>
        <v>74.024517525</v>
      </c>
      <c r="P48" s="171"/>
      <c r="Q48" s="114" t="n">
        <f aca="false">Q47*$D$2</f>
        <v>89.3527900789011</v>
      </c>
      <c r="R48" s="114" t="n">
        <f aca="false">R47*$D$2</f>
        <v>107.11489274048</v>
      </c>
      <c r="S48" s="114" t="n">
        <f aca="false">S47*$D$2</f>
        <v>1.28833117136</v>
      </c>
      <c r="T48" s="114" t="n">
        <f aca="false">T47*$D$2</f>
        <v>33.31388408816</v>
      </c>
      <c r="U48" s="327" t="n">
        <f aca="false">U47*$D$2</f>
        <v>-11.7324710106613</v>
      </c>
      <c r="V48" s="114" t="n">
        <f aca="false">V47*$D$2</f>
        <v>2493.85455</v>
      </c>
      <c r="W48" s="114" t="n">
        <f aca="false">W47*$D$2</f>
        <v>47.663505</v>
      </c>
      <c r="X48" s="114" t="n">
        <f aca="false">X47*$D$2</f>
        <v>2959.53838540676</v>
      </c>
      <c r="Y48" s="114" t="n">
        <f aca="false">Y47*$D$2</f>
        <v>2571.51950374009</v>
      </c>
      <c r="Z48" s="114"/>
      <c r="AA48" s="114"/>
      <c r="AB48" s="114"/>
      <c r="AC48" s="144" t="n">
        <f aca="false">AC47*$D$2</f>
        <v>0</v>
      </c>
      <c r="AD48" s="114"/>
      <c r="AE48" s="114"/>
      <c r="AF48" s="226"/>
      <c r="AG48" s="228"/>
      <c r="AH48" s="114" t="n">
        <f aca="false">AH47*$D$2</f>
        <v>2089.0222</v>
      </c>
      <c r="AI48" s="114"/>
      <c r="AJ48" s="144" t="n">
        <f aca="false">AJ47*$D$2</f>
        <v>0</v>
      </c>
      <c r="AK48" s="114" t="n">
        <f aca="false">AK47*$D$2</f>
        <v>5341.92253</v>
      </c>
      <c r="AL48" s="114" t="n">
        <f aca="false">AL47*$D$2</f>
        <v>171.741045</v>
      </c>
      <c r="AM48" s="224" t="n">
        <f aca="false">AM47*$D$2</f>
        <v>5513.663575</v>
      </c>
      <c r="AN48" s="144" t="n">
        <f aca="false">AN47*$D$2</f>
        <v>2439.36119333333</v>
      </c>
      <c r="AO48" s="144" t="n">
        <f aca="false">AO47*$D$2</f>
        <v>388.018881666667</v>
      </c>
      <c r="AP48" s="143"/>
      <c r="AQ48" s="143"/>
      <c r="AR48" s="143"/>
      <c r="AS48" s="231"/>
      <c r="AT48" s="90"/>
      <c r="AU48" s="56"/>
      <c r="AV48" s="232"/>
      <c r="AW48" s="225" t="n">
        <f aca="false">MAX(AW15:AW45)</f>
        <v>75</v>
      </c>
      <c r="AX48" s="225" t="n">
        <f aca="false">MAX(AX15:AX45)</f>
        <v>41</v>
      </c>
      <c r="AY48" s="233" t="s">
        <v>107</v>
      </c>
      <c r="AZ48" s="348" t="n">
        <f aca="false">AZ47*$D$2</f>
        <v>219.33742706824</v>
      </c>
      <c r="BA48" s="193" t="n">
        <f aca="false">BA47*D2</f>
        <v>2.788801</v>
      </c>
      <c r="BB48" s="264"/>
    </row>
    <row r="49" customFormat="false" ht="3" hidden="false" customHeight="true" outlineLevel="0" collapsed="false">
      <c r="A49" s="244"/>
      <c r="B49" s="266"/>
      <c r="C49" s="246"/>
      <c r="D49" s="246"/>
      <c r="E49" s="246"/>
      <c r="F49" s="270"/>
      <c r="G49" s="246"/>
      <c r="H49" s="349"/>
      <c r="I49" s="246"/>
      <c r="J49" s="246"/>
      <c r="K49" s="246"/>
      <c r="L49" s="246"/>
      <c r="M49" s="271"/>
      <c r="N49" s="246"/>
      <c r="O49" s="246"/>
      <c r="P49" s="251"/>
      <c r="Q49" s="246"/>
      <c r="R49" s="246"/>
      <c r="S49" s="246"/>
      <c r="T49" s="246"/>
      <c r="U49" s="350"/>
      <c r="V49" s="246"/>
      <c r="W49" s="246"/>
      <c r="X49" s="246"/>
      <c r="Y49" s="246"/>
      <c r="Z49" s="246"/>
      <c r="AA49" s="246"/>
      <c r="AB49" s="246"/>
      <c r="AC49" s="253"/>
      <c r="AD49" s="246"/>
      <c r="AE49" s="246"/>
      <c r="AF49" s="271"/>
      <c r="AG49" s="272"/>
      <c r="AH49" s="246"/>
      <c r="AI49" s="247"/>
      <c r="AJ49" s="253"/>
      <c r="AK49" s="246"/>
      <c r="AL49" s="246"/>
      <c r="AM49" s="270"/>
      <c r="AN49" s="253"/>
      <c r="AO49" s="253"/>
      <c r="AP49" s="246"/>
      <c r="AQ49" s="246"/>
      <c r="AR49" s="246"/>
      <c r="AS49" s="246"/>
      <c r="AT49" s="351"/>
      <c r="AU49" s="344"/>
      <c r="AV49" s="274"/>
      <c r="AW49" s="246"/>
      <c r="AX49" s="246"/>
      <c r="AY49" s="246"/>
      <c r="AZ49" s="246"/>
      <c r="BA49" s="246"/>
      <c r="BB49" s="246"/>
    </row>
    <row r="50" customFormat="false" ht="12.95" hidden="false" customHeight="true" outlineLevel="0" collapsed="false">
      <c r="A50" s="194" t="s">
        <v>108</v>
      </c>
      <c r="B50" s="223"/>
      <c r="C50" s="114"/>
      <c r="D50" s="114"/>
      <c r="E50" s="114"/>
      <c r="F50" s="224"/>
      <c r="G50" s="114"/>
      <c r="H50" s="342"/>
      <c r="I50" s="114"/>
      <c r="J50" s="114"/>
      <c r="K50" s="114"/>
      <c r="L50" s="114"/>
      <c r="M50" s="226"/>
      <c r="N50" s="114"/>
      <c r="O50" s="114" t="n">
        <f aca="false">O47</f>
        <v>37.32015</v>
      </c>
      <c r="P50" s="171"/>
      <c r="Q50" s="114"/>
      <c r="R50" s="114"/>
      <c r="S50" s="114"/>
      <c r="T50" s="114"/>
      <c r="U50" s="352"/>
      <c r="V50" s="114"/>
      <c r="W50" s="114"/>
      <c r="X50" s="114"/>
      <c r="Y50" s="114"/>
      <c r="Z50" s="114"/>
      <c r="AA50" s="114"/>
      <c r="AB50" s="114"/>
      <c r="AC50" s="144"/>
      <c r="AD50" s="114"/>
      <c r="AE50" s="114"/>
      <c r="AF50" s="226"/>
      <c r="AG50" s="228"/>
      <c r="AH50" s="114"/>
      <c r="AI50" s="114"/>
      <c r="AJ50" s="144"/>
      <c r="AK50" s="114"/>
      <c r="AL50" s="114"/>
      <c r="AM50" s="224"/>
      <c r="AN50" s="144"/>
      <c r="AO50" s="144"/>
      <c r="AP50" s="143"/>
      <c r="AQ50" s="143"/>
      <c r="AR50" s="143"/>
      <c r="AS50" s="231"/>
      <c r="AT50" s="90"/>
      <c r="AU50" s="56"/>
      <c r="AV50" s="232"/>
      <c r="AW50" s="225" t="n">
        <f aca="false">MIN(AW15:AW45)</f>
        <v>37</v>
      </c>
      <c r="AX50" s="225" t="n">
        <f aca="false">MIN(AX15:AX45)</f>
        <v>9</v>
      </c>
      <c r="AY50" s="233" t="s">
        <v>109</v>
      </c>
      <c r="AZ50" s="348"/>
      <c r="BB50" s="264"/>
    </row>
    <row r="51" customFormat="false" ht="12.95" hidden="false" customHeight="true" outlineLevel="0" collapsed="false">
      <c r="A51" s="194" t="s">
        <v>110</v>
      </c>
      <c r="B51" s="223"/>
      <c r="C51" s="114"/>
      <c r="D51" s="114"/>
      <c r="E51" s="114"/>
      <c r="F51" s="224"/>
      <c r="G51" s="114"/>
      <c r="H51" s="342"/>
      <c r="I51" s="114"/>
      <c r="J51" s="114"/>
      <c r="K51" s="114"/>
      <c r="L51" s="114"/>
      <c r="M51" s="226"/>
      <c r="N51" s="114"/>
      <c r="O51" s="114" t="n">
        <f aca="false">O50*D2</f>
        <v>74.024517525</v>
      </c>
      <c r="P51" s="171"/>
      <c r="Q51" s="114"/>
      <c r="R51" s="114"/>
      <c r="S51" s="114"/>
      <c r="T51" s="114"/>
      <c r="U51" s="352"/>
      <c r="V51" s="114"/>
      <c r="W51" s="114"/>
      <c r="X51" s="114"/>
      <c r="Y51" s="114"/>
      <c r="Z51" s="114"/>
      <c r="AA51" s="114"/>
      <c r="AB51" s="114"/>
      <c r="AC51" s="144"/>
      <c r="AD51" s="114"/>
      <c r="AE51" s="114"/>
      <c r="AF51" s="226"/>
      <c r="AG51" s="228"/>
      <c r="AH51" s="114"/>
      <c r="AI51" s="114"/>
      <c r="AJ51" s="144"/>
      <c r="AK51" s="114"/>
      <c r="AL51" s="114"/>
      <c r="AM51" s="224"/>
      <c r="AN51" s="144"/>
      <c r="AO51" s="144"/>
      <c r="AP51" s="143"/>
      <c r="AQ51" s="143"/>
      <c r="AR51" s="143"/>
      <c r="AS51" s="231"/>
      <c r="AT51" s="90"/>
      <c r="AU51" s="56"/>
      <c r="AV51" s="232"/>
      <c r="AW51" s="225"/>
      <c r="AX51" s="225"/>
      <c r="AY51" s="264"/>
      <c r="AZ51" s="348"/>
      <c r="BB51" s="264"/>
    </row>
    <row r="52" customFormat="false" ht="3" hidden="false" customHeight="true" outlineLevel="0" collapsed="false">
      <c r="A52" s="244"/>
      <c r="B52" s="266"/>
      <c r="C52" s="246"/>
      <c r="D52" s="246"/>
      <c r="E52" s="246"/>
      <c r="F52" s="270"/>
      <c r="G52" s="246"/>
      <c r="H52" s="349"/>
      <c r="I52" s="246"/>
      <c r="J52" s="246"/>
      <c r="K52" s="246"/>
      <c r="L52" s="246"/>
      <c r="M52" s="271"/>
      <c r="N52" s="246"/>
      <c r="O52" s="246"/>
      <c r="P52" s="251"/>
      <c r="Q52" s="246"/>
      <c r="R52" s="246"/>
      <c r="S52" s="246"/>
      <c r="T52" s="246"/>
      <c r="U52" s="350"/>
      <c r="V52" s="246"/>
      <c r="W52" s="246"/>
      <c r="X52" s="246"/>
      <c r="Y52" s="246"/>
      <c r="Z52" s="246"/>
      <c r="AA52" s="246"/>
      <c r="AB52" s="246"/>
      <c r="AC52" s="253"/>
      <c r="AD52" s="246"/>
      <c r="AE52" s="246"/>
      <c r="AF52" s="271"/>
      <c r="AG52" s="272"/>
      <c r="AH52" s="246"/>
      <c r="AI52" s="246"/>
      <c r="AJ52" s="253"/>
      <c r="AK52" s="246"/>
      <c r="AL52" s="246"/>
      <c r="AM52" s="270"/>
      <c r="AN52" s="253"/>
      <c r="AO52" s="253"/>
      <c r="AP52" s="275"/>
      <c r="AQ52" s="275"/>
      <c r="AR52" s="275"/>
      <c r="AS52" s="275"/>
      <c r="AT52" s="351"/>
      <c r="AU52" s="344"/>
      <c r="AV52" s="258"/>
      <c r="AW52" s="275"/>
      <c r="AX52" s="275"/>
      <c r="AY52" s="275"/>
      <c r="AZ52" s="275"/>
      <c r="BA52" s="275"/>
      <c r="BB52" s="256"/>
    </row>
    <row r="53" customFormat="false" ht="12.95" hidden="false" customHeight="true" outlineLevel="0" collapsed="false">
      <c r="A53" s="194" t="s">
        <v>111</v>
      </c>
      <c r="B53" s="223"/>
      <c r="C53" s="114"/>
      <c r="D53" s="114"/>
      <c r="E53" s="114"/>
      <c r="F53" s="224" t="n">
        <f aca="false">F13+F47</f>
        <v>4857.57499369801</v>
      </c>
      <c r="G53" s="114" t="n">
        <f aca="false">G13+G47</f>
        <v>15229</v>
      </c>
      <c r="H53" s="342" t="n">
        <f aca="false">H13+H47</f>
        <v>117.502</v>
      </c>
      <c r="I53" s="114" t="n">
        <f aca="false">I13+I47</f>
        <v>15345.882</v>
      </c>
      <c r="J53" s="114" t="n">
        <f aca="false">J13+J47</f>
        <v>2345.08890547013</v>
      </c>
      <c r="K53" s="114" t="n">
        <f aca="false">K13+K47</f>
        <v>17690.9709054701</v>
      </c>
      <c r="L53" s="114" t="n">
        <f aca="false">L13+L47</f>
        <v>129.442993698008</v>
      </c>
      <c r="M53" s="226" t="n">
        <f aca="false">M13+M47</f>
        <v>744.53</v>
      </c>
      <c r="N53" s="114" t="n">
        <f aca="false">N13+N47</f>
        <v>0</v>
      </c>
      <c r="O53" s="114" t="n">
        <f aca="false">O13+O47</f>
        <v>37.32015</v>
      </c>
      <c r="P53" s="171"/>
      <c r="Q53" s="114" t="n">
        <f aca="false">Q13+Q47</f>
        <v>221.637724641787</v>
      </c>
      <c r="R53" s="114" t="n">
        <f aca="false">R13+R47</f>
        <v>242.1611312</v>
      </c>
      <c r="S53" s="114" t="n">
        <f aca="false">S13+S47</f>
        <v>0.64952416</v>
      </c>
      <c r="T53" s="114" t="n">
        <f aca="false">T13+T47</f>
        <v>77.37944032</v>
      </c>
      <c r="U53" s="327" t="n">
        <f aca="false">U13+U47</f>
        <v>-45.366813481233</v>
      </c>
      <c r="V53" s="114" t="n">
        <f aca="false">V13+V47</f>
        <v>5712.49</v>
      </c>
      <c r="W53" s="114" t="n">
        <f aca="false">W13+W47</f>
        <v>24.03</v>
      </c>
      <c r="X53" s="114" t="n">
        <f aca="false">X13+X47</f>
        <v>5915.23229315945</v>
      </c>
      <c r="Y53" s="114" t="n">
        <f aca="false">Y13+Y47</f>
        <v>5719.60895982611</v>
      </c>
      <c r="Z53" s="114"/>
      <c r="AA53" s="114"/>
      <c r="AB53" s="114"/>
      <c r="AC53" s="144" t="n">
        <f aca="false">AC13+AC47</f>
        <v>1714.13281966001</v>
      </c>
      <c r="AD53" s="114"/>
      <c r="AE53" s="114"/>
      <c r="AF53" s="226"/>
      <c r="AG53" s="228"/>
      <c r="AH53" s="114" t="n">
        <f aca="false">AH13+AH47</f>
        <v>4136.7</v>
      </c>
      <c r="AI53" s="114" t="n">
        <f aca="false">AI45</f>
        <v>-2.15076884294309</v>
      </c>
      <c r="AJ53" s="144" t="n">
        <f aca="false">AJ13+AJ47</f>
        <v>0</v>
      </c>
      <c r="AK53" s="114" t="n">
        <f aca="false">AK13+AK47</f>
        <v>10617.75</v>
      </c>
      <c r="AL53" s="114" t="n">
        <f aca="false">AL13+AL47</f>
        <v>2215.64591177212</v>
      </c>
      <c r="AM53" s="224" t="n">
        <f aca="false">AM13+AM47</f>
        <v>12833.3959117721</v>
      </c>
      <c r="AN53" s="144" t="n">
        <f aca="false">AN13+AN47</f>
        <v>5685.01666666667</v>
      </c>
      <c r="AO53" s="144" t="n">
        <f aca="false">AO13+AO47</f>
        <v>195.623333333333</v>
      </c>
      <c r="AP53" s="143"/>
      <c r="AQ53" s="143"/>
      <c r="AR53" s="143"/>
      <c r="AS53" s="231"/>
      <c r="AT53" s="90"/>
      <c r="AU53" s="56"/>
      <c r="AV53" s="232" t="n">
        <f aca="false">AV13+AV47</f>
        <v>5.39</v>
      </c>
      <c r="AW53" s="225"/>
      <c r="AX53" s="225"/>
      <c r="AY53" s="264"/>
      <c r="AZ53" s="348" t="n">
        <f aca="false">AZ13+AZ47</f>
        <v>496.461006840555</v>
      </c>
      <c r="BA53" s="243" t="n">
        <f aca="false">BA47+BA13</f>
        <v>13.606</v>
      </c>
      <c r="BB53" s="264"/>
    </row>
    <row r="54" customFormat="false" ht="12.95" hidden="false" customHeight="true" outlineLevel="0" collapsed="false">
      <c r="A54" s="194" t="s">
        <v>112</v>
      </c>
      <c r="B54" s="223"/>
      <c r="C54" s="114"/>
      <c r="D54" s="114" t="n">
        <f aca="false">D13+D48</f>
        <v>9635</v>
      </c>
      <c r="E54" s="114" t="n">
        <f aca="false">E45</f>
        <v>43375</v>
      </c>
      <c r="F54" s="224" t="n">
        <f aca="false">F53*$D$2</f>
        <v>9635</v>
      </c>
      <c r="G54" s="114" t="n">
        <f aca="false">G53*$D$2</f>
        <v>30206.7215</v>
      </c>
      <c r="H54" s="342" t="n">
        <f aca="false">H53*$D$2</f>
        <v>233.065217</v>
      </c>
      <c r="I54" s="114" t="n">
        <f aca="false">I53*$D$2</f>
        <v>30438.556947</v>
      </c>
      <c r="J54" s="114" t="n">
        <f aca="false">J53*$D$2</f>
        <v>4651.483844</v>
      </c>
      <c r="K54" s="114" t="n">
        <f aca="false">K53*$D$2</f>
        <v>35090.040791</v>
      </c>
      <c r="L54" s="114" t="n">
        <f aca="false">L53*$D$2</f>
        <v>256.750177999999</v>
      </c>
      <c r="M54" s="226" t="n">
        <f aca="false">M53*$D$2</f>
        <v>1476.775255</v>
      </c>
      <c r="N54" s="114" t="n">
        <f aca="false">N53*$D$2</f>
        <v>0</v>
      </c>
      <c r="O54" s="114" t="n">
        <f aca="false">O53*$D$2</f>
        <v>74.024517525</v>
      </c>
      <c r="P54" s="171"/>
      <c r="Q54" s="114" t="n">
        <f aca="false">Q53*$D$2</f>
        <v>439.618426826985</v>
      </c>
      <c r="R54" s="114" t="n">
        <f aca="false">R53*$D$2</f>
        <v>480.3266037352</v>
      </c>
      <c r="S54" s="114" t="n">
        <f aca="false">S53*$D$2</f>
        <v>1.28833117136</v>
      </c>
      <c r="T54" s="114" t="n">
        <f aca="false">T53*$D$2</f>
        <v>153.48211987472</v>
      </c>
      <c r="U54" s="327" t="n">
        <f aca="false">U53*$D$2</f>
        <v>-89.9850745400256</v>
      </c>
      <c r="V54" s="114" t="n">
        <f aca="false">V53*$D$2</f>
        <v>11330.723915</v>
      </c>
      <c r="W54" s="114" t="n">
        <f aca="false">W53*$D$2</f>
        <v>47.663505</v>
      </c>
      <c r="X54" s="114" t="n">
        <f aca="false">X53*$D$2</f>
        <v>11732.8632534818</v>
      </c>
      <c r="Y54" s="114" t="n">
        <f aca="false">Y53*$D$2</f>
        <v>11344.8443718151</v>
      </c>
      <c r="Z54" s="114"/>
      <c r="AA54" s="114"/>
      <c r="AB54" s="114"/>
      <c r="AC54" s="144" t="n">
        <f aca="false">AC53*$D$2</f>
        <v>3399.98244779563</v>
      </c>
      <c r="AD54" s="114"/>
      <c r="AE54" s="114"/>
      <c r="AF54" s="277"/>
      <c r="AG54" s="278"/>
      <c r="AH54" s="114" t="n">
        <f aca="false">AH53*$D$2</f>
        <v>8205.14445</v>
      </c>
      <c r="AI54" s="114" t="n">
        <f aca="false">AI53*$D$2</f>
        <v>-4.26604999997763</v>
      </c>
      <c r="AJ54" s="144" t="n">
        <f aca="false">AJ53*$D$2</f>
        <v>0</v>
      </c>
      <c r="AK54" s="114" t="n">
        <f aca="false">AK53*$D$2</f>
        <v>21060.307125</v>
      </c>
      <c r="AL54" s="114" t="n">
        <f aca="false">AL53*$D$2</f>
        <v>4394.733666</v>
      </c>
      <c r="AM54" s="279" t="n">
        <f aca="false">AM53*$D$2</f>
        <v>25455.040791</v>
      </c>
      <c r="AN54" s="225" t="n">
        <f aca="false">AN53*$D$2</f>
        <v>11276.2305583333</v>
      </c>
      <c r="AO54" s="144" t="n">
        <f aca="false">AO53*$D$2</f>
        <v>388.018881666667</v>
      </c>
      <c r="AP54" s="143"/>
      <c r="AQ54" s="143"/>
      <c r="AR54" s="143"/>
      <c r="AS54" s="231"/>
      <c r="AT54" s="90"/>
      <c r="AU54" s="56"/>
      <c r="AV54" s="232"/>
      <c r="AW54" s="225"/>
      <c r="AX54" s="225"/>
      <c r="AY54" s="264"/>
      <c r="AZ54" s="348" t="n">
        <f aca="false">AZ53*$D$2</f>
        <v>984.73040706824</v>
      </c>
      <c r="BA54" s="193" t="n">
        <f aca="false">BA53*D2</f>
        <v>26.987501</v>
      </c>
      <c r="BB54" s="264"/>
    </row>
    <row r="55" customFormat="false" ht="3" hidden="false" customHeight="true" outlineLevel="0" collapsed="false">
      <c r="A55" s="244"/>
      <c r="B55" s="266"/>
      <c r="C55" s="246"/>
      <c r="D55" s="247"/>
      <c r="E55" s="246"/>
      <c r="F55" s="248"/>
      <c r="G55" s="247"/>
      <c r="H55" s="275"/>
      <c r="I55" s="247"/>
      <c r="J55" s="247"/>
      <c r="K55" s="247"/>
      <c r="L55" s="247"/>
      <c r="M55" s="250"/>
      <c r="N55" s="247"/>
      <c r="O55" s="247"/>
      <c r="P55" s="251"/>
      <c r="Q55" s="247"/>
      <c r="R55" s="247"/>
      <c r="S55" s="247"/>
      <c r="T55" s="247"/>
      <c r="U55" s="343"/>
      <c r="V55" s="247"/>
      <c r="W55" s="247"/>
      <c r="X55" s="247"/>
      <c r="Y55" s="247"/>
      <c r="Z55" s="247"/>
      <c r="AA55" s="247"/>
      <c r="AB55" s="246"/>
      <c r="AC55" s="253"/>
      <c r="AD55" s="246"/>
      <c r="AE55" s="247"/>
      <c r="AF55" s="250"/>
      <c r="AG55" s="254"/>
      <c r="AH55" s="247"/>
      <c r="AI55" s="246"/>
      <c r="AJ55" s="253"/>
      <c r="AK55" s="247"/>
      <c r="AL55" s="247"/>
      <c r="AM55" s="247"/>
      <c r="AN55" s="255"/>
      <c r="AO55" s="253"/>
      <c r="AP55" s="247"/>
      <c r="AQ55" s="247"/>
      <c r="AR55" s="247"/>
      <c r="AS55" s="247"/>
      <c r="AT55" s="353"/>
      <c r="AU55" s="344"/>
      <c r="AV55" s="266"/>
      <c r="AW55" s="247"/>
      <c r="AX55" s="247"/>
      <c r="AY55" s="247"/>
      <c r="AZ55" s="247"/>
      <c r="BA55" s="247"/>
      <c r="BB55" s="247"/>
    </row>
    <row r="56" customFormat="false" ht="11.1" hidden="false" customHeight="true" outlineLevel="0" collapsed="false">
      <c r="A56" s="194"/>
      <c r="B56" s="281"/>
      <c r="D56" s="194"/>
      <c r="F56" s="194"/>
      <c r="G56" s="194"/>
      <c r="I56" s="194"/>
      <c r="J56" s="194"/>
      <c r="K56" s="194"/>
      <c r="L56" s="194"/>
      <c r="M56" s="194"/>
      <c r="N56" s="194"/>
      <c r="O56" s="194"/>
      <c r="Q56" s="194"/>
      <c r="R56" s="194"/>
      <c r="S56" s="194"/>
      <c r="T56" s="194"/>
      <c r="V56" s="194"/>
      <c r="W56" s="194"/>
      <c r="X56" s="194"/>
      <c r="Y56" s="194"/>
      <c r="Z56" s="194"/>
      <c r="AA56" s="194"/>
      <c r="AB56" s="161"/>
      <c r="AD56" s="161"/>
      <c r="AE56" s="194"/>
      <c r="AF56" s="194"/>
      <c r="AG56" s="194"/>
      <c r="AH56" s="194"/>
      <c r="AI56" s="161"/>
      <c r="AK56" s="194"/>
      <c r="AL56" s="194"/>
      <c r="AM56" s="194"/>
      <c r="AN56" s="192"/>
      <c r="AO56" s="201"/>
      <c r="AP56" s="197"/>
      <c r="AQ56" s="197"/>
      <c r="AR56" s="197"/>
      <c r="AX56" s="191"/>
    </row>
    <row r="57" customFormat="false" ht="11.1" hidden="false" customHeight="true" outlineLevel="0" collapsed="false">
      <c r="A57" s="194"/>
      <c r="B57" s="282"/>
      <c r="F57" s="194"/>
      <c r="G57" s="194"/>
      <c r="I57" s="195"/>
      <c r="J57" s="194"/>
      <c r="K57" s="186"/>
      <c r="L57" s="194"/>
      <c r="M57" s="194"/>
      <c r="N57" s="194"/>
      <c r="O57" s="194"/>
      <c r="Q57" s="194"/>
      <c r="R57" s="194"/>
      <c r="S57" s="194"/>
      <c r="T57" s="194"/>
      <c r="V57" s="194"/>
      <c r="W57" s="194"/>
      <c r="X57" s="194"/>
      <c r="Y57" s="194"/>
      <c r="Z57" s="194"/>
      <c r="AA57" s="194"/>
      <c r="AB57" s="161"/>
      <c r="AD57" s="161"/>
      <c r="AE57" s="194"/>
      <c r="AF57" s="194"/>
      <c r="AG57" s="194"/>
      <c r="AH57" s="194"/>
      <c r="AI57" s="161"/>
      <c r="AK57" s="194"/>
      <c r="AL57" s="194"/>
      <c r="AM57" s="194"/>
      <c r="AN57" s="192"/>
      <c r="AO57" s="201"/>
      <c r="AP57" s="197"/>
      <c r="AQ57" s="197"/>
      <c r="AR57" s="197"/>
      <c r="AX57" s="191"/>
    </row>
    <row r="58" customFormat="false" ht="11.1" hidden="false" customHeight="true" outlineLevel="0" collapsed="false">
      <c r="D58" s="161"/>
      <c r="S58" s="111"/>
      <c r="T58" s="111"/>
      <c r="X58" s="56"/>
      <c r="Y58" s="56"/>
      <c r="Z58" s="56"/>
      <c r="AA58" s="56"/>
      <c r="AB58" s="161"/>
      <c r="AD58" s="161"/>
      <c r="AH58" s="56"/>
      <c r="AI58" s="161"/>
      <c r="AM58" s="56"/>
      <c r="AN58" s="192"/>
      <c r="AO58" s="201"/>
      <c r="AP58" s="189"/>
      <c r="AQ58" s="189"/>
      <c r="AR58" s="189"/>
      <c r="AX58" s="191"/>
    </row>
    <row r="59" customFormat="false" ht="11.1" hidden="false" customHeight="true" outlineLevel="0" collapsed="false">
      <c r="B59" s="8"/>
      <c r="D59" s="161"/>
      <c r="AN59" s="296"/>
      <c r="AO59" s="335"/>
      <c r="AP59" s="189"/>
    </row>
    <row r="60" customFormat="false" ht="11.1" hidden="false" customHeight="true" outlineLevel="0" collapsed="false">
      <c r="G60" s="283"/>
      <c r="AN60" s="296"/>
      <c r="AO60" s="335"/>
      <c r="AP60" s="189"/>
    </row>
  </sheetData>
  <mergeCells count="2">
    <mergeCell ref="K2:T2"/>
    <mergeCell ref="M5:U5"/>
  </mergeCells>
  <printOptions headings="true" gridLines="true" gridLinesSet="true" horizontalCentered="true" verticalCentered="true"/>
  <pageMargins left="0.1" right="0.1" top="0.25" bottom="0" header="0.511811023622047" footer="0.511811023622047"/>
  <pageSetup paperSize="3" scale="81"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B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2890625" defaultRowHeight="11.1" zeroHeight="false" outlineLevelRow="0" outlineLevelCol="0"/>
  <cols>
    <col collapsed="false" customWidth="true" hidden="false" outlineLevel="0" max="1" min="1" style="1" width="4.66"/>
    <col collapsed="false" customWidth="true" hidden="false" outlineLevel="0" max="2" min="2" style="1" width="6.99"/>
    <col collapsed="false" customWidth="true" hidden="false" outlineLevel="0" max="3" min="3" style="2" width="6.32"/>
    <col collapsed="false" customWidth="true" hidden="false" outlineLevel="0" max="4" min="4" style="1" width="6.32"/>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4" width="5.66"/>
    <col collapsed="false" customWidth="true" hidden="false" outlineLevel="0" max="11" min="9" style="1" width="6.32"/>
    <col collapsed="false" customWidth="true" hidden="false" outlineLevel="0" max="12" min="12" style="1" width="6.82"/>
    <col collapsed="false" customWidth="true" hidden="false" outlineLevel="0" max="13" min="13" style="4" width="5.49"/>
    <col collapsed="false" customWidth="true" hidden="false" outlineLevel="0" max="14" min="14" style="4" width="4.49"/>
    <col collapsed="false" customWidth="true" hidden="false" outlineLevel="0" max="15" min="15" style="4" width="5.49"/>
    <col collapsed="false" customWidth="true" hidden="false" outlineLevel="0" max="16" min="16" style="5" width="4.82"/>
    <col collapsed="false" customWidth="true" hidden="false" outlineLevel="0" max="18" min="17" style="4" width="4.32"/>
    <col collapsed="false" customWidth="true" hidden="false" outlineLevel="0" max="20" min="19" style="1" width="4.32"/>
    <col collapsed="false" customWidth="true" hidden="false" outlineLevel="0" max="21" min="21" style="5" width="5.16"/>
    <col collapsed="false" customWidth="true" hidden="false" outlineLevel="0" max="23" min="22" style="1" width="5.49"/>
    <col collapsed="false" customWidth="true" hidden="false" outlineLevel="0" max="25" min="24" style="2" width="6.32"/>
    <col collapsed="false" customWidth="true" hidden="false" outlineLevel="0" max="26" min="26" style="1" width="5.49"/>
    <col collapsed="false" customWidth="true" hidden="false" outlineLevel="0" max="27" min="27" style="2" width="6.32"/>
    <col collapsed="false" customWidth="true" hidden="false" outlineLevel="0" max="28" min="28" style="56" width="5.49"/>
    <col collapsed="false" customWidth="true" hidden="false" outlineLevel="0" max="29" min="29" style="1" width="5.82"/>
    <col collapsed="false" customWidth="true" hidden="false" outlineLevel="0" max="33" min="30" style="1" width="5.49"/>
    <col collapsed="false" customWidth="true" hidden="false" outlineLevel="0" max="34" min="34" style="2" width="6.32"/>
    <col collapsed="false" customWidth="true" hidden="false" outlineLevel="0" max="35" min="35" style="1" width="5.49"/>
    <col collapsed="false" customWidth="true" hidden="false" outlineLevel="0" max="36" min="36" style="354" width="6.32"/>
    <col collapsed="false" customWidth="true" hidden="false" outlineLevel="0" max="37" min="37" style="1" width="6.32"/>
    <col collapsed="false" customWidth="true" hidden="false" outlineLevel="0" max="38" min="38" style="1" width="6.82"/>
    <col collapsed="false" customWidth="true" hidden="false" outlineLevel="0" max="39" min="39" style="5" width="6.82"/>
    <col collapsed="false" customWidth="true" hidden="false" outlineLevel="0" max="40" min="40" style="1" width="6.32"/>
    <col collapsed="false" customWidth="true" hidden="false" outlineLevel="0" max="41" min="41" style="1" width="5.49"/>
    <col collapsed="false" customWidth="true" hidden="false" outlineLevel="0" max="42" min="42" style="1" width="6.32"/>
    <col collapsed="false" customWidth="true" hidden="false" outlineLevel="0" max="43" min="43" style="300" width="6.32"/>
    <col collapsed="false" customWidth="true" hidden="false" outlineLevel="0" max="44" min="44" style="201" width="5.49"/>
    <col collapsed="false" customWidth="true" hidden="false" outlineLevel="0" max="45" min="45" style="6" width="5.32"/>
    <col collapsed="false" customWidth="true" hidden="false" outlineLevel="0" max="46" min="46" style="1" width="6.32"/>
    <col collapsed="false" customWidth="true" hidden="false" outlineLevel="0" max="47" min="47" style="4" width="5.82"/>
    <col collapsed="false" customWidth="true" hidden="false" outlineLevel="0" max="48" min="48" style="3" width="5.32"/>
    <col collapsed="false" customWidth="true" hidden="false" outlineLevel="0" max="49" min="49" style="9" width="3.82"/>
    <col collapsed="false" customWidth="true" hidden="false" outlineLevel="0" max="50" min="50" style="10" width="3.82"/>
    <col collapsed="false" customWidth="true" hidden="false" outlineLevel="0" max="51" min="51" style="0" width="3.82"/>
    <col collapsed="false" customWidth="true" hidden="false" outlineLevel="0" max="52" min="52" style="193" width="5.49"/>
  </cols>
  <sheetData>
    <row r="1" customFormat="false" ht="14.1" hidden="false" customHeight="true" outlineLevel="0" collapsed="false">
      <c r="A1" s="11" t="s">
        <v>117</v>
      </c>
      <c r="B1" s="11"/>
      <c r="D1" s="11"/>
      <c r="F1" s="11"/>
      <c r="G1" s="11"/>
      <c r="I1" s="11"/>
      <c r="J1" s="11"/>
      <c r="K1" s="355" t="s">
        <v>0</v>
      </c>
      <c r="L1" s="355"/>
      <c r="M1" s="355"/>
      <c r="N1" s="355"/>
      <c r="O1" s="355"/>
      <c r="P1" s="355"/>
      <c r="Q1" s="355"/>
      <c r="R1" s="355"/>
      <c r="S1" s="355"/>
      <c r="T1" s="355"/>
      <c r="U1" s="355"/>
      <c r="V1" s="355"/>
      <c r="W1" s="11"/>
      <c r="Z1" s="11"/>
      <c r="AB1" s="194"/>
      <c r="AC1" s="11"/>
      <c r="AD1" s="11"/>
      <c r="AE1" s="11"/>
      <c r="AF1" s="11"/>
      <c r="AG1" s="11"/>
      <c r="AI1" s="11"/>
      <c r="AK1" s="11"/>
      <c r="AL1" s="11"/>
      <c r="AN1" s="14"/>
      <c r="AO1" s="14"/>
      <c r="AP1" s="14"/>
    </row>
    <row r="2" customFormat="false" ht="14.1" hidden="false" customHeight="true" outlineLevel="0" collapsed="false">
      <c r="A2" s="14" t="s">
        <v>1</v>
      </c>
      <c r="B2" s="11"/>
      <c r="D2" s="15" t="n">
        <v>1.9835</v>
      </c>
      <c r="F2" s="11"/>
      <c r="G2" s="11"/>
      <c r="I2" s="11"/>
      <c r="J2" s="11"/>
      <c r="K2" s="356" t="s">
        <v>126</v>
      </c>
      <c r="L2" s="356"/>
      <c r="M2" s="357"/>
      <c r="N2" s="357"/>
      <c r="O2" s="184"/>
      <c r="P2" s="6"/>
      <c r="Q2" s="184"/>
      <c r="R2" s="184"/>
      <c r="S2" s="357"/>
      <c r="T2" s="357"/>
      <c r="U2" s="6"/>
      <c r="V2" s="357"/>
      <c r="W2" s="357"/>
      <c r="X2" s="358"/>
      <c r="Y2" s="358"/>
      <c r="Z2" s="357"/>
      <c r="AA2" s="358"/>
      <c r="AB2" s="200"/>
      <c r="AC2" s="357"/>
      <c r="AD2" s="357"/>
      <c r="AE2" s="357"/>
      <c r="AF2" s="357"/>
      <c r="AG2" s="357"/>
      <c r="AH2" s="358"/>
      <c r="AI2" s="11"/>
      <c r="AK2" s="11"/>
      <c r="AL2" s="11"/>
      <c r="AN2" s="14"/>
      <c r="AO2" s="14"/>
      <c r="AP2" s="14"/>
    </row>
    <row r="3" customFormat="false" ht="14.1" hidden="false" customHeight="true" outlineLevel="0" collapsed="false">
      <c r="A3" s="16"/>
      <c r="B3" s="16"/>
      <c r="C3" s="17"/>
      <c r="D3" s="18"/>
      <c r="E3" s="17"/>
      <c r="F3" s="16"/>
      <c r="G3" s="16"/>
      <c r="H3" s="22"/>
      <c r="I3" s="16"/>
      <c r="J3" s="16"/>
      <c r="K3" s="16"/>
      <c r="L3" s="16"/>
      <c r="M3" s="16"/>
      <c r="N3" s="16"/>
      <c r="O3" s="22"/>
      <c r="P3" s="20"/>
      <c r="Q3" s="22"/>
      <c r="R3" s="22"/>
      <c r="S3" s="16"/>
      <c r="T3" s="16"/>
      <c r="U3" s="20"/>
      <c r="V3" s="16"/>
      <c r="W3" s="16"/>
      <c r="X3" s="17"/>
      <c r="Y3" s="17"/>
      <c r="Z3" s="16"/>
      <c r="AA3" s="96"/>
      <c r="AB3" s="194"/>
      <c r="AC3" s="16"/>
      <c r="AD3" s="16"/>
      <c r="AE3" s="16"/>
      <c r="AF3" s="16"/>
      <c r="AG3" s="16"/>
      <c r="AH3" s="17"/>
      <c r="AI3" s="16"/>
      <c r="AJ3" s="359"/>
      <c r="AK3" s="16"/>
      <c r="AL3" s="16"/>
      <c r="AM3" s="20"/>
      <c r="AN3" s="360"/>
      <c r="AO3" s="360"/>
      <c r="AP3" s="360"/>
      <c r="AQ3" s="336"/>
      <c r="AR3" s="361"/>
      <c r="AV3" s="27"/>
      <c r="AW3" s="28"/>
      <c r="AX3" s="29"/>
      <c r="BA3" s="31"/>
      <c r="BB3" s="31"/>
    </row>
    <row r="4" s="56" customFormat="true" ht="14.1" hidden="false" customHeight="true" outlineLevel="0" collapsed="false">
      <c r="A4" s="32"/>
      <c r="B4" s="33"/>
      <c r="C4" s="34"/>
      <c r="D4" s="35" t="s">
        <v>3</v>
      </c>
      <c r="E4" s="34"/>
      <c r="F4" s="32"/>
      <c r="G4" s="36"/>
      <c r="H4" s="36"/>
      <c r="I4" s="37" t="s">
        <v>127</v>
      </c>
      <c r="J4" s="36"/>
      <c r="K4" s="36"/>
      <c r="L4" s="38"/>
      <c r="M4" s="36"/>
      <c r="N4" s="36"/>
      <c r="O4" s="36"/>
      <c r="P4" s="39"/>
      <c r="Q4" s="36"/>
      <c r="R4" s="36"/>
      <c r="S4" s="36"/>
      <c r="T4" s="36"/>
      <c r="U4" s="39"/>
      <c r="V4" s="36"/>
      <c r="W4" s="36"/>
      <c r="X4" s="40" t="s">
        <v>5</v>
      </c>
      <c r="Y4" s="40"/>
      <c r="Z4" s="41"/>
      <c r="AA4" s="40"/>
      <c r="AB4" s="41"/>
      <c r="AC4" s="41"/>
      <c r="AD4" s="42"/>
      <c r="AE4" s="36"/>
      <c r="AF4" s="36"/>
      <c r="AG4" s="36"/>
      <c r="AH4" s="34"/>
      <c r="AI4" s="36"/>
      <c r="AJ4" s="362"/>
      <c r="AK4" s="36"/>
      <c r="AL4" s="36"/>
      <c r="AM4" s="39"/>
      <c r="AN4" s="44"/>
      <c r="AO4" s="45"/>
      <c r="AP4" s="46" t="s">
        <v>6</v>
      </c>
      <c r="AQ4" s="47"/>
      <c r="AR4" s="47"/>
      <c r="AS4" s="49"/>
      <c r="AT4" s="50"/>
      <c r="AU4" s="50"/>
      <c r="AV4" s="52"/>
      <c r="AW4" s="53" t="s">
        <v>7</v>
      </c>
      <c r="AX4" s="54"/>
      <c r="AY4" s="304"/>
      <c r="AZ4" s="338"/>
      <c r="BA4" s="71"/>
      <c r="BB4" s="217"/>
    </row>
    <row r="5" s="193" customFormat="true" ht="12.95" hidden="false" customHeight="true" outlineLevel="0" collapsed="false">
      <c r="A5" s="58" t="s">
        <v>8</v>
      </c>
      <c r="B5" s="59" t="s">
        <v>9</v>
      </c>
      <c r="C5" s="60" t="s">
        <v>9</v>
      </c>
      <c r="D5" s="61" t="s">
        <v>10</v>
      </c>
      <c r="E5" s="60" t="s">
        <v>11</v>
      </c>
      <c r="F5" s="62" t="s">
        <v>12</v>
      </c>
      <c r="G5" s="58" t="s">
        <v>13</v>
      </c>
      <c r="H5" s="58" t="s">
        <v>14</v>
      </c>
      <c r="I5" s="58" t="s">
        <v>15</v>
      </c>
      <c r="J5" s="58" t="s">
        <v>16</v>
      </c>
      <c r="K5" s="58" t="s">
        <v>17</v>
      </c>
      <c r="L5" s="82" t="s">
        <v>16</v>
      </c>
      <c r="M5" s="218" t="s">
        <v>18</v>
      </c>
      <c r="N5" s="218"/>
      <c r="O5" s="218"/>
      <c r="P5" s="218"/>
      <c r="Q5" s="218"/>
      <c r="R5" s="218"/>
      <c r="S5" s="218"/>
      <c r="T5" s="218"/>
      <c r="U5" s="218"/>
      <c r="V5" s="58" t="s">
        <v>19</v>
      </c>
      <c r="W5" s="58" t="s">
        <v>20</v>
      </c>
      <c r="X5" s="58" t="s">
        <v>17</v>
      </c>
      <c r="Y5" s="58" t="s">
        <v>17</v>
      </c>
      <c r="Z5" s="64" t="s">
        <v>21</v>
      </c>
      <c r="AA5" s="58" t="s">
        <v>21</v>
      </c>
      <c r="AB5" s="64" t="s">
        <v>21</v>
      </c>
      <c r="AC5" s="64" t="s">
        <v>22</v>
      </c>
      <c r="AD5" s="65" t="s">
        <v>21</v>
      </c>
      <c r="AE5" s="58" t="s">
        <v>23</v>
      </c>
      <c r="AF5" s="63" t="s">
        <v>128</v>
      </c>
      <c r="AG5" s="63"/>
      <c r="AH5" s="58" t="s">
        <v>25</v>
      </c>
      <c r="AI5" s="68" t="s">
        <v>26</v>
      </c>
      <c r="AJ5" s="65" t="s">
        <v>27</v>
      </c>
      <c r="AK5" s="58" t="s">
        <v>15</v>
      </c>
      <c r="AL5" s="58" t="s">
        <v>16</v>
      </c>
      <c r="AM5" s="61" t="s">
        <v>17</v>
      </c>
      <c r="AN5" s="69" t="s">
        <v>28</v>
      </c>
      <c r="AO5" s="65" t="s">
        <v>21</v>
      </c>
      <c r="AP5" s="64" t="s">
        <v>29</v>
      </c>
      <c r="AQ5" s="70" t="s">
        <v>29</v>
      </c>
      <c r="AR5" s="65" t="s">
        <v>30</v>
      </c>
      <c r="AS5" s="71" t="s">
        <v>31</v>
      </c>
      <c r="AT5" s="71" t="s">
        <v>32</v>
      </c>
      <c r="AU5" s="72" t="s">
        <v>33</v>
      </c>
      <c r="AV5" s="73" t="s">
        <v>34</v>
      </c>
      <c r="AW5" s="74" t="s">
        <v>35</v>
      </c>
      <c r="AX5" s="74" t="s">
        <v>36</v>
      </c>
      <c r="AY5" s="149"/>
      <c r="AZ5" s="305" t="s">
        <v>17</v>
      </c>
      <c r="BA5" s="221" t="s">
        <v>37</v>
      </c>
      <c r="BB5" s="222" t="s">
        <v>37</v>
      </c>
    </row>
    <row r="6" s="193" customFormat="true" ht="12.95" hidden="false" customHeight="true" outlineLevel="0" collapsed="false">
      <c r="A6" s="78" t="s">
        <v>129</v>
      </c>
      <c r="B6" s="59" t="s">
        <v>39</v>
      </c>
      <c r="C6" s="60"/>
      <c r="D6" s="61" t="s">
        <v>40</v>
      </c>
      <c r="E6" s="60" t="s">
        <v>41</v>
      </c>
      <c r="F6" s="62" t="s">
        <v>42</v>
      </c>
      <c r="G6" s="58" t="s">
        <v>43</v>
      </c>
      <c r="H6" s="58" t="s">
        <v>44</v>
      </c>
      <c r="I6" s="58" t="s">
        <v>45</v>
      </c>
      <c r="J6" s="58" t="s">
        <v>45</v>
      </c>
      <c r="K6" s="58" t="s">
        <v>45</v>
      </c>
      <c r="L6" s="58" t="s">
        <v>46</v>
      </c>
      <c r="M6" s="79" t="s">
        <v>47</v>
      </c>
      <c r="N6" s="61" t="s">
        <v>48</v>
      </c>
      <c r="O6" s="61" t="s">
        <v>49</v>
      </c>
      <c r="P6" s="80" t="s">
        <v>50</v>
      </c>
      <c r="Q6" s="61" t="s">
        <v>51</v>
      </c>
      <c r="R6" s="61" t="s">
        <v>52</v>
      </c>
      <c r="S6" s="61"/>
      <c r="T6" s="61" t="s">
        <v>49</v>
      </c>
      <c r="U6" s="81" t="s">
        <v>53</v>
      </c>
      <c r="V6" s="58" t="s">
        <v>54</v>
      </c>
      <c r="W6" s="58" t="s">
        <v>55</v>
      </c>
      <c r="X6" s="58" t="s">
        <v>21</v>
      </c>
      <c r="Y6" s="58" t="s">
        <v>21</v>
      </c>
      <c r="Z6" s="64" t="s">
        <v>56</v>
      </c>
      <c r="AA6" s="58" t="s">
        <v>56</v>
      </c>
      <c r="AB6" s="64" t="s">
        <v>57</v>
      </c>
      <c r="AC6" s="64" t="s">
        <v>58</v>
      </c>
      <c r="AD6" s="65" t="s">
        <v>59</v>
      </c>
      <c r="AE6" s="58" t="s">
        <v>60</v>
      </c>
      <c r="AF6" s="79" t="s">
        <v>61</v>
      </c>
      <c r="AG6" s="82" t="s">
        <v>62</v>
      </c>
      <c r="AH6" s="58" t="s">
        <v>63</v>
      </c>
      <c r="AI6" s="68" t="s">
        <v>64</v>
      </c>
      <c r="AJ6" s="65"/>
      <c r="AK6" s="58" t="s">
        <v>65</v>
      </c>
      <c r="AL6" s="58" t="s">
        <v>65</v>
      </c>
      <c r="AM6" s="61" t="s">
        <v>65</v>
      </c>
      <c r="AN6" s="69" t="s">
        <v>66</v>
      </c>
      <c r="AO6" s="65" t="s">
        <v>67</v>
      </c>
      <c r="AP6" s="64" t="s">
        <v>68</v>
      </c>
      <c r="AQ6" s="70" t="s">
        <v>68</v>
      </c>
      <c r="AR6" s="65" t="s">
        <v>69</v>
      </c>
      <c r="AS6" s="71" t="s">
        <v>70</v>
      </c>
      <c r="AT6" s="71" t="s">
        <v>71</v>
      </c>
      <c r="AU6" s="72" t="s">
        <v>72</v>
      </c>
      <c r="AV6" s="83"/>
      <c r="AW6" s="74" t="s">
        <v>73</v>
      </c>
      <c r="AX6" s="74" t="s">
        <v>73</v>
      </c>
      <c r="AY6" s="149"/>
      <c r="AZ6" s="305" t="s">
        <v>74</v>
      </c>
      <c r="BA6" s="221" t="s">
        <v>75</v>
      </c>
      <c r="BB6" s="222" t="s">
        <v>76</v>
      </c>
    </row>
    <row r="7" s="193" customFormat="true" ht="12.95" hidden="false" customHeight="true" outlineLevel="0" collapsed="false">
      <c r="A7" s="58"/>
      <c r="B7" s="59"/>
      <c r="C7" s="60"/>
      <c r="D7" s="61"/>
      <c r="E7" s="60"/>
      <c r="F7" s="62"/>
      <c r="G7" s="58"/>
      <c r="H7" s="58"/>
      <c r="I7" s="58"/>
      <c r="J7" s="58"/>
      <c r="K7" s="58"/>
      <c r="L7" s="82"/>
      <c r="M7" s="61"/>
      <c r="N7" s="61" t="s">
        <v>77</v>
      </c>
      <c r="O7" s="61" t="s">
        <v>78</v>
      </c>
      <c r="P7" s="80"/>
      <c r="Q7" s="61" t="s">
        <v>79</v>
      </c>
      <c r="R7" s="61" t="s">
        <v>79</v>
      </c>
      <c r="S7" s="61" t="s">
        <v>62</v>
      </c>
      <c r="T7" s="61" t="s">
        <v>62</v>
      </c>
      <c r="U7" s="81" t="s">
        <v>80</v>
      </c>
      <c r="V7" s="58"/>
      <c r="W7" s="58"/>
      <c r="X7" s="68" t="s">
        <v>81</v>
      </c>
      <c r="Y7" s="60" t="s">
        <v>82</v>
      </c>
      <c r="Z7" s="64" t="s">
        <v>83</v>
      </c>
      <c r="AA7" s="58" t="s">
        <v>84</v>
      </c>
      <c r="AB7" s="64" t="s">
        <v>85</v>
      </c>
      <c r="AC7" s="64"/>
      <c r="AD7" s="65"/>
      <c r="AE7" s="82"/>
      <c r="AF7" s="84" t="n">
        <v>1.7</v>
      </c>
      <c r="AG7" s="84" t="n">
        <v>1.3</v>
      </c>
      <c r="AH7" s="79"/>
      <c r="AI7" s="85" t="n">
        <v>31798</v>
      </c>
      <c r="AJ7" s="65"/>
      <c r="AK7" s="58"/>
      <c r="AL7" s="58"/>
      <c r="AM7" s="61"/>
      <c r="AN7" s="69"/>
      <c r="AO7" s="65"/>
      <c r="AP7" s="64" t="s">
        <v>86</v>
      </c>
      <c r="AQ7" s="70" t="s">
        <v>87</v>
      </c>
      <c r="AR7" s="65" t="s">
        <v>88</v>
      </c>
      <c r="AS7" s="71" t="s">
        <v>89</v>
      </c>
      <c r="AT7" s="71" t="s">
        <v>90</v>
      </c>
      <c r="AU7" s="72" t="s">
        <v>81</v>
      </c>
      <c r="AV7" s="83"/>
      <c r="AW7" s="74"/>
      <c r="AX7" s="74"/>
      <c r="AY7" s="149"/>
      <c r="AZ7" s="305" t="s">
        <v>91</v>
      </c>
      <c r="BA7" s="221"/>
      <c r="BB7" s="222"/>
    </row>
    <row r="8" s="193" customFormat="true" ht="12.95" hidden="false" customHeight="true" outlineLevel="0" collapsed="false">
      <c r="A8" s="58"/>
      <c r="B8" s="59"/>
      <c r="C8" s="60"/>
      <c r="D8" s="61"/>
      <c r="E8" s="60"/>
      <c r="F8" s="62"/>
      <c r="G8" s="58"/>
      <c r="H8" s="58"/>
      <c r="I8" s="58"/>
      <c r="J8" s="58"/>
      <c r="K8" s="58"/>
      <c r="L8" s="82"/>
      <c r="M8" s="61"/>
      <c r="N8" s="61"/>
      <c r="O8" s="61"/>
      <c r="P8" s="80"/>
      <c r="Q8" s="61" t="s">
        <v>62</v>
      </c>
      <c r="R8" s="61" t="s">
        <v>62</v>
      </c>
      <c r="S8" s="61"/>
      <c r="T8" s="61"/>
      <c r="U8" s="81"/>
      <c r="V8" s="58"/>
      <c r="W8" s="58"/>
      <c r="X8" s="68" t="s">
        <v>92</v>
      </c>
      <c r="Y8" s="60" t="s">
        <v>81</v>
      </c>
      <c r="Z8" s="64"/>
      <c r="AA8" s="60" t="s">
        <v>93</v>
      </c>
      <c r="AB8" s="64" t="s">
        <v>94</v>
      </c>
      <c r="AC8" s="64"/>
      <c r="AD8" s="65"/>
      <c r="AE8" s="82"/>
      <c r="AF8" s="84"/>
      <c r="AG8" s="84"/>
      <c r="AH8" s="79"/>
      <c r="AI8" s="85"/>
      <c r="AJ8" s="65"/>
      <c r="AK8" s="58"/>
      <c r="AL8" s="58"/>
      <c r="AM8" s="61"/>
      <c r="AN8" s="69"/>
      <c r="AO8" s="65"/>
      <c r="AP8" s="64"/>
      <c r="AQ8" s="70"/>
      <c r="AR8" s="65"/>
      <c r="AS8" s="71"/>
      <c r="AT8" s="71"/>
      <c r="AU8" s="72"/>
      <c r="AV8" s="83"/>
      <c r="AW8" s="74"/>
      <c r="AX8" s="74"/>
      <c r="AY8" s="149"/>
      <c r="AZ8" s="305"/>
      <c r="BA8" s="221"/>
      <c r="BB8" s="222"/>
    </row>
    <row r="9" s="193" customFormat="true" ht="12.95" hidden="false" customHeight="true" outlineLevel="0" collapsed="false">
      <c r="A9" s="58"/>
      <c r="B9" s="59"/>
      <c r="C9" s="60"/>
      <c r="D9" s="61"/>
      <c r="E9" s="60"/>
      <c r="F9" s="62"/>
      <c r="G9" s="58"/>
      <c r="H9" s="58"/>
      <c r="I9" s="58"/>
      <c r="J9" s="58"/>
      <c r="K9" s="58"/>
      <c r="L9" s="82"/>
      <c r="M9" s="61"/>
      <c r="N9" s="61"/>
      <c r="O9" s="61"/>
      <c r="P9" s="80"/>
      <c r="Q9" s="61"/>
      <c r="R9" s="87" t="n">
        <v>4.2</v>
      </c>
      <c r="S9" s="61"/>
      <c r="T9" s="61"/>
      <c r="U9" s="81"/>
      <c r="V9" s="58"/>
      <c r="W9" s="58"/>
      <c r="X9" s="68"/>
      <c r="Y9" s="60" t="s">
        <v>92</v>
      </c>
      <c r="Z9" s="64"/>
      <c r="AA9" s="60" t="s">
        <v>92</v>
      </c>
      <c r="AB9" s="64" t="s">
        <v>95</v>
      </c>
      <c r="AC9" s="64"/>
      <c r="AD9" s="65"/>
      <c r="AE9" s="82"/>
      <c r="AF9" s="84"/>
      <c r="AG9" s="84"/>
      <c r="AH9" s="79"/>
      <c r="AI9" s="85"/>
      <c r="AJ9" s="65"/>
      <c r="AK9" s="58"/>
      <c r="AL9" s="58"/>
      <c r="AM9" s="61"/>
      <c r="AN9" s="69"/>
      <c r="AO9" s="65"/>
      <c r="AP9" s="64"/>
      <c r="AQ9" s="70"/>
      <c r="AR9" s="65"/>
      <c r="AS9" s="71"/>
      <c r="AT9" s="71"/>
      <c r="AU9" s="72"/>
      <c r="AV9" s="83"/>
      <c r="AW9" s="74"/>
      <c r="AX9" s="74"/>
      <c r="AY9" s="149"/>
      <c r="AZ9" s="305"/>
      <c r="BA9" s="221"/>
      <c r="BB9" s="222" t="s">
        <v>96</v>
      </c>
    </row>
    <row r="10" s="193" customFormat="true" ht="12.95" hidden="false" customHeight="true" outlineLevel="0" collapsed="false">
      <c r="A10" s="58"/>
      <c r="B10" s="59"/>
      <c r="C10" s="60" t="s">
        <v>97</v>
      </c>
      <c r="D10" s="61"/>
      <c r="E10" s="60" t="s">
        <v>98</v>
      </c>
      <c r="F10" s="62"/>
      <c r="G10" s="61" t="s">
        <v>42</v>
      </c>
      <c r="H10" s="61" t="s">
        <v>42</v>
      </c>
      <c r="I10" s="61" t="s">
        <v>42</v>
      </c>
      <c r="J10" s="61" t="s">
        <v>42</v>
      </c>
      <c r="K10" s="61" t="s">
        <v>42</v>
      </c>
      <c r="L10" s="82" t="s">
        <v>42</v>
      </c>
      <c r="M10" s="61" t="s">
        <v>42</v>
      </c>
      <c r="N10" s="61" t="s">
        <v>42</v>
      </c>
      <c r="O10" s="61" t="s">
        <v>42</v>
      </c>
      <c r="P10" s="61" t="s">
        <v>42</v>
      </c>
      <c r="Q10" s="61" t="s">
        <v>42</v>
      </c>
      <c r="R10" s="61" t="s">
        <v>42</v>
      </c>
      <c r="S10" s="61" t="s">
        <v>42</v>
      </c>
      <c r="T10" s="61" t="s">
        <v>42</v>
      </c>
      <c r="U10" s="82" t="s">
        <v>42</v>
      </c>
      <c r="V10" s="61" t="s">
        <v>42</v>
      </c>
      <c r="W10" s="61" t="s">
        <v>42</v>
      </c>
      <c r="X10" s="60" t="n">
        <v>153400</v>
      </c>
      <c r="Y10" s="60" t="n">
        <v>150400</v>
      </c>
      <c r="Z10" s="61" t="s">
        <v>42</v>
      </c>
      <c r="AA10" s="60"/>
      <c r="AB10" s="60" t="n">
        <v>72000</v>
      </c>
      <c r="AC10" s="61" t="s">
        <v>42</v>
      </c>
      <c r="AD10" s="61" t="s">
        <v>42</v>
      </c>
      <c r="AE10" s="82" t="s">
        <v>42</v>
      </c>
      <c r="AF10" s="61" t="s">
        <v>42</v>
      </c>
      <c r="AG10" s="61" t="s">
        <v>42</v>
      </c>
      <c r="AH10" s="79" t="s">
        <v>42</v>
      </c>
      <c r="AI10" s="61" t="s">
        <v>42</v>
      </c>
      <c r="AJ10" s="306" t="s">
        <v>42</v>
      </c>
      <c r="AK10" s="61" t="s">
        <v>42</v>
      </c>
      <c r="AL10" s="61" t="s">
        <v>42</v>
      </c>
      <c r="AM10" s="61" t="s">
        <v>42</v>
      </c>
      <c r="AN10" s="69" t="s">
        <v>42</v>
      </c>
      <c r="AO10" s="65" t="s">
        <v>42</v>
      </c>
      <c r="AP10" s="65" t="s">
        <v>42</v>
      </c>
      <c r="AQ10" s="70" t="s">
        <v>99</v>
      </c>
      <c r="AR10" s="65" t="s">
        <v>42</v>
      </c>
      <c r="AS10" s="65" t="s">
        <v>42</v>
      </c>
      <c r="AT10" s="65" t="s">
        <v>42</v>
      </c>
      <c r="AU10" s="65" t="s">
        <v>42</v>
      </c>
      <c r="AV10" s="83"/>
      <c r="AW10" s="74"/>
      <c r="AX10" s="74"/>
      <c r="AY10" s="149"/>
      <c r="AZ10" s="305" t="s">
        <v>100</v>
      </c>
      <c r="BA10" s="221" t="s">
        <v>42</v>
      </c>
      <c r="BB10" s="222" t="s">
        <v>98</v>
      </c>
    </row>
    <row r="11" s="193" customFormat="true" ht="12.95" hidden="false" customHeight="true" outlineLevel="0" collapsed="false">
      <c r="A11" s="58"/>
      <c r="B11" s="59"/>
      <c r="C11" s="60"/>
      <c r="D11" s="61"/>
      <c r="E11" s="60"/>
      <c r="F11" s="62"/>
      <c r="G11" s="58"/>
      <c r="H11" s="58"/>
      <c r="I11" s="58"/>
      <c r="J11" s="58"/>
      <c r="K11" s="58"/>
      <c r="L11" s="82"/>
      <c r="M11" s="61"/>
      <c r="N11" s="47" t="n">
        <v>1.03</v>
      </c>
      <c r="O11" s="47" t="n">
        <v>1.05</v>
      </c>
      <c r="P11" s="47" t="n">
        <v>1.02</v>
      </c>
      <c r="Q11" s="88" t="n">
        <v>1.02</v>
      </c>
      <c r="R11" s="89" t="n">
        <v>1.04</v>
      </c>
      <c r="S11" s="61"/>
      <c r="T11" s="88" t="n">
        <v>1.04</v>
      </c>
      <c r="U11" s="81"/>
      <c r="V11" s="58"/>
      <c r="W11" s="58"/>
      <c r="X11" s="61" t="s">
        <v>42</v>
      </c>
      <c r="Y11" s="61" t="s">
        <v>42</v>
      </c>
      <c r="Z11" s="61" t="s">
        <v>42</v>
      </c>
      <c r="AA11" s="60" t="s">
        <v>42</v>
      </c>
      <c r="AB11" s="90" t="s">
        <v>101</v>
      </c>
      <c r="AC11" s="64"/>
      <c r="AD11" s="64"/>
      <c r="AE11" s="91"/>
      <c r="AF11" s="84"/>
      <c r="AG11" s="84"/>
      <c r="AH11" s="79"/>
      <c r="AI11" s="85"/>
      <c r="AJ11" s="363"/>
      <c r="AK11" s="58"/>
      <c r="AL11" s="58"/>
      <c r="AM11" s="61"/>
      <c r="AN11" s="69"/>
      <c r="AO11" s="65"/>
      <c r="AP11" s="64"/>
      <c r="AQ11" s="70"/>
      <c r="AR11" s="70"/>
      <c r="AS11" s="93"/>
      <c r="AT11" s="93"/>
      <c r="AU11" s="93"/>
      <c r="AV11" s="83"/>
      <c r="AW11" s="74"/>
      <c r="AX11" s="74"/>
      <c r="AY11" s="149"/>
      <c r="AZ11" s="305" t="s">
        <v>42</v>
      </c>
      <c r="BA11" s="221"/>
      <c r="BB11" s="222"/>
    </row>
    <row r="12" customFormat="false" ht="12.95" hidden="false" customHeight="true" outlineLevel="0" collapsed="false">
      <c r="A12" s="14" t="s">
        <v>102</v>
      </c>
      <c r="B12" s="364"/>
      <c r="C12" s="100"/>
      <c r="D12" s="100"/>
      <c r="E12" s="100"/>
      <c r="F12" s="156"/>
      <c r="G12" s="85"/>
      <c r="H12" s="142"/>
      <c r="I12" s="85"/>
      <c r="J12" s="85"/>
      <c r="K12" s="85"/>
      <c r="L12" s="85"/>
      <c r="M12" s="104"/>
      <c r="N12" s="100"/>
      <c r="O12" s="100" t="n">
        <f aca="false">MAR!O50</f>
        <v>37.32015</v>
      </c>
      <c r="P12" s="89"/>
      <c r="Q12" s="100"/>
      <c r="R12" s="100"/>
      <c r="S12" s="100"/>
      <c r="T12" s="100"/>
      <c r="U12" s="365"/>
      <c r="V12" s="85"/>
      <c r="W12" s="85"/>
      <c r="X12" s="85"/>
      <c r="Y12" s="85"/>
      <c r="Z12" s="157"/>
      <c r="AA12" s="85"/>
      <c r="AB12" s="157"/>
      <c r="AC12" s="157"/>
      <c r="AD12" s="103"/>
      <c r="AE12" s="105"/>
      <c r="AF12" s="100"/>
      <c r="AG12" s="100"/>
      <c r="AH12" s="104"/>
      <c r="AI12" s="85"/>
      <c r="AJ12" s="363"/>
      <c r="AK12" s="85"/>
      <c r="AL12" s="85"/>
      <c r="AM12" s="100"/>
      <c r="AN12" s="366"/>
      <c r="AO12" s="103"/>
      <c r="AP12" s="157"/>
      <c r="AQ12" s="158"/>
      <c r="AR12" s="158"/>
      <c r="AS12" s="107"/>
      <c r="AT12" s="93"/>
      <c r="AU12" s="93"/>
      <c r="AV12" s="108"/>
      <c r="AW12" s="109"/>
      <c r="AX12" s="109"/>
      <c r="AY12" s="149"/>
      <c r="AZ12" s="341"/>
      <c r="BA12" s="310"/>
      <c r="BB12" s="236"/>
    </row>
    <row r="13" s="116" customFormat="true" ht="12.95" hidden="false" customHeight="true" outlineLevel="0" collapsed="false">
      <c r="A13" s="112" t="s">
        <v>103</v>
      </c>
      <c r="B13" s="367" t="n">
        <f aca="false">MAR!B45</f>
        <v>6872.79</v>
      </c>
      <c r="C13" s="100" t="n">
        <f aca="false">MAR!C45</f>
        <v>195375</v>
      </c>
      <c r="D13" s="100" t="n">
        <f aca="false">MAR!D54</f>
        <v>9635</v>
      </c>
      <c r="E13" s="100" t="n">
        <f aca="false">MAR!E54</f>
        <v>43375</v>
      </c>
      <c r="F13" s="156" t="n">
        <f aca="false">MAR!F53</f>
        <v>4857.57499369801</v>
      </c>
      <c r="G13" s="85" t="n">
        <f aca="false">MAR!G53</f>
        <v>15229</v>
      </c>
      <c r="H13" s="85" t="n">
        <f aca="false">MAR!H53</f>
        <v>117.502</v>
      </c>
      <c r="I13" s="85" t="n">
        <f aca="false">MAR!I53</f>
        <v>15345.882</v>
      </c>
      <c r="J13" s="85" t="n">
        <f aca="false">MAR!J53</f>
        <v>2345.08890547013</v>
      </c>
      <c r="K13" s="85" t="n">
        <f aca="false">MAR!K53</f>
        <v>17690.9709054701</v>
      </c>
      <c r="L13" s="85" t="n">
        <f aca="false">MAR!L53</f>
        <v>129.442993698008</v>
      </c>
      <c r="M13" s="104" t="n">
        <f aca="false">MAR!M53</f>
        <v>744.53</v>
      </c>
      <c r="N13" s="100" t="n">
        <f aca="false">MAR!N53</f>
        <v>0</v>
      </c>
      <c r="O13" s="100" t="n">
        <f aca="false">MAR!O53</f>
        <v>37.32015</v>
      </c>
      <c r="P13" s="89"/>
      <c r="Q13" s="100" t="n">
        <f aca="false">MAR!Q53</f>
        <v>221.637724641787</v>
      </c>
      <c r="R13" s="100" t="n">
        <f aca="false">MAR!R53</f>
        <v>242.1611312</v>
      </c>
      <c r="S13" s="100" t="n">
        <f aca="false">MAR!S53</f>
        <v>0.64952416</v>
      </c>
      <c r="T13" s="100" t="n">
        <f aca="false">MAR!T53</f>
        <v>77.37944032</v>
      </c>
      <c r="U13" s="368" t="n">
        <f aca="false">MAR!U53</f>
        <v>-45.366813481233</v>
      </c>
      <c r="V13" s="85" t="n">
        <f aca="false">MAR!V53</f>
        <v>5712.49</v>
      </c>
      <c r="W13" s="85" t="n">
        <f aca="false">MAR!W53</f>
        <v>24.03</v>
      </c>
      <c r="X13" s="85" t="n">
        <f aca="false">MAR!X53</f>
        <v>5915.23229315945</v>
      </c>
      <c r="Y13" s="85" t="n">
        <f aca="false">MAR!Y53</f>
        <v>5719.60895982611</v>
      </c>
      <c r="Z13" s="157" t="n">
        <v>0</v>
      </c>
      <c r="AA13" s="85"/>
      <c r="AB13" s="157" t="n">
        <v>0</v>
      </c>
      <c r="AC13" s="85" t="n">
        <f aca="false">MAR!AC53</f>
        <v>1714.13281966001</v>
      </c>
      <c r="AD13" s="103"/>
      <c r="AE13" s="162" t="n">
        <f aca="false">MAR!AE53</f>
        <v>0</v>
      </c>
      <c r="AF13" s="85" t="n">
        <f aca="false">MAR!AF53</f>
        <v>0</v>
      </c>
      <c r="AG13" s="85" t="n">
        <f aca="false">MAR!AG53</f>
        <v>0</v>
      </c>
      <c r="AH13" s="369" t="n">
        <f aca="false">MAR!AH53</f>
        <v>4136.7</v>
      </c>
      <c r="AI13" s="85" t="n">
        <f aca="false">AI7/D2</f>
        <v>16031.2578774893</v>
      </c>
      <c r="AJ13" s="103" t="n">
        <f aca="false">MAR!AJ53</f>
        <v>0</v>
      </c>
      <c r="AK13" s="85" t="n">
        <f aca="false">MAR!AK53</f>
        <v>10617.75</v>
      </c>
      <c r="AL13" s="85" t="n">
        <f aca="false">MAR!AL53</f>
        <v>2215.64591177212</v>
      </c>
      <c r="AM13" s="100" t="n">
        <f aca="false">MAR!AM53</f>
        <v>12833.3959117721</v>
      </c>
      <c r="AN13" s="366" t="n">
        <f aca="false">MAR!AN53</f>
        <v>5685.01666666667</v>
      </c>
      <c r="AO13" s="103" t="n">
        <f aca="false">MAR!AO53</f>
        <v>195.623333333333</v>
      </c>
      <c r="AP13" s="157"/>
      <c r="AQ13" s="158"/>
      <c r="AR13" s="158"/>
      <c r="AS13" s="85"/>
      <c r="AT13" s="2"/>
      <c r="AU13" s="2"/>
      <c r="AV13" s="108" t="n">
        <f aca="false">MAR!AV53</f>
        <v>5.39</v>
      </c>
      <c r="AW13" s="109"/>
      <c r="AX13" s="109"/>
      <c r="AY13" s="370"/>
      <c r="AZ13" s="241" t="n">
        <f aca="false">MAR!AZ53</f>
        <v>496.461006840555</v>
      </c>
      <c r="BA13" s="235" t="n">
        <f aca="false">MAR!BA53</f>
        <v>13.606</v>
      </c>
      <c r="BB13" s="242"/>
    </row>
    <row r="14" customFormat="false" ht="3" hidden="false" customHeight="true" outlineLevel="0" collapsed="false">
      <c r="A14" s="117"/>
      <c r="B14" s="371"/>
      <c r="C14" s="127"/>
      <c r="D14" s="124"/>
      <c r="E14" s="127"/>
      <c r="F14" s="153"/>
      <c r="G14" s="124"/>
      <c r="H14" s="124"/>
      <c r="I14" s="124"/>
      <c r="J14" s="124"/>
      <c r="K14" s="124"/>
      <c r="L14" s="124"/>
      <c r="M14" s="128"/>
      <c r="N14" s="124"/>
      <c r="O14" s="124"/>
      <c r="P14" s="372"/>
      <c r="Q14" s="124"/>
      <c r="R14" s="124"/>
      <c r="S14" s="124"/>
      <c r="T14" s="124"/>
      <c r="U14" s="373"/>
      <c r="V14" s="124"/>
      <c r="W14" s="124"/>
      <c r="X14" s="124"/>
      <c r="Y14" s="124"/>
      <c r="Z14" s="131"/>
      <c r="AA14" s="124"/>
      <c r="AB14" s="131"/>
      <c r="AC14" s="131"/>
      <c r="AD14" s="126"/>
      <c r="AE14" s="124"/>
      <c r="AF14" s="128"/>
      <c r="AG14" s="129"/>
      <c r="AH14" s="124"/>
      <c r="AI14" s="127"/>
      <c r="AJ14" s="126"/>
      <c r="AK14" s="124"/>
      <c r="AL14" s="124"/>
      <c r="AM14" s="124"/>
      <c r="AN14" s="170"/>
      <c r="AO14" s="126"/>
      <c r="AP14" s="131"/>
      <c r="AQ14" s="372"/>
      <c r="AR14" s="372"/>
      <c r="AS14" s="372"/>
      <c r="AT14" s="372"/>
      <c r="AU14" s="372"/>
      <c r="AV14" s="133"/>
      <c r="AW14" s="131"/>
      <c r="AX14" s="131"/>
      <c r="AY14" s="131"/>
      <c r="AZ14" s="131"/>
      <c r="BA14" s="131"/>
      <c r="BB14" s="131"/>
    </row>
    <row r="15" customFormat="false" ht="12.95" hidden="false" customHeight="true" outlineLevel="0" collapsed="false">
      <c r="A15" s="10" t="n">
        <v>1</v>
      </c>
      <c r="B15" s="374" t="n">
        <v>6873.16</v>
      </c>
      <c r="C15" s="100" t="n">
        <v>196399</v>
      </c>
      <c r="D15" s="109" t="n">
        <f aca="false">C15-C13</f>
        <v>1024</v>
      </c>
      <c r="E15" s="100" t="n">
        <f aca="false">C15-152000</f>
        <v>44399</v>
      </c>
      <c r="F15" s="151" t="n">
        <f aca="false">D15/$D$2</f>
        <v>516.259137887572</v>
      </c>
      <c r="G15" s="142" t="n">
        <v>531</v>
      </c>
      <c r="H15" s="142" t="n">
        <v>3.22</v>
      </c>
      <c r="I15" s="142" t="n">
        <f aca="false">G15+H15</f>
        <v>534.22</v>
      </c>
      <c r="J15" s="375" t="n">
        <f aca="false">IF(L15&gt;0,L15,0)</f>
        <v>59.5891378875725</v>
      </c>
      <c r="K15" s="142" t="n">
        <f aca="false">I15+J15</f>
        <v>593.809137887572</v>
      </c>
      <c r="L15" s="142" t="n">
        <f aca="false">F15-(I15-AK15)</f>
        <v>59.5891378875725</v>
      </c>
      <c r="M15" s="145" t="n">
        <v>38.4</v>
      </c>
      <c r="N15" s="171" t="n">
        <v>0</v>
      </c>
      <c r="O15" s="376" t="n">
        <f aca="false">0.248*1.05</f>
        <v>0.2604</v>
      </c>
      <c r="P15" s="89" t="n">
        <v>0</v>
      </c>
      <c r="Q15" s="346" t="n">
        <f aca="false">989100/325851/1.9835*1.02</f>
        <v>1.56095042634004</v>
      </c>
      <c r="R15" s="139" t="n">
        <f aca="false">(2.5*1.04)-T15</f>
        <v>1.9876168</v>
      </c>
      <c r="S15" s="139" t="n">
        <v>0</v>
      </c>
      <c r="T15" s="139" t="n">
        <f aca="false">(0.5555*1.06)*1.04</f>
        <v>0.6123832</v>
      </c>
      <c r="U15" s="365" t="n">
        <v>0</v>
      </c>
      <c r="V15" s="142" t="n">
        <v>0</v>
      </c>
      <c r="W15" s="142" t="n">
        <v>12.3</v>
      </c>
      <c r="X15" s="143" t="n">
        <f aca="false">M15-N15-O15-P15-Q15-R15-S15-T15-U15+V15+W15-AT15</f>
        <v>46.27864957366</v>
      </c>
      <c r="Y15" s="143" t="n">
        <f aca="false">X15-AO15</f>
        <v>-33.33135042634</v>
      </c>
      <c r="Z15" s="114" t="n">
        <f aca="false">AP15</f>
        <v>482.6927832</v>
      </c>
      <c r="AA15" s="143"/>
      <c r="AB15" s="114" t="n">
        <f aca="false">AB13+(Y15+AP15)*1.9835</f>
        <v>891.308401906555</v>
      </c>
      <c r="AC15" s="85" t="n">
        <f aca="false">AC13</f>
        <v>1714.13281966001</v>
      </c>
      <c r="AD15" s="103"/>
      <c r="AE15" s="142" t="n">
        <v>1.65</v>
      </c>
      <c r="AF15" s="145" t="n">
        <v>1.7</v>
      </c>
      <c r="AG15" s="146" t="n">
        <v>1.3</v>
      </c>
      <c r="AH15" s="142" t="n">
        <v>25.2</v>
      </c>
      <c r="AI15" s="85" t="n">
        <f aca="false">AI13-AH15</f>
        <v>16006.0578774893</v>
      </c>
      <c r="AJ15" s="377"/>
      <c r="AK15" s="142" t="n">
        <f aca="false">N15+O15+P15+Q15+R15+S15+T15+U15+X15+AE15+AH15</f>
        <v>77.55</v>
      </c>
      <c r="AL15" s="142" t="n">
        <f aca="false">IF(L15&lt;0,L15*-1,0)</f>
        <v>0</v>
      </c>
      <c r="AM15" s="376" t="n">
        <f aca="false">AK15+AL15</f>
        <v>77.55</v>
      </c>
      <c r="AN15" s="223"/>
      <c r="AO15" s="103" t="n">
        <f aca="false">V15+W15-AN15+14.37+20+20+12.94</f>
        <v>79.61</v>
      </c>
      <c r="AP15" s="157" t="n">
        <f aca="false">I15-Q15-R15-X15-AF15</f>
        <v>482.6927832</v>
      </c>
      <c r="AQ15" s="158" t="n">
        <f aca="false">47.973*(Z15*1.9835+AC15*1.9835)/E15</f>
        <v>4.70816284376557</v>
      </c>
      <c r="AR15" s="158"/>
      <c r="AS15" s="107"/>
      <c r="AT15" s="11" t="n">
        <v>0</v>
      </c>
      <c r="AU15" s="1"/>
      <c r="AV15" s="108" t="n">
        <v>0</v>
      </c>
      <c r="AW15" s="109" t="n">
        <v>69</v>
      </c>
      <c r="AX15" s="109" t="n">
        <v>36</v>
      </c>
      <c r="AY15" s="149"/>
      <c r="AZ15" s="263" t="n">
        <f aca="false">SUM(N15,P15:U15)</f>
        <v>4.16095042634005</v>
      </c>
      <c r="BA15" s="0" t="n">
        <v>0.137</v>
      </c>
      <c r="BB15" s="149" t="n">
        <v>17865</v>
      </c>
    </row>
    <row r="16" customFormat="false" ht="12.95" hidden="false" customHeight="true" outlineLevel="0" collapsed="false">
      <c r="A16" s="10" t="n">
        <f aca="false">A15+1</f>
        <v>2</v>
      </c>
      <c r="B16" s="367" t="n">
        <v>6873.46</v>
      </c>
      <c r="C16" s="100" t="n">
        <v>197235</v>
      </c>
      <c r="D16" s="109" t="n">
        <f aca="false">C16-C15</f>
        <v>836</v>
      </c>
      <c r="E16" s="100" t="n">
        <f aca="false">C16-152000</f>
        <v>45235</v>
      </c>
      <c r="F16" s="151" t="n">
        <f aca="false">D16/$D$2</f>
        <v>421.477186791026</v>
      </c>
      <c r="G16" s="142" t="n">
        <v>509</v>
      </c>
      <c r="H16" s="142" t="n">
        <v>2.82</v>
      </c>
      <c r="I16" s="142" t="n">
        <f aca="false">G16+H16</f>
        <v>511.82</v>
      </c>
      <c r="J16" s="375" t="n">
        <f aca="false">IF(L16&gt;0,L16,0)</f>
        <v>0</v>
      </c>
      <c r="K16" s="142" t="n">
        <f aca="false">I16+J16</f>
        <v>511.82</v>
      </c>
      <c r="L16" s="142" t="n">
        <f aca="false">F16-(I16-AK16)</f>
        <v>-25.5128132089741</v>
      </c>
      <c r="M16" s="145" t="n">
        <v>34.9</v>
      </c>
      <c r="N16" s="171" t="n">
        <v>0</v>
      </c>
      <c r="O16" s="376" t="n">
        <f aca="false">0.047*1.05</f>
        <v>0.04935</v>
      </c>
      <c r="P16" s="89" t="n">
        <v>0</v>
      </c>
      <c r="Q16" s="346" t="n">
        <f aca="false">1030800/325851/1.9835*1.02</f>
        <v>1.6267593766771</v>
      </c>
      <c r="R16" s="139" t="n">
        <f aca="false">(2.6*1.04)-T16</f>
        <v>2.0916168</v>
      </c>
      <c r="S16" s="139" t="n">
        <v>0</v>
      </c>
      <c r="T16" s="139" t="n">
        <f aca="false">(0.5555*1.06)*1.04</f>
        <v>0.6123832</v>
      </c>
      <c r="U16" s="365" t="n">
        <v>0</v>
      </c>
      <c r="V16" s="142" t="n">
        <v>0</v>
      </c>
      <c r="W16" s="142" t="n">
        <v>5.03</v>
      </c>
      <c r="X16" s="143" t="n">
        <f aca="false">M16-N16-O16-P16-Q16-R16-S16-T16-U16+V16+W16-AT16</f>
        <v>35.5498906233229</v>
      </c>
      <c r="Y16" s="143" t="n">
        <f aca="false">X16-AO16</f>
        <v>-31.7901093766771</v>
      </c>
      <c r="Z16" s="114" t="n">
        <f aca="false">Z15+AP16</f>
        <v>953.5445164</v>
      </c>
      <c r="AA16" s="143"/>
      <c r="AB16" s="114" t="n">
        <f aca="false">AB15+(Y16+AP16)*1.9835</f>
        <v>1762.18713276012</v>
      </c>
      <c r="AC16" s="114" t="n">
        <f aca="false">AC15-(AQ15/1.9835)</f>
        <v>1711.75915550888</v>
      </c>
      <c r="AD16" s="103"/>
      <c r="AE16" s="142" t="n">
        <v>0</v>
      </c>
      <c r="AF16" s="145" t="n">
        <v>1.7</v>
      </c>
      <c r="AG16" s="146" t="n">
        <v>1.3</v>
      </c>
      <c r="AH16" s="142" t="n">
        <v>24.9</v>
      </c>
      <c r="AI16" s="85" t="n">
        <f aca="false">AI15-AH16</f>
        <v>15981.1578774893</v>
      </c>
      <c r="AJ16" s="103"/>
      <c r="AK16" s="142" t="n">
        <f aca="false">N16+O16+P16+Q16+R16+S16+T16+U16+X16+AE16+AH16</f>
        <v>64.83</v>
      </c>
      <c r="AL16" s="142" t="n">
        <f aca="false">IF(L16&lt;0,L16*-1,0)</f>
        <v>25.5128132089741</v>
      </c>
      <c r="AM16" s="376" t="n">
        <f aca="false">AK16+AL16</f>
        <v>90.3428132089741</v>
      </c>
      <c r="AN16" s="223"/>
      <c r="AO16" s="103" t="n">
        <f aca="false">V16+W16-AN16+14.37+20+15+12.94</f>
        <v>67.34</v>
      </c>
      <c r="AP16" s="157" t="n">
        <f aca="false">I16-Q16-R16-X16-AF16</f>
        <v>470.8517332</v>
      </c>
      <c r="AQ16" s="158" t="n">
        <f aca="false">0*(Z16*1.9835+AC16*1.9835)/E16</f>
        <v>0</v>
      </c>
      <c r="AR16" s="158"/>
      <c r="AS16" s="107"/>
      <c r="AT16" s="11" t="n">
        <v>0</v>
      </c>
      <c r="AU16" s="1"/>
      <c r="AV16" s="108" t="n">
        <v>0</v>
      </c>
      <c r="AW16" s="109" t="n">
        <v>64</v>
      </c>
      <c r="AX16" s="109" t="n">
        <v>31</v>
      </c>
      <c r="AY16" s="149"/>
      <c r="AZ16" s="263" t="n">
        <f aca="false">SUM(N16,P16:U16)</f>
        <v>4.3307593766771</v>
      </c>
      <c r="BA16" s="0" t="n">
        <v>0.056</v>
      </c>
      <c r="BB16" s="149" t="n">
        <v>17990</v>
      </c>
    </row>
    <row r="17" customFormat="false" ht="12.95" hidden="false" customHeight="true" outlineLevel="0" collapsed="false">
      <c r="A17" s="10" t="n">
        <f aca="false">A16+1</f>
        <v>3</v>
      </c>
      <c r="B17" s="367" t="n">
        <v>6873.8</v>
      </c>
      <c r="C17" s="100" t="n">
        <v>198182</v>
      </c>
      <c r="D17" s="109" t="n">
        <f aca="false">C17-C16</f>
        <v>947</v>
      </c>
      <c r="E17" s="100" t="n">
        <f aca="false">C17-152000</f>
        <v>46182</v>
      </c>
      <c r="F17" s="151" t="n">
        <f aca="false">D17/$D$2</f>
        <v>477.438870683136</v>
      </c>
      <c r="G17" s="142" t="n">
        <v>449</v>
      </c>
      <c r="H17" s="142" t="n">
        <v>2.54</v>
      </c>
      <c r="I17" s="142" t="n">
        <f aca="false">G17+H17</f>
        <v>451.54</v>
      </c>
      <c r="J17" s="375" t="n">
        <f aca="false">IF(L17&gt;0,L17,0)</f>
        <v>60.9988706831359</v>
      </c>
      <c r="K17" s="142" t="n">
        <f aca="false">I17+J17</f>
        <v>512.538870683136</v>
      </c>
      <c r="L17" s="142" t="n">
        <f aca="false">F17-(I17-AK17)</f>
        <v>60.9988706831359</v>
      </c>
      <c r="M17" s="145" t="n">
        <v>10.1</v>
      </c>
      <c r="N17" s="171" t="n">
        <v>0</v>
      </c>
      <c r="O17" s="376" t="n">
        <f aca="false">1.51*1.05</f>
        <v>1.5855</v>
      </c>
      <c r="P17" s="89" t="n">
        <v>0</v>
      </c>
      <c r="Q17" s="346" t="n">
        <f aca="false">999800/325851/1.9835*1.02</f>
        <v>1.57783665580303</v>
      </c>
      <c r="R17" s="139" t="n">
        <f aca="false">(2.8*1.04)-T17</f>
        <v>2.24196128</v>
      </c>
      <c r="S17" s="139" t="n">
        <v>0</v>
      </c>
      <c r="T17" s="139" t="n">
        <f aca="false">(0.6078*1.06)*1.04</f>
        <v>0.67003872</v>
      </c>
      <c r="U17" s="365" t="n">
        <v>0</v>
      </c>
      <c r="V17" s="142" t="n">
        <v>0</v>
      </c>
      <c r="W17" s="142" t="n">
        <v>0</v>
      </c>
      <c r="X17" s="143" t="n">
        <f aca="false">M17-N17-O17-P17-Q17-R17-S17-T17-U17+V17+W17-AT17</f>
        <v>4.02466334419697</v>
      </c>
      <c r="Y17" s="143" t="n">
        <f aca="false">X17-AO17</f>
        <v>-28.285336655803</v>
      </c>
      <c r="Z17" s="114" t="n">
        <f aca="false">Z16+AP17</f>
        <v>1395.54005512</v>
      </c>
      <c r="AA17" s="143"/>
      <c r="AB17" s="114" t="n">
        <f aca="false">AB16+(Y17+AP17)*1.9835</f>
        <v>2582.78131855445</v>
      </c>
      <c r="AC17" s="114" t="n">
        <f aca="false">AC16-(AQ16/1.9835)</f>
        <v>1711.75915550888</v>
      </c>
      <c r="AD17" s="103"/>
      <c r="AE17" s="142" t="n">
        <v>0</v>
      </c>
      <c r="AF17" s="145" t="n">
        <v>1.7</v>
      </c>
      <c r="AG17" s="146" t="n">
        <v>1.3</v>
      </c>
      <c r="AH17" s="142" t="n">
        <v>25</v>
      </c>
      <c r="AI17" s="85" t="n">
        <f aca="false">AI16-AH17</f>
        <v>15956.1578774893</v>
      </c>
      <c r="AJ17" s="103"/>
      <c r="AK17" s="142" t="n">
        <f aca="false">N17+O17+P17+Q17+R17+S17+T17+U17+X17+AE17+AH17</f>
        <v>35.1</v>
      </c>
      <c r="AL17" s="142" t="n">
        <f aca="false">IF(L17&lt;0,L17*-1,0)</f>
        <v>0</v>
      </c>
      <c r="AM17" s="376" t="n">
        <f aca="false">AK17+AL17</f>
        <v>35.1</v>
      </c>
      <c r="AN17" s="223"/>
      <c r="AO17" s="103" t="n">
        <f aca="false">V17+W17-AN17+14.37+5+12.94</f>
        <v>32.31</v>
      </c>
      <c r="AP17" s="157" t="n">
        <f aca="false">I17-Q17-R17-X17-AF17</f>
        <v>441.99553872</v>
      </c>
      <c r="AQ17" s="158" t="n">
        <f aca="false">0*(Z17*1.9835+AC17*1.9835)/E17</f>
        <v>0</v>
      </c>
      <c r="AR17" s="158"/>
      <c r="AS17" s="107"/>
      <c r="AT17" s="11" t="n">
        <v>0</v>
      </c>
      <c r="AU17" s="1"/>
      <c r="AV17" s="108" t="n">
        <v>0</v>
      </c>
      <c r="AW17" s="109" t="n">
        <v>57</v>
      </c>
      <c r="AX17" s="109" t="n">
        <v>25</v>
      </c>
      <c r="AY17" s="149"/>
      <c r="AZ17" s="263" t="n">
        <f aca="false">SUM(N17,P17:U17)</f>
        <v>4.48983665580303</v>
      </c>
      <c r="BA17" s="0" t="n">
        <v>0.057</v>
      </c>
      <c r="BB17" s="149" t="n">
        <v>18104</v>
      </c>
    </row>
    <row r="18" customFormat="false" ht="12.95" hidden="false" customHeight="true" outlineLevel="0" collapsed="false">
      <c r="A18" s="10" t="n">
        <f aca="false">A17+1</f>
        <v>4</v>
      </c>
      <c r="B18" s="113" t="n">
        <v>6874.06</v>
      </c>
      <c r="C18" s="114" t="n">
        <v>198909</v>
      </c>
      <c r="D18" s="109" t="n">
        <f aca="false">C18-C17</f>
        <v>727</v>
      </c>
      <c r="E18" s="100" t="n">
        <f aca="false">C18-152000</f>
        <v>46909</v>
      </c>
      <c r="F18" s="151" t="n">
        <f aca="false">D18/$D$2</f>
        <v>366.523821527603</v>
      </c>
      <c r="G18" s="142" t="n">
        <v>415</v>
      </c>
      <c r="H18" s="142" t="n">
        <v>2.21</v>
      </c>
      <c r="I18" s="142" t="n">
        <f aca="false">G18+H18</f>
        <v>417.21</v>
      </c>
      <c r="J18" s="375" t="n">
        <f aca="false">IF(L18&gt;0,L18,0)</f>
        <v>0</v>
      </c>
      <c r="K18" s="142" t="n">
        <f aca="false">I18+J18</f>
        <v>417.21</v>
      </c>
      <c r="L18" s="142" t="n">
        <f aca="false">F18-(I18-AK18)</f>
        <v>-18.0961784723973</v>
      </c>
      <c r="M18" s="145" t="n">
        <v>7.39</v>
      </c>
      <c r="N18" s="171" t="n">
        <v>0</v>
      </c>
      <c r="O18" s="376" t="n">
        <f aca="false">1.09*1.05</f>
        <v>1.1445</v>
      </c>
      <c r="P18" s="89" t="n">
        <v>0</v>
      </c>
      <c r="Q18" s="346" t="n">
        <f aca="false">1094200/325851/1.9835*1.02</f>
        <v>1.726814231626</v>
      </c>
      <c r="R18" s="139" t="n">
        <f aca="false">(3.1*1.04)-T18</f>
        <v>2.55396128</v>
      </c>
      <c r="S18" s="139" t="n">
        <v>0</v>
      </c>
      <c r="T18" s="139" t="n">
        <f aca="false">(0.6078*1.06)*1.04</f>
        <v>0.67003872</v>
      </c>
      <c r="U18" s="365" t="n">
        <v>0</v>
      </c>
      <c r="V18" s="142" t="n">
        <v>0</v>
      </c>
      <c r="W18" s="142" t="n">
        <v>0</v>
      </c>
      <c r="X18" s="143" t="n">
        <f aca="false">M18-N18-O18-P18-Q18-R18-S18-T18-U18+V18+W18-AT18</f>
        <v>1.294685768374</v>
      </c>
      <c r="Y18" s="143" t="n">
        <f aca="false">X18-AO18</f>
        <v>1.294685768374</v>
      </c>
      <c r="Z18" s="114" t="n">
        <f aca="false">Z17+AP18</f>
        <v>1805.47459384</v>
      </c>
      <c r="AA18" s="143"/>
      <c r="AB18" s="114" t="n">
        <f aca="false">AB17+(Y18+AP18)*1.9835</f>
        <v>3398.45448532714</v>
      </c>
      <c r="AC18" s="114" t="n">
        <f aca="false">AC17-(AQ17/1.9835)</f>
        <v>1711.75915550888</v>
      </c>
      <c r="AD18" s="103"/>
      <c r="AE18" s="142" t="n">
        <v>0</v>
      </c>
      <c r="AF18" s="145" t="n">
        <v>1.7</v>
      </c>
      <c r="AG18" s="146" t="n">
        <v>1.3</v>
      </c>
      <c r="AH18" s="142" t="n">
        <v>25.2</v>
      </c>
      <c r="AI18" s="85" t="n">
        <f aca="false">AI17-AH18</f>
        <v>15930.9578774893</v>
      </c>
      <c r="AJ18" s="103"/>
      <c r="AK18" s="142" t="n">
        <f aca="false">N18+O18+P18+Q18+R18+S18+T18+U18+X18+AE18+AH18</f>
        <v>32.59</v>
      </c>
      <c r="AL18" s="142" t="n">
        <f aca="false">IF(L18&lt;0,L18*-1,0)</f>
        <v>18.0961784723973</v>
      </c>
      <c r="AM18" s="376" t="n">
        <f aca="false">AK18+AL18</f>
        <v>50.6861784723973</v>
      </c>
      <c r="AN18" s="223"/>
      <c r="AO18" s="103"/>
      <c r="AP18" s="157" t="n">
        <f aca="false">I18-Q18-R18-X18-AF18</f>
        <v>409.93453872</v>
      </c>
      <c r="AQ18" s="158" t="n">
        <f aca="false">14.557*(Z18*1.9835+AC18*1.9835)/E18</f>
        <v>2.16495634623783</v>
      </c>
      <c r="AR18" s="158"/>
      <c r="AS18" s="107"/>
      <c r="AT18" s="11" t="n">
        <v>0</v>
      </c>
      <c r="AU18" s="1"/>
      <c r="AV18" s="108" t="n">
        <v>0</v>
      </c>
      <c r="AW18" s="109" t="n">
        <v>66</v>
      </c>
      <c r="AX18" s="109" t="n">
        <v>25</v>
      </c>
      <c r="AY18" s="149"/>
      <c r="AZ18" s="263" t="n">
        <f aca="false">SUM(N18,P18:U18)</f>
        <v>4.950814231626</v>
      </c>
      <c r="BA18" s="0" t="n">
        <v>0.13</v>
      </c>
      <c r="BB18" s="149" t="n">
        <v>18198</v>
      </c>
    </row>
    <row r="19" customFormat="false" ht="12.95" hidden="false" customHeight="true" outlineLevel="0" collapsed="false">
      <c r="A19" s="10" t="n">
        <f aca="false">A18+1</f>
        <v>5</v>
      </c>
      <c r="B19" s="113" t="n">
        <v>6874.33</v>
      </c>
      <c r="C19" s="114" t="n">
        <v>199670</v>
      </c>
      <c r="D19" s="109" t="n">
        <f aca="false">C19-C18</f>
        <v>761</v>
      </c>
      <c r="E19" s="100" t="n">
        <f aca="false">C19-152000</f>
        <v>47670</v>
      </c>
      <c r="F19" s="151" t="n">
        <f aca="false">D19/$D$2</f>
        <v>383.665238215276</v>
      </c>
      <c r="G19" s="142" t="n">
        <v>403</v>
      </c>
      <c r="H19" s="142" t="n">
        <v>2.09</v>
      </c>
      <c r="I19" s="142" t="n">
        <f aca="false">G19+H19</f>
        <v>405.09</v>
      </c>
      <c r="J19" s="375" t="n">
        <f aca="false">IF(L19&gt;0,L19,0)</f>
        <v>10.455238215276</v>
      </c>
      <c r="K19" s="142" t="n">
        <f aca="false">I19+J19</f>
        <v>415.545238215276</v>
      </c>
      <c r="L19" s="142" t="n">
        <f aca="false">F19-(I19-AK19)</f>
        <v>10.455238215276</v>
      </c>
      <c r="M19" s="145" t="n">
        <v>6.48</v>
      </c>
      <c r="N19" s="171" t="n">
        <v>0</v>
      </c>
      <c r="O19" s="376" t="n">
        <f aca="false">0.256*1.05</f>
        <v>0.2688</v>
      </c>
      <c r="P19" s="89" t="n">
        <v>0</v>
      </c>
      <c r="Q19" s="346" t="n">
        <f aca="false">1220100/325851/1.9835*1.02</f>
        <v>1.92550360446617</v>
      </c>
      <c r="R19" s="139" t="n">
        <f aca="false">(2.7*1.04)-T19</f>
        <v>2.13796128</v>
      </c>
      <c r="S19" s="139" t="n">
        <v>0</v>
      </c>
      <c r="T19" s="139" t="n">
        <f aca="false">(0.6078*1.06)*1.04</f>
        <v>0.67003872</v>
      </c>
      <c r="U19" s="365" t="n">
        <v>0</v>
      </c>
      <c r="V19" s="142" t="n">
        <v>0</v>
      </c>
      <c r="W19" s="142" t="n">
        <v>0</v>
      </c>
      <c r="X19" s="143" t="n">
        <f aca="false">M19-N19-O19-P19-Q19-R19-S19-T19-U19+V19+W19-AT19</f>
        <v>1.47769639553383</v>
      </c>
      <c r="Y19" s="143" t="n">
        <f aca="false">X19-AO19</f>
        <v>1.47769639553383</v>
      </c>
      <c r="Z19" s="114" t="n">
        <f aca="false">Z18+AP19</f>
        <v>2203.32343256</v>
      </c>
      <c r="AA19" s="143"/>
      <c r="AB19" s="114" t="n">
        <f aca="false">AB18+(Y19+AP19)*1.9835</f>
        <v>4190.5186677288</v>
      </c>
      <c r="AC19" s="114" t="n">
        <f aca="false">AC18-(AQ18/1.9835)</f>
        <v>1710.66767260178</v>
      </c>
      <c r="AD19" s="103"/>
      <c r="AE19" s="142" t="n">
        <v>0</v>
      </c>
      <c r="AF19" s="145" t="n">
        <v>1.7</v>
      </c>
      <c r="AG19" s="146" t="n">
        <v>1.3</v>
      </c>
      <c r="AH19" s="142" t="n">
        <v>25.4</v>
      </c>
      <c r="AI19" s="85" t="n">
        <f aca="false">AI18-AH19</f>
        <v>15905.5578774893</v>
      </c>
      <c r="AJ19" s="103"/>
      <c r="AK19" s="142" t="n">
        <f aca="false">N19+O19+P19+Q19+R19+S19+T19+U19+X19+AE19+AH19</f>
        <v>31.88</v>
      </c>
      <c r="AL19" s="142" t="n">
        <f aca="false">IF(L19&lt;0,L19*-1,0)</f>
        <v>0</v>
      </c>
      <c r="AM19" s="376" t="n">
        <f aca="false">AK19+AL19</f>
        <v>31.88</v>
      </c>
      <c r="AN19" s="223"/>
      <c r="AO19" s="103"/>
      <c r="AP19" s="157" t="n">
        <f aca="false">I19-Q19-R19-X19-AF19</f>
        <v>397.84883872</v>
      </c>
      <c r="AQ19" s="158" t="n">
        <f aca="false">22.082*(Z19*1.9835+AC19*1.9835)/E19</f>
        <v>3.59621205721053</v>
      </c>
      <c r="AR19" s="158"/>
      <c r="AS19" s="107"/>
      <c r="AT19" s="11" t="n">
        <v>0</v>
      </c>
      <c r="AU19" s="1"/>
      <c r="AV19" s="108" t="n">
        <v>0</v>
      </c>
      <c r="AW19" s="109" t="n">
        <v>68</v>
      </c>
      <c r="AX19" s="109" t="n">
        <v>33</v>
      </c>
      <c r="AY19" s="149"/>
      <c r="AZ19" s="263" t="n">
        <f aca="false">SUM(N19,P19:U19)</f>
        <v>4.73350360446617</v>
      </c>
      <c r="BA19" s="0" t="n">
        <v>0.081</v>
      </c>
      <c r="BB19" s="149" t="n">
        <v>18284</v>
      </c>
    </row>
    <row r="20" customFormat="false" ht="12.95" hidden="false" customHeight="true" outlineLevel="0" collapsed="false">
      <c r="A20" s="10" t="n">
        <f aca="false">A19+1</f>
        <v>6</v>
      </c>
      <c r="B20" s="113" t="n">
        <v>6874.59</v>
      </c>
      <c r="C20" s="114" t="n">
        <v>200404</v>
      </c>
      <c r="D20" s="109" t="n">
        <f aca="false">C20-C19</f>
        <v>734</v>
      </c>
      <c r="E20" s="100" t="n">
        <f aca="false">C20-152000</f>
        <v>48404</v>
      </c>
      <c r="F20" s="151" t="n">
        <f aca="false">D20/$D$2</f>
        <v>370.052936728006</v>
      </c>
      <c r="G20" s="142" t="n">
        <v>404</v>
      </c>
      <c r="H20" s="142" t="n">
        <v>1.89</v>
      </c>
      <c r="I20" s="142" t="n">
        <f aca="false">G20+H20</f>
        <v>405.89</v>
      </c>
      <c r="J20" s="375" t="n">
        <f aca="false">IF(L20&gt;0,L20,0)</f>
        <v>0</v>
      </c>
      <c r="K20" s="142" t="n">
        <f aca="false">I20+J20</f>
        <v>405.89</v>
      </c>
      <c r="L20" s="142" t="n">
        <f aca="false">F20-(I20-AK20)</f>
        <v>-3.19706327199395</v>
      </c>
      <c r="M20" s="145" t="n">
        <v>7.24</v>
      </c>
      <c r="N20" s="171" t="n">
        <v>0</v>
      </c>
      <c r="O20" s="376" t="n">
        <f aca="false">0.143*1.05</f>
        <v>0.15015</v>
      </c>
      <c r="P20" s="89" t="n">
        <v>0</v>
      </c>
      <c r="Q20" s="346" t="n">
        <f aca="false">1113100/325851/1.9835*1.02</f>
        <v>1.75664130983632</v>
      </c>
      <c r="R20" s="139" t="n">
        <f aca="false">(2.9*1.04)-T20</f>
        <v>2.34596128</v>
      </c>
      <c r="S20" s="139" t="n">
        <v>0</v>
      </c>
      <c r="T20" s="139" t="n">
        <f aca="false">(0.6078*1.06)*1.04</f>
        <v>0.67003872</v>
      </c>
      <c r="U20" s="365" t="n">
        <v>0</v>
      </c>
      <c r="V20" s="142" t="n">
        <v>0</v>
      </c>
      <c r="W20" s="142" t="n">
        <v>0</v>
      </c>
      <c r="X20" s="143" t="n">
        <f aca="false">M20-N20-O20-P20-Q20-R20-S20-T20-U20+V20+W20-AT20</f>
        <v>2.31720869016368</v>
      </c>
      <c r="Y20" s="143" t="n">
        <f aca="false">X20-AO20</f>
        <v>2.31720869016368</v>
      </c>
      <c r="Z20" s="114" t="n">
        <f aca="false">Z19+AP20</f>
        <v>2601.09362128</v>
      </c>
      <c r="AA20" s="143"/>
      <c r="AB20" s="114" t="n">
        <f aca="false">AB19+(Y20+AP20)*1.9835</f>
        <v>4984.09202049186</v>
      </c>
      <c r="AC20" s="114" t="n">
        <f aca="false">AC19-(AQ19/1.9835)</f>
        <v>1708.85460879678</v>
      </c>
      <c r="AD20" s="103"/>
      <c r="AE20" s="142" t="n">
        <v>0</v>
      </c>
      <c r="AF20" s="145" t="n">
        <v>1.7</v>
      </c>
      <c r="AG20" s="146" t="n">
        <v>1.3</v>
      </c>
      <c r="AH20" s="142" t="n">
        <v>25.4</v>
      </c>
      <c r="AI20" s="85" t="n">
        <f aca="false">AI19-AH20</f>
        <v>15880.1578774893</v>
      </c>
      <c r="AJ20" s="103"/>
      <c r="AK20" s="142" t="n">
        <f aca="false">N20+O20+P20+Q20+R20+S20+T20+U20+X20+AE20+AH20</f>
        <v>32.64</v>
      </c>
      <c r="AL20" s="142" t="n">
        <f aca="false">IF(L20&lt;0,L20*-1,0)</f>
        <v>3.19706327199395</v>
      </c>
      <c r="AM20" s="376" t="n">
        <f aca="false">AK20+AL20</f>
        <v>35.837063271994</v>
      </c>
      <c r="AN20" s="223"/>
      <c r="AO20" s="103"/>
      <c r="AP20" s="157" t="n">
        <f aca="false">I20-Q20-R20-X20-AF20</f>
        <v>397.77018872</v>
      </c>
      <c r="AQ20" s="158" t="n">
        <f aca="false">27.15*(Z20*1.9835+AC20*1.9835)/E20</f>
        <v>4.79504668694324</v>
      </c>
      <c r="AR20" s="158"/>
      <c r="AS20" s="107"/>
      <c r="AT20" s="11" t="n">
        <v>0</v>
      </c>
      <c r="AU20" s="1"/>
      <c r="AV20" s="108" t="n">
        <v>0</v>
      </c>
      <c r="AW20" s="109" t="n">
        <v>67</v>
      </c>
      <c r="AX20" s="109" t="n">
        <v>32</v>
      </c>
      <c r="AY20" s="149"/>
      <c r="AZ20" s="263" t="n">
        <f aca="false">SUM(N20,P20:U20)</f>
        <v>4.77264130983632</v>
      </c>
      <c r="BA20" s="0" t="n">
        <v>0</v>
      </c>
      <c r="BB20" s="149" t="n">
        <v>18364</v>
      </c>
    </row>
    <row r="21" customFormat="false" ht="12.95" hidden="false" customHeight="true" outlineLevel="0" collapsed="false">
      <c r="A21" s="10" t="n">
        <f aca="false">A20+1</f>
        <v>7</v>
      </c>
      <c r="B21" s="113" t="n">
        <v>6874.82</v>
      </c>
      <c r="C21" s="114" t="n">
        <v>201053</v>
      </c>
      <c r="D21" s="109" t="n">
        <f aca="false">C21-C20</f>
        <v>649</v>
      </c>
      <c r="E21" s="100" t="n">
        <f aca="false">C21-152000</f>
        <v>49053</v>
      </c>
      <c r="F21" s="151" t="n">
        <f aca="false">D21/$D$2</f>
        <v>327.199395008823</v>
      </c>
      <c r="G21" s="142" t="n">
        <v>410</v>
      </c>
      <c r="H21" s="142" t="n">
        <v>1.72</v>
      </c>
      <c r="I21" s="142" t="n">
        <f aca="false">G21+H21</f>
        <v>411.72</v>
      </c>
      <c r="J21" s="375" t="n">
        <f aca="false">IF(L21&gt;0,L21,0)</f>
        <v>0</v>
      </c>
      <c r="K21" s="142" t="n">
        <f aca="false">I21+J21</f>
        <v>411.72</v>
      </c>
      <c r="L21" s="142" t="n">
        <f aca="false">F21-(I21-AK21)</f>
        <v>-8.22060499117725</v>
      </c>
      <c r="M21" s="145" t="n">
        <v>28.9</v>
      </c>
      <c r="N21" s="171" t="n">
        <v>0</v>
      </c>
      <c r="O21" s="376" t="n">
        <f aca="false">19.5*1.05</f>
        <v>20.475</v>
      </c>
      <c r="P21" s="89" t="n">
        <v>0</v>
      </c>
      <c r="Q21" s="346" t="n">
        <f aca="false">1032100/325851/1.9835*1.02</f>
        <v>1.62881097464924</v>
      </c>
      <c r="R21" s="139" t="n">
        <f aca="false">(2.5*1.04)-T21</f>
        <v>1.92996128</v>
      </c>
      <c r="S21" s="139" t="n">
        <v>0</v>
      </c>
      <c r="T21" s="139" t="n">
        <f aca="false">(0.6078*1.06)*1.04</f>
        <v>0.67003872</v>
      </c>
      <c r="U21" s="365" t="n">
        <v>0</v>
      </c>
      <c r="V21" s="142" t="n">
        <v>0</v>
      </c>
      <c r="W21" s="142" t="n">
        <v>0</v>
      </c>
      <c r="X21" s="143" t="n">
        <f aca="false">M21-N21-O21-P21-Q21-R21-S21-T21-U21+V21+W21-AT21</f>
        <v>4.19618902535076</v>
      </c>
      <c r="Y21" s="143" t="n">
        <f aca="false">X21-AO21</f>
        <v>4.19618902535076</v>
      </c>
      <c r="Z21" s="114" t="n">
        <f aca="false">Z20+AP21</f>
        <v>3003.35866</v>
      </c>
      <c r="AA21" s="143"/>
      <c r="AB21" s="114" t="n">
        <f aca="false">AB20+(Y21+AP21)*1.9835</f>
        <v>5790.30786572477</v>
      </c>
      <c r="AC21" s="114" t="n">
        <f aca="false">AC20-(AQ20/1.9835)</f>
        <v>1706.43714134685</v>
      </c>
      <c r="AD21" s="103"/>
      <c r="AE21" s="142" t="n">
        <v>21.9</v>
      </c>
      <c r="AF21" s="145" t="n">
        <v>1.7</v>
      </c>
      <c r="AG21" s="146" t="n">
        <v>1.3</v>
      </c>
      <c r="AH21" s="142" t="n">
        <v>25.5</v>
      </c>
      <c r="AI21" s="85" t="n">
        <f aca="false">AI20-AH21</f>
        <v>15854.6578774893</v>
      </c>
      <c r="AJ21" s="103"/>
      <c r="AK21" s="142" t="n">
        <f aca="false">N21+O21+P21+Q21+R21+S21+T21+U21+X21+AE21+AH21</f>
        <v>76.3</v>
      </c>
      <c r="AL21" s="142" t="n">
        <f aca="false">IF(L21&lt;0,L21*-1,0)</f>
        <v>8.22060499117725</v>
      </c>
      <c r="AM21" s="376" t="n">
        <f aca="false">AK21+AL21</f>
        <v>84.5206049911772</v>
      </c>
      <c r="AN21" s="223"/>
      <c r="AO21" s="103"/>
      <c r="AP21" s="157" t="n">
        <f aca="false">I21-Q21-R21-X21-AF21</f>
        <v>402.26503872</v>
      </c>
      <c r="AQ21" s="158" t="n">
        <f aca="false">41.056*(Z21*1.9835+AC21*1.9835)/E21</f>
        <v>7.81889434141155</v>
      </c>
      <c r="AR21" s="158"/>
      <c r="AS21" s="107"/>
      <c r="AT21" s="11" t="n">
        <v>0</v>
      </c>
      <c r="AU21" s="1"/>
      <c r="AV21" s="108" t="n">
        <v>0</v>
      </c>
      <c r="AW21" s="109" t="n">
        <v>67</v>
      </c>
      <c r="AX21" s="109" t="n">
        <v>32</v>
      </c>
      <c r="AY21" s="149"/>
      <c r="AZ21" s="263" t="n">
        <f aca="false">SUM(N21,P21:U21)</f>
        <v>4.22881097464924</v>
      </c>
      <c r="BA21" s="0" t="n">
        <v>0</v>
      </c>
      <c r="BB21" s="149" t="n">
        <v>18436</v>
      </c>
    </row>
    <row r="22" customFormat="false" ht="12.95" hidden="false" customHeight="true" outlineLevel="0" collapsed="false">
      <c r="A22" s="10" t="n">
        <f aca="false">A21+1</f>
        <v>8</v>
      </c>
      <c r="B22" s="113" t="n">
        <v>6875.02</v>
      </c>
      <c r="C22" s="114" t="n">
        <v>201617</v>
      </c>
      <c r="D22" s="109" t="n">
        <f aca="false">C22-C21</f>
        <v>564</v>
      </c>
      <c r="E22" s="100" t="n">
        <f aca="false">C22-152000</f>
        <v>49617</v>
      </c>
      <c r="F22" s="151" t="n">
        <f aca="false">D22/$D$2</f>
        <v>284.34585328964</v>
      </c>
      <c r="G22" s="142" t="n">
        <v>413</v>
      </c>
      <c r="H22" s="142" t="n">
        <v>1.72</v>
      </c>
      <c r="I22" s="142" t="n">
        <f aca="false">G22+H22</f>
        <v>414.72</v>
      </c>
      <c r="J22" s="375" t="n">
        <f aca="false">IF(L22&gt;0,L22,0)</f>
        <v>4.62585328963951</v>
      </c>
      <c r="K22" s="142" t="n">
        <f aca="false">I22+J22</f>
        <v>419.34585328964</v>
      </c>
      <c r="L22" s="142" t="n">
        <f aca="false">F22-(I22-AK22)</f>
        <v>4.62585328963951</v>
      </c>
      <c r="M22" s="145" t="n">
        <v>72.1</v>
      </c>
      <c r="N22" s="171" t="n">
        <v>0</v>
      </c>
      <c r="O22" s="376" t="n">
        <f aca="false">51*1.05</f>
        <v>53.55</v>
      </c>
      <c r="P22" s="89" t="n">
        <v>0</v>
      </c>
      <c r="Q22" s="346" t="n">
        <f aca="false">1033800/325851/1.9835*1.02</f>
        <v>1.63149383353588</v>
      </c>
      <c r="R22" s="139" t="n">
        <f aca="false">(2.5*1.04)-T22</f>
        <v>1.92996128</v>
      </c>
      <c r="S22" s="139" t="n">
        <v>0</v>
      </c>
      <c r="T22" s="139" t="n">
        <f aca="false">(0.6078*1.06)*1.04</f>
        <v>0.67003872</v>
      </c>
      <c r="U22" s="365" t="n">
        <v>0</v>
      </c>
      <c r="V22" s="142" t="n">
        <v>0</v>
      </c>
      <c r="W22" s="142" t="n">
        <v>0</v>
      </c>
      <c r="X22" s="143" t="n">
        <f aca="false">M22-N22-O22-P22-Q22-R22-S22-T22-U22+V22+W22-AT22</f>
        <v>14.3185061664641</v>
      </c>
      <c r="Y22" s="143" t="n">
        <f aca="false">X22-AO22</f>
        <v>14.3185061664641</v>
      </c>
      <c r="Z22" s="114" t="n">
        <f aca="false">Z21+AP22</f>
        <v>3398.49869872</v>
      </c>
      <c r="AA22" s="143"/>
      <c r="AB22" s="114" t="n">
        <f aca="false">AB21+(Y22+AP22)*1.9835</f>
        <v>6602.46888950707</v>
      </c>
      <c r="AC22" s="114" t="n">
        <f aca="false">AC21-(AQ21/1.9835)</f>
        <v>1702.49517293676</v>
      </c>
      <c r="AD22" s="103"/>
      <c r="AE22" s="142" t="n">
        <v>37.4</v>
      </c>
      <c r="AF22" s="145" t="n">
        <v>1.7</v>
      </c>
      <c r="AG22" s="146" t="n">
        <v>1.3</v>
      </c>
      <c r="AH22" s="142" t="n">
        <v>25.5</v>
      </c>
      <c r="AI22" s="85" t="n">
        <f aca="false">AI21-AH22</f>
        <v>15829.1578774893</v>
      </c>
      <c r="AJ22" s="103"/>
      <c r="AK22" s="142" t="n">
        <f aca="false">N22+O22+P22+Q22+R22+S22+T22+U22+X22+AE22+AH22</f>
        <v>135</v>
      </c>
      <c r="AL22" s="142" t="n">
        <f aca="false">IF(L22&lt;0,L22*-1,0)</f>
        <v>0</v>
      </c>
      <c r="AM22" s="376" t="n">
        <f aca="false">AK22+AL22</f>
        <v>135</v>
      </c>
      <c r="AN22" s="223"/>
      <c r="AO22" s="103"/>
      <c r="AP22" s="157" t="n">
        <f aca="false">I22-Q22-R22-X22-AF22</f>
        <v>395.14003872</v>
      </c>
      <c r="AQ22" s="158" t="n">
        <f aca="false">40.394*(Z22*1.9835+AC22*1.9835)/E22</f>
        <v>8.23708155243068</v>
      </c>
      <c r="AR22" s="158"/>
      <c r="AS22" s="107"/>
      <c r="AT22" s="11" t="n">
        <v>0</v>
      </c>
      <c r="AU22" s="1"/>
      <c r="AV22" s="108" t="n">
        <v>0</v>
      </c>
      <c r="AW22" s="109" t="n">
        <v>58</v>
      </c>
      <c r="AX22" s="109" t="n">
        <v>28</v>
      </c>
      <c r="AY22" s="149"/>
      <c r="AZ22" s="263" t="n">
        <f aca="false">SUM(N22,P22:U22)</f>
        <v>4.23149383353588</v>
      </c>
      <c r="BA22" s="0" t="n">
        <v>0</v>
      </c>
      <c r="BB22" s="149" t="n">
        <v>18501</v>
      </c>
    </row>
    <row r="23" customFormat="false" ht="12.95" hidden="false" customHeight="true" outlineLevel="0" collapsed="false">
      <c r="A23" s="10" t="n">
        <f aca="false">A22+1</f>
        <v>9</v>
      </c>
      <c r="B23" s="367" t="n">
        <v>6875.2</v>
      </c>
      <c r="C23" s="100" t="n">
        <v>202131</v>
      </c>
      <c r="D23" s="109" t="n">
        <f aca="false">C23-C22</f>
        <v>514</v>
      </c>
      <c r="E23" s="100" t="n">
        <f aca="false">C23-152000</f>
        <v>50131</v>
      </c>
      <c r="F23" s="151" t="n">
        <f aca="false">D23/$D$2</f>
        <v>259.137887572473</v>
      </c>
      <c r="G23" s="142" t="n">
        <v>390</v>
      </c>
      <c r="H23" s="142" t="n">
        <v>1.58</v>
      </c>
      <c r="I23" s="142" t="n">
        <f aca="false">G23+H23</f>
        <v>391.58</v>
      </c>
      <c r="J23" s="375" t="n">
        <f aca="false">IF(L23&gt;0,L23,0)</f>
        <v>7.45788757247291</v>
      </c>
      <c r="K23" s="142" t="n">
        <f aca="false">I23+J23</f>
        <v>399.037887572473</v>
      </c>
      <c r="L23" s="142" t="n">
        <f aca="false">F23-(I23-AK23)</f>
        <v>7.45788757247291</v>
      </c>
      <c r="M23" s="145" t="n">
        <v>76.9</v>
      </c>
      <c r="N23" s="171" t="n">
        <v>0</v>
      </c>
      <c r="O23" s="376" t="n">
        <f aca="false">57.6*1.05</f>
        <v>60.48</v>
      </c>
      <c r="P23" s="89" t="n">
        <v>0</v>
      </c>
      <c r="Q23" s="346" t="n">
        <f aca="false">1088400/325851/1.9835*1.02</f>
        <v>1.71766094836569</v>
      </c>
      <c r="R23" s="139" t="n">
        <f aca="false">(2.4*1.04)-T23</f>
        <v>1.82596128</v>
      </c>
      <c r="S23" s="139" t="n">
        <v>0</v>
      </c>
      <c r="T23" s="139" t="n">
        <f aca="false">(0.6078*1.06)*1.04</f>
        <v>0.67003872</v>
      </c>
      <c r="U23" s="365" t="n">
        <v>0</v>
      </c>
      <c r="V23" s="142" t="n">
        <v>0</v>
      </c>
      <c r="W23" s="142" t="n">
        <v>0</v>
      </c>
      <c r="X23" s="143" t="n">
        <f aca="false">M23-N23-O23-P23-Q23-R23-S23-T23-U23+V23+W23-AT23</f>
        <v>12.2063390516343</v>
      </c>
      <c r="Y23" s="143" t="n">
        <f aca="false">X23-AO23</f>
        <v>12.2063390516343</v>
      </c>
      <c r="Z23" s="114" t="n">
        <f aca="false">Z22+AP23</f>
        <v>3772.62873744</v>
      </c>
      <c r="AA23" s="143"/>
      <c r="AB23" s="114" t="n">
        <f aca="false">AB22+(Y23+AP23)*1.9835</f>
        <v>7368.7670948171</v>
      </c>
      <c r="AC23" s="114" t="n">
        <f aca="false">AC22-(AQ22/1.9835)</f>
        <v>1698.34237154909</v>
      </c>
      <c r="AD23" s="103"/>
      <c r="AE23" s="142" t="n">
        <v>37.5</v>
      </c>
      <c r="AF23" s="145" t="n">
        <v>1.7</v>
      </c>
      <c r="AG23" s="146" t="n">
        <v>1.3</v>
      </c>
      <c r="AH23" s="142" t="n">
        <v>25.5</v>
      </c>
      <c r="AI23" s="85" t="n">
        <f aca="false">AI22-AH23</f>
        <v>15803.6578774893</v>
      </c>
      <c r="AJ23" s="103"/>
      <c r="AK23" s="142" t="n">
        <f aca="false">N23+O23+P23+Q23+R23+S23+T23+U23+X23+AE23+AH23</f>
        <v>139.9</v>
      </c>
      <c r="AL23" s="142" t="n">
        <f aca="false">IF(L23&lt;0,L23*-1,0)</f>
        <v>0</v>
      </c>
      <c r="AM23" s="376" t="n">
        <f aca="false">AK23+AL23</f>
        <v>139.9</v>
      </c>
      <c r="AN23" s="223"/>
      <c r="AO23" s="103"/>
      <c r="AP23" s="157" t="n">
        <f aca="false">I23-Q23-R23-X23-AF23</f>
        <v>374.13003872</v>
      </c>
      <c r="AQ23" s="158" t="n">
        <f aca="false">13.078*(Z23*1.9835+AC23*1.9835)/E23</f>
        <v>2.83094603905813</v>
      </c>
      <c r="AR23" s="158"/>
      <c r="AS23" s="107"/>
      <c r="AT23" s="11" t="n">
        <v>0</v>
      </c>
      <c r="AU23" s="1"/>
      <c r="AV23" s="108" t="n">
        <v>0</v>
      </c>
      <c r="AW23" s="150" t="n">
        <v>61</v>
      </c>
      <c r="AX23" s="109" t="n">
        <v>23</v>
      </c>
      <c r="AY23" s="149"/>
      <c r="AZ23" s="263" t="n">
        <f aca="false">SUM(N23,P23:U23)</f>
        <v>4.21366094836569</v>
      </c>
      <c r="BA23" s="0" t="n">
        <v>0.095</v>
      </c>
      <c r="BB23" s="149" t="n">
        <v>18565</v>
      </c>
    </row>
    <row r="24" customFormat="false" ht="12.95" hidden="false" customHeight="true" outlineLevel="0" collapsed="false">
      <c r="A24" s="10" t="n">
        <f aca="false">A23+1</f>
        <v>10</v>
      </c>
      <c r="B24" s="367" t="n">
        <v>6875.35</v>
      </c>
      <c r="C24" s="100" t="n">
        <v>202560</v>
      </c>
      <c r="D24" s="109" t="n">
        <f aca="false">C24-C23</f>
        <v>429</v>
      </c>
      <c r="E24" s="100" t="n">
        <f aca="false">C24-152000</f>
        <v>50560</v>
      </c>
      <c r="F24" s="151" t="n">
        <f aca="false">D24/$D$2</f>
        <v>216.28434585329</v>
      </c>
      <c r="G24" s="142" t="n">
        <v>394</v>
      </c>
      <c r="H24" s="142" t="n">
        <v>1.57</v>
      </c>
      <c r="I24" s="142" t="n">
        <f aca="false">G24+H24</f>
        <v>395.57</v>
      </c>
      <c r="J24" s="375" t="n">
        <f aca="false">IF(L24&gt;0,L24,0)</f>
        <v>0</v>
      </c>
      <c r="K24" s="142" t="n">
        <f aca="false">I24+J24</f>
        <v>395.57</v>
      </c>
      <c r="L24" s="142" t="n">
        <f aca="false">F24-(I24-AK24)</f>
        <v>-32.8856541467103</v>
      </c>
      <c r="M24" s="145" t="n">
        <v>83.3</v>
      </c>
      <c r="N24" s="171" t="n">
        <v>0</v>
      </c>
      <c r="O24" s="376" t="n">
        <f aca="false">58.6*1.05</f>
        <v>61.53</v>
      </c>
      <c r="P24" s="89" t="n">
        <v>0</v>
      </c>
      <c r="Q24" s="346" t="n">
        <f aca="false">1196300/325851/1.9835*1.02</f>
        <v>1.88794358005318</v>
      </c>
      <c r="R24" s="139" t="n">
        <f aca="false">(2.5*1.04)-T24</f>
        <v>1.73141904</v>
      </c>
      <c r="S24" s="139" t="n">
        <v>0</v>
      </c>
      <c r="T24" s="139" t="n">
        <f aca="false">(0.7879*1.06)*1.04</f>
        <v>0.86858096</v>
      </c>
      <c r="U24" s="365" t="n">
        <v>0</v>
      </c>
      <c r="V24" s="142" t="n">
        <v>0</v>
      </c>
      <c r="W24" s="142" t="n">
        <v>0</v>
      </c>
      <c r="X24" s="143" t="n">
        <f aca="false">M24-N24-O24-P24-Q24-R24-S24-T24-U24+V24+W24-AT24</f>
        <v>17.2820564199468</v>
      </c>
      <c r="Y24" s="143" t="n">
        <f aca="false">X24-AO24</f>
        <v>17.2820564199468</v>
      </c>
      <c r="Z24" s="114" t="n">
        <f aca="false">Z23+AP24</f>
        <v>4145.5973184</v>
      </c>
      <c r="AA24" s="143"/>
      <c r="AB24" s="114" t="n">
        <f aca="false">AB23+(Y24+AP24)*1.9835</f>
        <v>8142.82923406023</v>
      </c>
      <c r="AC24" s="114" t="n">
        <f aca="false">AC23-(AQ23/1.9835)</f>
        <v>1696.9151237351</v>
      </c>
      <c r="AD24" s="103"/>
      <c r="AE24" s="142" t="n">
        <v>37.6</v>
      </c>
      <c r="AF24" s="145" t="n">
        <v>1.7</v>
      </c>
      <c r="AG24" s="146" t="n">
        <v>1.3</v>
      </c>
      <c r="AH24" s="142" t="n">
        <v>25.5</v>
      </c>
      <c r="AI24" s="85" t="n">
        <f aca="false">AI23-AH24</f>
        <v>15778.1578774893</v>
      </c>
      <c r="AJ24" s="103"/>
      <c r="AK24" s="142" t="n">
        <f aca="false">N24+O24+P24+Q24+R24+S24+T24+U24+X24+AE24+AH24</f>
        <v>146.4</v>
      </c>
      <c r="AL24" s="142" t="n">
        <f aca="false">IF(L24&lt;0,L24*-1,0)</f>
        <v>32.8856541467103</v>
      </c>
      <c r="AM24" s="376" t="n">
        <f aca="false">AK24+AL24</f>
        <v>179.28565414671</v>
      </c>
      <c r="AN24" s="223"/>
      <c r="AO24" s="103"/>
      <c r="AP24" s="157" t="n">
        <f aca="false">I24-Q24-R24-X24-AF24</f>
        <v>372.96858096</v>
      </c>
      <c r="AQ24" s="158" t="n">
        <f aca="false">34.6*(Z24*1.9835+AC24*1.9835)/E24</f>
        <v>7.93050574846784</v>
      </c>
      <c r="AR24" s="158"/>
      <c r="AS24" s="107"/>
      <c r="AT24" s="11" t="n">
        <v>0</v>
      </c>
      <c r="AU24" s="1"/>
      <c r="AV24" s="108" t="n">
        <v>0</v>
      </c>
      <c r="AW24" s="109" t="n">
        <v>65</v>
      </c>
      <c r="AX24" s="109" t="n">
        <v>31</v>
      </c>
      <c r="AY24" s="149"/>
      <c r="AZ24" s="263" t="n">
        <f aca="false">SUM(N24,P24:U24)</f>
        <v>4.48794358005318</v>
      </c>
      <c r="BA24" s="0" t="n">
        <v>0.149</v>
      </c>
      <c r="BB24" s="149" t="n">
        <v>18627</v>
      </c>
    </row>
    <row r="25" customFormat="false" ht="12.95" hidden="false" customHeight="true" outlineLevel="0" collapsed="false">
      <c r="A25" s="10" t="n">
        <f aca="false">A24+1</f>
        <v>11</v>
      </c>
      <c r="B25" s="367" t="n">
        <v>6875.53</v>
      </c>
      <c r="C25" s="100" t="n">
        <v>203073</v>
      </c>
      <c r="D25" s="109" t="n">
        <f aca="false">C25-C24</f>
        <v>513</v>
      </c>
      <c r="E25" s="100" t="n">
        <f aca="false">C25-152000</f>
        <v>51073</v>
      </c>
      <c r="F25" s="151" t="n">
        <f aca="false">D25/$D$2</f>
        <v>258.63372825813</v>
      </c>
      <c r="G25" s="142" t="n">
        <v>397</v>
      </c>
      <c r="H25" s="142" t="n">
        <v>1.53</v>
      </c>
      <c r="I25" s="142" t="n">
        <f aca="false">G25+H25</f>
        <v>398.53</v>
      </c>
      <c r="J25" s="375" t="n">
        <f aca="false">IF(L25&gt;0,L25,0)</f>
        <v>0</v>
      </c>
      <c r="K25" s="142" t="n">
        <f aca="false">I25+J25</f>
        <v>398.53</v>
      </c>
      <c r="L25" s="142" t="n">
        <f aca="false">F25-(I25-AK25)</f>
        <v>-1.5962717418704</v>
      </c>
      <c r="M25" s="145" t="n">
        <v>88.6</v>
      </c>
      <c r="N25" s="171" t="n">
        <v>0</v>
      </c>
      <c r="O25" s="376" t="n">
        <f aca="false">58.7*1.05</f>
        <v>61.635</v>
      </c>
      <c r="P25" s="89" t="n">
        <v>0</v>
      </c>
      <c r="Q25" s="346" t="n">
        <f aca="false">1185500/325851/1.9835*1.02</f>
        <v>1.87089953536156</v>
      </c>
      <c r="R25" s="139" t="n">
        <f aca="false">(2.5*1.04)-T25</f>
        <v>1.73141904</v>
      </c>
      <c r="S25" s="139" t="n">
        <v>0</v>
      </c>
      <c r="T25" s="139" t="n">
        <f aca="false">(0.7879*1.06)*1.04</f>
        <v>0.86858096</v>
      </c>
      <c r="U25" s="365" t="n">
        <v>0</v>
      </c>
      <c r="V25" s="142" t="n">
        <v>0</v>
      </c>
      <c r="W25" s="142" t="n">
        <v>0</v>
      </c>
      <c r="X25" s="143" t="n">
        <f aca="false">M25-N25-O25-P25-Q25-R25-S25-T25-U25+V25+W25-AT25</f>
        <v>22.4941004646384</v>
      </c>
      <c r="Y25" s="143" t="n">
        <f aca="false">X25-AO25</f>
        <v>22.4941004646384</v>
      </c>
      <c r="Z25" s="114" t="n">
        <f aca="false">Z24+AP25</f>
        <v>4516.33089936</v>
      </c>
      <c r="AA25" s="143"/>
      <c r="AB25" s="114" t="n">
        <f aca="false">AB24+(Y25+AP25)*1.9835</f>
        <v>8922.796340166</v>
      </c>
      <c r="AC25" s="114" t="n">
        <f aca="false">AC24-(AQ24/1.9835)</f>
        <v>1692.91688539456</v>
      </c>
      <c r="AD25" s="103"/>
      <c r="AE25" s="142" t="n">
        <v>24.2</v>
      </c>
      <c r="AF25" s="145" t="n">
        <v>1.7</v>
      </c>
      <c r="AG25" s="146" t="n">
        <v>1.3</v>
      </c>
      <c r="AH25" s="142" t="n">
        <v>25.5</v>
      </c>
      <c r="AI25" s="85" t="n">
        <f aca="false">AI24-AH25</f>
        <v>15752.6578774893</v>
      </c>
      <c r="AJ25" s="103"/>
      <c r="AK25" s="142" t="n">
        <f aca="false">N25+O25+P25+Q25+R25+S25+T25+U25+X25+AE25+AH25</f>
        <v>138.3</v>
      </c>
      <c r="AL25" s="142" t="n">
        <f aca="false">IF(L25&lt;0,L25*-1,0)</f>
        <v>1.5962717418704</v>
      </c>
      <c r="AM25" s="376" t="n">
        <f aca="false">AK25+AL25</f>
        <v>139.89627174187</v>
      </c>
      <c r="AN25" s="223"/>
      <c r="AO25" s="103"/>
      <c r="AP25" s="157" t="n">
        <f aca="false">I25-Q25-R25-X25-AF25</f>
        <v>370.73358096</v>
      </c>
      <c r="AQ25" s="158" t="n">
        <f aca="false">26.638*(Z25*1.9835+AC25*1.9835)/E25</f>
        <v>6.42364366552766</v>
      </c>
      <c r="AR25" s="158"/>
      <c r="AS25" s="107"/>
      <c r="AT25" s="11" t="n">
        <v>0</v>
      </c>
      <c r="AU25" s="1"/>
      <c r="AV25" s="108" t="n">
        <v>0</v>
      </c>
      <c r="AW25" s="109" t="n">
        <v>66</v>
      </c>
      <c r="AX25" s="109" t="n">
        <v>33</v>
      </c>
      <c r="AY25" s="149"/>
      <c r="AZ25" s="263" t="n">
        <f aca="false">SUM(N25,P25:U25)</f>
        <v>4.47089953536156</v>
      </c>
      <c r="BA25" s="0" t="n">
        <v>0.101</v>
      </c>
      <c r="BB25" s="149" t="n">
        <v>18689</v>
      </c>
    </row>
    <row r="26" customFormat="false" ht="12.95" hidden="false" customHeight="true" outlineLevel="0" collapsed="false">
      <c r="A26" s="10" t="n">
        <f aca="false">A25+1</f>
        <v>12</v>
      </c>
      <c r="B26" s="367" t="n">
        <v>6875.69</v>
      </c>
      <c r="C26" s="100" t="n">
        <v>203530</v>
      </c>
      <c r="D26" s="109" t="n">
        <f aca="false">C26-C25</f>
        <v>457</v>
      </c>
      <c r="E26" s="100" t="n">
        <f aca="false">C26-152000</f>
        <v>51530</v>
      </c>
      <c r="F26" s="151" t="n">
        <f aca="false">D26/$D$2</f>
        <v>230.400806654903</v>
      </c>
      <c r="G26" s="142" t="n">
        <v>377</v>
      </c>
      <c r="H26" s="142" t="n">
        <v>1.52</v>
      </c>
      <c r="I26" s="142" t="n">
        <f aca="false">G26+H26</f>
        <v>378.52</v>
      </c>
      <c r="J26" s="375" t="n">
        <f aca="false">IF(L26&gt;0,L26,0)</f>
        <v>0</v>
      </c>
      <c r="K26" s="142" t="n">
        <f aca="false">I26+J26</f>
        <v>378.52</v>
      </c>
      <c r="L26" s="142" t="n">
        <f aca="false">F26-(I26-AK26)</f>
        <v>-24.819193345097</v>
      </c>
      <c r="M26" s="145" t="n">
        <v>97.8</v>
      </c>
      <c r="N26" s="171" t="n">
        <v>0</v>
      </c>
      <c r="O26" s="376" t="n">
        <f aca="false">59.5*1.05</f>
        <v>62.475</v>
      </c>
      <c r="P26" s="89" t="n">
        <v>0</v>
      </c>
      <c r="Q26" s="346" t="n">
        <f aca="false">1429300/325851/1.9835*1.02</f>
        <v>2.25565306275182</v>
      </c>
      <c r="R26" s="139" t="n">
        <f aca="false">(2.4*1.04)-T26</f>
        <v>1.62741904</v>
      </c>
      <c r="S26" s="139" t="n">
        <v>0</v>
      </c>
      <c r="T26" s="139" t="n">
        <f aca="false">(0.7879*1.06)*1.04</f>
        <v>0.86858096</v>
      </c>
      <c r="U26" s="365" t="n">
        <v>0</v>
      </c>
      <c r="V26" s="142" t="n">
        <v>0</v>
      </c>
      <c r="W26" s="142" t="n">
        <v>0</v>
      </c>
      <c r="X26" s="143" t="n">
        <f aca="false">M26-N26-O26-P26-Q26-R26-S26-T26-U26+V26+W26-AT26</f>
        <v>30.5733469372482</v>
      </c>
      <c r="Y26" s="143" t="n">
        <f aca="false">X26-AO26</f>
        <v>30.5733469372482</v>
      </c>
      <c r="Z26" s="114" t="n">
        <f aca="false">Z25+AP26</f>
        <v>4858.69448032</v>
      </c>
      <c r="AA26" s="143"/>
      <c r="AB26" s="114" t="n">
        <f aca="false">AB25+(Y26+AP26)*1.9835</f>
        <v>9662.51673665019</v>
      </c>
      <c r="AC26" s="114" t="n">
        <f aca="false">AC25-(AQ25/1.9835)</f>
        <v>1689.67834560856</v>
      </c>
      <c r="AD26" s="103"/>
      <c r="AE26" s="142" t="n">
        <v>0</v>
      </c>
      <c r="AF26" s="145" t="n">
        <v>1.7</v>
      </c>
      <c r="AG26" s="146" t="n">
        <v>1.3</v>
      </c>
      <c r="AH26" s="142" t="n">
        <v>25.5</v>
      </c>
      <c r="AI26" s="85" t="n">
        <f aca="false">AI25-AH26</f>
        <v>15727.1578774893</v>
      </c>
      <c r="AJ26" s="103"/>
      <c r="AK26" s="142" t="n">
        <f aca="false">N26+O26+P26+Q26+R26+S26+T26+U26+X26+AE26+AH26</f>
        <v>123.3</v>
      </c>
      <c r="AL26" s="142" t="n">
        <f aca="false">IF(L26&lt;0,L26*-1,0)</f>
        <v>24.819193345097</v>
      </c>
      <c r="AM26" s="376" t="n">
        <f aca="false">AK26+AL26</f>
        <v>148.119193345097</v>
      </c>
      <c r="AN26" s="223"/>
      <c r="AO26" s="103"/>
      <c r="AP26" s="157" t="n">
        <f aca="false">I26-Q26-R26-X26-AF26</f>
        <v>342.36358096</v>
      </c>
      <c r="AQ26" s="158" t="n">
        <f aca="false">46.072*(Z26*1.9835+AC26*1.9835)/E26</f>
        <v>11.6129491797121</v>
      </c>
      <c r="AR26" s="158"/>
      <c r="AS26" s="107"/>
      <c r="AT26" s="11" t="n">
        <v>0</v>
      </c>
      <c r="AU26" s="1"/>
      <c r="AV26" s="108" t="n">
        <v>0</v>
      </c>
      <c r="AW26" s="109" t="n">
        <v>68</v>
      </c>
      <c r="AX26" s="109" t="n">
        <v>32</v>
      </c>
      <c r="AY26" s="149"/>
      <c r="AZ26" s="263" t="n">
        <f aca="false">SUM(N26,P26:U26)</f>
        <v>4.75165306275182</v>
      </c>
      <c r="BA26" s="0" t="n">
        <v>0</v>
      </c>
      <c r="BB26" s="149" t="n">
        <v>18727</v>
      </c>
    </row>
    <row r="27" customFormat="false" ht="12.95" hidden="false" customHeight="true" outlineLevel="0" collapsed="false">
      <c r="A27" s="10" t="n">
        <f aca="false">A26+1</f>
        <v>13</v>
      </c>
      <c r="B27" s="367" t="n">
        <v>6875.86</v>
      </c>
      <c r="C27" s="100" t="n">
        <v>204016</v>
      </c>
      <c r="D27" s="109" t="n">
        <f aca="false">C27-C26</f>
        <v>486</v>
      </c>
      <c r="E27" s="100" t="n">
        <f aca="false">C27-152000</f>
        <v>52016</v>
      </c>
      <c r="F27" s="151" t="n">
        <f aca="false">D27/$D$2</f>
        <v>245.02142677086</v>
      </c>
      <c r="G27" s="142" t="n">
        <v>387</v>
      </c>
      <c r="H27" s="142" t="n">
        <v>1.47</v>
      </c>
      <c r="I27" s="142" t="n">
        <f aca="false">G27+H27</f>
        <v>388.47</v>
      </c>
      <c r="J27" s="375" t="n">
        <f aca="false">IF(L27&gt;0,L27,0)</f>
        <v>17.4514267708596</v>
      </c>
      <c r="K27" s="142" t="n">
        <f aca="false">I27+J27</f>
        <v>405.92142677086</v>
      </c>
      <c r="L27" s="142" t="n">
        <f aca="false">F27-(I27-AK27)</f>
        <v>17.4514267708596</v>
      </c>
      <c r="M27" s="145" t="n">
        <v>101</v>
      </c>
      <c r="N27" s="171" t="n">
        <v>0</v>
      </c>
      <c r="O27" s="376" t="n">
        <f aca="false">63.7*1.05</f>
        <v>66.885</v>
      </c>
      <c r="P27" s="89" t="n">
        <v>0</v>
      </c>
      <c r="Q27" s="346" t="n">
        <f aca="false">1325200/325851/1.9835*1.02</f>
        <v>2.09136740975213</v>
      </c>
      <c r="R27" s="139" t="n">
        <f aca="false">(3.5*1.04)-T27</f>
        <v>2.77141904</v>
      </c>
      <c r="S27" s="139" t="n">
        <v>0</v>
      </c>
      <c r="T27" s="139" t="n">
        <f aca="false">(0.7879*1.06)*1.04</f>
        <v>0.86858096</v>
      </c>
      <c r="U27" s="365" t="n">
        <v>0</v>
      </c>
      <c r="V27" s="142" t="n">
        <v>0</v>
      </c>
      <c r="W27" s="142" t="n">
        <v>0</v>
      </c>
      <c r="X27" s="143" t="n">
        <f aca="false">M27-N27-O27-P27-Q27-R27-S27-T27-U27+V27+W27-AT27</f>
        <v>28.3836325902479</v>
      </c>
      <c r="Y27" s="143" t="n">
        <f aca="false">X27-AO27</f>
        <v>28.3836325902479</v>
      </c>
      <c r="Z27" s="114" t="n">
        <f aca="false">Z26+AP27</f>
        <v>5212.21806128</v>
      </c>
      <c r="AA27" s="143"/>
      <c r="AB27" s="114" t="n">
        <f aca="false">AB26+(Y27+AP27)*1.9835</f>
        <v>10420.0296947271</v>
      </c>
      <c r="AC27" s="114" t="n">
        <f aca="false">AC26-(AQ26/1.9835)</f>
        <v>1683.82356911261</v>
      </c>
      <c r="AD27" s="103"/>
      <c r="AE27" s="142" t="n">
        <v>34.4</v>
      </c>
      <c r="AF27" s="145" t="n">
        <v>1.7</v>
      </c>
      <c r="AG27" s="146" t="n">
        <v>1.3</v>
      </c>
      <c r="AH27" s="142" t="n">
        <v>25.5</v>
      </c>
      <c r="AI27" s="85" t="n">
        <f aca="false">AI26-AH27</f>
        <v>15701.6578774893</v>
      </c>
      <c r="AJ27" s="103"/>
      <c r="AK27" s="142" t="n">
        <f aca="false">N27+O27+P27+Q27+R27+S27+T27+U27+X27+AE27+AH27</f>
        <v>160.9</v>
      </c>
      <c r="AL27" s="142" t="n">
        <f aca="false">IF(L27&lt;0,L27*-1,0)</f>
        <v>0</v>
      </c>
      <c r="AM27" s="376" t="n">
        <f aca="false">AK27+AL27</f>
        <v>160.9</v>
      </c>
      <c r="AN27" s="223"/>
      <c r="AO27" s="103"/>
      <c r="AP27" s="157" t="n">
        <f aca="false">I27-Q27-R27-X27-AF27</f>
        <v>353.52358096</v>
      </c>
      <c r="AQ27" s="158" t="n">
        <f aca="false">41.716*(Z27*1.9835+AC27*1.9835)/E27</f>
        <v>10.9697766707962</v>
      </c>
      <c r="AR27" s="158"/>
      <c r="AS27" s="107"/>
      <c r="AT27" s="11" t="n">
        <v>0</v>
      </c>
      <c r="AU27" s="1"/>
      <c r="AV27" s="108" t="n">
        <v>0</v>
      </c>
      <c r="AW27" s="109" t="n">
        <v>72</v>
      </c>
      <c r="AX27" s="109" t="n">
        <v>31</v>
      </c>
      <c r="AY27" s="149"/>
      <c r="AZ27" s="263" t="n">
        <f aca="false">SUM(N27,P27:U27)</f>
        <v>5.73136740975213</v>
      </c>
      <c r="BA27" s="0" t="n">
        <v>0</v>
      </c>
      <c r="BB27" s="149" t="n">
        <v>18781</v>
      </c>
    </row>
    <row r="28" customFormat="false" ht="12.95" hidden="false" customHeight="true" outlineLevel="0" collapsed="false">
      <c r="A28" s="10" t="n">
        <f aca="false">A27+1</f>
        <v>14</v>
      </c>
      <c r="B28" s="367" t="n">
        <v>6876.08</v>
      </c>
      <c r="C28" s="100" t="n">
        <v>204646</v>
      </c>
      <c r="D28" s="109" t="n">
        <f aca="false">C28-C27</f>
        <v>630</v>
      </c>
      <c r="E28" s="100" t="n">
        <f aca="false">C28-152000</f>
        <v>52646</v>
      </c>
      <c r="F28" s="151" t="n">
        <f aca="false">D28/$D$2</f>
        <v>317.620368036299</v>
      </c>
      <c r="G28" s="142" t="n">
        <v>435</v>
      </c>
      <c r="H28" s="142" t="n">
        <v>1.43</v>
      </c>
      <c r="I28" s="142" t="n">
        <f aca="false">G28+H28</f>
        <v>436.43</v>
      </c>
      <c r="J28" s="375" t="n">
        <f aca="false">IF(L28&gt;0,L28,0)</f>
        <v>10.3903680362994</v>
      </c>
      <c r="K28" s="142" t="n">
        <f aca="false">I28+J28</f>
        <v>446.820368036299</v>
      </c>
      <c r="L28" s="142" t="n">
        <f aca="false">F28-(I28-AK28)</f>
        <v>10.3903680362994</v>
      </c>
      <c r="M28" s="145" t="n">
        <v>106</v>
      </c>
      <c r="N28" s="171" t="n">
        <v>0</v>
      </c>
      <c r="O28" s="376" t="n">
        <f aca="false">59*1.05</f>
        <v>61.95</v>
      </c>
      <c r="P28" s="89" t="n">
        <v>0</v>
      </c>
      <c r="Q28" s="346" t="n">
        <f aca="false">1068800/325851/1.9835*1.02</f>
        <v>1.68672916355499</v>
      </c>
      <c r="R28" s="139" t="n">
        <f aca="false">(3.9*1.04)-T28</f>
        <v>3.18741904</v>
      </c>
      <c r="S28" s="139" t="n">
        <v>0</v>
      </c>
      <c r="T28" s="139" t="n">
        <f aca="false">(0.7879*1.06)*1.04</f>
        <v>0.86858096</v>
      </c>
      <c r="U28" s="365" t="n">
        <v>0</v>
      </c>
      <c r="V28" s="142" t="n">
        <v>0</v>
      </c>
      <c r="W28" s="142" t="n">
        <v>0</v>
      </c>
      <c r="X28" s="143" t="n">
        <f aca="false">M28-N28-O28-P28-Q28-R28-S28-T28-U28+V28+W28-AT28</f>
        <v>38.307270836445</v>
      </c>
      <c r="Y28" s="143" t="n">
        <f aca="false">X28-AO28</f>
        <v>38.307270836445</v>
      </c>
      <c r="Z28" s="114" t="n">
        <f aca="false">Z27+AP28</f>
        <v>5603.76664224</v>
      </c>
      <c r="AA28" s="143"/>
      <c r="AB28" s="114" t="n">
        <f aca="false">AB27+(Y28+AP28)*1.9835</f>
        <v>11272.6487767654</v>
      </c>
      <c r="AC28" s="114" t="n">
        <f aca="false">AC27-(AQ27/1.9835)</f>
        <v>1678.29305402776</v>
      </c>
      <c r="AD28" s="103"/>
      <c r="AE28" s="142" t="n">
        <v>0</v>
      </c>
      <c r="AF28" s="145" t="n">
        <v>1.7</v>
      </c>
      <c r="AG28" s="146" t="n">
        <v>1.3</v>
      </c>
      <c r="AH28" s="142" t="n">
        <v>23.2</v>
      </c>
      <c r="AI28" s="85" t="n">
        <f aca="false">AI27-AH28</f>
        <v>15678.4578774893</v>
      </c>
      <c r="AJ28" s="103"/>
      <c r="AK28" s="142" t="n">
        <f aca="false">N28+O28+P28+Q28+R28+S28+T28+U28+X28+AE28+AH28</f>
        <v>129.2</v>
      </c>
      <c r="AL28" s="142" t="n">
        <f aca="false">IF(L28&lt;0,L28*-1,0)</f>
        <v>0</v>
      </c>
      <c r="AM28" s="376" t="n">
        <f aca="false">AK28+AL28</f>
        <v>129.2</v>
      </c>
      <c r="AN28" s="223"/>
      <c r="AO28" s="103"/>
      <c r="AP28" s="157" t="n">
        <f aca="false">I28-Q28-R28-X28-AF28</f>
        <v>391.54858096</v>
      </c>
      <c r="AQ28" s="158" t="n">
        <f aca="false">46.574*(Z28*1.9835+AC28*1.9835)/E28</f>
        <v>12.7780504671029</v>
      </c>
      <c r="AR28" s="158"/>
      <c r="AS28" s="107"/>
      <c r="AT28" s="11" t="n">
        <v>0</v>
      </c>
      <c r="AU28" s="1"/>
      <c r="AV28" s="108" t="n">
        <v>0</v>
      </c>
      <c r="AW28" s="150" t="n">
        <v>71</v>
      </c>
      <c r="AX28" s="109" t="n">
        <v>38</v>
      </c>
      <c r="AY28" s="149"/>
      <c r="AZ28" s="263" t="n">
        <f aca="false">SUM(N28,P28:U28)</f>
        <v>5.74272916355499</v>
      </c>
      <c r="BA28" s="0" t="n">
        <v>0</v>
      </c>
      <c r="BB28" s="149" t="n">
        <v>18840</v>
      </c>
    </row>
    <row r="29" customFormat="false" ht="12.95" hidden="false" customHeight="true" outlineLevel="0" collapsed="false">
      <c r="A29" s="10" t="n">
        <f aca="false">A28+1</f>
        <v>15</v>
      </c>
      <c r="B29" s="367" t="n">
        <v>6876.28</v>
      </c>
      <c r="C29" s="100" t="n">
        <v>205224</v>
      </c>
      <c r="D29" s="109" t="n">
        <f aca="false">C29-C28</f>
        <v>578</v>
      </c>
      <c r="E29" s="100" t="n">
        <f aca="false">C29-152000</f>
        <v>53224</v>
      </c>
      <c r="F29" s="151" t="n">
        <f aca="false">D29/$D$2</f>
        <v>291.404083690446</v>
      </c>
      <c r="G29" s="142" t="n">
        <v>470</v>
      </c>
      <c r="H29" s="142" t="n">
        <v>1.37</v>
      </c>
      <c r="I29" s="142" t="n">
        <f aca="false">G29+H29</f>
        <v>471.37</v>
      </c>
      <c r="J29" s="375" t="n">
        <f aca="false">IF(L29&gt;0,L29,0)</f>
        <v>0</v>
      </c>
      <c r="K29" s="142" t="n">
        <f aca="false">I29+J29</f>
        <v>471.37</v>
      </c>
      <c r="L29" s="142" t="n">
        <f aca="false">F29-(I29-AK29)</f>
        <v>-57.9659163095539</v>
      </c>
      <c r="M29" s="145" t="n">
        <v>101</v>
      </c>
      <c r="N29" s="171" t="n">
        <v>0</v>
      </c>
      <c r="O29" s="376" t="n">
        <f aca="false">43.7*1.05</f>
        <v>45.885</v>
      </c>
      <c r="P29" s="89" t="n">
        <v>0</v>
      </c>
      <c r="Q29" s="346" t="n">
        <f aca="false">1057800/325851/1.9835*1.02</f>
        <v>1.66936948840613</v>
      </c>
      <c r="R29" s="139" t="n">
        <f aca="false">(4*1.04)-T29</f>
        <v>3.29141904</v>
      </c>
      <c r="S29" s="139" t="n">
        <v>0</v>
      </c>
      <c r="T29" s="139" t="n">
        <f aca="false">(0.7879*1.06)*1.04</f>
        <v>0.86858096</v>
      </c>
      <c r="U29" s="365" t="n">
        <v>0</v>
      </c>
      <c r="V29" s="142" t="n">
        <v>0</v>
      </c>
      <c r="W29" s="142" t="n">
        <v>0</v>
      </c>
      <c r="X29" s="143" t="n">
        <f aca="false">M29-N29-O29-P29-Q29-R29-S29-T29-U29+V29+W29-AT29</f>
        <v>49.2856305115939</v>
      </c>
      <c r="Y29" s="143" t="n">
        <f aca="false">X29-AO29</f>
        <v>49.2856305115939</v>
      </c>
      <c r="Z29" s="114" t="n">
        <f aca="false">Z28+AP29</f>
        <v>6019.1902232</v>
      </c>
      <c r="AA29" s="143"/>
      <c r="AB29" s="114" t="n">
        <f aca="false">AB28+(Y29+AP29)*1.9835</f>
        <v>12194.3994977193</v>
      </c>
      <c r="AC29" s="114" t="n">
        <f aca="false">AC28-(AQ28/1.9835)</f>
        <v>1671.85088086562</v>
      </c>
      <c r="AD29" s="103"/>
      <c r="AE29" s="142" t="n">
        <v>0</v>
      </c>
      <c r="AF29" s="145" t="n">
        <v>1.7</v>
      </c>
      <c r="AG29" s="146" t="n">
        <v>1.3</v>
      </c>
      <c r="AH29" s="142" t="n">
        <v>21</v>
      </c>
      <c r="AI29" s="85" t="n">
        <f aca="false">AI28-AH29</f>
        <v>15657.4578774893</v>
      </c>
      <c r="AJ29" s="103"/>
      <c r="AK29" s="142" t="n">
        <f aca="false">N29+O29+P29+Q29+R29+S29+T29+U29+X29+AE29+AH29</f>
        <v>122</v>
      </c>
      <c r="AL29" s="142" t="n">
        <f aca="false">IF(L29&lt;0,L29*-1,0)</f>
        <v>57.9659163095539</v>
      </c>
      <c r="AM29" s="376" t="n">
        <f aca="false">AK29+AL29</f>
        <v>179.965916309554</v>
      </c>
      <c r="AN29" s="223"/>
      <c r="AO29" s="103"/>
      <c r="AP29" s="157" t="n">
        <f aca="false">I29-Q29-R29-X29-AF29</f>
        <v>415.42358096</v>
      </c>
      <c r="AQ29" s="158" t="n">
        <f aca="false">31.329*(Z29*1.9835+AC29*1.9835)/E29</f>
        <v>8.97958693741885</v>
      </c>
      <c r="AR29" s="158"/>
      <c r="AS29" s="107"/>
      <c r="AT29" s="11" t="n">
        <v>0</v>
      </c>
      <c r="AU29" s="1"/>
      <c r="AV29" s="108" t="n">
        <v>0</v>
      </c>
      <c r="AW29" s="150" t="n">
        <v>59</v>
      </c>
      <c r="AX29" s="109" t="n">
        <v>27</v>
      </c>
      <c r="AY29" s="149"/>
      <c r="AZ29" s="263" t="n">
        <f aca="false">SUM(N29,P29:U29)</f>
        <v>5.82936948840613</v>
      </c>
      <c r="BA29" s="0" t="n">
        <v>0</v>
      </c>
      <c r="BB29" s="149" t="n">
        <v>18901</v>
      </c>
    </row>
    <row r="30" customFormat="false" ht="12.95" hidden="false" customHeight="true" outlineLevel="0" collapsed="false">
      <c r="A30" s="10" t="n">
        <f aca="false">A29+1</f>
        <v>16</v>
      </c>
      <c r="B30" s="367" t="n">
        <v>6876.51</v>
      </c>
      <c r="C30" s="100" t="n">
        <v>205888</v>
      </c>
      <c r="D30" s="109" t="n">
        <f aca="false">C30-C29</f>
        <v>664</v>
      </c>
      <c r="E30" s="100" t="n">
        <f aca="false">C30-152000</f>
        <v>53888</v>
      </c>
      <c r="F30" s="151" t="n">
        <f aca="false">D30/$D$2</f>
        <v>334.761784723973</v>
      </c>
      <c r="G30" s="142" t="n">
        <v>410</v>
      </c>
      <c r="H30" s="142" t="n">
        <v>1.29</v>
      </c>
      <c r="I30" s="142" t="n">
        <f aca="false">G30+H30</f>
        <v>411.29</v>
      </c>
      <c r="J30" s="375" t="n">
        <f aca="false">IF(L30&gt;0,L30,0)</f>
        <v>0</v>
      </c>
      <c r="K30" s="142" t="n">
        <f aca="false">I30+J30</f>
        <v>411.29</v>
      </c>
      <c r="L30" s="142" t="n">
        <f aca="false">F30-(I30-AK30)</f>
        <v>-7.32821527602727</v>
      </c>
      <c r="M30" s="145" t="n">
        <v>48.2</v>
      </c>
      <c r="N30" s="171" t="n">
        <v>0</v>
      </c>
      <c r="O30" s="376" t="n">
        <f aca="false">12.1*1.05</f>
        <v>12.705</v>
      </c>
      <c r="P30" s="89" t="n">
        <v>0</v>
      </c>
      <c r="Q30" s="346" t="n">
        <f aca="false">908000/325851/1.9835*1.02</f>
        <v>1.43296227592434</v>
      </c>
      <c r="R30" s="139" t="n">
        <f aca="false">(3.8*1.04)-T30</f>
        <v>3.08341904</v>
      </c>
      <c r="S30" s="139" t="n">
        <v>0</v>
      </c>
      <c r="T30" s="139" t="n">
        <f aca="false">(0.7879*1.06)*1.04</f>
        <v>0.86858096</v>
      </c>
      <c r="U30" s="365" t="n">
        <v>0</v>
      </c>
      <c r="V30" s="142" t="n">
        <v>0</v>
      </c>
      <c r="W30" s="142" t="n">
        <v>0</v>
      </c>
      <c r="X30" s="143" t="n">
        <f aca="false">M30-N30-O30-P30-Q30-R30-S30-T30-U30+V30+W30-AT30</f>
        <v>30.1100377240757</v>
      </c>
      <c r="Y30" s="143" t="n">
        <f aca="false">X30-AO30</f>
        <v>30.1100377240757</v>
      </c>
      <c r="Z30" s="114" t="n">
        <f aca="false">Z29+AP30</f>
        <v>6394.15380416</v>
      </c>
      <c r="AA30" s="143"/>
      <c r="AB30" s="114" t="n">
        <f aca="false">AB29+(Y30+AP30)*1.9835</f>
        <v>12997.8630203791</v>
      </c>
      <c r="AC30" s="114" t="n">
        <f aca="false">AC29-(AQ29/1.9835)</f>
        <v>1667.32373847217</v>
      </c>
      <c r="AD30" s="103"/>
      <c r="AE30" s="142" t="n">
        <v>0</v>
      </c>
      <c r="AF30" s="145" t="n">
        <v>1.7</v>
      </c>
      <c r="AG30" s="146" t="n">
        <v>1.3</v>
      </c>
      <c r="AH30" s="142" t="n">
        <v>21</v>
      </c>
      <c r="AI30" s="85" t="n">
        <f aca="false">AI29-AH30</f>
        <v>15636.4578774893</v>
      </c>
      <c r="AJ30" s="103"/>
      <c r="AK30" s="142" t="n">
        <f aca="false">N30+O30+P30+Q30+R30+S30+T30+U30+X30+AE30+AH30</f>
        <v>69.2</v>
      </c>
      <c r="AL30" s="142" t="n">
        <f aca="false">IF(L30&lt;0,L30*-1,0)</f>
        <v>7.32821527602727</v>
      </c>
      <c r="AM30" s="376" t="n">
        <f aca="false">AK30+AL30</f>
        <v>76.5282152760273</v>
      </c>
      <c r="AN30" s="223"/>
      <c r="AO30" s="103"/>
      <c r="AP30" s="157" t="n">
        <f aca="false">I30-Q30-R30-X30-AF30</f>
        <v>374.96358096</v>
      </c>
      <c r="AQ30" s="158" t="n">
        <f aca="false">4.067*(Z30*1.9835+AC30*1.9835)/E30</f>
        <v>1.20678237920377</v>
      </c>
      <c r="AR30" s="158"/>
      <c r="AS30" s="107"/>
      <c r="AT30" s="11" t="n">
        <v>0</v>
      </c>
      <c r="AU30" s="1"/>
      <c r="AV30" s="108" t="n">
        <v>0</v>
      </c>
      <c r="AW30" s="150" t="n">
        <v>46</v>
      </c>
      <c r="AX30" s="109" t="n">
        <v>27</v>
      </c>
      <c r="AY30" s="149"/>
      <c r="AZ30" s="263" t="n">
        <f aca="false">SUM(N30,P30:U30)</f>
        <v>5.38496227592434</v>
      </c>
      <c r="BA30" s="0" t="n">
        <v>0</v>
      </c>
      <c r="BB30" s="149" t="n">
        <v>18955</v>
      </c>
    </row>
    <row r="31" customFormat="false" ht="12.95" hidden="false" customHeight="true" outlineLevel="0" collapsed="false">
      <c r="A31" s="10" t="n">
        <f aca="false">A30+1</f>
        <v>17</v>
      </c>
      <c r="B31" s="367" t="n">
        <v>6876.7</v>
      </c>
      <c r="C31" s="100" t="n">
        <v>206437</v>
      </c>
      <c r="D31" s="109" t="n">
        <f aca="false">C31-C30</f>
        <v>549</v>
      </c>
      <c r="E31" s="100" t="n">
        <f aca="false">C31-152000</f>
        <v>54437</v>
      </c>
      <c r="F31" s="151" t="n">
        <f aca="false">D31/$D$2</f>
        <v>276.78346357449</v>
      </c>
      <c r="G31" s="142" t="n">
        <v>375</v>
      </c>
      <c r="H31" s="142" t="n">
        <v>1.38</v>
      </c>
      <c r="I31" s="142" t="n">
        <f aca="false">G31+H31</f>
        <v>376.38</v>
      </c>
      <c r="J31" s="375" t="n">
        <f aca="false">IF(L31&gt;0,L31,0)</f>
        <v>29.4034635744895</v>
      </c>
      <c r="K31" s="142" t="n">
        <f aca="false">I31+J31</f>
        <v>405.78346357449</v>
      </c>
      <c r="L31" s="142" t="n">
        <f aca="false">F31-(I31-AK31)</f>
        <v>29.4034635744895</v>
      </c>
      <c r="M31" s="145" t="n">
        <v>108</v>
      </c>
      <c r="N31" s="171" t="n">
        <v>0</v>
      </c>
      <c r="O31" s="376" t="n">
        <f aca="false">51.6*1.05</f>
        <v>54.18</v>
      </c>
      <c r="P31" s="89" t="n">
        <v>0</v>
      </c>
      <c r="Q31" s="346" t="n">
        <f aca="false">927700/325851/1.9835*1.02</f>
        <v>1.46405187596366</v>
      </c>
      <c r="R31" s="139" t="n">
        <f aca="false">(3.1*1.04)-T31</f>
        <v>2.41825584</v>
      </c>
      <c r="S31" s="139" t="n">
        <v>0</v>
      </c>
      <c r="T31" s="139" t="n">
        <f aca="false">(0.7309*1.06)*1.04</f>
        <v>0.80574416</v>
      </c>
      <c r="U31" s="365" t="n">
        <v>0</v>
      </c>
      <c r="V31" s="142" t="n">
        <v>0</v>
      </c>
      <c r="W31" s="142" t="n">
        <v>0</v>
      </c>
      <c r="X31" s="143" t="n">
        <f aca="false">M31-N31-O31-P31-Q31-R31-S31-T31-U31+V31+W31-AT31</f>
        <v>49.1319481240363</v>
      </c>
      <c r="Y31" s="143" t="n">
        <f aca="false">X31-AO31</f>
        <v>49.1319481240363</v>
      </c>
      <c r="Z31" s="114" t="n">
        <f aca="false">Z30+AP31</f>
        <v>6715.81954832</v>
      </c>
      <c r="AA31" s="143"/>
      <c r="AB31" s="114" t="n">
        <f aca="false">AB30+(Y31+AP31)*1.9835</f>
        <v>13733.3402430245</v>
      </c>
      <c r="AC31" s="114" t="n">
        <f aca="false">AC30-(AQ30/1.9835)</f>
        <v>1666.71532789531</v>
      </c>
      <c r="AD31" s="103"/>
      <c r="AE31" s="142" t="n">
        <v>0</v>
      </c>
      <c r="AF31" s="145" t="n">
        <v>1.7</v>
      </c>
      <c r="AG31" s="146" t="n">
        <v>1.3</v>
      </c>
      <c r="AH31" s="142" t="n">
        <v>21</v>
      </c>
      <c r="AI31" s="85" t="n">
        <f aca="false">AI30-AH31</f>
        <v>15615.4578774893</v>
      </c>
      <c r="AJ31" s="103"/>
      <c r="AK31" s="142" t="n">
        <f aca="false">N31+O31+P31+Q31+R31+S31+T31+U31+X31+AE31+AH31</f>
        <v>129</v>
      </c>
      <c r="AL31" s="142" t="n">
        <f aca="false">IF(L31&lt;0,L31*-1,0)</f>
        <v>0</v>
      </c>
      <c r="AM31" s="376" t="n">
        <f aca="false">AK31+AL31</f>
        <v>129</v>
      </c>
      <c r="AN31" s="223"/>
      <c r="AO31" s="103"/>
      <c r="AP31" s="157" t="n">
        <f aca="false">I31-Q31-R31-X31-AF31</f>
        <v>321.66574416</v>
      </c>
      <c r="AQ31" s="158" t="n">
        <f aca="false">6.609*(Z31*1.9835+AC31*1.9835)/E31</f>
        <v>2.0185947634764</v>
      </c>
      <c r="AR31" s="158"/>
      <c r="AS31" s="107"/>
      <c r="AT31" s="11" t="n">
        <v>0</v>
      </c>
      <c r="AU31" s="1"/>
      <c r="AV31" s="108" t="n">
        <v>0</v>
      </c>
      <c r="AW31" s="150" t="n">
        <v>42</v>
      </c>
      <c r="AX31" s="109" t="n">
        <v>29</v>
      </c>
      <c r="AY31" s="149"/>
      <c r="AZ31" s="263" t="n">
        <f aca="false">SUM(N31,P31:U31)</f>
        <v>4.68805187596366</v>
      </c>
      <c r="BA31" s="0" t="n">
        <v>0</v>
      </c>
      <c r="BB31" s="149" t="n">
        <v>19015</v>
      </c>
    </row>
    <row r="32" customFormat="false" ht="12.95" hidden="false" customHeight="true" outlineLevel="0" collapsed="false">
      <c r="A32" s="10" t="n">
        <f aca="false">A31+1</f>
        <v>18</v>
      </c>
      <c r="B32" s="367" t="n">
        <v>6876.85</v>
      </c>
      <c r="C32" s="100" t="n">
        <v>206870</v>
      </c>
      <c r="D32" s="109" t="n">
        <f aca="false">C32-C31</f>
        <v>433</v>
      </c>
      <c r="E32" s="100" t="n">
        <f aca="false">C32-152000</f>
        <v>54870</v>
      </c>
      <c r="F32" s="151" t="n">
        <f aca="false">D32/$D$2</f>
        <v>218.300983110663</v>
      </c>
      <c r="G32" s="142" t="n">
        <v>344</v>
      </c>
      <c r="H32" s="142" t="n">
        <v>1.54</v>
      </c>
      <c r="I32" s="142" t="n">
        <f aca="false">G32+H32</f>
        <v>345.54</v>
      </c>
      <c r="J32" s="375" t="n">
        <f aca="false">IF(L32&gt;0,L32,0)</f>
        <v>0</v>
      </c>
      <c r="K32" s="142" t="n">
        <f aca="false">I32+J32</f>
        <v>345.54</v>
      </c>
      <c r="L32" s="142" t="n">
        <f aca="false">F32-(I32-AK32)</f>
        <v>-29.1390168893371</v>
      </c>
      <c r="M32" s="145" t="n">
        <v>77</v>
      </c>
      <c r="N32" s="171" t="n">
        <v>0</v>
      </c>
      <c r="O32" s="376" t="n">
        <f aca="false">34.3*1.05</f>
        <v>36.015</v>
      </c>
      <c r="P32" s="89" t="n">
        <v>0</v>
      </c>
      <c r="Q32" s="346" t="n">
        <f aca="false">931700/325851/1.9835*1.02</f>
        <v>1.4703644851087</v>
      </c>
      <c r="R32" s="139" t="n">
        <f aca="false">(2.7*1.04)-T32</f>
        <v>2.00225584</v>
      </c>
      <c r="S32" s="139" t="n">
        <v>0</v>
      </c>
      <c r="T32" s="139" t="n">
        <f aca="false">(0.7309*1.06)*1.04</f>
        <v>0.80574416</v>
      </c>
      <c r="U32" s="365" t="n">
        <v>0</v>
      </c>
      <c r="V32" s="142" t="n">
        <v>0</v>
      </c>
      <c r="W32" s="142" t="n">
        <v>0</v>
      </c>
      <c r="X32" s="143" t="n">
        <f aca="false">M32-N32-O32-P32-Q32-R32-S32-T32-U32+V32+W32-AT32</f>
        <v>36.7066355148913</v>
      </c>
      <c r="Y32" s="143" t="n">
        <f aca="false">X32-AO32</f>
        <v>36.7066355148913</v>
      </c>
      <c r="Z32" s="114" t="n">
        <f aca="false">Z31+AP32</f>
        <v>7019.48029248</v>
      </c>
      <c r="AA32" s="143"/>
      <c r="AB32" s="114" t="n">
        <f aca="false">AB31+(Y32+AP32)*1.9835</f>
        <v>14408.4589406097</v>
      </c>
      <c r="AC32" s="114" t="n">
        <f aca="false">AC31-(AQ31/1.9835)</f>
        <v>1665.69763454342</v>
      </c>
      <c r="AD32" s="103"/>
      <c r="AE32" s="142" t="n">
        <v>0</v>
      </c>
      <c r="AF32" s="145" t="n">
        <v>1.7</v>
      </c>
      <c r="AG32" s="146" t="n">
        <v>1.3</v>
      </c>
      <c r="AH32" s="142" t="n">
        <v>21.1</v>
      </c>
      <c r="AI32" s="85" t="n">
        <f aca="false">AI31-AH32</f>
        <v>15594.3578774893</v>
      </c>
      <c r="AJ32" s="103"/>
      <c r="AK32" s="142" t="n">
        <f aca="false">N32+O32+P32+Q32+R32+S32+T32+U32+X32+AE32+AH32</f>
        <v>98.1</v>
      </c>
      <c r="AL32" s="142" t="n">
        <f aca="false">IF(L32&lt;0,L32*-1,0)</f>
        <v>29.1390168893371</v>
      </c>
      <c r="AM32" s="376" t="n">
        <f aca="false">AK32+AL32</f>
        <v>127.239016889337</v>
      </c>
      <c r="AN32" s="223"/>
      <c r="AO32" s="103"/>
      <c r="AP32" s="157" t="n">
        <f aca="false">I32-Q32-R32-X32-AF32</f>
        <v>303.66074416</v>
      </c>
      <c r="AQ32" s="158" t="n">
        <f aca="false">0*(Z32*1.9835+AC32*1.9835)/E32</f>
        <v>0</v>
      </c>
      <c r="AR32" s="158"/>
      <c r="AS32" s="107"/>
      <c r="AT32" s="11" t="n">
        <v>0</v>
      </c>
      <c r="AU32" s="1"/>
      <c r="AV32" s="108" t="n">
        <v>0.26</v>
      </c>
      <c r="AW32" s="150" t="n">
        <v>59</v>
      </c>
      <c r="AX32" s="109" t="n">
        <v>26</v>
      </c>
      <c r="AY32" s="149"/>
      <c r="AZ32" s="263" t="n">
        <f aca="false">SUM(N32,P32:U32)</f>
        <v>4.27836448510871</v>
      </c>
      <c r="BA32" s="0" t="n">
        <v>0</v>
      </c>
      <c r="BB32" s="149" t="n">
        <v>19076</v>
      </c>
    </row>
    <row r="33" customFormat="false" ht="12.95" hidden="false" customHeight="true" outlineLevel="0" collapsed="false">
      <c r="A33" s="10" t="n">
        <f aca="false">A32+1</f>
        <v>19</v>
      </c>
      <c r="B33" s="367" t="n">
        <v>6876.98</v>
      </c>
      <c r="C33" s="100" t="n">
        <v>207246</v>
      </c>
      <c r="D33" s="109" t="n">
        <f aca="false">C33-C32</f>
        <v>376</v>
      </c>
      <c r="E33" s="100" t="n">
        <f aca="false">C33-152000</f>
        <v>55246</v>
      </c>
      <c r="F33" s="151" t="n">
        <f aca="false">D33/$D$2</f>
        <v>189.563902193093</v>
      </c>
      <c r="G33" s="142" t="n">
        <v>319</v>
      </c>
      <c r="H33" s="142" t="n">
        <v>1.53</v>
      </c>
      <c r="I33" s="142" t="n">
        <f aca="false">G33+H33</f>
        <v>320.53</v>
      </c>
      <c r="J33" s="375" t="n">
        <f aca="false">IF(L33&gt;0,L33,0)</f>
        <v>0</v>
      </c>
      <c r="K33" s="142" t="n">
        <f aca="false">I33+J33</f>
        <v>320.53</v>
      </c>
      <c r="L33" s="142" t="n">
        <f aca="false">F33-(I33-AK33)</f>
        <v>-7.60609780690697</v>
      </c>
      <c r="M33" s="145" t="n">
        <v>96.6</v>
      </c>
      <c r="N33" s="171" t="n">
        <v>0</v>
      </c>
      <c r="O33" s="376" t="n">
        <f aca="false">41.7*1.05</f>
        <v>43.785</v>
      </c>
      <c r="P33" s="89" t="n">
        <v>0</v>
      </c>
      <c r="Q33" s="346" t="n">
        <f aca="false">1180900/325851/1.9835*1.02</f>
        <v>1.86364003484477</v>
      </c>
      <c r="R33" s="139" t="n">
        <f aca="false">(2.7*1.04)-T33</f>
        <v>2.00225584</v>
      </c>
      <c r="S33" s="139" t="n">
        <v>0</v>
      </c>
      <c r="T33" s="139" t="n">
        <f aca="false">(0.7309*1.06)*1.04</f>
        <v>0.80574416</v>
      </c>
      <c r="U33" s="365" t="n">
        <v>0</v>
      </c>
      <c r="V33" s="142" t="n">
        <v>0</v>
      </c>
      <c r="W33" s="142" t="n">
        <v>5.66</v>
      </c>
      <c r="X33" s="143" t="n">
        <f aca="false">M33-N33-O33-P33-Q33-R33-S33-T33-U33+V33+W33-AT33</f>
        <v>53.8033599651552</v>
      </c>
      <c r="Y33" s="143" t="n">
        <f aca="false">X33-AO33</f>
        <v>53.8033599651552</v>
      </c>
      <c r="Z33" s="114" t="n">
        <f aca="false">Z32+AP33</f>
        <v>7280.64103664</v>
      </c>
      <c r="AA33" s="143"/>
      <c r="AB33" s="114" t="n">
        <f aca="false">AB32+(Y33+AP33)*1.9835</f>
        <v>15033.1902411419</v>
      </c>
      <c r="AC33" s="114" t="n">
        <f aca="false">AC32-(AQ32/1.9835)</f>
        <v>1665.69763454342</v>
      </c>
      <c r="AD33" s="103"/>
      <c r="AE33" s="142" t="n">
        <v>0</v>
      </c>
      <c r="AF33" s="145" t="n">
        <v>1.7</v>
      </c>
      <c r="AG33" s="146" t="n">
        <v>1.3</v>
      </c>
      <c r="AH33" s="142" t="n">
        <v>21.1</v>
      </c>
      <c r="AI33" s="85" t="n">
        <f aca="false">AI32-AH33</f>
        <v>15573.2578774893</v>
      </c>
      <c r="AJ33" s="103"/>
      <c r="AK33" s="142" t="n">
        <f aca="false">N33+O33+P33+Q33+R33+S33+T33+U33+X33+AE33+AH33</f>
        <v>123.36</v>
      </c>
      <c r="AL33" s="142" t="n">
        <f aca="false">IF(L33&lt;0,L33*-1,0)</f>
        <v>7.60609780690697</v>
      </c>
      <c r="AM33" s="376" t="n">
        <f aca="false">AK33+AL33</f>
        <v>130.966097806907</v>
      </c>
      <c r="AN33" s="223"/>
      <c r="AO33" s="103"/>
      <c r="AP33" s="157" t="n">
        <f aca="false">I33-Q33-R33-X33-AF33</f>
        <v>261.16074416</v>
      </c>
      <c r="AQ33" s="158" t="n">
        <f aca="false">23.894*(Z33*1.9835+AC33*1.9835)/E33</f>
        <v>7.6747733673218</v>
      </c>
      <c r="AR33" s="158"/>
      <c r="AS33" s="107"/>
      <c r="AT33" s="11" t="n">
        <v>0</v>
      </c>
      <c r="AU33" s="1"/>
      <c r="AV33" s="108" t="n">
        <v>0</v>
      </c>
      <c r="AW33" s="150" t="n">
        <v>64</v>
      </c>
      <c r="AX33" s="109" t="n">
        <v>33</v>
      </c>
      <c r="AY33" s="149"/>
      <c r="AZ33" s="263" t="n">
        <f aca="false">SUM(N33,P33:U33)</f>
        <v>4.67164003484477</v>
      </c>
      <c r="BA33" s="0" t="n">
        <v>0</v>
      </c>
      <c r="BB33" s="149" t="n">
        <v>19119</v>
      </c>
    </row>
    <row r="34" customFormat="false" ht="12.95" hidden="false" customHeight="true" outlineLevel="0" collapsed="false">
      <c r="A34" s="10" t="n">
        <f aca="false">A33+1</f>
        <v>20</v>
      </c>
      <c r="B34" s="367" t="n">
        <v>6877.07</v>
      </c>
      <c r="C34" s="100" t="n">
        <v>207508</v>
      </c>
      <c r="D34" s="109" t="n">
        <f aca="false">C34-C33</f>
        <v>262</v>
      </c>
      <c r="E34" s="100" t="n">
        <f aca="false">C34-152000</f>
        <v>55508</v>
      </c>
      <c r="F34" s="151" t="n">
        <f aca="false">D34/$D$2</f>
        <v>132.089740357953</v>
      </c>
      <c r="G34" s="142" t="n">
        <v>322</v>
      </c>
      <c r="H34" s="142" t="n">
        <v>1.21</v>
      </c>
      <c r="I34" s="142" t="n">
        <f aca="false">G34+H34</f>
        <v>323.21</v>
      </c>
      <c r="J34" s="375" t="n">
        <f aca="false">IF(L34&gt;0,L34,0)</f>
        <v>0</v>
      </c>
      <c r="K34" s="142" t="n">
        <f aca="false">I34+J34</f>
        <v>323.21</v>
      </c>
      <c r="L34" s="142" t="n">
        <f aca="false">F34-(I34-AK34)</f>
        <v>-12.6202596420469</v>
      </c>
      <c r="M34" s="145" t="n">
        <v>129</v>
      </c>
      <c r="N34" s="171" t="n">
        <v>0</v>
      </c>
      <c r="O34" s="376" t="n">
        <f aca="false">41.1*1.05</f>
        <v>43.155</v>
      </c>
      <c r="P34" s="89" t="n">
        <v>0</v>
      </c>
      <c r="Q34" s="346" t="n">
        <f aca="false">1079300/325851/1.9835*1.02</f>
        <v>1.70329976256072</v>
      </c>
      <c r="R34" s="139" t="n">
        <f aca="false">(2.8*1.04)-T34</f>
        <v>2.10625584</v>
      </c>
      <c r="S34" s="139" t="n">
        <v>0</v>
      </c>
      <c r="T34" s="139" t="n">
        <f aca="false">(0.7309*1.06)*1.04</f>
        <v>0.80574416</v>
      </c>
      <c r="U34" s="365" t="n">
        <v>0</v>
      </c>
      <c r="V34" s="142" t="n">
        <v>0</v>
      </c>
      <c r="W34" s="142" t="n">
        <v>15.9</v>
      </c>
      <c r="X34" s="143" t="n">
        <f aca="false">M34-N34-O34-P34-Q34-R34-S34-T34-U34+V34+W34-AT34</f>
        <v>97.1297002374393</v>
      </c>
      <c r="Y34" s="143" t="n">
        <f aca="false">X34-AO34</f>
        <v>97.1297002374393</v>
      </c>
      <c r="Z34" s="114" t="n">
        <f aca="false">Z33+AP34</f>
        <v>7501.2117808</v>
      </c>
      <c r="AA34" s="143"/>
      <c r="AB34" s="114" t="n">
        <f aca="false">AB33+(Y34+AP34)*1.9835</f>
        <v>15663.3490726042</v>
      </c>
      <c r="AC34" s="114" t="n">
        <f aca="false">AC33-(AQ33/1.9835)</f>
        <v>1661.82832606481</v>
      </c>
      <c r="AD34" s="103"/>
      <c r="AE34" s="142" t="n">
        <v>12.6</v>
      </c>
      <c r="AF34" s="145" t="n">
        <v>1.7</v>
      </c>
      <c r="AG34" s="146" t="n">
        <v>1.3</v>
      </c>
      <c r="AH34" s="142" t="n">
        <v>21</v>
      </c>
      <c r="AI34" s="85" t="n">
        <f aca="false">AI33-AH34</f>
        <v>15552.2578774893</v>
      </c>
      <c r="AJ34" s="103"/>
      <c r="AK34" s="142" t="n">
        <f aca="false">N34+O34+P34+Q34+R34+S34+T34+U34+X34+AE34+AH34</f>
        <v>178.5</v>
      </c>
      <c r="AL34" s="142" t="n">
        <f aca="false">IF(L34&lt;0,L34*-1,0)</f>
        <v>12.6202596420469</v>
      </c>
      <c r="AM34" s="376" t="n">
        <f aca="false">AK34+AL34</f>
        <v>191.120259642047</v>
      </c>
      <c r="AN34" s="223"/>
      <c r="AO34" s="103"/>
      <c r="AP34" s="157" t="n">
        <f aca="false">I34-Q34-R34-X34-AF34</f>
        <v>220.57074416</v>
      </c>
      <c r="AQ34" s="158" t="n">
        <f aca="false">21.86*(Z34*1.9835+AC34*1.9835)/E34</f>
        <v>7.15758262837761</v>
      </c>
      <c r="AR34" s="158"/>
      <c r="AS34" s="107"/>
      <c r="AT34" s="11" t="n">
        <v>0</v>
      </c>
      <c r="AU34" s="1"/>
      <c r="AV34" s="108" t="n">
        <v>0</v>
      </c>
      <c r="AW34" s="150" t="n">
        <v>65</v>
      </c>
      <c r="AX34" s="109" t="n">
        <v>34</v>
      </c>
      <c r="AY34" s="149"/>
      <c r="AZ34" s="263" t="n">
        <f aca="false">SUM(N34,P34:U34)</f>
        <v>4.61529976256072</v>
      </c>
      <c r="BA34" s="0" t="n">
        <v>0</v>
      </c>
      <c r="BB34" s="149" t="n">
        <v>19164</v>
      </c>
    </row>
    <row r="35" customFormat="false" ht="12.95" hidden="false" customHeight="true" outlineLevel="0" collapsed="false">
      <c r="A35" s="10" t="n">
        <f aca="false">A34+1</f>
        <v>21</v>
      </c>
      <c r="B35" s="367" t="n">
        <v>6877.14</v>
      </c>
      <c r="C35" s="100" t="n">
        <v>207712</v>
      </c>
      <c r="D35" s="109" t="n">
        <f aca="false">C35-C34</f>
        <v>204</v>
      </c>
      <c r="E35" s="100" t="n">
        <f aca="false">C35-152000</f>
        <v>55712</v>
      </c>
      <c r="F35" s="151" t="n">
        <f aca="false">D35/$D$2</f>
        <v>102.84850012604</v>
      </c>
      <c r="G35" s="142" t="n">
        <v>292</v>
      </c>
      <c r="H35" s="142" t="n">
        <v>1.11</v>
      </c>
      <c r="I35" s="142" t="n">
        <f aca="false">G35+H35</f>
        <v>293.11</v>
      </c>
      <c r="J35" s="375" t="n">
        <f aca="false">IF(L35&gt;0,L35,0)</f>
        <v>1.79850012603978</v>
      </c>
      <c r="K35" s="142" t="n">
        <f aca="false">I35+J35</f>
        <v>294.90850012604</v>
      </c>
      <c r="L35" s="142" t="n">
        <f aca="false">F35-(I35-AK35)</f>
        <v>1.79850012603978</v>
      </c>
      <c r="M35" s="145" t="n">
        <v>150</v>
      </c>
      <c r="N35" s="171" t="n">
        <v>0</v>
      </c>
      <c r="O35" s="376" t="n">
        <f aca="false">63.1*1.05</f>
        <v>66.255</v>
      </c>
      <c r="P35" s="89" t="n">
        <v>0</v>
      </c>
      <c r="Q35" s="346" t="n">
        <f aca="false">1282600/325851/1.9835*1.02</f>
        <v>2.02413812235744</v>
      </c>
      <c r="R35" s="139" t="n">
        <f aca="false">(2.7*1.04)-T35</f>
        <v>2.00225584</v>
      </c>
      <c r="S35" s="139" t="n">
        <v>0</v>
      </c>
      <c r="T35" s="139" t="n">
        <f aca="false">(0.7309*1.06)*1.04</f>
        <v>0.80574416</v>
      </c>
      <c r="U35" s="365" t="n">
        <v>0</v>
      </c>
      <c r="V35" s="142" t="n">
        <v>0</v>
      </c>
      <c r="W35" s="142" t="n">
        <v>15.2</v>
      </c>
      <c r="X35" s="143" t="n">
        <f aca="false">M35-N35-O35-P35-Q35-R35-S35-T35-U35+V35+W35-AT35</f>
        <v>94.1128618776425</v>
      </c>
      <c r="Y35" s="143" t="n">
        <f aca="false">X35-AO35</f>
        <v>94.1128618776425</v>
      </c>
      <c r="Z35" s="114" t="n">
        <f aca="false">Z34+AP35</f>
        <v>7694.48252496</v>
      </c>
      <c r="AA35" s="143"/>
      <c r="AB35" s="114" t="n">
        <f aca="false">AB34+(Y35+AP35)*1.9835</f>
        <v>16233.3744551799</v>
      </c>
      <c r="AC35" s="114" t="n">
        <f aca="false">AC34-(AQ34/1.9835)</f>
        <v>1658.21976411453</v>
      </c>
      <c r="AD35" s="103"/>
      <c r="AE35" s="142" t="n">
        <v>5.76</v>
      </c>
      <c r="AF35" s="145" t="n">
        <v>1.7</v>
      </c>
      <c r="AG35" s="146" t="n">
        <v>1.3</v>
      </c>
      <c r="AH35" s="142" t="n">
        <v>21.1</v>
      </c>
      <c r="AI35" s="85" t="n">
        <f aca="false">AI34-AH35</f>
        <v>15531.1578774893</v>
      </c>
      <c r="AJ35" s="103"/>
      <c r="AK35" s="142" t="n">
        <f aca="false">N35+O35+P35+Q35+R35+S35+T35+U35+X35+AE35+AH35</f>
        <v>192.06</v>
      </c>
      <c r="AL35" s="142" t="n">
        <f aca="false">IF(L35&lt;0,L35*-1,0)</f>
        <v>0</v>
      </c>
      <c r="AM35" s="376" t="n">
        <f aca="false">AK35+AL35</f>
        <v>192.06</v>
      </c>
      <c r="AN35" s="223"/>
      <c r="AO35" s="103"/>
      <c r="AP35" s="157" t="n">
        <f aca="false">I35-Q35-R35-X35-AF35</f>
        <v>193.27074416</v>
      </c>
      <c r="AQ35" s="158" t="n">
        <f aca="false">32.028*(Z35*1.9835+AC35*1.9835)/E35</f>
        <v>10.6647427856094</v>
      </c>
      <c r="AR35" s="158"/>
      <c r="AS35" s="107"/>
      <c r="AT35" s="11" t="n">
        <v>0</v>
      </c>
      <c r="AU35" s="1"/>
      <c r="AV35" s="108" t="n">
        <v>0</v>
      </c>
      <c r="AW35" s="109" t="n">
        <v>72</v>
      </c>
      <c r="AX35" s="109" t="n">
        <v>34</v>
      </c>
      <c r="AY35" s="149"/>
      <c r="AZ35" s="263" t="n">
        <f aca="false">SUM(N35,P35:U35)</f>
        <v>4.83213812235744</v>
      </c>
      <c r="BA35" s="0" t="n">
        <v>0</v>
      </c>
      <c r="BB35" s="149" t="n">
        <v>19242</v>
      </c>
    </row>
    <row r="36" customFormat="false" ht="12.95" hidden="false" customHeight="true" outlineLevel="0" collapsed="false">
      <c r="A36" s="10" t="n">
        <f aca="false">A35+1</f>
        <v>22</v>
      </c>
      <c r="B36" s="367" t="n">
        <v>6877.16</v>
      </c>
      <c r="C36" s="100" t="n">
        <v>207771</v>
      </c>
      <c r="D36" s="109" t="n">
        <f aca="false">C36-C35</f>
        <v>59</v>
      </c>
      <c r="E36" s="100" t="n">
        <f aca="false">C36-152000</f>
        <v>55771</v>
      </c>
      <c r="F36" s="151" t="n">
        <f aca="false">D36/$D$2</f>
        <v>29.7453995462566</v>
      </c>
      <c r="G36" s="142" t="n">
        <v>284</v>
      </c>
      <c r="H36" s="142" t="n">
        <v>1.1</v>
      </c>
      <c r="I36" s="142" t="n">
        <f aca="false">G36+H36</f>
        <v>285.1</v>
      </c>
      <c r="J36" s="375" t="n">
        <f aca="false">IF(L36&gt;0,L36,0)</f>
        <v>0</v>
      </c>
      <c r="K36" s="142" t="n">
        <f aca="false">I36+J36</f>
        <v>285.1</v>
      </c>
      <c r="L36" s="142" t="n">
        <f aca="false">F36-(I36-AK36)</f>
        <v>-35.2546004537434</v>
      </c>
      <c r="M36" s="145" t="n">
        <v>158</v>
      </c>
      <c r="N36" s="171" t="n">
        <v>0</v>
      </c>
      <c r="O36" s="376" t="n">
        <f aca="false">59.4*1.05</f>
        <v>62.37</v>
      </c>
      <c r="P36" s="89" t="n">
        <v>0</v>
      </c>
      <c r="Q36" s="346" t="n">
        <f aca="false">1245500/325851/1.9835*1.02</f>
        <v>1.96558867253718</v>
      </c>
      <c r="R36" s="139" t="n">
        <f aca="false">(2.8*1.04)-T36</f>
        <v>2.10625584</v>
      </c>
      <c r="S36" s="139" t="n">
        <v>0</v>
      </c>
      <c r="T36" s="139" t="n">
        <f aca="false">(0.7309*1.06)*1.04</f>
        <v>0.80574416</v>
      </c>
      <c r="U36" s="365" t="n">
        <v>0</v>
      </c>
      <c r="V36" s="142" t="n">
        <v>0</v>
      </c>
      <c r="W36" s="142" t="n">
        <v>15.1</v>
      </c>
      <c r="X36" s="143" t="n">
        <f aca="false">M36-N36-O36-P36-Q36-R36-S36-T36-U36+V36+W36-AT36</f>
        <v>105.852411327463</v>
      </c>
      <c r="Y36" s="143" t="n">
        <f aca="false">X36-AO36</f>
        <v>105.852411327463</v>
      </c>
      <c r="Z36" s="114" t="n">
        <f aca="false">Z35+AP36</f>
        <v>7867.95826912</v>
      </c>
      <c r="AA36" s="143"/>
      <c r="AB36" s="114" t="n">
        <f aca="false">AB35+(Y36+AP36)*1.9835</f>
        <v>16787.4218515893</v>
      </c>
      <c r="AC36" s="114" t="n">
        <f aca="false">AC35-(AQ35/1.9835)</f>
        <v>1652.84303470409</v>
      </c>
      <c r="AD36" s="103"/>
      <c r="AE36" s="142" t="n">
        <v>25.8</v>
      </c>
      <c r="AF36" s="145" t="n">
        <v>1.7</v>
      </c>
      <c r="AG36" s="146" t="n">
        <v>1.3</v>
      </c>
      <c r="AH36" s="142" t="n">
        <v>21.2</v>
      </c>
      <c r="AI36" s="85" t="n">
        <f aca="false">AI35-AH36</f>
        <v>15509.9578774893</v>
      </c>
      <c r="AJ36" s="103"/>
      <c r="AK36" s="142" t="n">
        <f aca="false">N36+O36+P36+Q36+R36+S36+T36+U36+X36+AE36+AH36</f>
        <v>220.1</v>
      </c>
      <c r="AL36" s="142" t="n">
        <f aca="false">IF(L36&lt;0,L36*-1,0)</f>
        <v>35.2546004537434</v>
      </c>
      <c r="AM36" s="376" t="n">
        <f aca="false">AK36+AL36</f>
        <v>255.354600453743</v>
      </c>
      <c r="AN36" s="223"/>
      <c r="AO36" s="103"/>
      <c r="AP36" s="157" t="n">
        <f aca="false">I36-Q36-R36-X36-AF36</f>
        <v>173.47574416</v>
      </c>
      <c r="AQ36" s="158" t="n">
        <f aca="false">36.772*(Z36*1.9835+AC36*1.9835)/E36</f>
        <v>12.4512951022388</v>
      </c>
      <c r="AR36" s="158"/>
      <c r="AS36" s="107"/>
      <c r="AT36" s="11" t="n">
        <v>0</v>
      </c>
      <c r="AU36" s="1"/>
      <c r="AV36" s="108" t="n">
        <v>0</v>
      </c>
      <c r="AW36" s="109" t="n">
        <v>69</v>
      </c>
      <c r="AX36" s="109" t="n">
        <v>40</v>
      </c>
      <c r="AY36" s="149"/>
      <c r="AZ36" s="263" t="n">
        <f aca="false">SUM(N36,P36:U36)</f>
        <v>4.87758867253718</v>
      </c>
      <c r="BA36" s="0" t="n">
        <v>0</v>
      </c>
      <c r="BB36" s="149" t="n">
        <v>19395</v>
      </c>
    </row>
    <row r="37" customFormat="false" ht="12.95" hidden="false" customHeight="true" outlineLevel="0" collapsed="false">
      <c r="A37" s="10" t="n">
        <f aca="false">A36+1</f>
        <v>23</v>
      </c>
      <c r="B37" s="367" t="n">
        <v>6877.19</v>
      </c>
      <c r="C37" s="100" t="n">
        <v>207859</v>
      </c>
      <c r="D37" s="109" t="n">
        <f aca="false">C37-C36</f>
        <v>88</v>
      </c>
      <c r="E37" s="100" t="n">
        <f aca="false">C37-152000</f>
        <v>55859</v>
      </c>
      <c r="F37" s="151" t="n">
        <f aca="false">D37/$D$2</f>
        <v>44.3660196622133</v>
      </c>
      <c r="G37" s="142" t="n">
        <v>279</v>
      </c>
      <c r="H37" s="142" t="n">
        <v>1.01</v>
      </c>
      <c r="I37" s="142" t="n">
        <f aca="false">G37+H37</f>
        <v>280.01</v>
      </c>
      <c r="J37" s="375" t="n">
        <f aca="false">IF(L37&gt;0,L37,0)</f>
        <v>0</v>
      </c>
      <c r="K37" s="142" t="n">
        <f aca="false">I37+J37</f>
        <v>280.01</v>
      </c>
      <c r="L37" s="142" t="n">
        <f aca="false">F37-(I37-AK37)</f>
        <v>-18.3439803377867</v>
      </c>
      <c r="M37" s="145" t="n">
        <v>176</v>
      </c>
      <c r="N37" s="171" t="n">
        <v>0</v>
      </c>
      <c r="O37" s="376" t="n">
        <f aca="false">50.3*1.05</f>
        <v>52.815</v>
      </c>
      <c r="P37" s="89" t="n">
        <v>0</v>
      </c>
      <c r="Q37" s="346" t="n">
        <f aca="false">1223800/325851/1.9835*1.02</f>
        <v>1.93134276792533</v>
      </c>
      <c r="R37" s="139" t="n">
        <f aca="false">(2.7*1.04)-T37</f>
        <v>2.00225584</v>
      </c>
      <c r="S37" s="139" t="n">
        <v>0</v>
      </c>
      <c r="T37" s="139" t="n">
        <f aca="false">(0.7309*1.06)*1.04</f>
        <v>0.80574416</v>
      </c>
      <c r="U37" s="365" t="n">
        <v>0</v>
      </c>
      <c r="V37" s="142" t="n">
        <v>0</v>
      </c>
      <c r="W37" s="142" t="n">
        <v>19.9</v>
      </c>
      <c r="X37" s="143" t="n">
        <f aca="false">M37-N37-O37-P37-Q37-R37-S37-T37-U37+V37+W37-AT37</f>
        <v>138.345657232075</v>
      </c>
      <c r="Y37" s="143" t="n">
        <f aca="false">X37-AO37</f>
        <v>138.345657232075</v>
      </c>
      <c r="Z37" s="114" t="n">
        <f aca="false">Z36+AP37</f>
        <v>8003.98901328</v>
      </c>
      <c r="AA37" s="143"/>
      <c r="AB37" s="114" t="n">
        <f aca="false">AB36+(Y37+AP37)*1.9835</f>
        <v>17331.6474437505</v>
      </c>
      <c r="AC37" s="114" t="n">
        <f aca="false">AC36-(AQ36/1.9835)</f>
        <v>1646.56559830266</v>
      </c>
      <c r="AD37" s="103"/>
      <c r="AE37" s="142" t="n">
        <v>0</v>
      </c>
      <c r="AF37" s="145" t="n">
        <v>1.7</v>
      </c>
      <c r="AG37" s="146" t="n">
        <v>1.3</v>
      </c>
      <c r="AH37" s="142" t="n">
        <v>21.4</v>
      </c>
      <c r="AI37" s="85" t="n">
        <f aca="false">AI36-AH37</f>
        <v>15488.5578774893</v>
      </c>
      <c r="AJ37" s="103"/>
      <c r="AK37" s="142" t="n">
        <f aca="false">N37+O37+P37+Q37+R37+S37+T37+U37+X37+AE37+AH37</f>
        <v>217.3</v>
      </c>
      <c r="AL37" s="142" t="n">
        <f aca="false">IF(L37&lt;0,L37*-1,0)</f>
        <v>18.3439803377867</v>
      </c>
      <c r="AM37" s="376" t="n">
        <f aca="false">AK37+AL37</f>
        <v>235.643980337787</v>
      </c>
      <c r="AN37" s="223"/>
      <c r="AO37" s="103"/>
      <c r="AP37" s="157" t="n">
        <f aca="false">I37-Q37-R37-X37-AF37</f>
        <v>136.03074416</v>
      </c>
      <c r="AQ37" s="158" t="n">
        <f aca="false">34.061*(Z37*1.9835+AC37*1.9835)/E37</f>
        <v>11.6720923544983</v>
      </c>
      <c r="AR37" s="158"/>
      <c r="AS37" s="107"/>
      <c r="AT37" s="11" t="n">
        <v>0</v>
      </c>
      <c r="AU37" s="1"/>
      <c r="AV37" s="108" t="n">
        <v>0</v>
      </c>
      <c r="AW37" s="109" t="n">
        <v>67</v>
      </c>
      <c r="AX37" s="150" t="n">
        <v>37</v>
      </c>
      <c r="AY37" s="149"/>
      <c r="AZ37" s="263" t="n">
        <f aca="false">SUM(N37,P37:U37)</f>
        <v>4.73934276792533</v>
      </c>
      <c r="BA37" s="0" t="n">
        <v>0</v>
      </c>
      <c r="BB37" s="149" t="n">
        <v>19724</v>
      </c>
    </row>
    <row r="38" customFormat="false" ht="12.95" hidden="false" customHeight="true" outlineLevel="0" collapsed="false">
      <c r="A38" s="10" t="n">
        <f aca="false">A37+1</f>
        <v>24</v>
      </c>
      <c r="B38" s="367" t="n">
        <v>6877.21</v>
      </c>
      <c r="C38" s="100" t="n">
        <v>207917</v>
      </c>
      <c r="D38" s="109" t="n">
        <f aca="false">C38-C37</f>
        <v>58</v>
      </c>
      <c r="E38" s="100" t="n">
        <f aca="false">C38-152000</f>
        <v>55917</v>
      </c>
      <c r="F38" s="151" t="n">
        <f aca="false">D38/$D$2</f>
        <v>29.2412402319133</v>
      </c>
      <c r="G38" s="142" t="n">
        <v>272</v>
      </c>
      <c r="H38" s="142" t="n">
        <v>0.959</v>
      </c>
      <c r="I38" s="142" t="n">
        <f aca="false">G38+H38</f>
        <v>272.959</v>
      </c>
      <c r="J38" s="375" t="n">
        <f aca="false">IF(L38&gt;0,L38,0)</f>
        <v>0</v>
      </c>
      <c r="K38" s="142" t="n">
        <f aca="false">I38+J38</f>
        <v>272.959</v>
      </c>
      <c r="L38" s="142" t="n">
        <f aca="false">F38-(I38-AK38)</f>
        <v>-14.7777597680867</v>
      </c>
      <c r="M38" s="145" t="n">
        <v>176</v>
      </c>
      <c r="N38" s="171" t="n">
        <v>0</v>
      </c>
      <c r="O38" s="376" t="n">
        <f aca="false">61.6*1.05</f>
        <v>64.68</v>
      </c>
      <c r="P38" s="89" t="n">
        <v>0</v>
      </c>
      <c r="Q38" s="346" t="n">
        <f aca="false">964200/325851/1.9835*1.02</f>
        <v>1.52165443441216</v>
      </c>
      <c r="R38" s="139" t="n">
        <f aca="false">(2.9*1.04)-T38</f>
        <v>2.23583152</v>
      </c>
      <c r="S38" s="139" t="n">
        <v>0</v>
      </c>
      <c r="T38" s="139" t="n">
        <f aca="false">(0.7077*1.06)*1.04</f>
        <v>0.78016848</v>
      </c>
      <c r="U38" s="365" t="n">
        <v>0</v>
      </c>
      <c r="V38" s="142" t="n">
        <v>0</v>
      </c>
      <c r="W38" s="142" t="n">
        <v>25.1</v>
      </c>
      <c r="X38" s="143" t="n">
        <f aca="false">M38-N38-O38-P38-Q38-R38-S38-T38-U38+V38+W38-AT38</f>
        <v>131.882345565588</v>
      </c>
      <c r="Y38" s="143" t="n">
        <f aca="false">X38-AO38</f>
        <v>131.882345565588</v>
      </c>
      <c r="Z38" s="114" t="n">
        <f aca="false">Z37+AP38</f>
        <v>8139.60818176</v>
      </c>
      <c r="AA38" s="143"/>
      <c r="AB38" s="114" t="n">
        <f aca="false">AB37+(Y38+AP38)*1.9835</f>
        <v>17862.2366968599</v>
      </c>
      <c r="AC38" s="114" t="n">
        <f aca="false">AC37-(AQ37/1.9835)</f>
        <v>1640.68100422426</v>
      </c>
      <c r="AD38" s="103"/>
      <c r="AE38" s="142" t="n">
        <v>6.34</v>
      </c>
      <c r="AF38" s="145" t="n">
        <v>1.7</v>
      </c>
      <c r="AG38" s="146" t="n">
        <v>1.3</v>
      </c>
      <c r="AH38" s="142" t="n">
        <v>21.5</v>
      </c>
      <c r="AI38" s="85" t="n">
        <f aca="false">AI37-AH38</f>
        <v>15467.0578774893</v>
      </c>
      <c r="AJ38" s="103"/>
      <c r="AK38" s="142" t="n">
        <f aca="false">N38+O38+P38+Q38+R38+S38+T38+U38+X38+AE38+AH38</f>
        <v>228.94</v>
      </c>
      <c r="AL38" s="142" t="n">
        <f aca="false">IF(L38&lt;0,L38*-1,0)</f>
        <v>14.7777597680867</v>
      </c>
      <c r="AM38" s="376" t="n">
        <f aca="false">AK38+AL38</f>
        <v>243.717759768087</v>
      </c>
      <c r="AN38" s="223"/>
      <c r="AO38" s="103"/>
      <c r="AP38" s="157" t="n">
        <f aca="false">I38-Q38-R38-X38-AF38</f>
        <v>135.61916848</v>
      </c>
      <c r="AQ38" s="158" t="n">
        <f aca="false">27.283*(Z38*1.9835+AC38*1.9835)/E38</f>
        <v>9.46525156624474</v>
      </c>
      <c r="AR38" s="158"/>
      <c r="AS38" s="107"/>
      <c r="AT38" s="11" t="n">
        <v>0</v>
      </c>
      <c r="AU38" s="1"/>
      <c r="AV38" s="108" t="n">
        <v>0</v>
      </c>
      <c r="AW38" s="109" t="n">
        <v>63</v>
      </c>
      <c r="AX38" s="150" t="n">
        <v>37</v>
      </c>
      <c r="AY38" s="149"/>
      <c r="AZ38" s="263" t="n">
        <f aca="false">SUM(N38,P38:U38)</f>
        <v>4.53765443441216</v>
      </c>
      <c r="BA38" s="0" t="n">
        <v>0</v>
      </c>
      <c r="BB38" s="149" t="n">
        <v>19549</v>
      </c>
    </row>
    <row r="39" customFormat="false" ht="12.95" hidden="false" customHeight="true" outlineLevel="0" collapsed="false">
      <c r="A39" s="10" t="n">
        <f aca="false">A38+1</f>
        <v>25</v>
      </c>
      <c r="B39" s="367" t="n">
        <v>6877.21</v>
      </c>
      <c r="C39" s="100" t="n">
        <v>207917</v>
      </c>
      <c r="D39" s="109" t="n">
        <f aca="false">C39-C38</f>
        <v>0</v>
      </c>
      <c r="E39" s="100" t="n">
        <f aca="false">C39-152000</f>
        <v>55917</v>
      </c>
      <c r="F39" s="151" t="n">
        <f aca="false">D39/$D$2</f>
        <v>0</v>
      </c>
      <c r="G39" s="142" t="n">
        <v>282</v>
      </c>
      <c r="H39" s="142" t="n">
        <v>1.19</v>
      </c>
      <c r="I39" s="142" t="n">
        <f aca="false">G39+H39</f>
        <v>283.19</v>
      </c>
      <c r="J39" s="375" t="n">
        <f aca="false">IF(L39&gt;0,L39,0)</f>
        <v>0</v>
      </c>
      <c r="K39" s="142" t="n">
        <f aca="false">I39+J39</f>
        <v>283.19</v>
      </c>
      <c r="L39" s="142" t="n">
        <f aca="false">F39-(I39-AK39)</f>
        <v>-42.99</v>
      </c>
      <c r="M39" s="145" t="n">
        <v>175</v>
      </c>
      <c r="N39" s="171" t="n">
        <v>0</v>
      </c>
      <c r="O39" s="376" t="n">
        <f aca="false">61.2*1.05</f>
        <v>64.26</v>
      </c>
      <c r="P39" s="89" t="n">
        <v>0</v>
      </c>
      <c r="Q39" s="346" t="n">
        <f aca="false">1031900/325851/1.9835*1.02</f>
        <v>1.62849534419199</v>
      </c>
      <c r="R39" s="139" t="n">
        <f aca="false">(2.7*1.04)-T39</f>
        <v>2.02783152</v>
      </c>
      <c r="S39" s="139" t="n">
        <v>0</v>
      </c>
      <c r="T39" s="139" t="n">
        <f aca="false">(0.7077*1.06)*1.04</f>
        <v>0.78016848</v>
      </c>
      <c r="U39" s="365" t="n">
        <v>0</v>
      </c>
      <c r="V39" s="142" t="n">
        <v>0</v>
      </c>
      <c r="W39" s="142" t="n">
        <v>28.1</v>
      </c>
      <c r="X39" s="143" t="n">
        <f aca="false">M39-N39-O39-P39-Q39-R39-S39-T39-U39+V39+W39-AT39</f>
        <v>134.403504655808</v>
      </c>
      <c r="Y39" s="143" t="n">
        <f aca="false">X39-AO39</f>
        <v>134.403504655808</v>
      </c>
      <c r="Z39" s="114" t="n">
        <f aca="false">Z38+AP39</f>
        <v>8283.03835024</v>
      </c>
      <c r="AA39" s="143"/>
      <c r="AB39" s="114" t="n">
        <f aca="false">AB38+(Y39+AP39)*1.9835</f>
        <v>18413.3197875248</v>
      </c>
      <c r="AC39" s="114" t="n">
        <f aca="false">AC38-(AQ38/1.9835)</f>
        <v>1635.90900948453</v>
      </c>
      <c r="AD39" s="103"/>
      <c r="AE39" s="142" t="n">
        <v>15.4</v>
      </c>
      <c r="AF39" s="145" t="n">
        <v>1.7</v>
      </c>
      <c r="AG39" s="146" t="n">
        <v>1.3</v>
      </c>
      <c r="AH39" s="142" t="n">
        <v>21.7</v>
      </c>
      <c r="AI39" s="85" t="n">
        <f aca="false">AI38-AH39</f>
        <v>15445.3578774893</v>
      </c>
      <c r="AJ39" s="103"/>
      <c r="AK39" s="142" t="n">
        <f aca="false">N39+O39+P39+Q39+R39+S39+T39+U39+X39+AE39+AH39</f>
        <v>240.2</v>
      </c>
      <c r="AL39" s="142" t="n">
        <f aca="false">IF(L39&lt;0,L39*-1,0)</f>
        <v>42.99</v>
      </c>
      <c r="AM39" s="376" t="n">
        <f aca="false">AK39+AL39</f>
        <v>283.19</v>
      </c>
      <c r="AN39" s="223"/>
      <c r="AO39" s="103"/>
      <c r="AP39" s="157" t="n">
        <f aca="false">I39-Q39-R39-X39-AF39</f>
        <v>143.43016848</v>
      </c>
      <c r="AQ39" s="158" t="n">
        <f aca="false">0.678*(Z39*1.9835+AC39*1.9835)/E39</f>
        <v>0.238552307092176</v>
      </c>
      <c r="AR39" s="158"/>
      <c r="AS39" s="107"/>
      <c r="AT39" s="11" t="n">
        <v>0</v>
      </c>
      <c r="AU39" s="1"/>
      <c r="AV39" s="108" t="n">
        <v>0.13</v>
      </c>
      <c r="AW39" s="109" t="n">
        <v>59</v>
      </c>
      <c r="AX39" s="150" t="n">
        <v>39</v>
      </c>
      <c r="AY39" s="149"/>
      <c r="AZ39" s="263" t="n">
        <f aca="false">SUM(N39,P39:U39)</f>
        <v>4.43649534419199</v>
      </c>
      <c r="BA39" s="0" t="n">
        <v>0</v>
      </c>
      <c r="BB39" s="149" t="n">
        <v>19407</v>
      </c>
    </row>
    <row r="40" customFormat="false" ht="12.95" hidden="false" customHeight="true" outlineLevel="0" collapsed="false">
      <c r="A40" s="10" t="n">
        <f aca="false">A39+1</f>
        <v>26</v>
      </c>
      <c r="B40" s="367" t="n">
        <v>6877.35</v>
      </c>
      <c r="C40" s="100" t="n">
        <v>208326</v>
      </c>
      <c r="D40" s="109" t="n">
        <f aca="false">C40-C39</f>
        <v>409</v>
      </c>
      <c r="E40" s="100" t="n">
        <f aca="false">C40-152000</f>
        <v>56326</v>
      </c>
      <c r="F40" s="151" t="n">
        <f aca="false">D40/$D$2</f>
        <v>206.201159566423</v>
      </c>
      <c r="G40" s="142" t="n">
        <v>287</v>
      </c>
      <c r="H40" s="142" t="n">
        <v>2.06</v>
      </c>
      <c r="I40" s="142" t="n">
        <f aca="false">G40+H40</f>
        <v>289.06</v>
      </c>
      <c r="J40" s="375" t="n">
        <f aca="false">IF(L40&gt;0,L40,0)</f>
        <v>115.841159566423</v>
      </c>
      <c r="K40" s="142" t="n">
        <f aca="false">I40+J40</f>
        <v>404.901159566423</v>
      </c>
      <c r="L40" s="142" t="n">
        <f aca="false">F40-(I40-AK40)</f>
        <v>115.841159566423</v>
      </c>
      <c r="M40" s="145" t="n">
        <v>137</v>
      </c>
      <c r="N40" s="171" t="n">
        <v>0</v>
      </c>
      <c r="O40" s="4" t="n">
        <f aca="false">55.5*1.05</f>
        <v>58.275</v>
      </c>
      <c r="P40" s="89" t="n">
        <v>0</v>
      </c>
      <c r="Q40" s="346" t="n">
        <f aca="false">1068800/325851/1.9835*1.02</f>
        <v>1.68672916355499</v>
      </c>
      <c r="R40" s="139" t="n">
        <f aca="false">(2.6*1.04)-T40</f>
        <v>1.92383152</v>
      </c>
      <c r="S40" s="139" t="n">
        <v>0</v>
      </c>
      <c r="T40" s="139" t="n">
        <f aca="false">(0.7077*1.06)*1.04</f>
        <v>0.78016848</v>
      </c>
      <c r="U40" s="365" t="n">
        <v>0</v>
      </c>
      <c r="V40" s="142" t="n">
        <v>0</v>
      </c>
      <c r="W40" s="142" t="n">
        <v>27.3</v>
      </c>
      <c r="X40" s="143" t="n">
        <f aca="false">M40-N40-O40-P40-Q40-R40-S40-T40-U40+V40+W40-AT40</f>
        <v>101.634270836445</v>
      </c>
      <c r="Y40" s="143" t="n">
        <f aca="false">X40-AO40</f>
        <v>101.634270836445</v>
      </c>
      <c r="Z40" s="114" t="n">
        <f aca="false">Z39+AP40</f>
        <v>8465.15351872</v>
      </c>
      <c r="AA40" s="143"/>
      <c r="AB40" s="114" t="n">
        <f aca="false">AB39+(Y40+AP40)*1.9835</f>
        <v>18976.1368004089</v>
      </c>
      <c r="AC40" s="114" t="n">
        <f aca="false">AC39-(AQ39/1.9835)</f>
        <v>1635.78874111696</v>
      </c>
      <c r="AD40" s="103"/>
      <c r="AE40" s="142" t="n">
        <v>12.9</v>
      </c>
      <c r="AF40" s="145" t="n">
        <v>1.7</v>
      </c>
      <c r="AG40" s="146" t="n">
        <v>1.3</v>
      </c>
      <c r="AH40" s="142" t="n">
        <v>21.5</v>
      </c>
      <c r="AI40" s="85" t="n">
        <f aca="false">AI39-AH40</f>
        <v>15423.8578774893</v>
      </c>
      <c r="AJ40" s="103"/>
      <c r="AK40" s="142" t="n">
        <f aca="false">N40+O40+P40+Q40+R40+S40+T40+U40+X40+AE40+AH40</f>
        <v>198.7</v>
      </c>
      <c r="AL40" s="142" t="n">
        <f aca="false">IF(L40&lt;0,L40*-1,0)</f>
        <v>0</v>
      </c>
      <c r="AM40" s="376" t="n">
        <f aca="false">AK40+AL40</f>
        <v>198.7</v>
      </c>
      <c r="AN40" s="223"/>
      <c r="AO40" s="103"/>
      <c r="AP40" s="157" t="n">
        <f aca="false">I40-Q40-R40-X40-AF40</f>
        <v>182.11516848</v>
      </c>
      <c r="AQ40" s="158" t="n">
        <f aca="false">0*(Z40*1.9835+AC40*1.9835)/E40</f>
        <v>0</v>
      </c>
      <c r="AR40" s="158"/>
      <c r="AS40" s="107"/>
      <c r="AT40" s="4" t="n">
        <v>0</v>
      </c>
      <c r="AU40" s="1"/>
      <c r="AV40" s="108" t="n">
        <v>0.5</v>
      </c>
      <c r="AW40" s="109" t="n">
        <v>55</v>
      </c>
      <c r="AX40" s="109" t="n">
        <v>32</v>
      </c>
      <c r="AY40" s="149"/>
      <c r="AZ40" s="263" t="n">
        <f aca="false">SUM(N40,P40:U40)</f>
        <v>4.39072916355499</v>
      </c>
      <c r="BA40" s="0" t="n">
        <v>0</v>
      </c>
      <c r="BB40" s="149" t="n">
        <v>19446</v>
      </c>
    </row>
    <row r="41" customFormat="false" ht="12.95" hidden="false" customHeight="true" outlineLevel="0" collapsed="false">
      <c r="A41" s="10" t="n">
        <f aca="false">A40+1</f>
        <v>27</v>
      </c>
      <c r="B41" s="367" t="n">
        <v>6877.35</v>
      </c>
      <c r="C41" s="100" t="n">
        <v>208326</v>
      </c>
      <c r="D41" s="109" t="n">
        <f aca="false">C41-C40</f>
        <v>0</v>
      </c>
      <c r="E41" s="100" t="n">
        <f aca="false">C41-152000</f>
        <v>56326</v>
      </c>
      <c r="F41" s="151" t="n">
        <f aca="false">D41/$D$2</f>
        <v>0</v>
      </c>
      <c r="G41" s="142" t="n">
        <v>273</v>
      </c>
      <c r="H41" s="142" t="n">
        <v>1.77</v>
      </c>
      <c r="I41" s="142" t="n">
        <f aca="false">G41+H41</f>
        <v>274.77</v>
      </c>
      <c r="J41" s="375" t="n">
        <f aca="false">IF(L41&gt;0,L41,0)</f>
        <v>0</v>
      </c>
      <c r="K41" s="142" t="n">
        <f aca="false">I41+J41</f>
        <v>274.77</v>
      </c>
      <c r="L41" s="142" t="n">
        <f aca="false">F41-(I41-AK41)</f>
        <v>-45.27</v>
      </c>
      <c r="M41" s="145" t="n">
        <v>164</v>
      </c>
      <c r="N41" s="171" t="n">
        <v>0</v>
      </c>
      <c r="O41" s="376" t="n">
        <f aca="false">54.8*1.05</f>
        <v>57.54</v>
      </c>
      <c r="P41" s="89" t="n">
        <v>0</v>
      </c>
      <c r="Q41" s="346" t="n">
        <f aca="false">995400/325851/1.9835*1.02</f>
        <v>1.57089278574348</v>
      </c>
      <c r="R41" s="139" t="n">
        <f aca="false">(2.8*1.04)-T41</f>
        <v>2.13183152</v>
      </c>
      <c r="S41" s="139" t="n">
        <v>0</v>
      </c>
      <c r="T41" s="139" t="n">
        <f aca="false">(0.7077*1.06)*1.04</f>
        <v>0.78016848</v>
      </c>
      <c r="U41" s="365" t="n">
        <v>0</v>
      </c>
      <c r="V41" s="142" t="n">
        <v>0</v>
      </c>
      <c r="W41" s="142" t="n">
        <v>25.9</v>
      </c>
      <c r="X41" s="143" t="n">
        <f aca="false">M41-N41-O41-P41-Q41-R41-S41-T41-U41+V41+W41-AT41</f>
        <v>127.877107214257</v>
      </c>
      <c r="Y41" s="143" t="n">
        <f aca="false">X41-AO41</f>
        <v>127.877107214257</v>
      </c>
      <c r="Z41" s="114" t="n">
        <f aca="false">Z40+AP41</f>
        <v>8606.6436872</v>
      </c>
      <c r="AA41" s="143"/>
      <c r="AB41" s="114" t="n">
        <f aca="false">AB40+(Y41+AP41)*1.9835</f>
        <v>19510.4267917485</v>
      </c>
      <c r="AC41" s="114" t="n">
        <f aca="false">AC40-(AQ40/1.9835)</f>
        <v>1635.78874111696</v>
      </c>
      <c r="AD41" s="103"/>
      <c r="AE41" s="142" t="n">
        <v>18.6</v>
      </c>
      <c r="AF41" s="145" t="n">
        <v>1.7</v>
      </c>
      <c r="AG41" s="146" t="n">
        <v>1.3</v>
      </c>
      <c r="AH41" s="142" t="n">
        <v>21</v>
      </c>
      <c r="AI41" s="85" t="n">
        <f aca="false">AI40-AH41</f>
        <v>15402.8578774893</v>
      </c>
      <c r="AJ41" s="103"/>
      <c r="AK41" s="142" t="n">
        <f aca="false">N41+O41+P41+Q41+R41+S41+T41+U41+X41+AE41+AH41</f>
        <v>229.5</v>
      </c>
      <c r="AL41" s="142" t="n">
        <f aca="false">IF(L41&lt;0,L41*-1,0)</f>
        <v>45.27</v>
      </c>
      <c r="AM41" s="376" t="n">
        <f aca="false">AK41+AL41</f>
        <v>274.77</v>
      </c>
      <c r="AN41" s="223"/>
      <c r="AO41" s="103"/>
      <c r="AP41" s="157" t="n">
        <f aca="false">I41-Q41-R41-X41-AF41</f>
        <v>141.49016848</v>
      </c>
      <c r="AQ41" s="158" t="n">
        <f aca="false">22.03*(Z41*1.9835+AC41*1.9835)/E41</f>
        <v>7.94585981280606</v>
      </c>
      <c r="AR41" s="158"/>
      <c r="AS41" s="107"/>
      <c r="AT41" s="11" t="n">
        <v>0</v>
      </c>
      <c r="AU41" s="1"/>
      <c r="AV41" s="108" t="n">
        <v>0</v>
      </c>
      <c r="AW41" s="109" t="n">
        <v>67</v>
      </c>
      <c r="AX41" s="109" t="n">
        <v>36</v>
      </c>
      <c r="AY41" s="149"/>
      <c r="AZ41" s="263" t="n">
        <f aca="false">SUM(N41,P41:U41)</f>
        <v>4.48289278574349</v>
      </c>
      <c r="BA41" s="0" t="n">
        <v>0</v>
      </c>
      <c r="BB41" s="149" t="n">
        <v>19478</v>
      </c>
    </row>
    <row r="42" customFormat="false" ht="12.95" hidden="false" customHeight="true" outlineLevel="0" collapsed="false">
      <c r="A42" s="10" t="n">
        <f aca="false">A41+1</f>
        <v>28</v>
      </c>
      <c r="B42" s="367" t="n">
        <v>6877.38</v>
      </c>
      <c r="C42" s="100" t="n">
        <v>208414</v>
      </c>
      <c r="D42" s="109" t="n">
        <f aca="false">C42-C41</f>
        <v>88</v>
      </c>
      <c r="E42" s="100" t="n">
        <f aca="false">C42-152000</f>
        <v>56414</v>
      </c>
      <c r="F42" s="151" t="n">
        <f aca="false">D42/$D$2</f>
        <v>44.3660196622133</v>
      </c>
      <c r="G42" s="142" t="n">
        <v>280</v>
      </c>
      <c r="H42" s="142" t="n">
        <v>1.35</v>
      </c>
      <c r="I42" s="142" t="n">
        <f aca="false">G42+H42</f>
        <v>281.35</v>
      </c>
      <c r="J42" s="375" t="n">
        <f aca="false">IF(L42&gt;0,L42,0)</f>
        <v>21.4160196622132</v>
      </c>
      <c r="K42" s="142" t="n">
        <f aca="false">I42+J42</f>
        <v>302.766019662213</v>
      </c>
      <c r="L42" s="142" t="n">
        <f aca="false">F42-(I42-AK42)</f>
        <v>21.4160196622132</v>
      </c>
      <c r="M42" s="145" t="n">
        <v>176</v>
      </c>
      <c r="N42" s="171" t="n">
        <v>0</v>
      </c>
      <c r="O42" s="376" t="n">
        <f aca="false">54.1*1.05</f>
        <v>56.805</v>
      </c>
      <c r="P42" s="89" t="n">
        <v>0</v>
      </c>
      <c r="Q42" s="346" t="n">
        <f aca="false">1120900/325851/1.9835*1.02</f>
        <v>1.76895089766915</v>
      </c>
      <c r="R42" s="139" t="n">
        <f aca="false">(2.5*1.04)-T42</f>
        <v>1.81983152</v>
      </c>
      <c r="S42" s="139" t="n">
        <v>0</v>
      </c>
      <c r="T42" s="139" t="n">
        <f aca="false">(0.7077*1.06)*1.04</f>
        <v>0.78016848</v>
      </c>
      <c r="U42" s="365" t="n">
        <v>0</v>
      </c>
      <c r="V42" s="142" t="n">
        <v>0</v>
      </c>
      <c r="W42" s="142" t="n">
        <v>36.5</v>
      </c>
      <c r="X42" s="143" t="n">
        <f aca="false">M42-N42-O42-P42-Q42-R42-S42-T42-U42+V42+W42-AT42</f>
        <v>151.326049102331</v>
      </c>
      <c r="Y42" s="143" t="n">
        <f aca="false">X42-AO42</f>
        <v>151.326049102331</v>
      </c>
      <c r="Z42" s="114" t="n">
        <f aca="false">Z41+AP42</f>
        <v>8731.37885568</v>
      </c>
      <c r="AA42" s="143"/>
      <c r="AB42" s="114" t="n">
        <f aca="false">AB41+(Y42+AP42)*1.9835</f>
        <v>20057.994216823</v>
      </c>
      <c r="AC42" s="114" t="n">
        <f aca="false">AC41-(AQ41/1.9835)</f>
        <v>1631.78276188186</v>
      </c>
      <c r="AD42" s="103"/>
      <c r="AE42" s="142" t="n">
        <v>24.9</v>
      </c>
      <c r="AF42" s="145" t="n">
        <v>1.7</v>
      </c>
      <c r="AG42" s="146" t="n">
        <v>1.3</v>
      </c>
      <c r="AH42" s="142" t="n">
        <v>21</v>
      </c>
      <c r="AI42" s="85" t="n">
        <f aca="false">AI41-AH42</f>
        <v>15381.8578774893</v>
      </c>
      <c r="AJ42" s="103"/>
      <c r="AK42" s="142" t="n">
        <f aca="false">N42+O42+P42+Q42+R42+S42+T42+U42+X42+AE42+AH42</f>
        <v>258.4</v>
      </c>
      <c r="AL42" s="142" t="n">
        <f aca="false">IF(L42&lt;0,L42*-1,0)</f>
        <v>0</v>
      </c>
      <c r="AM42" s="376" t="n">
        <f aca="false">AK42+AL42</f>
        <v>258.4</v>
      </c>
      <c r="AN42" s="223"/>
      <c r="AO42" s="103"/>
      <c r="AP42" s="157" t="n">
        <f aca="false">I42-Q42-R42-X42-AF42</f>
        <v>124.73516848</v>
      </c>
      <c r="AQ42" s="158" t="n">
        <f aca="false">27.622*(Z42*1.9835+AC42*1.9835)/E42</f>
        <v>10.0645115533783</v>
      </c>
      <c r="AR42" s="158"/>
      <c r="AS42" s="107"/>
      <c r="AT42" s="11" t="n">
        <v>0</v>
      </c>
      <c r="AU42" s="1"/>
      <c r="AV42" s="108" t="n">
        <v>0</v>
      </c>
      <c r="AW42" s="109" t="n">
        <v>66</v>
      </c>
      <c r="AX42" s="109" t="n">
        <v>35</v>
      </c>
      <c r="AY42" s="149"/>
      <c r="AZ42" s="263" t="n">
        <f aca="false">SUM(N42,P42:U42)</f>
        <v>4.36895089766915</v>
      </c>
      <c r="BA42" s="0" t="n">
        <v>0</v>
      </c>
      <c r="BB42" s="149" t="n">
        <v>19519</v>
      </c>
    </row>
    <row r="43" customFormat="false" ht="12.95" hidden="false" customHeight="true" outlineLevel="0" collapsed="false">
      <c r="A43" s="10" t="n">
        <f aca="false">A42+1</f>
        <v>29</v>
      </c>
      <c r="B43" s="367" t="n">
        <v>6877.37</v>
      </c>
      <c r="C43" s="100" t="n">
        <v>208384</v>
      </c>
      <c r="D43" s="109" t="n">
        <f aca="false">C43-C42</f>
        <v>-30</v>
      </c>
      <c r="E43" s="100" t="n">
        <f aca="false">C43-152000</f>
        <v>56384</v>
      </c>
      <c r="F43" s="151" t="n">
        <f aca="false">D43/$D$2</f>
        <v>-15.1247794303</v>
      </c>
      <c r="G43" s="142" t="n">
        <v>301</v>
      </c>
      <c r="H43" s="142" t="n">
        <v>1.16</v>
      </c>
      <c r="I43" s="142" t="n">
        <f aca="false">G43+H43</f>
        <v>302.16</v>
      </c>
      <c r="J43" s="375" t="n">
        <f aca="false">IF(L43&gt;0,L43,0)</f>
        <v>0</v>
      </c>
      <c r="K43" s="142" t="n">
        <f aca="false">I43+J43</f>
        <v>302.16</v>
      </c>
      <c r="L43" s="142" t="n">
        <f aca="false">F43-(I43-AK43)</f>
        <v>-65.6847794303</v>
      </c>
      <c r="M43" s="145" t="n">
        <v>173</v>
      </c>
      <c r="N43" s="171" t="n">
        <v>0</v>
      </c>
      <c r="O43" s="376" t="n">
        <f aca="false">45.8*1.05</f>
        <v>48.09</v>
      </c>
      <c r="P43" s="89" t="n">
        <v>0</v>
      </c>
      <c r="Q43" s="346" t="n">
        <f aca="false">1216600/325851/1.9835*1.02</f>
        <v>1.91998007146426</v>
      </c>
      <c r="R43" s="139" t="n">
        <f aca="false">(2.9*1.04)-T43</f>
        <v>2.23583152</v>
      </c>
      <c r="S43" s="139" t="n">
        <v>0</v>
      </c>
      <c r="T43" s="139" t="n">
        <f aca="false">(0.7077*1.06)*1.04</f>
        <v>0.78016848</v>
      </c>
      <c r="U43" s="365" t="n">
        <v>0</v>
      </c>
      <c r="V43" s="142" t="n">
        <v>0</v>
      </c>
      <c r="W43" s="142" t="n">
        <v>42.1</v>
      </c>
      <c r="X43" s="143" t="n">
        <f aca="false">M43-N43-O43-P43-Q43-R43-S43-T43-U43+V43+W43-AT43</f>
        <v>162.074019928536</v>
      </c>
      <c r="Y43" s="143" t="n">
        <f aca="false">X43-AO43</f>
        <v>162.074019928536</v>
      </c>
      <c r="Z43" s="114" t="n">
        <f aca="false">Z42+AP43</f>
        <v>8865.60902416</v>
      </c>
      <c r="AA43" s="143"/>
      <c r="AB43" s="114" t="n">
        <f aca="false">AB42+(Y43+AP43)*1.9835</f>
        <v>20645.7135745314</v>
      </c>
      <c r="AC43" s="114" t="n">
        <f aca="false">AC42-(AQ42/1.9835)</f>
        <v>1626.70864463791</v>
      </c>
      <c r="AD43" s="103"/>
      <c r="AE43" s="142" t="n">
        <v>15.5</v>
      </c>
      <c r="AF43" s="145" t="n">
        <v>1.7</v>
      </c>
      <c r="AG43" s="146" t="n">
        <v>1.3</v>
      </c>
      <c r="AH43" s="142" t="n">
        <v>21</v>
      </c>
      <c r="AI43" s="85" t="n">
        <f aca="false">AI42-AH43</f>
        <v>15360.8578774893</v>
      </c>
      <c r="AJ43" s="103"/>
      <c r="AK43" s="142" t="n">
        <f aca="false">N43+O43+P43+Q43+R43+S43+T43+U43+X43+AE43+AH43</f>
        <v>251.6</v>
      </c>
      <c r="AL43" s="142" t="n">
        <f aca="false">IF(L43&lt;0,L43*-1,0)</f>
        <v>65.6847794303</v>
      </c>
      <c r="AM43" s="376" t="n">
        <f aca="false">AK43+AL43</f>
        <v>317.2847794303</v>
      </c>
      <c r="AN43" s="223"/>
      <c r="AO43" s="103"/>
      <c r="AP43" s="157" t="n">
        <f aca="false">I43-Q43-R43-X43-AF43</f>
        <v>134.23016848</v>
      </c>
      <c r="AQ43" s="158" t="n">
        <f aca="false">37.281*(Z43*1.9835+AC43*1.9835)/E43</f>
        <v>13.7605345923176</v>
      </c>
      <c r="AR43" s="158"/>
      <c r="AS43" s="107"/>
      <c r="AT43" s="11" t="n">
        <v>0</v>
      </c>
      <c r="AU43" s="1"/>
      <c r="AV43" s="108" t="n">
        <v>0</v>
      </c>
      <c r="AW43" s="150" t="n">
        <v>74</v>
      </c>
      <c r="AX43" s="109" t="n">
        <v>39</v>
      </c>
      <c r="AY43" s="149"/>
      <c r="AZ43" s="263" t="n">
        <f aca="false">SUM(N43,P43:U43)</f>
        <v>4.93598007146426</v>
      </c>
      <c r="BA43" s="0" t="n">
        <v>0</v>
      </c>
      <c r="BB43" s="149" t="n">
        <v>19561</v>
      </c>
    </row>
    <row r="44" customFormat="false" ht="12.95" hidden="false" customHeight="true" outlineLevel="0" collapsed="false">
      <c r="A44" s="10" t="n">
        <v>30</v>
      </c>
      <c r="B44" s="367" t="n">
        <v>6877.47</v>
      </c>
      <c r="C44" s="100" t="n">
        <v>208677</v>
      </c>
      <c r="D44" s="109" t="n">
        <f aca="false">C44-C43</f>
        <v>293</v>
      </c>
      <c r="E44" s="100" t="n">
        <f aca="false">C44-152000</f>
        <v>56677</v>
      </c>
      <c r="F44" s="151" t="n">
        <f aca="false">D44/$D$2</f>
        <v>147.718679102596</v>
      </c>
      <c r="G44" s="142" t="n">
        <v>396</v>
      </c>
      <c r="H44" s="142" t="n">
        <v>1.02</v>
      </c>
      <c r="I44" s="142" t="n">
        <f aca="false">G44+H44</f>
        <v>397.02</v>
      </c>
      <c r="J44" s="375" t="n">
        <f aca="false">IF(L44&gt;0,L44,0)</f>
        <v>53.3986791025965</v>
      </c>
      <c r="K44" s="142" t="n">
        <f aca="false">I44+J44</f>
        <v>450.418679102596</v>
      </c>
      <c r="L44" s="142" t="n">
        <f aca="false">F44-(I44-AK44)</f>
        <v>53.3986791025965</v>
      </c>
      <c r="M44" s="145" t="n">
        <v>192</v>
      </c>
      <c r="N44" s="171" t="n">
        <v>0</v>
      </c>
      <c r="O44" s="376" t="n">
        <f aca="false">51.1*1.05</f>
        <v>53.655</v>
      </c>
      <c r="P44" s="89" t="n">
        <v>0</v>
      </c>
      <c r="Q44" s="346" t="n">
        <f aca="false">1190900/325851/1.9835*1.02</f>
        <v>1.87942155770737</v>
      </c>
      <c r="R44" s="139" t="n">
        <f aca="false">(4.3*1.04)-T44</f>
        <v>3.69183152</v>
      </c>
      <c r="S44" s="139" t="n">
        <v>0</v>
      </c>
      <c r="T44" s="139" t="n">
        <f aca="false">(0.7077*1.06)*1.04</f>
        <v>0.78016848</v>
      </c>
      <c r="U44" s="365" t="n">
        <v>0</v>
      </c>
      <c r="V44" s="142" t="n">
        <v>0</v>
      </c>
      <c r="W44" s="142" t="n">
        <v>45</v>
      </c>
      <c r="X44" s="143" t="n">
        <f aca="false">M44-N44-O44-P44-Q44-R44-S44-T44-U44+V44+W44-AT44</f>
        <v>176.993578442293</v>
      </c>
      <c r="Y44" s="143" t="n">
        <f aca="false">X44-AO44</f>
        <v>176.993578442293</v>
      </c>
      <c r="Z44" s="114" t="n">
        <f aca="false">Z43+AP44</f>
        <v>9078.36419264</v>
      </c>
      <c r="AA44" s="143"/>
      <c r="AB44" s="114" t="n">
        <f aca="false">AB43+(Y44+AP44)*1.9835</f>
        <v>21418.7802140517</v>
      </c>
      <c r="AC44" s="114" t="n">
        <f aca="false">AC43-(AQ43/1.9835)</f>
        <v>1619.77114295285</v>
      </c>
      <c r="AD44" s="103"/>
      <c r="AE44" s="142" t="n">
        <v>44.7</v>
      </c>
      <c r="AF44" s="145" t="n">
        <v>1.7</v>
      </c>
      <c r="AG44" s="146" t="n">
        <v>1.3</v>
      </c>
      <c r="AH44" s="142" t="n">
        <v>21</v>
      </c>
      <c r="AI44" s="85" t="n">
        <f aca="false">AI43-AH44</f>
        <v>15339.8578774893</v>
      </c>
      <c r="AJ44" s="103"/>
      <c r="AK44" s="142" t="n">
        <f aca="false">N44+O44+P44+Q44+R44+S44+T44+U44+X44+AE44+AH44</f>
        <v>302.7</v>
      </c>
      <c r="AL44" s="142" t="n">
        <f aca="false">IF(L44&lt;0,L44*-1,0)</f>
        <v>0</v>
      </c>
      <c r="AM44" s="151" t="n">
        <f aca="false">AK44+AL44</f>
        <v>302.7</v>
      </c>
      <c r="AN44" s="223"/>
      <c r="AO44" s="103"/>
      <c r="AP44" s="157" t="n">
        <f aca="false">I44-Q44-R44-X44-AF44</f>
        <v>212.75516848</v>
      </c>
      <c r="AQ44" s="158" t="n">
        <f aca="false">51.176*(Z44*1.9835+AC44*1.9835)/E44</f>
        <v>19.1601884291456</v>
      </c>
      <c r="AR44" s="158"/>
      <c r="AS44" s="107"/>
      <c r="AT44" s="11" t="n">
        <v>0</v>
      </c>
      <c r="AU44" s="1"/>
      <c r="AV44" s="108" t="n">
        <v>0</v>
      </c>
      <c r="AW44" s="150" t="n">
        <v>78</v>
      </c>
      <c r="AX44" s="109" t="n">
        <v>40</v>
      </c>
      <c r="AY44" s="149"/>
      <c r="AZ44" s="263" t="n">
        <f aca="false">SUM(N44,P44:U44)</f>
        <v>6.35142155770737</v>
      </c>
      <c r="BA44" s="0" t="n">
        <v>0</v>
      </c>
      <c r="BB44" s="149" t="n">
        <v>19587</v>
      </c>
    </row>
    <row r="45" customFormat="false" ht="3" hidden="false" customHeight="true" outlineLevel="0" collapsed="false">
      <c r="A45" s="117"/>
      <c r="B45" s="378"/>
      <c r="C45" s="127"/>
      <c r="D45" s="124"/>
      <c r="E45" s="127"/>
      <c r="F45" s="153"/>
      <c r="G45" s="124"/>
      <c r="H45" s="124"/>
      <c r="I45" s="124"/>
      <c r="J45" s="124"/>
      <c r="K45" s="124"/>
      <c r="L45" s="124"/>
      <c r="M45" s="128"/>
      <c r="N45" s="124"/>
      <c r="O45" s="124"/>
      <c r="P45" s="372"/>
      <c r="Q45" s="372"/>
      <c r="R45" s="372"/>
      <c r="S45" s="372"/>
      <c r="T45" s="372"/>
      <c r="U45" s="373"/>
      <c r="V45" s="124"/>
      <c r="W45" s="124"/>
      <c r="X45" s="124"/>
      <c r="Y45" s="124"/>
      <c r="Z45" s="131"/>
      <c r="AA45" s="124"/>
      <c r="AB45" s="131"/>
      <c r="AC45" s="131"/>
      <c r="AD45" s="126"/>
      <c r="AE45" s="124"/>
      <c r="AF45" s="128"/>
      <c r="AG45" s="129"/>
      <c r="AH45" s="124"/>
      <c r="AI45" s="124"/>
      <c r="AJ45" s="126"/>
      <c r="AK45" s="124"/>
      <c r="AL45" s="124"/>
      <c r="AM45" s="153"/>
      <c r="AN45" s="127"/>
      <c r="AO45" s="126"/>
      <c r="AP45" s="131"/>
      <c r="AQ45" s="372"/>
      <c r="AR45" s="372"/>
      <c r="AS45" s="372"/>
      <c r="AT45" s="372"/>
      <c r="AU45" s="372"/>
      <c r="AV45" s="133"/>
      <c r="AW45" s="131"/>
      <c r="AX45" s="131"/>
      <c r="AY45" s="131"/>
      <c r="AZ45" s="131"/>
      <c r="BA45" s="131"/>
      <c r="BB45" s="131"/>
    </row>
    <row r="46" customFormat="false" ht="12.95" hidden="false" customHeight="true" outlineLevel="0" collapsed="false">
      <c r="A46" s="11" t="s">
        <v>104</v>
      </c>
      <c r="B46" s="364"/>
      <c r="C46" s="100"/>
      <c r="D46" s="100"/>
      <c r="E46" s="100"/>
      <c r="F46" s="156" t="n">
        <f aca="false">SUM(F15:F44)</f>
        <v>6706.32719939501</v>
      </c>
      <c r="G46" s="85" t="n">
        <f aca="false">SUM(G15:G44)</f>
        <v>11100</v>
      </c>
      <c r="H46" s="85" t="n">
        <f aca="false">SUM(H15:H44)</f>
        <v>48.359</v>
      </c>
      <c r="I46" s="85" t="n">
        <f aca="false">SUM(I15:I44)</f>
        <v>11148.359</v>
      </c>
      <c r="J46" s="85" t="n">
        <f aca="false">SUM(J15:J44)</f>
        <v>392.826604487018</v>
      </c>
      <c r="K46" s="85" t="n">
        <f aca="false">SUM(K15:K44)</f>
        <v>11541.185604487</v>
      </c>
      <c r="L46" s="85" t="n">
        <f aca="false">SUM(L15:L44)</f>
        <v>-58.4818006049914</v>
      </c>
      <c r="M46" s="104" t="n">
        <f aca="false">SUM(M15:M44)</f>
        <v>2995.91</v>
      </c>
      <c r="N46" s="100" t="n">
        <f aca="false">SUM(N15:N44)</f>
        <v>0</v>
      </c>
      <c r="O46" s="100" t="n">
        <f aca="false">SUM(O15:O44)</f>
        <v>1272.9087</v>
      </c>
      <c r="P46" s="89" t="n">
        <f aca="false">SUM(P15:P44)</f>
        <v>0</v>
      </c>
      <c r="Q46" s="100" t="n">
        <f aca="false">SUM(Q15:Q44)</f>
        <v>52.4459458531448</v>
      </c>
      <c r="R46" s="100" t="n">
        <f aca="false">SUM(R15:R44)</f>
        <v>67.17550736</v>
      </c>
      <c r="S46" s="100" t="n">
        <f aca="false">SUM(S15:S44)</f>
        <v>0</v>
      </c>
      <c r="T46" s="100" t="n">
        <f aca="false">SUM(T15:T44)</f>
        <v>23.09649264</v>
      </c>
      <c r="U46" s="365" t="n">
        <f aca="false">SUM(U15:U44)</f>
        <v>0</v>
      </c>
      <c r="V46" s="85" t="n">
        <f aca="false">SUM(V15:V44)</f>
        <v>0</v>
      </c>
      <c r="W46" s="85" t="n">
        <f aca="false">SUM(W15:W44)</f>
        <v>319.09</v>
      </c>
      <c r="X46" s="85" t="n">
        <f aca="false">SUM(X15:X44)</f>
        <v>1899.37335414686</v>
      </c>
      <c r="Y46" s="85" t="n">
        <f aca="false">SUM(Y15:Y44)</f>
        <v>1720.11335414686</v>
      </c>
      <c r="Z46" s="379"/>
      <c r="AA46" s="85"/>
      <c r="AB46" s="109"/>
      <c r="AC46" s="157"/>
      <c r="AD46" s="103"/>
      <c r="AE46" s="85" t="n">
        <f aca="false">SUM(AE15:AE44)</f>
        <v>377.15</v>
      </c>
      <c r="AF46" s="104" t="n">
        <f aca="false">SUM(AF15:AF44)</f>
        <v>51</v>
      </c>
      <c r="AG46" s="105" t="n">
        <f aca="false">SUM(AG15:AG44)</f>
        <v>39</v>
      </c>
      <c r="AH46" s="85" t="n">
        <f aca="false">SUM(AH15:AH44)</f>
        <v>691.4</v>
      </c>
      <c r="AI46" s="85"/>
      <c r="AJ46" s="103" t="n">
        <f aca="false">SUM(AJ15:AJ44)</f>
        <v>0</v>
      </c>
      <c r="AK46" s="85" t="n">
        <f aca="false">SUM(AK15:AK44)</f>
        <v>4383.55</v>
      </c>
      <c r="AL46" s="85" t="n">
        <f aca="false">SUM(AL15:AL44)</f>
        <v>451.308405092009</v>
      </c>
      <c r="AM46" s="156" t="n">
        <f aca="false">SUM(AM15:AM44)</f>
        <v>4834.85840509201</v>
      </c>
      <c r="AN46" s="100" t="n">
        <f aca="false">SUM(AN15:AN44)</f>
        <v>0</v>
      </c>
      <c r="AO46" s="163" t="n">
        <f aca="false">SUM(AO15:AO44)</f>
        <v>179.26</v>
      </c>
      <c r="AP46" s="157"/>
      <c r="AR46" s="158"/>
      <c r="AS46" s="107"/>
      <c r="AT46" s="85" t="n">
        <f aca="false">SUM(AT15:AT44)</f>
        <v>0</v>
      </c>
      <c r="AU46" s="1"/>
      <c r="AV46" s="108" t="n">
        <f aca="false">SUM(AV15:AV44)</f>
        <v>0.89</v>
      </c>
      <c r="AW46" s="109" t="n">
        <f aca="false">AVERAGE(AW15:AW44)</f>
        <v>64.1333333333333</v>
      </c>
      <c r="AX46" s="109" t="n">
        <f aca="false">AVERAGE(AX15:AX44)</f>
        <v>32.5</v>
      </c>
      <c r="AY46" s="156" t="s">
        <v>130</v>
      </c>
      <c r="AZ46" s="156" t="n">
        <f aca="false">SUM(AZ15:AZ44)</f>
        <v>142.717945853145</v>
      </c>
      <c r="BA46" s="0" t="n">
        <f aca="false">SUM(BA15:BA44)</f>
        <v>0.806</v>
      </c>
      <c r="BB46" s="149"/>
    </row>
    <row r="47" customFormat="false" ht="12.95" hidden="false" customHeight="true" outlineLevel="0" collapsed="false">
      <c r="A47" s="11" t="s">
        <v>106</v>
      </c>
      <c r="B47" s="364"/>
      <c r="C47" s="100"/>
      <c r="D47" s="100" t="n">
        <f aca="false">SUM(D15:D44)</f>
        <v>13302</v>
      </c>
      <c r="E47" s="100"/>
      <c r="F47" s="156" t="n">
        <f aca="false">F46*$D$2</f>
        <v>13302</v>
      </c>
      <c r="G47" s="85" t="n">
        <f aca="false">G46*$D$2</f>
        <v>22016.85</v>
      </c>
      <c r="H47" s="85" t="n">
        <f aca="false">H46*$D$2</f>
        <v>95.9200765</v>
      </c>
      <c r="I47" s="85" t="n">
        <f aca="false">I46*$D$2</f>
        <v>22112.7700765</v>
      </c>
      <c r="J47" s="85" t="n">
        <f aca="false">J46*$D$2</f>
        <v>779.17157</v>
      </c>
      <c r="K47" s="85" t="n">
        <f aca="false">K46*$D$2</f>
        <v>22891.9416465</v>
      </c>
      <c r="L47" s="85" t="n">
        <f aca="false">L46*$D$2</f>
        <v>-115.9986515</v>
      </c>
      <c r="M47" s="104" t="n">
        <f aca="false">M46*$D$2</f>
        <v>5942.387485</v>
      </c>
      <c r="N47" s="100" t="n">
        <f aca="false">N46*$D$2</f>
        <v>0</v>
      </c>
      <c r="O47" s="100" t="n">
        <f aca="false">O46*$D$2</f>
        <v>2524.81440645</v>
      </c>
      <c r="P47" s="89" t="n">
        <f aca="false">P46*$D$2</f>
        <v>0</v>
      </c>
      <c r="Q47" s="100" t="n">
        <f aca="false">Q46*$D$2</f>
        <v>104.026533599713</v>
      </c>
      <c r="R47" s="100" t="n">
        <f aca="false">R46*$D$2</f>
        <v>133.24261884856</v>
      </c>
      <c r="S47" s="100" t="n">
        <f aca="false">S46*$D$2</f>
        <v>0</v>
      </c>
      <c r="T47" s="100" t="n">
        <f aca="false">T46*$D$2</f>
        <v>45.81189315144</v>
      </c>
      <c r="U47" s="365" t="n">
        <f aca="false">U46*$D$2</f>
        <v>0</v>
      </c>
      <c r="V47" s="85" t="n">
        <f aca="false">V46*$D$2</f>
        <v>0</v>
      </c>
      <c r="W47" s="85" t="n">
        <f aca="false">W46*$D$2</f>
        <v>632.915015</v>
      </c>
      <c r="X47" s="85" t="n">
        <f aca="false">X46*$D$2</f>
        <v>3767.40704795029</v>
      </c>
      <c r="Y47" s="85" t="n">
        <f aca="false">Y46*$D$2</f>
        <v>3411.84483795029</v>
      </c>
      <c r="Z47" s="157"/>
      <c r="AA47" s="85"/>
      <c r="AB47" s="157"/>
      <c r="AC47" s="157"/>
      <c r="AD47" s="103"/>
      <c r="AE47" s="85" t="n">
        <f aca="false">AE46*$D$2</f>
        <v>748.077025</v>
      </c>
      <c r="AF47" s="104" t="n">
        <f aca="false">AF46*$D$2</f>
        <v>101.1585</v>
      </c>
      <c r="AG47" s="105" t="n">
        <f aca="false">AG46*$D$2</f>
        <v>77.3565</v>
      </c>
      <c r="AH47" s="85" t="n">
        <f aca="false">AH46*$D$2</f>
        <v>1371.3919</v>
      </c>
      <c r="AI47" s="85"/>
      <c r="AJ47" s="103" t="n">
        <f aca="false">AJ46*$D$2</f>
        <v>0</v>
      </c>
      <c r="AK47" s="85" t="n">
        <f aca="false">AK46*$D$2</f>
        <v>8694.771425</v>
      </c>
      <c r="AL47" s="85" t="n">
        <f aca="false">AL46*$D$2</f>
        <v>895.1702215</v>
      </c>
      <c r="AM47" s="156" t="n">
        <f aca="false">AM46*$D$2</f>
        <v>9589.9416465</v>
      </c>
      <c r="AN47" s="100" t="n">
        <f aca="false">AN46*D2</f>
        <v>0</v>
      </c>
      <c r="AO47" s="163" t="n">
        <f aca="false">AO46*$D$2</f>
        <v>355.56221</v>
      </c>
      <c r="AP47" s="157"/>
      <c r="AQ47" s="158" t="n">
        <f aca="false">SUM(AQ15:AQ44)</f>
        <v>206.326574177794</v>
      </c>
      <c r="AR47" s="158"/>
      <c r="AS47" s="107"/>
      <c r="AT47" s="85" t="n">
        <f aca="false">AT46*$D$2</f>
        <v>0</v>
      </c>
      <c r="AU47" s="1"/>
      <c r="AV47" s="108"/>
      <c r="AW47" s="109" t="n">
        <f aca="false">MAX(AW15:AW44)</f>
        <v>78</v>
      </c>
      <c r="AX47" s="109" t="n">
        <f aca="false">MAX(AX15:AX44)</f>
        <v>40</v>
      </c>
      <c r="AY47" s="156" t="s">
        <v>107</v>
      </c>
      <c r="AZ47" s="156" t="n">
        <f aca="false">AZ46*$D$2</f>
        <v>283.081045599713</v>
      </c>
      <c r="BA47" s="0" t="n">
        <f aca="false">BA46*D2</f>
        <v>1.598701</v>
      </c>
      <c r="BB47" s="149"/>
    </row>
    <row r="48" customFormat="false" ht="3" hidden="false" customHeight="true" outlineLevel="0" collapsed="false">
      <c r="A48" s="117"/>
      <c r="B48" s="378"/>
      <c r="C48" s="127"/>
      <c r="D48" s="127"/>
      <c r="E48" s="127"/>
      <c r="F48" s="169"/>
      <c r="G48" s="127"/>
      <c r="H48" s="124"/>
      <c r="I48" s="127"/>
      <c r="J48" s="127"/>
      <c r="K48" s="127"/>
      <c r="L48" s="127"/>
      <c r="M48" s="167"/>
      <c r="N48" s="127"/>
      <c r="O48" s="127"/>
      <c r="P48" s="372"/>
      <c r="Q48" s="127"/>
      <c r="R48" s="127"/>
      <c r="S48" s="127"/>
      <c r="T48" s="127"/>
      <c r="U48" s="373"/>
      <c r="V48" s="127"/>
      <c r="W48" s="127"/>
      <c r="X48" s="127"/>
      <c r="Y48" s="127"/>
      <c r="Z48" s="131"/>
      <c r="AA48" s="127"/>
      <c r="AB48" s="131"/>
      <c r="AC48" s="131"/>
      <c r="AD48" s="126"/>
      <c r="AE48" s="127"/>
      <c r="AF48" s="167"/>
      <c r="AG48" s="168"/>
      <c r="AH48" s="127"/>
      <c r="AI48" s="124"/>
      <c r="AJ48" s="126"/>
      <c r="AK48" s="127"/>
      <c r="AL48" s="127"/>
      <c r="AM48" s="169"/>
      <c r="AN48" s="127"/>
      <c r="AO48" s="126"/>
      <c r="AP48" s="131"/>
      <c r="AQ48" s="372"/>
      <c r="AR48" s="372"/>
      <c r="AS48" s="372"/>
      <c r="AT48" s="127"/>
      <c r="AU48" s="372"/>
      <c r="AV48" s="170"/>
      <c r="AW48" s="127"/>
      <c r="AX48" s="127"/>
      <c r="AY48" s="127"/>
      <c r="AZ48" s="127"/>
      <c r="BA48" s="127"/>
      <c r="BB48" s="127"/>
    </row>
    <row r="49" customFormat="false" ht="12.95" hidden="false" customHeight="true" outlineLevel="0" collapsed="false">
      <c r="A49" s="11" t="s">
        <v>108</v>
      </c>
      <c r="B49" s="364"/>
      <c r="C49" s="100"/>
      <c r="D49" s="100"/>
      <c r="E49" s="100"/>
      <c r="F49" s="156" t="n">
        <f aca="false">F46</f>
        <v>6706.32719939501</v>
      </c>
      <c r="G49" s="85" t="n">
        <f aca="false">G46</f>
        <v>11100</v>
      </c>
      <c r="H49" s="85" t="n">
        <f aca="false">H46</f>
        <v>48.359</v>
      </c>
      <c r="I49" s="85" t="n">
        <f aca="false">I46</f>
        <v>11148.359</v>
      </c>
      <c r="J49" s="85" t="n">
        <f aca="false">J46</f>
        <v>392.826604487018</v>
      </c>
      <c r="K49" s="85" t="n">
        <f aca="false">K46</f>
        <v>11541.185604487</v>
      </c>
      <c r="L49" s="85" t="n">
        <f aca="false">L46</f>
        <v>-58.4818006049914</v>
      </c>
      <c r="M49" s="104" t="n">
        <f aca="false">M46</f>
        <v>2995.91</v>
      </c>
      <c r="N49" s="100" t="n">
        <f aca="false">N46</f>
        <v>0</v>
      </c>
      <c r="O49" s="100" t="n">
        <f aca="false">O12+O46</f>
        <v>1310.22885</v>
      </c>
      <c r="P49" s="89" t="n">
        <f aca="false">P12+P46</f>
        <v>0</v>
      </c>
      <c r="Q49" s="100"/>
      <c r="R49" s="100"/>
      <c r="S49" s="100"/>
      <c r="T49" s="100"/>
      <c r="U49" s="365"/>
      <c r="V49" s="85" t="n">
        <f aca="false">V46</f>
        <v>0</v>
      </c>
      <c r="W49" s="85" t="n">
        <f aca="false">W46</f>
        <v>319.09</v>
      </c>
      <c r="X49" s="85" t="n">
        <f aca="false">X12+X46</f>
        <v>1899.37335414686</v>
      </c>
      <c r="Y49" s="85" t="n">
        <f aca="false">Y12+Y46</f>
        <v>1720.11335414686</v>
      </c>
      <c r="Z49" s="85" t="n">
        <f aca="false">Z12+Z44</f>
        <v>9078.36419264</v>
      </c>
      <c r="AA49" s="85"/>
      <c r="AB49" s="157"/>
      <c r="AC49" s="157"/>
      <c r="AD49" s="103"/>
      <c r="AE49" s="85" t="n">
        <f aca="false">AE46</f>
        <v>377.15</v>
      </c>
      <c r="AF49" s="104" t="n">
        <f aca="false">AF46</f>
        <v>51</v>
      </c>
      <c r="AG49" s="105" t="n">
        <f aca="false">AG46</f>
        <v>39</v>
      </c>
      <c r="AH49" s="85"/>
      <c r="AI49" s="85"/>
      <c r="AJ49" s="103" t="n">
        <f aca="false">AJ46</f>
        <v>0</v>
      </c>
      <c r="AK49" s="85" t="n">
        <f aca="false">AK46</f>
        <v>4383.55</v>
      </c>
      <c r="AL49" s="85" t="n">
        <f aca="false">AL46</f>
        <v>451.308405092009</v>
      </c>
      <c r="AM49" s="156" t="n">
        <f aca="false">AM46</f>
        <v>4834.85840509201</v>
      </c>
      <c r="AN49" s="100"/>
      <c r="AO49" s="103"/>
      <c r="AP49" s="157"/>
      <c r="AQ49" s="158"/>
      <c r="AR49" s="158"/>
      <c r="AS49" s="107"/>
      <c r="AT49" s="85" t="n">
        <f aca="false">AT46</f>
        <v>0</v>
      </c>
      <c r="AU49" s="1"/>
      <c r="AV49" s="108"/>
      <c r="AW49" s="109" t="n">
        <f aca="false">MIN(AW15:AW44)</f>
        <v>42</v>
      </c>
      <c r="AX49" s="109" t="n">
        <f aca="false">MIN(AX15:AX44)</f>
        <v>23</v>
      </c>
      <c r="AY49" s="156" t="s">
        <v>109</v>
      </c>
      <c r="AZ49" s="156" t="n">
        <f aca="false">AZ46</f>
        <v>142.717945853145</v>
      </c>
      <c r="BA49" s="85" t="n">
        <f aca="false">BA12+BA46</f>
        <v>0.806</v>
      </c>
      <c r="BB49" s="149"/>
    </row>
    <row r="50" customFormat="false" ht="12.95" hidden="false" customHeight="true" outlineLevel="0" collapsed="false">
      <c r="A50" s="11" t="s">
        <v>110</v>
      </c>
      <c r="B50" s="364"/>
      <c r="C50" s="100"/>
      <c r="D50" s="100"/>
      <c r="E50" s="100"/>
      <c r="F50" s="156" t="n">
        <f aca="false">F49*$D$2</f>
        <v>13302</v>
      </c>
      <c r="G50" s="85" t="n">
        <f aca="false">G49*$D$2</f>
        <v>22016.85</v>
      </c>
      <c r="H50" s="85" t="n">
        <f aca="false">H49*$D$2</f>
        <v>95.9200765</v>
      </c>
      <c r="I50" s="85" t="n">
        <f aca="false">I49*$D$2</f>
        <v>22112.7700765</v>
      </c>
      <c r="J50" s="85" t="n">
        <f aca="false">J49*$D$2</f>
        <v>779.17157</v>
      </c>
      <c r="K50" s="85" t="n">
        <f aca="false">K49*$D$2</f>
        <v>22891.9416465</v>
      </c>
      <c r="L50" s="85" t="n">
        <f aca="false">L49*$D$2</f>
        <v>-115.9986515</v>
      </c>
      <c r="M50" s="104" t="n">
        <f aca="false">M49*$D$2</f>
        <v>5942.387485</v>
      </c>
      <c r="N50" s="100" t="n">
        <f aca="false">N49*$D$2</f>
        <v>0</v>
      </c>
      <c r="O50" s="100" t="n">
        <f aca="false">O49*$D$2</f>
        <v>2598.838923975</v>
      </c>
      <c r="P50" s="89" t="n">
        <f aca="false">P49*$D$2</f>
        <v>0</v>
      </c>
      <c r="Q50" s="100"/>
      <c r="R50" s="100"/>
      <c r="S50" s="100"/>
      <c r="T50" s="100"/>
      <c r="U50" s="365"/>
      <c r="V50" s="85" t="n">
        <f aca="false">V49*$D$2</f>
        <v>0</v>
      </c>
      <c r="W50" s="85" t="n">
        <f aca="false">W49*$D$2</f>
        <v>632.915015</v>
      </c>
      <c r="X50" s="85" t="n">
        <f aca="false">X49*$D$2</f>
        <v>3767.40704795029</v>
      </c>
      <c r="Y50" s="85" t="n">
        <f aca="false">Y49*$D$2</f>
        <v>3411.84483795029</v>
      </c>
      <c r="Z50" s="85" t="n">
        <f aca="false">Z49*$D$2</f>
        <v>18006.9353761014</v>
      </c>
      <c r="AA50" s="85"/>
      <c r="AB50" s="157"/>
      <c r="AC50" s="157"/>
      <c r="AD50" s="103"/>
      <c r="AE50" s="85" t="n">
        <f aca="false">AE49*$D$2</f>
        <v>748.077025</v>
      </c>
      <c r="AF50" s="104" t="n">
        <f aca="false">AF49*$D$2</f>
        <v>101.1585</v>
      </c>
      <c r="AG50" s="105" t="n">
        <f aca="false">AG49*$D$2</f>
        <v>77.3565</v>
      </c>
      <c r="AH50" s="85"/>
      <c r="AI50" s="85"/>
      <c r="AJ50" s="103" t="n">
        <f aca="false">AJ49*$D$2</f>
        <v>0</v>
      </c>
      <c r="AK50" s="85" t="n">
        <f aca="false">AK49*$D$2</f>
        <v>8694.771425</v>
      </c>
      <c r="AL50" s="85" t="n">
        <f aca="false">AL49*$D$2</f>
        <v>895.1702215</v>
      </c>
      <c r="AM50" s="156" t="n">
        <f aca="false">AM49*$D$2</f>
        <v>9589.9416465</v>
      </c>
      <c r="AN50" s="100"/>
      <c r="AO50" s="103"/>
      <c r="AP50" s="157"/>
      <c r="AQ50" s="158" t="n">
        <f aca="false">AQ47</f>
        <v>206.326574177794</v>
      </c>
      <c r="AR50" s="158"/>
      <c r="AS50" s="107"/>
      <c r="AT50" s="85" t="n">
        <f aca="false">AT49*$D$2</f>
        <v>0</v>
      </c>
      <c r="AU50" s="1"/>
      <c r="AV50" s="108"/>
      <c r="AW50" s="109"/>
      <c r="AX50" s="109"/>
      <c r="AY50" s="149"/>
      <c r="AZ50" s="156" t="n">
        <f aca="false">AZ49*$D$2</f>
        <v>283.081045599713</v>
      </c>
      <c r="BA50" s="85" t="n">
        <f aca="false">BA49*$D$2</f>
        <v>1.598701</v>
      </c>
      <c r="BB50" s="149"/>
    </row>
    <row r="51" customFormat="false" ht="3" hidden="false" customHeight="true" outlineLevel="0" collapsed="false">
      <c r="A51" s="117"/>
      <c r="B51" s="378"/>
      <c r="C51" s="127"/>
      <c r="D51" s="127"/>
      <c r="E51" s="127"/>
      <c r="F51" s="169"/>
      <c r="G51" s="127"/>
      <c r="H51" s="124"/>
      <c r="I51" s="127"/>
      <c r="J51" s="127"/>
      <c r="K51" s="127"/>
      <c r="L51" s="127"/>
      <c r="M51" s="167"/>
      <c r="N51" s="127"/>
      <c r="O51" s="127"/>
      <c r="P51" s="372"/>
      <c r="Q51" s="127"/>
      <c r="R51" s="127"/>
      <c r="S51" s="127"/>
      <c r="T51" s="127"/>
      <c r="U51" s="373"/>
      <c r="V51" s="127"/>
      <c r="W51" s="127"/>
      <c r="X51" s="127"/>
      <c r="Y51" s="127"/>
      <c r="Z51" s="131"/>
      <c r="AA51" s="127"/>
      <c r="AB51" s="131"/>
      <c r="AC51" s="131"/>
      <c r="AD51" s="126"/>
      <c r="AE51" s="127"/>
      <c r="AF51" s="167"/>
      <c r="AG51" s="168"/>
      <c r="AH51" s="127"/>
      <c r="AI51" s="127"/>
      <c r="AJ51" s="126"/>
      <c r="AK51" s="127"/>
      <c r="AL51" s="127"/>
      <c r="AM51" s="169"/>
      <c r="AN51" s="127"/>
      <c r="AO51" s="126"/>
      <c r="AP51" s="131"/>
      <c r="AQ51" s="372"/>
      <c r="AR51" s="372"/>
      <c r="AS51" s="372"/>
      <c r="AT51" s="372"/>
      <c r="AU51" s="372"/>
      <c r="AV51" s="133"/>
      <c r="AW51" s="380"/>
      <c r="AX51" s="380"/>
      <c r="AY51" s="380"/>
      <c r="AZ51" s="380"/>
      <c r="BA51" s="380"/>
      <c r="BB51" s="380"/>
    </row>
    <row r="52" customFormat="false" ht="12.95" hidden="false" customHeight="true" outlineLevel="0" collapsed="false">
      <c r="A52" s="11" t="s">
        <v>111</v>
      </c>
      <c r="B52" s="364"/>
      <c r="C52" s="100"/>
      <c r="D52" s="100"/>
      <c r="E52" s="100"/>
      <c r="F52" s="156" t="n">
        <f aca="false">F13+F46</f>
        <v>11563.902193093</v>
      </c>
      <c r="G52" s="85" t="n">
        <f aca="false">G13+G46</f>
        <v>26329</v>
      </c>
      <c r="H52" s="85" t="n">
        <f aca="false">H13+H46</f>
        <v>165.861</v>
      </c>
      <c r="I52" s="85" t="n">
        <f aca="false">I13+I46</f>
        <v>26494.241</v>
      </c>
      <c r="J52" s="85" t="n">
        <f aca="false">J13+J46</f>
        <v>2737.91550995715</v>
      </c>
      <c r="K52" s="85" t="n">
        <f aca="false">K13+K46</f>
        <v>29232.1565099571</v>
      </c>
      <c r="L52" s="85" t="n">
        <f aca="false">L13+L46</f>
        <v>70.9611930930169</v>
      </c>
      <c r="M52" s="104" t="n">
        <f aca="false">M13+M46</f>
        <v>3740.44</v>
      </c>
      <c r="N52" s="100" t="n">
        <f aca="false">N13+N46</f>
        <v>0</v>
      </c>
      <c r="O52" s="100" t="n">
        <f aca="false">O13+O46</f>
        <v>1310.22885</v>
      </c>
      <c r="P52" s="89"/>
      <c r="Q52" s="100" t="n">
        <f aca="false">Q13+Q46</f>
        <v>274.083670494932</v>
      </c>
      <c r="R52" s="100" t="n">
        <f aca="false">R13+R46</f>
        <v>309.33663856</v>
      </c>
      <c r="S52" s="100" t="n">
        <f aca="false">S13+S46</f>
        <v>0.64952416</v>
      </c>
      <c r="T52" s="100" t="n">
        <f aca="false">T13+T46</f>
        <v>100.47593296</v>
      </c>
      <c r="U52" s="368" t="n">
        <f aca="false">U13+U46</f>
        <v>-45.366813481233</v>
      </c>
      <c r="V52" s="85" t="n">
        <f aca="false">V13+V46</f>
        <v>5712.49</v>
      </c>
      <c r="W52" s="85" t="n">
        <f aca="false">W13+W46</f>
        <v>343.12</v>
      </c>
      <c r="X52" s="85" t="n">
        <f aca="false">X13+X46</f>
        <v>7814.6056473063</v>
      </c>
      <c r="Y52" s="85" t="n">
        <f aca="false">Y13+Y46</f>
        <v>7439.72231397297</v>
      </c>
      <c r="Z52" s="157"/>
      <c r="AA52" s="85"/>
      <c r="AB52" s="157"/>
      <c r="AC52" s="157"/>
      <c r="AD52" s="103"/>
      <c r="AE52" s="85"/>
      <c r="AF52" s="104" t="n">
        <f aca="false">AF13+AF46</f>
        <v>51</v>
      </c>
      <c r="AG52" s="105" t="n">
        <f aca="false">AG13+AG46</f>
        <v>39</v>
      </c>
      <c r="AH52" s="85" t="n">
        <f aca="false">AH13+AH46</f>
        <v>4828.1</v>
      </c>
      <c r="AI52" s="85" t="n">
        <f aca="false">AI44</f>
        <v>15339.8578774893</v>
      </c>
      <c r="AJ52" s="103" t="n">
        <f aca="false">AJ13+AJ46</f>
        <v>0</v>
      </c>
      <c r="AK52" s="85" t="n">
        <f aca="false">AK13+AK46</f>
        <v>15001.3</v>
      </c>
      <c r="AL52" s="85" t="n">
        <f aca="false">AL13+AL46</f>
        <v>2666.95431686413</v>
      </c>
      <c r="AM52" s="156" t="n">
        <f aca="false">AM13+AM46</f>
        <v>17668.2543168641</v>
      </c>
      <c r="AN52" s="100" t="n">
        <f aca="false">AN13+AN46</f>
        <v>5685.01666666667</v>
      </c>
      <c r="AO52" s="163" t="n">
        <f aca="false">AO13+AO46</f>
        <v>374.883333333333</v>
      </c>
      <c r="AP52" s="157"/>
      <c r="AQ52" s="158"/>
      <c r="AR52" s="158"/>
      <c r="AS52" s="107"/>
      <c r="AU52" s="1"/>
      <c r="AV52" s="108" t="n">
        <f aca="false">AV13+AV46</f>
        <v>6.28</v>
      </c>
      <c r="AW52" s="109"/>
      <c r="AX52" s="109"/>
      <c r="AY52" s="149"/>
      <c r="AZ52" s="156" t="n">
        <f aca="false">AZ13+AZ46</f>
        <v>639.178952693699</v>
      </c>
      <c r="BA52" s="116" t="n">
        <f aca="false">BA46+BA13</f>
        <v>14.412</v>
      </c>
      <c r="BB52" s="149"/>
    </row>
    <row r="53" customFormat="false" ht="12.95" hidden="false" customHeight="true" outlineLevel="0" collapsed="false">
      <c r="A53" s="11" t="s">
        <v>112</v>
      </c>
      <c r="B53" s="381"/>
      <c r="C53" s="382"/>
      <c r="D53" s="382" t="n">
        <f aca="false">D13+D47</f>
        <v>22937</v>
      </c>
      <c r="E53" s="382" t="n">
        <f aca="false">E44</f>
        <v>56677</v>
      </c>
      <c r="F53" s="174" t="n">
        <f aca="false">F52*$D$2</f>
        <v>22937</v>
      </c>
      <c r="G53" s="85" t="n">
        <f aca="false">G52*$D$2</f>
        <v>52223.5715</v>
      </c>
      <c r="H53" s="85" t="n">
        <f aca="false">H52*$D$2</f>
        <v>328.9852935</v>
      </c>
      <c r="I53" s="85" t="n">
        <f aca="false">I52*$D$2</f>
        <v>52551.3270235</v>
      </c>
      <c r="J53" s="85" t="n">
        <f aca="false">J52*$D$2</f>
        <v>5430.655414</v>
      </c>
      <c r="K53" s="85" t="n">
        <f aca="false">K52*$D$2</f>
        <v>57981.9824375</v>
      </c>
      <c r="L53" s="85" t="n">
        <f aca="false">L52*$D$2</f>
        <v>140.751526499999</v>
      </c>
      <c r="M53" s="104" t="n">
        <f aca="false">M52*$D$2</f>
        <v>7419.16274</v>
      </c>
      <c r="N53" s="100" t="n">
        <f aca="false">N52*$D$2</f>
        <v>0</v>
      </c>
      <c r="O53" s="100" t="n">
        <f aca="false">O52*$D$2</f>
        <v>2598.838923975</v>
      </c>
      <c r="P53" s="89"/>
      <c r="Q53" s="100" t="n">
        <f aca="false">Q52*$D$2</f>
        <v>543.644960426698</v>
      </c>
      <c r="R53" s="100" t="n">
        <f aca="false">R52*$D$2</f>
        <v>613.56922258376</v>
      </c>
      <c r="S53" s="100" t="n">
        <f aca="false">S52*$D$2</f>
        <v>1.28833117136</v>
      </c>
      <c r="T53" s="100" t="n">
        <f aca="false">T52*$D$2</f>
        <v>199.29401302616</v>
      </c>
      <c r="U53" s="368" t="n">
        <f aca="false">U52*$D$2</f>
        <v>-89.9850745400256</v>
      </c>
      <c r="V53" s="85" t="n">
        <f aca="false">V52*$D$2</f>
        <v>11330.723915</v>
      </c>
      <c r="W53" s="85" t="n">
        <f aca="false">W52*$D$2</f>
        <v>680.57852</v>
      </c>
      <c r="X53" s="85" t="n">
        <f aca="false">X52*$D$2</f>
        <v>15500.270301432</v>
      </c>
      <c r="Y53" s="85" t="n">
        <f aca="false">Y52*$D$2</f>
        <v>14756.6892097654</v>
      </c>
      <c r="Z53" s="157"/>
      <c r="AA53" s="85"/>
      <c r="AB53" s="157"/>
      <c r="AC53" s="157"/>
      <c r="AD53" s="103"/>
      <c r="AE53" s="85"/>
      <c r="AF53" s="369" t="n">
        <f aca="false">AF52*$D$2</f>
        <v>101.1585</v>
      </c>
      <c r="AG53" s="162" t="n">
        <f aca="false">AG52*$D$2</f>
        <v>77.3565</v>
      </c>
      <c r="AH53" s="85" t="n">
        <f aca="false">AH52*$D$2</f>
        <v>9576.53635</v>
      </c>
      <c r="AI53" s="85" t="n">
        <f aca="false">AI52*$D$2</f>
        <v>30426.6081</v>
      </c>
      <c r="AJ53" s="103" t="n">
        <f aca="false">AJ52*$D$2</f>
        <v>0</v>
      </c>
      <c r="AK53" s="85" t="n">
        <f aca="false">AK52*$D$2</f>
        <v>29755.07855</v>
      </c>
      <c r="AL53" s="85" t="n">
        <f aca="false">AL52*$D$2</f>
        <v>5289.9038875</v>
      </c>
      <c r="AM53" s="174" t="n">
        <f aca="false">AM52*$D$2</f>
        <v>35044.9824375</v>
      </c>
      <c r="AN53" s="100" t="n">
        <f aca="false">AN52*D2</f>
        <v>11276.2305583333</v>
      </c>
      <c r="AO53" s="163" t="n">
        <f aca="false">AO52*$D$2</f>
        <v>743.581091666667</v>
      </c>
      <c r="AP53" s="157"/>
      <c r="AQ53" s="158" t="n">
        <f aca="false">AQ47</f>
        <v>206.326574177794</v>
      </c>
      <c r="AR53" s="158"/>
      <c r="AS53" s="107"/>
      <c r="AU53" s="1"/>
      <c r="AV53" s="108"/>
      <c r="AW53" s="109"/>
      <c r="AX53" s="109"/>
      <c r="AY53" s="149"/>
      <c r="AZ53" s="174" t="n">
        <f aca="false">AZ52*$D$2</f>
        <v>1267.81145266795</v>
      </c>
      <c r="BA53" s="0" t="n">
        <f aca="false">BA52*D2</f>
        <v>28.586202</v>
      </c>
      <c r="BB53" s="149"/>
    </row>
    <row r="54" customFormat="false" ht="3" hidden="false" customHeight="true" outlineLevel="0" collapsed="false">
      <c r="A54" s="117"/>
      <c r="B54" s="152"/>
      <c r="C54" s="119"/>
      <c r="D54" s="117"/>
      <c r="E54" s="119"/>
      <c r="F54" s="120"/>
      <c r="G54" s="117"/>
      <c r="H54" s="117"/>
      <c r="I54" s="117"/>
      <c r="J54" s="117"/>
      <c r="K54" s="117"/>
      <c r="L54" s="117"/>
      <c r="M54" s="122"/>
      <c r="N54" s="117"/>
      <c r="O54" s="117"/>
      <c r="P54" s="123"/>
      <c r="Q54" s="117"/>
      <c r="R54" s="117"/>
      <c r="S54" s="117"/>
      <c r="T54" s="117"/>
      <c r="U54" s="383"/>
      <c r="V54" s="117"/>
      <c r="W54" s="117"/>
      <c r="X54" s="117"/>
      <c r="Y54" s="117"/>
      <c r="Z54" s="173"/>
      <c r="AA54" s="117"/>
      <c r="AB54" s="173"/>
      <c r="AC54" s="173"/>
      <c r="AD54" s="177"/>
      <c r="AE54" s="117"/>
      <c r="AF54" s="122"/>
      <c r="AG54" s="178"/>
      <c r="AH54" s="117"/>
      <c r="AI54" s="119"/>
      <c r="AJ54" s="384"/>
      <c r="AK54" s="117"/>
      <c r="AL54" s="117"/>
      <c r="AM54" s="117"/>
      <c r="AN54" s="385"/>
      <c r="AO54" s="177"/>
      <c r="AP54" s="173"/>
      <c r="AQ54" s="123"/>
      <c r="AR54" s="123"/>
      <c r="AS54" s="123"/>
      <c r="AT54" s="386"/>
      <c r="AU54" s="387"/>
      <c r="AV54" s="152"/>
      <c r="AW54" s="117"/>
      <c r="AX54" s="117"/>
      <c r="AY54" s="117"/>
      <c r="AZ54" s="117"/>
      <c r="BA54" s="117"/>
      <c r="BB54" s="117"/>
    </row>
    <row r="55" customFormat="false" ht="14.1" hidden="false" customHeight="true" outlineLevel="0" collapsed="false">
      <c r="A55" s="182"/>
      <c r="B55" s="183"/>
      <c r="D55" s="11"/>
      <c r="F55" s="11"/>
      <c r="G55" s="11"/>
      <c r="H55" s="11"/>
      <c r="I55" s="11"/>
      <c r="J55" s="11"/>
      <c r="K55" s="11"/>
      <c r="L55" s="11"/>
      <c r="M55" s="11"/>
      <c r="N55" s="11"/>
      <c r="O55" s="11"/>
      <c r="Q55" s="11"/>
      <c r="R55" s="11"/>
      <c r="S55" s="11"/>
      <c r="T55" s="11"/>
      <c r="V55" s="11"/>
      <c r="W55" s="11"/>
      <c r="X55" s="11"/>
      <c r="Y55" s="11"/>
      <c r="Z55" s="9"/>
      <c r="AA55" s="11"/>
      <c r="AB55" s="9"/>
      <c r="AC55" s="9"/>
      <c r="AD55" s="4"/>
      <c r="AE55" s="11"/>
      <c r="AF55" s="11"/>
      <c r="AG55" s="11"/>
      <c r="AH55" s="11"/>
      <c r="AI55" s="2"/>
      <c r="AK55" s="11"/>
      <c r="AL55" s="11"/>
      <c r="AM55" s="26"/>
      <c r="AN55" s="2"/>
      <c r="AO55" s="4"/>
      <c r="AP55" s="388"/>
      <c r="AQ55" s="70"/>
      <c r="AR55" s="70"/>
      <c r="AS55" s="1"/>
      <c r="AT55" s="93"/>
      <c r="AU55" s="93"/>
      <c r="AV55" s="389"/>
      <c r="AW55" s="135"/>
      <c r="AX55" s="135"/>
      <c r="AZ55" s="0"/>
    </row>
    <row r="56" customFormat="false" ht="11.1" hidden="false" customHeight="true" outlineLevel="0" collapsed="false">
      <c r="A56" s="11"/>
      <c r="B56" s="185"/>
      <c r="F56" s="11"/>
      <c r="G56" s="11"/>
      <c r="H56" s="11"/>
      <c r="I56" s="12"/>
      <c r="J56" s="11"/>
      <c r="K56" s="186"/>
      <c r="L56" s="11"/>
      <c r="M56" s="11"/>
      <c r="N56" s="11"/>
      <c r="O56" s="11"/>
      <c r="Q56" s="11"/>
      <c r="R56" s="11"/>
      <c r="S56" s="11"/>
      <c r="T56" s="11"/>
      <c r="V56" s="11"/>
      <c r="W56" s="11"/>
      <c r="X56" s="11"/>
      <c r="Y56" s="11"/>
      <c r="Z56" s="9"/>
      <c r="AA56" s="11"/>
      <c r="AB56" s="9"/>
      <c r="AC56" s="9"/>
      <c r="AD56" s="4"/>
      <c r="AE56" s="11"/>
      <c r="AF56" s="11"/>
      <c r="AG56" s="11"/>
      <c r="AH56" s="11"/>
      <c r="AI56" s="2"/>
      <c r="AK56" s="11"/>
      <c r="AL56" s="11"/>
      <c r="AM56" s="138"/>
      <c r="AN56" s="2"/>
      <c r="AO56" s="4"/>
      <c r="AP56" s="388"/>
      <c r="AQ56" s="70"/>
      <c r="AR56" s="70"/>
      <c r="AS56" s="1"/>
      <c r="AT56" s="93"/>
      <c r="AU56" s="93"/>
      <c r="AV56" s="389"/>
      <c r="AW56" s="135"/>
      <c r="AX56" s="135"/>
    </row>
    <row r="57" customFormat="false" ht="11.1" hidden="false" customHeight="true" outlineLevel="0" collapsed="false">
      <c r="D57" s="2"/>
      <c r="H57" s="11"/>
      <c r="S57" s="4"/>
      <c r="T57" s="4"/>
      <c r="X57" s="1"/>
      <c r="Y57" s="1"/>
      <c r="Z57" s="9"/>
      <c r="AA57" s="1"/>
      <c r="AB57" s="9"/>
      <c r="AC57" s="9"/>
      <c r="AD57" s="4"/>
      <c r="AH57" s="1"/>
      <c r="AI57" s="2"/>
      <c r="AM57" s="26"/>
      <c r="AN57" s="2"/>
      <c r="AO57" s="4"/>
      <c r="AP57" s="388"/>
      <c r="AQ57" s="70"/>
      <c r="AR57" s="70"/>
      <c r="AS57" s="1"/>
      <c r="AT57" s="93"/>
      <c r="AU57" s="93"/>
      <c r="AV57" s="389"/>
      <c r="AW57" s="135"/>
      <c r="AX57" s="135"/>
    </row>
    <row r="58" customFormat="false" ht="11.1" hidden="false" customHeight="true" outlineLevel="0" collapsed="false">
      <c r="B58" s="56"/>
      <c r="C58" s="161"/>
      <c r="D58" s="161"/>
      <c r="E58" s="390"/>
      <c r="H58" s="111"/>
      <c r="K58" s="391"/>
      <c r="L58" s="111"/>
      <c r="O58" s="111"/>
      <c r="P58" s="8"/>
      <c r="Q58" s="111"/>
      <c r="R58" s="111"/>
      <c r="S58" s="26"/>
      <c r="T58" s="26"/>
      <c r="U58" s="99"/>
      <c r="V58" s="26"/>
      <c r="W58" s="26"/>
      <c r="X58" s="96"/>
      <c r="Y58" s="96"/>
      <c r="Z58" s="191"/>
      <c r="AA58" s="96"/>
      <c r="AC58" s="191"/>
      <c r="AD58" s="191"/>
      <c r="AE58" s="161"/>
      <c r="AF58" s="161"/>
      <c r="AG58" s="161"/>
      <c r="AI58" s="161"/>
      <c r="AJ58" s="335"/>
      <c r="AN58" s="93"/>
      <c r="AO58" s="93"/>
      <c r="AP58" s="93"/>
    </row>
    <row r="59" customFormat="false" ht="11.1" hidden="false" customHeight="true" outlineLevel="0" collapsed="false">
      <c r="B59" s="8"/>
      <c r="C59" s="161"/>
      <c r="D59" s="161"/>
      <c r="E59" s="390"/>
      <c r="F59" s="392"/>
      <c r="G59" s="56"/>
      <c r="K59" s="186"/>
      <c r="V59" s="11"/>
      <c r="Z59" s="2"/>
      <c r="AC59" s="2"/>
      <c r="AD59" s="2"/>
      <c r="AN59" s="93"/>
      <c r="AO59" s="93"/>
      <c r="AP59" s="93"/>
    </row>
    <row r="60" customFormat="false" ht="11.1" hidden="false" customHeight="true" outlineLevel="0" collapsed="false">
      <c r="V60" s="85"/>
    </row>
    <row r="61" customFormat="false" ht="11.1" hidden="false" customHeight="true" outlineLevel="0" collapsed="false">
      <c r="B61" s="183"/>
    </row>
  </sheetData>
  <mergeCells count="2">
    <mergeCell ref="M5:U5"/>
    <mergeCell ref="AF5:AG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B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6" width="8.66"/>
    <col collapsed="false" customWidth="true" hidden="false" outlineLevel="0" max="2" min="2" style="56" width="6.99"/>
    <col collapsed="false" customWidth="true" hidden="false" outlineLevel="0" max="3" min="3" style="161" width="6.32"/>
    <col collapsed="false" customWidth="true" hidden="false" outlineLevel="0" max="4" min="4" style="56" width="6.32"/>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111" width="5.66"/>
    <col collapsed="false" customWidth="true" hidden="false" outlineLevel="0" max="11" min="9" style="56" width="6.32"/>
    <col collapsed="false" customWidth="true" hidden="false" outlineLevel="0" max="12" min="12" style="56" width="6.82"/>
    <col collapsed="false" customWidth="true" hidden="false" outlineLevel="0" max="13" min="13" style="111" width="5.49"/>
    <col collapsed="false" customWidth="true" hidden="false" outlineLevel="0" max="14" min="14" style="8" width="4.49"/>
    <col collapsed="false" customWidth="true" hidden="false" outlineLevel="0" max="15" min="15" style="111" width="5.49"/>
    <col collapsed="false" customWidth="true" hidden="false" outlineLevel="0" max="16" min="16" style="8" width="4.82"/>
    <col collapsed="false" customWidth="true" hidden="false" outlineLevel="0" max="18" min="17" style="111" width="4.32"/>
    <col collapsed="false" customWidth="true" hidden="false" outlineLevel="0" max="20" min="19" style="282" width="4.32"/>
    <col collapsed="false" customWidth="true" hidden="false" outlineLevel="0" max="21" min="21" style="8" width="5.16"/>
    <col collapsed="false" customWidth="true" hidden="false" outlineLevel="0" max="23" min="22" style="56" width="5.49"/>
    <col collapsed="false" customWidth="true" hidden="false" outlineLevel="0" max="25" min="24" style="161" width="6.32"/>
    <col collapsed="false" customWidth="true" hidden="false" outlineLevel="0" max="26" min="26" style="56" width="5.49"/>
    <col collapsed="false" customWidth="true" hidden="false" outlineLevel="0" max="27" min="27" style="161" width="6.32"/>
    <col collapsed="false" customWidth="true" hidden="false" outlineLevel="0" max="28" min="28" style="56" width="5.49"/>
    <col collapsed="false" customWidth="true" hidden="false" outlineLevel="0" max="29" min="29" style="56" width="5.82"/>
    <col collapsed="false" customWidth="true" hidden="false" outlineLevel="0" max="33" min="30" style="56" width="5.49"/>
    <col collapsed="false" customWidth="true" hidden="false" outlineLevel="0" max="34" min="34" style="191" width="6.32"/>
    <col collapsed="false" customWidth="true" hidden="false" outlineLevel="0" max="35" min="35" style="56" width="5.49"/>
    <col collapsed="false" customWidth="true" hidden="false" outlineLevel="0" max="36" min="36" style="335" width="6.32"/>
    <col collapsed="false" customWidth="true" hidden="false" outlineLevel="0" max="37" min="37" style="56" width="6.32"/>
    <col collapsed="false" customWidth="true" hidden="false" outlineLevel="0" max="38" min="38" style="56" width="6.82"/>
    <col collapsed="false" customWidth="true" hidden="false" outlineLevel="0" max="39" min="39" style="8" width="6.82"/>
    <col collapsed="false" customWidth="true" hidden="false" outlineLevel="0" max="40" min="40" style="161" width="5.49"/>
    <col collapsed="false" customWidth="true" hidden="false" outlineLevel="0" max="41" min="41" style="56" width="5.49"/>
    <col collapsed="false" customWidth="true" hidden="false" outlineLevel="0" max="42" min="42" style="56" width="6.32"/>
    <col collapsed="false" customWidth="true" hidden="false" outlineLevel="0" max="43" min="43" style="300" width="6.32"/>
    <col collapsed="false" customWidth="true" hidden="false" outlineLevel="0" max="44" min="44" style="201" width="5.49"/>
    <col collapsed="false" customWidth="true" hidden="false" outlineLevel="0" max="45" min="45" style="56" width="5.49"/>
    <col collapsed="false" customWidth="true" hidden="false" outlineLevel="0" max="46" min="46" style="335" width="5.82"/>
    <col collapsed="false" customWidth="true" hidden="false" outlineLevel="0" max="47" min="47" style="189" width="4.99"/>
    <col collapsed="false" customWidth="true" hidden="false" outlineLevel="0" max="48" min="48" style="188" width="5.32"/>
    <col collapsed="false" customWidth="true" hidden="false" outlineLevel="0" max="49" min="49" style="191" width="3.82"/>
    <col collapsed="false" customWidth="true" hidden="false" outlineLevel="0" max="50" min="50" style="192" width="3.82"/>
    <col collapsed="false" customWidth="true" hidden="false" outlineLevel="0" max="51" min="51" style="56" width="3.82"/>
    <col collapsed="false" customWidth="true" hidden="false" outlineLevel="0" max="52" min="52" style="56" width="5.49"/>
    <col collapsed="false" customWidth="false" hidden="false" outlineLevel="0" max="257" min="53" style="193" width="9.32"/>
  </cols>
  <sheetData>
    <row r="1" customFormat="false" ht="14.1" hidden="false" customHeight="true" outlineLevel="0" collapsed="false">
      <c r="A1" s="194"/>
      <c r="B1" s="194"/>
      <c r="D1" s="194"/>
      <c r="F1" s="194"/>
      <c r="G1" s="194"/>
      <c r="I1" s="194"/>
      <c r="J1" s="194"/>
      <c r="K1" s="298" t="s">
        <v>0</v>
      </c>
      <c r="L1" s="194"/>
      <c r="M1" s="194"/>
      <c r="O1" s="194"/>
      <c r="Q1" s="194"/>
      <c r="R1" s="194"/>
      <c r="V1" s="194"/>
      <c r="W1" s="194"/>
      <c r="Z1" s="194"/>
      <c r="AB1" s="194"/>
      <c r="AC1" s="194"/>
      <c r="AD1" s="194"/>
      <c r="AE1" s="194"/>
      <c r="AF1" s="194"/>
      <c r="AG1" s="194"/>
      <c r="AI1" s="194"/>
      <c r="AK1" s="194"/>
      <c r="AL1" s="194"/>
      <c r="AN1" s="237"/>
      <c r="AO1" s="197"/>
      <c r="AP1" s="197"/>
    </row>
    <row r="2" customFormat="false" ht="14.1" hidden="false" customHeight="true" outlineLevel="0" collapsed="false">
      <c r="A2" s="197" t="s">
        <v>1</v>
      </c>
      <c r="B2" s="194"/>
      <c r="D2" s="198" t="n">
        <v>1.9835</v>
      </c>
      <c r="F2" s="194"/>
      <c r="G2" s="194"/>
      <c r="I2" s="194"/>
      <c r="J2" s="194"/>
      <c r="K2" s="298" t="s">
        <v>131</v>
      </c>
      <c r="L2" s="299"/>
      <c r="M2" s="200"/>
      <c r="N2" s="300"/>
      <c r="O2" s="200"/>
      <c r="P2" s="300"/>
      <c r="Q2" s="200"/>
      <c r="R2" s="200"/>
      <c r="S2" s="393"/>
      <c r="T2" s="393"/>
      <c r="U2" s="300"/>
      <c r="V2" s="200"/>
      <c r="W2" s="200"/>
      <c r="X2" s="90"/>
      <c r="Y2" s="90"/>
      <c r="Z2" s="200"/>
      <c r="AA2" s="90"/>
      <c r="AB2" s="200"/>
      <c r="AC2" s="200"/>
      <c r="AD2" s="200"/>
      <c r="AE2" s="194"/>
      <c r="AF2" s="194"/>
      <c r="AG2" s="194"/>
      <c r="AI2" s="194"/>
      <c r="AK2" s="194"/>
      <c r="AL2" s="194"/>
      <c r="AN2" s="237"/>
      <c r="AO2" s="197"/>
      <c r="AP2" s="197"/>
    </row>
    <row r="3" customFormat="false" ht="14.1" hidden="false" customHeight="true" outlineLevel="0" collapsed="false">
      <c r="A3" s="194"/>
      <c r="B3" s="194"/>
      <c r="D3" s="394"/>
      <c r="F3" s="194"/>
      <c r="G3" s="194"/>
      <c r="I3" s="194"/>
      <c r="J3" s="194"/>
      <c r="K3" s="194"/>
      <c r="L3" s="194"/>
      <c r="M3" s="194"/>
      <c r="O3" s="194"/>
      <c r="Q3" s="194"/>
      <c r="R3" s="194"/>
      <c r="V3" s="194"/>
      <c r="W3" s="194"/>
      <c r="Z3" s="194"/>
      <c r="AB3" s="194"/>
      <c r="AC3" s="194"/>
      <c r="AD3" s="194"/>
      <c r="AE3" s="194"/>
      <c r="AF3" s="194"/>
      <c r="AG3" s="194"/>
      <c r="AI3" s="194"/>
      <c r="AK3" s="194"/>
      <c r="AL3" s="194"/>
      <c r="AN3" s="237"/>
      <c r="AO3" s="208"/>
      <c r="AP3" s="208"/>
      <c r="BA3" s="214"/>
      <c r="BB3" s="214"/>
    </row>
    <row r="4" s="56" customFormat="true" ht="14.1" hidden="false" customHeight="true" outlineLevel="0" collapsed="false">
      <c r="A4" s="395"/>
      <c r="B4" s="396"/>
      <c r="C4" s="397"/>
      <c r="D4" s="398" t="s">
        <v>3</v>
      </c>
      <c r="E4" s="397"/>
      <c r="F4" s="395"/>
      <c r="G4" s="396"/>
      <c r="H4" s="399"/>
      <c r="I4" s="400" t="s">
        <v>114</v>
      </c>
      <c r="J4" s="395"/>
      <c r="K4" s="395"/>
      <c r="L4" s="401"/>
      <c r="M4" s="395"/>
      <c r="N4" s="402"/>
      <c r="O4" s="395"/>
      <c r="P4" s="402"/>
      <c r="Q4" s="395"/>
      <c r="R4" s="395"/>
      <c r="S4" s="403"/>
      <c r="T4" s="403"/>
      <c r="U4" s="402"/>
      <c r="V4" s="400"/>
      <c r="W4" s="395"/>
      <c r="X4" s="400" t="s">
        <v>5</v>
      </c>
      <c r="Y4" s="397"/>
      <c r="Z4" s="395"/>
      <c r="AA4" s="397"/>
      <c r="AB4" s="395"/>
      <c r="AC4" s="395"/>
      <c r="AD4" s="395"/>
      <c r="AE4" s="395"/>
      <c r="AF4" s="395"/>
      <c r="AG4" s="395"/>
      <c r="AH4" s="404"/>
      <c r="AI4" s="395"/>
      <c r="AJ4" s="405"/>
      <c r="AK4" s="395"/>
      <c r="AL4" s="395"/>
      <c r="AM4" s="402"/>
      <c r="AN4" s="44"/>
      <c r="AO4" s="30"/>
      <c r="AP4" s="406" t="s">
        <v>6</v>
      </c>
      <c r="AQ4" s="48"/>
      <c r="AR4" s="407"/>
      <c r="AS4" s="49"/>
      <c r="AT4" s="405"/>
      <c r="AU4" s="405"/>
      <c r="AV4" s="408"/>
      <c r="AW4" s="409" t="s">
        <v>7</v>
      </c>
      <c r="AX4" s="410"/>
      <c r="AY4" s="57"/>
      <c r="AZ4" s="411"/>
      <c r="BA4" s="71"/>
      <c r="BB4" s="217"/>
    </row>
    <row r="5" customFormat="false" ht="12.95" hidden="false" customHeight="true" outlineLevel="0" collapsed="false">
      <c r="A5" s="333" t="s">
        <v>8</v>
      </c>
      <c r="B5" s="412" t="s">
        <v>9</v>
      </c>
      <c r="C5" s="413" t="s">
        <v>9</v>
      </c>
      <c r="D5" s="333" t="s">
        <v>10</v>
      </c>
      <c r="E5" s="413" t="s">
        <v>11</v>
      </c>
      <c r="F5" s="333" t="s">
        <v>12</v>
      </c>
      <c r="G5" s="412" t="s">
        <v>13</v>
      </c>
      <c r="H5" s="414" t="s">
        <v>14</v>
      </c>
      <c r="I5" s="333" t="s">
        <v>15</v>
      </c>
      <c r="J5" s="333" t="s">
        <v>16</v>
      </c>
      <c r="K5" s="333" t="s">
        <v>17</v>
      </c>
      <c r="L5" s="333" t="s">
        <v>16</v>
      </c>
      <c r="M5" s="415" t="s">
        <v>18</v>
      </c>
      <c r="N5" s="415"/>
      <c r="O5" s="415"/>
      <c r="P5" s="415"/>
      <c r="Q5" s="415"/>
      <c r="R5" s="415"/>
      <c r="S5" s="415"/>
      <c r="T5" s="415"/>
      <c r="U5" s="415"/>
      <c r="V5" s="333" t="s">
        <v>19</v>
      </c>
      <c r="W5" s="333" t="s">
        <v>20</v>
      </c>
      <c r="X5" s="58" t="s">
        <v>17</v>
      </c>
      <c r="Y5" s="58" t="s">
        <v>17</v>
      </c>
      <c r="Z5" s="64" t="s">
        <v>21</v>
      </c>
      <c r="AA5" s="58" t="s">
        <v>21</v>
      </c>
      <c r="AB5" s="64" t="s">
        <v>21</v>
      </c>
      <c r="AC5" s="413" t="s">
        <v>22</v>
      </c>
      <c r="AD5" s="413" t="s">
        <v>21</v>
      </c>
      <c r="AE5" s="333" t="s">
        <v>23</v>
      </c>
      <c r="AF5" s="416" t="s">
        <v>132</v>
      </c>
      <c r="AG5" s="417"/>
      <c r="AH5" s="418" t="s">
        <v>25</v>
      </c>
      <c r="AI5" s="413" t="s">
        <v>133</v>
      </c>
      <c r="AJ5" s="414" t="s">
        <v>27</v>
      </c>
      <c r="AK5" s="333" t="s">
        <v>15</v>
      </c>
      <c r="AL5" s="333" t="s">
        <v>16</v>
      </c>
      <c r="AM5" s="333" t="s">
        <v>17</v>
      </c>
      <c r="AN5" s="69" t="s">
        <v>28</v>
      </c>
      <c r="AO5" s="64" t="s">
        <v>21</v>
      </c>
      <c r="AP5" s="70" t="s">
        <v>29</v>
      </c>
      <c r="AQ5" s="70" t="s">
        <v>29</v>
      </c>
      <c r="AR5" s="65" t="s">
        <v>30</v>
      </c>
      <c r="AS5" s="71" t="s">
        <v>31</v>
      </c>
      <c r="AT5" s="414" t="s">
        <v>32</v>
      </c>
      <c r="AU5" s="72" t="s">
        <v>33</v>
      </c>
      <c r="AV5" s="419" t="s">
        <v>34</v>
      </c>
      <c r="AW5" s="418" t="s">
        <v>35</v>
      </c>
      <c r="AX5" s="418" t="s">
        <v>36</v>
      </c>
      <c r="AY5" s="86"/>
      <c r="AZ5" s="75" t="s">
        <v>17</v>
      </c>
      <c r="BA5" s="221" t="s">
        <v>37</v>
      </c>
      <c r="BB5" s="222" t="s">
        <v>37</v>
      </c>
    </row>
    <row r="6" customFormat="false" ht="12.95" hidden="false" customHeight="true" outlineLevel="0" collapsed="false">
      <c r="A6" s="420" t="s">
        <v>134</v>
      </c>
      <c r="B6" s="412" t="s">
        <v>39</v>
      </c>
      <c r="C6" s="413"/>
      <c r="D6" s="333" t="s">
        <v>40</v>
      </c>
      <c r="E6" s="413" t="s">
        <v>41</v>
      </c>
      <c r="F6" s="333" t="s">
        <v>42</v>
      </c>
      <c r="G6" s="412" t="s">
        <v>43</v>
      </c>
      <c r="H6" s="414" t="s">
        <v>44</v>
      </c>
      <c r="I6" s="333" t="s">
        <v>45</v>
      </c>
      <c r="J6" s="333" t="s">
        <v>45</v>
      </c>
      <c r="K6" s="333" t="s">
        <v>45</v>
      </c>
      <c r="L6" s="333" t="s">
        <v>46</v>
      </c>
      <c r="M6" s="421" t="s">
        <v>47</v>
      </c>
      <c r="N6" s="76" t="s">
        <v>48</v>
      </c>
      <c r="O6" s="333" t="s">
        <v>49</v>
      </c>
      <c r="P6" s="76" t="s">
        <v>135</v>
      </c>
      <c r="Q6" s="61" t="s">
        <v>51</v>
      </c>
      <c r="R6" s="61" t="s">
        <v>52</v>
      </c>
      <c r="S6" s="61"/>
      <c r="T6" s="61" t="s">
        <v>49</v>
      </c>
      <c r="U6" s="422" t="s">
        <v>53</v>
      </c>
      <c r="V6" s="333" t="s">
        <v>54</v>
      </c>
      <c r="W6" s="333" t="s">
        <v>55</v>
      </c>
      <c r="X6" s="58" t="s">
        <v>21</v>
      </c>
      <c r="Y6" s="58" t="s">
        <v>21</v>
      </c>
      <c r="Z6" s="64" t="s">
        <v>56</v>
      </c>
      <c r="AA6" s="58" t="s">
        <v>56</v>
      </c>
      <c r="AB6" s="64" t="s">
        <v>57</v>
      </c>
      <c r="AC6" s="413" t="s">
        <v>58</v>
      </c>
      <c r="AD6" s="413" t="s">
        <v>59</v>
      </c>
      <c r="AE6" s="333" t="s">
        <v>60</v>
      </c>
      <c r="AF6" s="79" t="s">
        <v>61</v>
      </c>
      <c r="AG6" s="82" t="s">
        <v>62</v>
      </c>
      <c r="AH6" s="418" t="s">
        <v>63</v>
      </c>
      <c r="AI6" s="413" t="s">
        <v>64</v>
      </c>
      <c r="AJ6" s="414"/>
      <c r="AK6" s="333" t="s">
        <v>65</v>
      </c>
      <c r="AL6" s="333" t="s">
        <v>65</v>
      </c>
      <c r="AM6" s="333" t="s">
        <v>65</v>
      </c>
      <c r="AN6" s="69" t="s">
        <v>66</v>
      </c>
      <c r="AO6" s="64" t="s">
        <v>67</v>
      </c>
      <c r="AP6" s="70" t="s">
        <v>68</v>
      </c>
      <c r="AQ6" s="70" t="s">
        <v>68</v>
      </c>
      <c r="AR6" s="65" t="s">
        <v>69</v>
      </c>
      <c r="AS6" s="71" t="s">
        <v>70</v>
      </c>
      <c r="AT6" s="414" t="s">
        <v>71</v>
      </c>
      <c r="AU6" s="72" t="s">
        <v>72</v>
      </c>
      <c r="AV6" s="423"/>
      <c r="AW6" s="418" t="s">
        <v>73</v>
      </c>
      <c r="AX6" s="418" t="s">
        <v>73</v>
      </c>
      <c r="AY6" s="86"/>
      <c r="AZ6" s="75" t="s">
        <v>74</v>
      </c>
      <c r="BA6" s="221" t="s">
        <v>75</v>
      </c>
      <c r="BB6" s="222" t="s">
        <v>76</v>
      </c>
    </row>
    <row r="7" customFormat="false" ht="12.95" hidden="false" customHeight="true" outlineLevel="0" collapsed="false">
      <c r="A7" s="333"/>
      <c r="B7" s="412"/>
      <c r="C7" s="413"/>
      <c r="D7" s="333"/>
      <c r="E7" s="413"/>
      <c r="F7" s="333"/>
      <c r="G7" s="412"/>
      <c r="H7" s="414"/>
      <c r="I7" s="333"/>
      <c r="J7" s="333"/>
      <c r="K7" s="333"/>
      <c r="L7" s="424"/>
      <c r="M7" s="333"/>
      <c r="N7" s="76" t="s">
        <v>77</v>
      </c>
      <c r="O7" s="333" t="s">
        <v>78</v>
      </c>
      <c r="P7" s="76"/>
      <c r="Q7" s="61" t="s">
        <v>79</v>
      </c>
      <c r="R7" s="61" t="s">
        <v>79</v>
      </c>
      <c r="S7" s="61" t="s">
        <v>62</v>
      </c>
      <c r="T7" s="61" t="s">
        <v>62</v>
      </c>
      <c r="U7" s="422" t="s">
        <v>80</v>
      </c>
      <c r="V7" s="333"/>
      <c r="W7" s="333"/>
      <c r="X7" s="68" t="s">
        <v>81</v>
      </c>
      <c r="Y7" s="60" t="s">
        <v>82</v>
      </c>
      <c r="Z7" s="64" t="s">
        <v>83</v>
      </c>
      <c r="AA7" s="58" t="s">
        <v>84</v>
      </c>
      <c r="AB7" s="64" t="s">
        <v>85</v>
      </c>
      <c r="AC7" s="413"/>
      <c r="AD7" s="413"/>
      <c r="AE7" s="333"/>
      <c r="AF7" s="84" t="n">
        <v>1.7</v>
      </c>
      <c r="AG7" s="84" t="n">
        <v>1.3</v>
      </c>
      <c r="AH7" s="418"/>
      <c r="AI7" s="413"/>
      <c r="AJ7" s="414"/>
      <c r="AK7" s="333"/>
      <c r="AL7" s="333"/>
      <c r="AM7" s="333"/>
      <c r="AN7" s="69"/>
      <c r="AO7" s="64" t="s">
        <v>42</v>
      </c>
      <c r="AP7" s="70" t="s">
        <v>86</v>
      </c>
      <c r="AQ7" s="70" t="s">
        <v>87</v>
      </c>
      <c r="AR7" s="65" t="s">
        <v>88</v>
      </c>
      <c r="AS7" s="71" t="s">
        <v>89</v>
      </c>
      <c r="AT7" s="414" t="s">
        <v>90</v>
      </c>
      <c r="AU7" s="72" t="s">
        <v>81</v>
      </c>
      <c r="AV7" s="423"/>
      <c r="AW7" s="418"/>
      <c r="AX7" s="418"/>
      <c r="AY7" s="86"/>
      <c r="AZ7" s="75" t="s">
        <v>91</v>
      </c>
      <c r="BA7" s="221"/>
      <c r="BB7" s="222"/>
    </row>
    <row r="8" customFormat="false" ht="12.95" hidden="false" customHeight="true" outlineLevel="0" collapsed="false">
      <c r="A8" s="333"/>
      <c r="B8" s="412"/>
      <c r="C8" s="413"/>
      <c r="D8" s="333"/>
      <c r="E8" s="413"/>
      <c r="F8" s="333"/>
      <c r="G8" s="412"/>
      <c r="H8" s="414"/>
      <c r="I8" s="333"/>
      <c r="J8" s="333"/>
      <c r="K8" s="333"/>
      <c r="L8" s="424"/>
      <c r="M8" s="333"/>
      <c r="N8" s="61"/>
      <c r="O8" s="333"/>
      <c r="P8" s="76"/>
      <c r="Q8" s="61" t="s">
        <v>62</v>
      </c>
      <c r="R8" s="61" t="s">
        <v>62</v>
      </c>
      <c r="S8" s="61"/>
      <c r="T8" s="61"/>
      <c r="U8" s="422"/>
      <c r="V8" s="333"/>
      <c r="W8" s="333"/>
      <c r="X8" s="68" t="s">
        <v>92</v>
      </c>
      <c r="Y8" s="60" t="s">
        <v>81</v>
      </c>
      <c r="Z8" s="64"/>
      <c r="AA8" s="60" t="s">
        <v>93</v>
      </c>
      <c r="AB8" s="64" t="s">
        <v>94</v>
      </c>
      <c r="AC8" s="413"/>
      <c r="AD8" s="413"/>
      <c r="AE8" s="333"/>
      <c r="AF8" s="425"/>
      <c r="AG8" s="426"/>
      <c r="AH8" s="418"/>
      <c r="AI8" s="413"/>
      <c r="AJ8" s="414"/>
      <c r="AK8" s="333"/>
      <c r="AL8" s="333"/>
      <c r="AM8" s="333"/>
      <c r="AN8" s="69"/>
      <c r="AO8" s="64"/>
      <c r="AP8" s="70"/>
      <c r="AQ8" s="70"/>
      <c r="AR8" s="65"/>
      <c r="AS8" s="184" t="n">
        <v>1535.7</v>
      </c>
      <c r="AT8" s="414"/>
      <c r="AU8" s="72"/>
      <c r="AV8" s="423"/>
      <c r="AW8" s="418"/>
      <c r="AX8" s="418"/>
      <c r="AY8" s="86"/>
      <c r="AZ8" s="75"/>
      <c r="BA8" s="221"/>
      <c r="BB8" s="222"/>
    </row>
    <row r="9" customFormat="false" ht="12.95" hidden="false" customHeight="true" outlineLevel="0" collapsed="false">
      <c r="A9" s="333"/>
      <c r="B9" s="412"/>
      <c r="C9" s="413"/>
      <c r="D9" s="333"/>
      <c r="E9" s="413"/>
      <c r="F9" s="333"/>
      <c r="G9" s="412"/>
      <c r="H9" s="414"/>
      <c r="I9" s="333"/>
      <c r="J9" s="333"/>
      <c r="K9" s="333"/>
      <c r="L9" s="424"/>
      <c r="M9" s="333"/>
      <c r="N9" s="76"/>
      <c r="O9" s="333"/>
      <c r="P9" s="76"/>
      <c r="Q9" s="61"/>
      <c r="R9" s="87" t="n">
        <v>4.2</v>
      </c>
      <c r="S9" s="61"/>
      <c r="T9" s="61"/>
      <c r="U9" s="422"/>
      <c r="V9" s="333"/>
      <c r="W9" s="333"/>
      <c r="X9" s="68"/>
      <c r="Y9" s="60" t="s">
        <v>92</v>
      </c>
      <c r="Z9" s="64"/>
      <c r="AA9" s="60" t="s">
        <v>92</v>
      </c>
      <c r="AB9" s="64" t="s">
        <v>95</v>
      </c>
      <c r="AC9" s="413"/>
      <c r="AD9" s="413"/>
      <c r="AE9" s="333"/>
      <c r="AF9" s="425"/>
      <c r="AG9" s="426"/>
      <c r="AH9" s="418"/>
      <c r="AI9" s="413"/>
      <c r="AJ9" s="414"/>
      <c r="AK9" s="333"/>
      <c r="AL9" s="333"/>
      <c r="AM9" s="333"/>
      <c r="AN9" s="69"/>
      <c r="AO9" s="64"/>
      <c r="AP9" s="70"/>
      <c r="AQ9" s="70"/>
      <c r="AR9" s="65"/>
      <c r="AS9" s="71"/>
      <c r="AT9" s="414"/>
      <c r="AU9" s="72"/>
      <c r="AV9" s="423"/>
      <c r="AW9" s="418"/>
      <c r="AX9" s="418"/>
      <c r="AY9" s="86"/>
      <c r="AZ9" s="75"/>
      <c r="BA9" s="221"/>
      <c r="BB9" s="222" t="s">
        <v>96</v>
      </c>
    </row>
    <row r="10" customFormat="false" ht="12.95" hidden="false" customHeight="true" outlineLevel="0" collapsed="false">
      <c r="A10" s="333"/>
      <c r="B10" s="412"/>
      <c r="C10" s="413" t="s">
        <v>10</v>
      </c>
      <c r="D10" s="333"/>
      <c r="E10" s="413" t="s">
        <v>98</v>
      </c>
      <c r="F10" s="333"/>
      <c r="G10" s="412" t="s">
        <v>42</v>
      </c>
      <c r="H10" s="414" t="s">
        <v>42</v>
      </c>
      <c r="I10" s="414" t="s">
        <v>42</v>
      </c>
      <c r="J10" s="414" t="s">
        <v>42</v>
      </c>
      <c r="K10" s="414" t="s">
        <v>42</v>
      </c>
      <c r="L10" s="427" t="s">
        <v>42</v>
      </c>
      <c r="M10" s="414" t="s">
        <v>42</v>
      </c>
      <c r="N10" s="414" t="s">
        <v>42</v>
      </c>
      <c r="O10" s="414" t="s">
        <v>42</v>
      </c>
      <c r="P10" s="414" t="s">
        <v>42</v>
      </c>
      <c r="Q10" s="61" t="s">
        <v>42</v>
      </c>
      <c r="R10" s="61" t="s">
        <v>42</v>
      </c>
      <c r="S10" s="61" t="s">
        <v>42</v>
      </c>
      <c r="T10" s="61" t="s">
        <v>42</v>
      </c>
      <c r="U10" s="427" t="s">
        <v>42</v>
      </c>
      <c r="V10" s="414" t="s">
        <v>42</v>
      </c>
      <c r="W10" s="414" t="s">
        <v>42</v>
      </c>
      <c r="X10" s="60" t="n">
        <v>153400</v>
      </c>
      <c r="Y10" s="60" t="n">
        <v>150400</v>
      </c>
      <c r="Z10" s="61" t="s">
        <v>42</v>
      </c>
      <c r="AA10" s="60"/>
      <c r="AB10" s="60" t="n">
        <v>72000</v>
      </c>
      <c r="AC10" s="414" t="s">
        <v>42</v>
      </c>
      <c r="AD10" s="414" t="s">
        <v>42</v>
      </c>
      <c r="AE10" s="414" t="s">
        <v>42</v>
      </c>
      <c r="AF10" s="428" t="s">
        <v>42</v>
      </c>
      <c r="AG10" s="427" t="s">
        <v>42</v>
      </c>
      <c r="AH10" s="414" t="s">
        <v>42</v>
      </c>
      <c r="AI10" s="414" t="s">
        <v>42</v>
      </c>
      <c r="AJ10" s="414" t="s">
        <v>42</v>
      </c>
      <c r="AK10" s="414" t="s">
        <v>42</v>
      </c>
      <c r="AL10" s="414" t="s">
        <v>42</v>
      </c>
      <c r="AM10" s="429" t="s">
        <v>42</v>
      </c>
      <c r="AN10" s="64" t="s">
        <v>42</v>
      </c>
      <c r="AO10" s="64" t="s">
        <v>42</v>
      </c>
      <c r="AP10" s="64" t="s">
        <v>42</v>
      </c>
      <c r="AQ10" s="70" t="s">
        <v>99</v>
      </c>
      <c r="AR10" s="65" t="s">
        <v>42</v>
      </c>
      <c r="AS10" s="64" t="s">
        <v>42</v>
      </c>
      <c r="AT10" s="65" t="s">
        <v>42</v>
      </c>
      <c r="AU10" s="64" t="s">
        <v>42</v>
      </c>
      <c r="AV10" s="423"/>
      <c r="AW10" s="418"/>
      <c r="AX10" s="418"/>
      <c r="AY10" s="86"/>
      <c r="AZ10" s="75" t="s">
        <v>100</v>
      </c>
      <c r="BA10" s="221" t="s">
        <v>42</v>
      </c>
      <c r="BB10" s="222" t="s">
        <v>98</v>
      </c>
    </row>
    <row r="11" customFormat="false" ht="12.95" hidden="false" customHeight="true" outlineLevel="0" collapsed="false">
      <c r="A11" s="333"/>
      <c r="B11" s="412"/>
      <c r="C11" s="413"/>
      <c r="D11" s="333"/>
      <c r="E11" s="413"/>
      <c r="F11" s="333"/>
      <c r="G11" s="412"/>
      <c r="H11" s="414"/>
      <c r="I11" s="333"/>
      <c r="J11" s="333"/>
      <c r="K11" s="333"/>
      <c r="L11" s="333"/>
      <c r="M11" s="421"/>
      <c r="N11" s="76" t="n">
        <v>1.03</v>
      </c>
      <c r="O11" s="430" t="n">
        <v>1.05</v>
      </c>
      <c r="P11" s="76" t="n">
        <v>1.02</v>
      </c>
      <c r="Q11" s="88" t="n">
        <v>1.02</v>
      </c>
      <c r="R11" s="89" t="n">
        <v>1.04</v>
      </c>
      <c r="S11" s="61"/>
      <c r="T11" s="88" t="n">
        <v>1.04</v>
      </c>
      <c r="U11" s="422"/>
      <c r="V11" s="333"/>
      <c r="W11" s="333"/>
      <c r="X11" s="61" t="s">
        <v>42</v>
      </c>
      <c r="Y11" s="61" t="s">
        <v>42</v>
      </c>
      <c r="Z11" s="61" t="s">
        <v>42</v>
      </c>
      <c r="AA11" s="60" t="s">
        <v>42</v>
      </c>
      <c r="AB11" s="90" t="s">
        <v>101</v>
      </c>
      <c r="AC11" s="413"/>
      <c r="AD11" s="413"/>
      <c r="AE11" s="333"/>
      <c r="AF11" s="425"/>
      <c r="AG11" s="426"/>
      <c r="AH11" s="418"/>
      <c r="AI11" s="413"/>
      <c r="AJ11" s="414"/>
      <c r="AK11" s="333"/>
      <c r="AL11" s="333"/>
      <c r="AM11" s="333"/>
      <c r="AN11" s="69"/>
      <c r="AO11" s="64"/>
      <c r="AP11" s="70"/>
      <c r="AQ11" s="70"/>
      <c r="AR11" s="65"/>
      <c r="AS11" s="93"/>
      <c r="AV11" s="423"/>
      <c r="AW11" s="418"/>
      <c r="AX11" s="418"/>
      <c r="AY11" s="86"/>
      <c r="AZ11" s="75" t="s">
        <v>42</v>
      </c>
      <c r="BA11" s="221"/>
      <c r="BB11" s="222"/>
    </row>
    <row r="12" customFormat="false" ht="12.95" hidden="false" customHeight="true" outlineLevel="0" collapsed="false">
      <c r="A12" s="197" t="s">
        <v>102</v>
      </c>
      <c r="B12" s="223"/>
      <c r="C12" s="114"/>
      <c r="D12" s="114"/>
      <c r="E12" s="114"/>
      <c r="F12" s="114" t="n">
        <f aca="false">APR!F49</f>
        <v>6706.32719939501</v>
      </c>
      <c r="G12" s="431" t="n">
        <f aca="false">APR!G49</f>
        <v>11100</v>
      </c>
      <c r="H12" s="144" t="n">
        <f aca="false">APR!H49</f>
        <v>48.359</v>
      </c>
      <c r="I12" s="114" t="n">
        <f aca="false">APR!I49</f>
        <v>11148.359</v>
      </c>
      <c r="J12" s="114" t="n">
        <f aca="false">APR!J49</f>
        <v>392.826604487018</v>
      </c>
      <c r="K12" s="114" t="n">
        <f aca="false">APR!K49</f>
        <v>11541.185604487</v>
      </c>
      <c r="L12" s="114" t="n">
        <f aca="false">APR!L49</f>
        <v>-58.4818006049914</v>
      </c>
      <c r="M12" s="226" t="n">
        <f aca="false">APR!M49</f>
        <v>2995.91</v>
      </c>
      <c r="N12" s="144" t="n">
        <f aca="false">APR!N49</f>
        <v>0</v>
      </c>
      <c r="O12" s="114" t="n">
        <f aca="false">APR!O49</f>
        <v>1310.22885</v>
      </c>
      <c r="P12" s="171" t="n">
        <f aca="false">APR!P49</f>
        <v>0</v>
      </c>
      <c r="Q12" s="114"/>
      <c r="R12" s="114"/>
      <c r="S12" s="346"/>
      <c r="T12" s="346"/>
      <c r="U12" s="227"/>
      <c r="V12" s="114" t="n">
        <f aca="false">APR!V49</f>
        <v>0</v>
      </c>
      <c r="W12" s="114" t="n">
        <f aca="false">APR!W49</f>
        <v>319.09</v>
      </c>
      <c r="X12" s="114" t="n">
        <f aca="false">APR!X49</f>
        <v>1899.37335414686</v>
      </c>
      <c r="Y12" s="114" t="n">
        <f aca="false">APR!Y49</f>
        <v>1720.11335414686</v>
      </c>
      <c r="Z12" s="114" t="n">
        <f aca="false">APR!Z44</f>
        <v>9078.36419264</v>
      </c>
      <c r="AA12" s="114"/>
      <c r="AB12" s="114" t="n">
        <f aca="false">APR!AB44</f>
        <v>21418.7802140517</v>
      </c>
      <c r="AC12" s="114" t="n">
        <f aca="false">APR!AC44</f>
        <v>1619.77114295285</v>
      </c>
      <c r="AD12" s="114"/>
      <c r="AE12" s="114" t="n">
        <f aca="false">APR!AE49</f>
        <v>377.15</v>
      </c>
      <c r="AF12" s="226" t="n">
        <f aca="false">APR!AF49</f>
        <v>51</v>
      </c>
      <c r="AG12" s="228" t="n">
        <f aca="false">APR!AG49</f>
        <v>39</v>
      </c>
      <c r="AH12" s="225"/>
      <c r="AI12" s="114"/>
      <c r="AJ12" s="144" t="n">
        <f aca="false">APR!AJ49</f>
        <v>0</v>
      </c>
      <c r="AK12" s="114" t="n">
        <f aca="false">APR!AK49</f>
        <v>4383.55</v>
      </c>
      <c r="AL12" s="114" t="n">
        <f aca="false">APR!AL49</f>
        <v>451.308405092009</v>
      </c>
      <c r="AM12" s="114" t="n">
        <f aca="false">APR!AM49</f>
        <v>4834.85840509201</v>
      </c>
      <c r="AN12" s="431"/>
      <c r="AO12" s="225"/>
      <c r="AP12" s="143"/>
      <c r="AQ12" s="171" t="n">
        <f aca="false">APR!AQ50</f>
        <v>206.326574177794</v>
      </c>
      <c r="AR12" s="144"/>
      <c r="AS12" s="114" t="n">
        <f aca="false">APR!AS49</f>
        <v>0</v>
      </c>
      <c r="AT12" s="144" t="n">
        <f aca="false">APR!AT49</f>
        <v>0</v>
      </c>
      <c r="AV12" s="232"/>
      <c r="AW12" s="225"/>
      <c r="AX12" s="225"/>
      <c r="AY12" s="86"/>
      <c r="AZ12" s="432" t="n">
        <f aca="false">APR!AZ49</f>
        <v>142.717945853145</v>
      </c>
      <c r="BA12" s="231" t="n">
        <f aca="false">APR!BA49</f>
        <v>0.806</v>
      </c>
      <c r="BB12" s="236"/>
    </row>
    <row r="13" s="243" customFormat="true" ht="12.95" hidden="false" customHeight="true" outlineLevel="0" collapsed="false">
      <c r="A13" s="237" t="s">
        <v>103</v>
      </c>
      <c r="B13" s="113" t="n">
        <f aca="false">APR!B44</f>
        <v>6877.47</v>
      </c>
      <c r="C13" s="114" t="n">
        <f aca="false">APR!C44</f>
        <v>208677</v>
      </c>
      <c r="D13" s="114" t="n">
        <f aca="false">APR!D53</f>
        <v>22937</v>
      </c>
      <c r="E13" s="114" t="n">
        <f aca="false">APR!E53</f>
        <v>56677</v>
      </c>
      <c r="F13" s="114" t="n">
        <f aca="false">APR!F52</f>
        <v>11563.902193093</v>
      </c>
      <c r="G13" s="431" t="n">
        <f aca="false">APR!G52</f>
        <v>26329</v>
      </c>
      <c r="H13" s="144" t="n">
        <f aca="false">APR!H52</f>
        <v>165.861</v>
      </c>
      <c r="I13" s="114" t="n">
        <f aca="false">APR!I52</f>
        <v>26494.241</v>
      </c>
      <c r="J13" s="114" t="n">
        <f aca="false">APR!J52</f>
        <v>2737.91550995715</v>
      </c>
      <c r="K13" s="114" t="n">
        <f aca="false">APR!K52</f>
        <v>29232.1565099571</v>
      </c>
      <c r="L13" s="114" t="n">
        <f aca="false">APR!L52</f>
        <v>70.9611930930169</v>
      </c>
      <c r="M13" s="226" t="n">
        <f aca="false">APR!M52</f>
        <v>3740.44</v>
      </c>
      <c r="N13" s="144" t="n">
        <f aca="false">APR!N52</f>
        <v>0</v>
      </c>
      <c r="O13" s="114" t="n">
        <f aca="false">APR!O52</f>
        <v>1310.22885</v>
      </c>
      <c r="P13" s="171"/>
      <c r="Q13" s="114" t="n">
        <f aca="false">APR!Q52</f>
        <v>274.083670494932</v>
      </c>
      <c r="R13" s="114" t="n">
        <f aca="false">APR!R52</f>
        <v>309.33663856</v>
      </c>
      <c r="S13" s="287" t="n">
        <f aca="false">APR!S52</f>
        <v>0.64952416</v>
      </c>
      <c r="T13" s="238" t="n">
        <f aca="false">APR!T52</f>
        <v>100.47593296</v>
      </c>
      <c r="U13" s="433" t="n">
        <f aca="false">APR!U52</f>
        <v>-45.366813481233</v>
      </c>
      <c r="V13" s="114" t="n">
        <f aca="false">APR!V52</f>
        <v>5712.49</v>
      </c>
      <c r="W13" s="114" t="n">
        <f aca="false">APR!W52</f>
        <v>343.12</v>
      </c>
      <c r="X13" s="114" t="n">
        <f aca="false">APR!X52</f>
        <v>7814.6056473063</v>
      </c>
      <c r="Y13" s="85" t="n">
        <f aca="false">APR!Y52</f>
        <v>7439.72231397297</v>
      </c>
      <c r="Z13" s="114"/>
      <c r="AA13" s="85"/>
      <c r="AB13" s="114"/>
      <c r="AC13" s="114"/>
      <c r="AD13" s="114"/>
      <c r="AE13" s="114"/>
      <c r="AF13" s="226" t="n">
        <f aca="false">AF12</f>
        <v>51</v>
      </c>
      <c r="AG13" s="228" t="n">
        <f aca="false">AG12</f>
        <v>39</v>
      </c>
      <c r="AH13" s="225" t="n">
        <f aca="false">APR!AH52</f>
        <v>4828.1</v>
      </c>
      <c r="AI13" s="114" t="n">
        <f aca="false">APR!AI52</f>
        <v>15339.8578774893</v>
      </c>
      <c r="AJ13" s="144" t="n">
        <f aca="false">APR!AJ52</f>
        <v>0</v>
      </c>
      <c r="AK13" s="114" t="n">
        <f aca="false">APR!AK52</f>
        <v>15001.3</v>
      </c>
      <c r="AL13" s="114" t="n">
        <f aca="false">APR!AL52</f>
        <v>2666.95431686413</v>
      </c>
      <c r="AM13" s="114" t="n">
        <f aca="false">APR!AM52</f>
        <v>17668.2543168641</v>
      </c>
      <c r="AN13" s="434" t="n">
        <f aca="false">APR!AN52</f>
        <v>5685.01666666667</v>
      </c>
      <c r="AO13" s="342" t="n">
        <f aca="false">APR!AO52</f>
        <v>374.883333333333</v>
      </c>
      <c r="AP13" s="114"/>
      <c r="AQ13" s="171"/>
      <c r="AR13" s="144"/>
      <c r="AS13" s="114" t="n">
        <f aca="false">APR!AS52</f>
        <v>0</v>
      </c>
      <c r="AT13" s="144"/>
      <c r="AU13" s="161"/>
      <c r="AV13" s="232" t="n">
        <f aca="false">APR!AV52</f>
        <v>6.28</v>
      </c>
      <c r="AW13" s="225"/>
      <c r="AX13" s="225"/>
      <c r="AY13" s="115"/>
      <c r="AZ13" s="435" t="n">
        <f aca="false">APR!AZ52</f>
        <v>639.178952693699</v>
      </c>
      <c r="BA13" s="114" t="n">
        <f aca="false">APR!BA52</f>
        <v>14.412</v>
      </c>
      <c r="BB13" s="242"/>
    </row>
    <row r="14" customFormat="false" ht="2.25" hidden="false" customHeight="true" outlineLevel="0" collapsed="false">
      <c r="A14" s="244"/>
      <c r="B14" s="245"/>
      <c r="C14" s="246"/>
      <c r="D14" s="247"/>
      <c r="E14" s="246"/>
      <c r="F14" s="247"/>
      <c r="G14" s="266"/>
      <c r="H14" s="253"/>
      <c r="I14" s="247"/>
      <c r="J14" s="247"/>
      <c r="K14" s="247"/>
      <c r="L14" s="247"/>
      <c r="M14" s="250"/>
      <c r="N14" s="251"/>
      <c r="O14" s="247"/>
      <c r="P14" s="251"/>
      <c r="Q14" s="247"/>
      <c r="R14" s="247"/>
      <c r="S14" s="436"/>
      <c r="T14" s="436"/>
      <c r="U14" s="252"/>
      <c r="V14" s="247"/>
      <c r="W14" s="247"/>
      <c r="X14" s="247"/>
      <c r="Y14" s="247"/>
      <c r="Z14" s="246"/>
      <c r="AA14" s="247"/>
      <c r="AB14" s="246"/>
      <c r="AC14" s="246"/>
      <c r="AD14" s="246"/>
      <c r="AE14" s="247"/>
      <c r="AF14" s="250"/>
      <c r="AG14" s="254"/>
      <c r="AH14" s="256"/>
      <c r="AI14" s="246"/>
      <c r="AJ14" s="253"/>
      <c r="AK14" s="247"/>
      <c r="AL14" s="247"/>
      <c r="AM14" s="247"/>
      <c r="AN14" s="274"/>
      <c r="AO14" s="256"/>
      <c r="AP14" s="256"/>
      <c r="AQ14" s="251"/>
      <c r="AR14" s="253"/>
      <c r="AS14" s="251"/>
      <c r="AT14" s="253"/>
      <c r="AU14" s="253"/>
      <c r="AV14" s="258"/>
      <c r="AW14" s="256"/>
      <c r="AX14" s="256"/>
      <c r="AY14" s="256"/>
      <c r="AZ14" s="256"/>
      <c r="BA14" s="256"/>
      <c r="BB14" s="256"/>
    </row>
    <row r="15" customFormat="false" ht="12.95" hidden="false" customHeight="true" outlineLevel="0" collapsed="false">
      <c r="A15" s="192" t="n">
        <v>1</v>
      </c>
      <c r="B15" s="113" t="n">
        <v>6877.58</v>
      </c>
      <c r="C15" s="114" t="n">
        <v>208998</v>
      </c>
      <c r="D15" s="225" t="n">
        <f aca="false">C15-C13</f>
        <v>321</v>
      </c>
      <c r="E15" s="114" t="n">
        <f aca="false">C15-152000</f>
        <v>56998</v>
      </c>
      <c r="F15" s="143" t="n">
        <f aca="false">D15/$D$2</f>
        <v>161.83513990421</v>
      </c>
      <c r="G15" s="223" t="n">
        <v>471</v>
      </c>
      <c r="H15" s="144" t="n">
        <v>0.841</v>
      </c>
      <c r="I15" s="143" t="n">
        <f aca="false">G15+H15</f>
        <v>471.841</v>
      </c>
      <c r="J15" s="144" t="n">
        <f aca="false">IF(L15&gt;0,L15,0)</f>
        <v>0</v>
      </c>
      <c r="K15" s="143" t="n">
        <f aca="false">I15+J15</f>
        <v>471.841</v>
      </c>
      <c r="L15" s="143" t="n">
        <f aca="false">F15-(I15-AK15)</f>
        <v>-22.6058600957902</v>
      </c>
      <c r="M15" s="261" t="n">
        <v>157</v>
      </c>
      <c r="N15" s="171" t="n">
        <v>0</v>
      </c>
      <c r="O15" s="143" t="n">
        <f aca="false">29.3*1.05</f>
        <v>30.765</v>
      </c>
      <c r="P15" s="171" t="n">
        <v>0</v>
      </c>
      <c r="Q15" s="346" t="n">
        <f aca="false">1239600/325851/1.9835*1.02</f>
        <v>1.95627757404825</v>
      </c>
      <c r="R15" s="139" t="n">
        <v>4.2</v>
      </c>
      <c r="S15" s="139" t="n">
        <f aca="false">((4.8*1.04)-T15)-4.2</f>
        <v>0.04027344</v>
      </c>
      <c r="T15" s="139" t="n">
        <f aca="false">(0.6819*1.06)*1.04</f>
        <v>0.75172656</v>
      </c>
      <c r="U15" s="365" t="n">
        <v>0</v>
      </c>
      <c r="V15" s="143" t="n">
        <v>0</v>
      </c>
      <c r="W15" s="143" t="n">
        <v>49.8</v>
      </c>
      <c r="X15" s="143" t="n">
        <f aca="false">M15-N15-O15-P15-Q15-R15-S15-T15-U15+V15+W15-AT15+AR15</f>
        <v>176.903354804364</v>
      </c>
      <c r="Y15" s="143" t="n">
        <f aca="false">X15-AO15</f>
        <v>176.903354804364</v>
      </c>
      <c r="Z15" s="114" t="n">
        <f aca="false">Z12+AP15</f>
        <v>9365.44556026159</v>
      </c>
      <c r="AA15" s="143"/>
      <c r="AB15" s="114" t="n">
        <f aca="false">AB12+(Y15+AP15)*1.9835</f>
        <v>22339.0939109836</v>
      </c>
      <c r="AC15" s="114" t="n">
        <f aca="false">AC12-(APR!AQ44/1.9835)</f>
        <v>1610.11135549172</v>
      </c>
      <c r="AD15" s="114"/>
      <c r="AE15" s="143" t="n">
        <v>59.6</v>
      </c>
      <c r="AF15" s="261" t="n">
        <v>1.7</v>
      </c>
      <c r="AG15" s="262" t="n">
        <v>1.3</v>
      </c>
      <c r="AH15" s="144" t="n">
        <v>21</v>
      </c>
      <c r="AI15" s="114" t="n">
        <f aca="false">AI13-AH15</f>
        <v>15318.8578774893</v>
      </c>
      <c r="AJ15" s="103"/>
      <c r="AK15" s="142" t="n">
        <f aca="false">N15+O15+P15+Q15+R15+S15+T15+U15+X15+AE15+AH15+AT15-AR15</f>
        <v>287.4</v>
      </c>
      <c r="AL15" s="143" t="n">
        <f aca="false">IF(L15&lt;0,L15*-1,0)</f>
        <v>22.6058600957902</v>
      </c>
      <c r="AM15" s="143" t="n">
        <f aca="false">AK15+AL15</f>
        <v>310.00586009579</v>
      </c>
      <c r="AN15" s="431" t="n">
        <v>0</v>
      </c>
      <c r="AO15" s="225"/>
      <c r="AP15" s="157" t="n">
        <f aca="false">I15-Q15-R15-X15-AF15</f>
        <v>287.081367621588</v>
      </c>
      <c r="AQ15" s="171" t="n">
        <f aca="false">51.586*(Z15*1.9835+AC15*1.9835)/E15</f>
        <v>19.7029387751794</v>
      </c>
      <c r="AR15" s="144" t="n">
        <f aca="false">480.633/$D$2/31</f>
        <v>7.81663237841222</v>
      </c>
      <c r="AS15" s="231"/>
      <c r="AT15" s="111" t="n">
        <v>0</v>
      </c>
      <c r="AU15" s="56"/>
      <c r="AV15" s="232" t="n">
        <v>0</v>
      </c>
      <c r="AW15" s="225" t="n">
        <v>79</v>
      </c>
      <c r="AX15" s="225" t="n">
        <v>43</v>
      </c>
      <c r="AY15" s="86"/>
      <c r="AZ15" s="263" t="n">
        <f aca="false">SUM(N15,P15:U15)</f>
        <v>6.94827757404825</v>
      </c>
      <c r="BA15" s="193" t="n">
        <v>0</v>
      </c>
      <c r="BB15" s="264" t="n">
        <v>19700</v>
      </c>
    </row>
    <row r="16" customFormat="false" ht="12.95" hidden="false" customHeight="true" outlineLevel="0" collapsed="false">
      <c r="A16" s="192" t="n">
        <f aca="false">A15+1</f>
        <v>2</v>
      </c>
      <c r="B16" s="113" t="n">
        <v>6877.81</v>
      </c>
      <c r="C16" s="114" t="n">
        <v>209670</v>
      </c>
      <c r="D16" s="225" t="n">
        <f aca="false">C16-C15</f>
        <v>672</v>
      </c>
      <c r="E16" s="114" t="n">
        <f aca="false">C16-152000</f>
        <v>57670</v>
      </c>
      <c r="F16" s="143" t="n">
        <f aca="false">D16/$D$2</f>
        <v>338.795059238719</v>
      </c>
      <c r="G16" s="223" t="n">
        <v>641</v>
      </c>
      <c r="H16" s="144" t="n">
        <v>0.906</v>
      </c>
      <c r="I16" s="143" t="n">
        <f aca="false">G16+H16</f>
        <v>641.906</v>
      </c>
      <c r="J16" s="144" t="n">
        <f aca="false">IF(L16&gt;0,L16,0)</f>
        <v>0</v>
      </c>
      <c r="K16" s="143" t="n">
        <f aca="false">I16+J16</f>
        <v>641.906</v>
      </c>
      <c r="L16" s="143" t="n">
        <f aca="false">F16-(I16-AK16)</f>
        <v>-7.51094076128055</v>
      </c>
      <c r="M16" s="261" t="n">
        <v>145</v>
      </c>
      <c r="N16" s="171" t="n">
        <v>0</v>
      </c>
      <c r="O16" s="143" t="n">
        <f aca="false">0*1.05</f>
        <v>0</v>
      </c>
      <c r="P16" s="171" t="n">
        <v>0</v>
      </c>
      <c r="Q16" s="346" t="n">
        <f aca="false">1533000/325851/1.9835*1.02</f>
        <v>2.41930745483701</v>
      </c>
      <c r="R16" s="139" t="n">
        <f aca="false">(4.6*1.04)-T16</f>
        <v>4.03227344</v>
      </c>
      <c r="S16" s="139" t="n">
        <v>0</v>
      </c>
      <c r="T16" s="139" t="n">
        <f aca="false">(0.6819*1.06)*1.04</f>
        <v>0.75172656</v>
      </c>
      <c r="U16" s="365" t="n">
        <v>0</v>
      </c>
      <c r="V16" s="143" t="n">
        <v>0</v>
      </c>
      <c r="W16" s="143" t="n">
        <v>55.3</v>
      </c>
      <c r="X16" s="143" t="n">
        <f aca="false">M16-N16-O16-P16-Q16-R16-S16-T16-U16+V16+W16-AT16+AR16</f>
        <v>200.913324923575</v>
      </c>
      <c r="Y16" s="143" t="n">
        <f aca="false">X16-AO16</f>
        <v>200.913324923575</v>
      </c>
      <c r="Z16" s="114" t="n">
        <f aca="false">Z15+AP16</f>
        <v>9798.28665444318</v>
      </c>
      <c r="AA16" s="143"/>
      <c r="AB16" s="114" t="n">
        <f aca="false">AB15+(Y16+AP16)*1.9835</f>
        <v>23596.1458012787</v>
      </c>
      <c r="AC16" s="114" t="n">
        <f aca="false">AC15-(AQ15/1.9835)</f>
        <v>1600.17793538828</v>
      </c>
      <c r="AD16" s="114"/>
      <c r="AE16" s="143" t="n">
        <v>74.1</v>
      </c>
      <c r="AF16" s="261" t="n">
        <v>1.7</v>
      </c>
      <c r="AG16" s="262" t="n">
        <v>1.3</v>
      </c>
      <c r="AH16" s="144" t="n">
        <v>21.2</v>
      </c>
      <c r="AI16" s="114" t="n">
        <f aca="false">AI15-AH16</f>
        <v>15297.6578774893</v>
      </c>
      <c r="AJ16" s="103"/>
      <c r="AK16" s="142" t="n">
        <f aca="false">N16+O16+P16+Q16+R16+S16+T16+U16+X16+AE16+AH16+AT16-AR16</f>
        <v>295.6</v>
      </c>
      <c r="AL16" s="143" t="n">
        <f aca="false">IF(L16&lt;0,L16*-1,0)</f>
        <v>7.51094076128055</v>
      </c>
      <c r="AM16" s="143" t="n">
        <f aca="false">AK16+AL16</f>
        <v>303.110940761281</v>
      </c>
      <c r="AN16" s="431" t="n">
        <v>0</v>
      </c>
      <c r="AO16" s="225"/>
      <c r="AP16" s="157" t="n">
        <f aca="false">I16-Q16-R16-X16-AF16</f>
        <v>432.841094181588</v>
      </c>
      <c r="AQ16" s="171" t="n">
        <f aca="false">42.332*(Z16*1.9835+AC16*1.9835)/E16</f>
        <v>16.5957695384726</v>
      </c>
      <c r="AR16" s="144" t="n">
        <f aca="false">480.633/$D$2/31</f>
        <v>7.81663237841222</v>
      </c>
      <c r="AS16" s="231"/>
      <c r="AT16" s="111" t="n">
        <v>0</v>
      </c>
      <c r="AU16" s="56"/>
      <c r="AV16" s="232" t="n">
        <v>0</v>
      </c>
      <c r="AW16" s="225" t="n">
        <v>78</v>
      </c>
      <c r="AX16" s="225" t="n">
        <v>43</v>
      </c>
      <c r="AY16" s="86"/>
      <c r="AZ16" s="263" t="n">
        <f aca="false">SUM(N16,P16:U16)</f>
        <v>7.20330745483701</v>
      </c>
      <c r="BA16" s="193" t="n">
        <v>0</v>
      </c>
      <c r="BB16" s="264" t="n">
        <v>19674</v>
      </c>
    </row>
    <row r="17" customFormat="false" ht="12.95" hidden="false" customHeight="true" outlineLevel="0" collapsed="false">
      <c r="A17" s="192" t="n">
        <f aca="false">A16+1</f>
        <v>3</v>
      </c>
      <c r="B17" s="113" t="n">
        <v>6878.03</v>
      </c>
      <c r="C17" s="114" t="n">
        <v>210313</v>
      </c>
      <c r="D17" s="225" t="n">
        <f aca="false">C17-C16</f>
        <v>643</v>
      </c>
      <c r="E17" s="114" t="n">
        <f aca="false">C17-152000</f>
        <v>58313</v>
      </c>
      <c r="F17" s="143" t="n">
        <f aca="false">D17/$D$2</f>
        <v>324.174439122763</v>
      </c>
      <c r="G17" s="223" t="n">
        <v>662</v>
      </c>
      <c r="H17" s="144" t="n">
        <v>0.966</v>
      </c>
      <c r="I17" s="143" t="n">
        <f aca="false">G17+H17</f>
        <v>662.966</v>
      </c>
      <c r="J17" s="144" t="n">
        <f aca="false">IF(L17&gt;0,L17,0)</f>
        <v>0</v>
      </c>
      <c r="K17" s="143" t="n">
        <f aca="false">I17+J17</f>
        <v>662.966</v>
      </c>
      <c r="L17" s="143" t="n">
        <f aca="false">F17-(I17-AK17)</f>
        <v>-20.2915608772372</v>
      </c>
      <c r="M17" s="261" t="n">
        <v>153</v>
      </c>
      <c r="N17" s="171" t="n">
        <v>0</v>
      </c>
      <c r="O17" s="143" t="n">
        <f aca="false">0*1.05</f>
        <v>0</v>
      </c>
      <c r="P17" s="171" t="n">
        <v>0</v>
      </c>
      <c r="Q17" s="346" t="n">
        <f aca="false">1419100/325851/1.9835*1.02</f>
        <v>2.23955590943197</v>
      </c>
      <c r="R17" s="139" t="n">
        <f aca="false">(4.6*1.04)-T17</f>
        <v>4.03227344</v>
      </c>
      <c r="S17" s="139" t="n">
        <v>0</v>
      </c>
      <c r="T17" s="139" t="n">
        <f aca="false">(0.6819*1.06)*1.04</f>
        <v>0.75172656</v>
      </c>
      <c r="U17" s="365" t="n">
        <v>0</v>
      </c>
      <c r="V17" s="143" t="n">
        <v>0</v>
      </c>
      <c r="W17" s="143" t="n">
        <v>56.7</v>
      </c>
      <c r="X17" s="143" t="n">
        <f aca="false">M17-N17-O17-P17-Q17-R17-S17-T17-U17+V17+W17-AT17+AR17</f>
        <v>210.49307646898</v>
      </c>
      <c r="Y17" s="143" t="n">
        <f aca="false">X17-AO17</f>
        <v>210.49307646898</v>
      </c>
      <c r="Z17" s="114" t="n">
        <f aca="false">Z16+AP17</f>
        <v>10242.7877486248</v>
      </c>
      <c r="AA17" s="143"/>
      <c r="AB17" s="114" t="n">
        <f aca="false">AB16+(Y17+AP17)*1.9835</f>
        <v>24895.3267387641</v>
      </c>
      <c r="AC17" s="114" t="n">
        <f aca="false">AC16-(AQ16/1.9835)</f>
        <v>1591.81102359676</v>
      </c>
      <c r="AD17" s="114"/>
      <c r="AE17" s="143" t="n">
        <v>87.2</v>
      </c>
      <c r="AF17" s="261" t="n">
        <v>1.7</v>
      </c>
      <c r="AG17" s="262" t="n">
        <v>1.3</v>
      </c>
      <c r="AH17" s="144" t="n">
        <v>21.6</v>
      </c>
      <c r="AI17" s="114" t="n">
        <f aca="false">AI16-AH17</f>
        <v>15276.0578774893</v>
      </c>
      <c r="AJ17" s="103"/>
      <c r="AK17" s="142" t="n">
        <f aca="false">N17+O17+P17+Q17+R17+S17+T17+U17+X17+AE17+AH17+AT17-AR17</f>
        <v>318.5</v>
      </c>
      <c r="AL17" s="143" t="n">
        <f aca="false">IF(L17&lt;0,L17*-1,0)</f>
        <v>20.2915608772372</v>
      </c>
      <c r="AM17" s="143" t="n">
        <f aca="false">AK17+AL17</f>
        <v>338.791560877237</v>
      </c>
      <c r="AN17" s="431" t="n">
        <v>0</v>
      </c>
      <c r="AO17" s="225"/>
      <c r="AP17" s="157" t="n">
        <f aca="false">I17-Q17-R17-X17-AF17</f>
        <v>444.501094181588</v>
      </c>
      <c r="AQ17" s="171" t="n">
        <f aca="false">27.25*(Z17*1.9835+AC17*1.9835)/E17</f>
        <v>10.9695008250838</v>
      </c>
      <c r="AR17" s="144" t="n">
        <f aca="false">480.633/$D$2/31</f>
        <v>7.81663237841222</v>
      </c>
      <c r="AS17" s="231"/>
      <c r="AT17" s="111" t="n">
        <v>0</v>
      </c>
      <c r="AU17" s="56"/>
      <c r="AV17" s="232" t="n">
        <v>0</v>
      </c>
      <c r="AW17" s="225" t="n">
        <v>72</v>
      </c>
      <c r="AX17" s="225" t="n">
        <v>44</v>
      </c>
      <c r="AY17" s="86"/>
      <c r="AZ17" s="263" t="n">
        <f aca="false">SUM(N17,P17:U17)</f>
        <v>7.02355590943197</v>
      </c>
      <c r="BA17" s="193" t="n">
        <v>0</v>
      </c>
      <c r="BB17" s="264" t="n">
        <v>19718</v>
      </c>
    </row>
    <row r="18" customFormat="false" ht="12.95" hidden="false" customHeight="true" outlineLevel="0" collapsed="false">
      <c r="A18" s="192" t="n">
        <f aca="false">A17+1</f>
        <v>4</v>
      </c>
      <c r="B18" s="113" t="n">
        <v>6878.25</v>
      </c>
      <c r="C18" s="114" t="n">
        <v>210963</v>
      </c>
      <c r="D18" s="225" t="n">
        <f aca="false">C18-C17</f>
        <v>650</v>
      </c>
      <c r="E18" s="114" t="n">
        <f aca="false">C18-152000</f>
        <v>58963</v>
      </c>
      <c r="F18" s="143" t="n">
        <f aca="false">D18/$D$2</f>
        <v>327.703554323166</v>
      </c>
      <c r="G18" s="223" t="n">
        <v>713</v>
      </c>
      <c r="H18" s="144" t="n">
        <v>1.08</v>
      </c>
      <c r="I18" s="143" t="n">
        <f aca="false">G18+H18</f>
        <v>714.08</v>
      </c>
      <c r="J18" s="144" t="n">
        <f aca="false">IF(L18&gt;0,L18,0)</f>
        <v>0</v>
      </c>
      <c r="K18" s="143" t="n">
        <f aca="false">I18+J18</f>
        <v>714.08</v>
      </c>
      <c r="L18" s="143" t="n">
        <f aca="false">F18-(I18-AK18)</f>
        <v>-43.576445676834</v>
      </c>
      <c r="M18" s="261" t="n">
        <v>190</v>
      </c>
      <c r="N18" s="171" t="n">
        <v>0</v>
      </c>
      <c r="O18" s="143" t="n">
        <f aca="false">36.3*1.05</f>
        <v>38.115</v>
      </c>
      <c r="P18" s="171" t="n">
        <v>0</v>
      </c>
      <c r="Q18" s="346" t="n">
        <f aca="false">1261300/325851/1.9835*1.02</f>
        <v>1.99052347866009</v>
      </c>
      <c r="R18" s="139" t="n">
        <f aca="false">(4.7*1.04)-T18</f>
        <v>4.13627344</v>
      </c>
      <c r="S18" s="139" t="n">
        <v>0</v>
      </c>
      <c r="T18" s="139" t="n">
        <f aca="false">(0.6819*1.06)*1.04</f>
        <v>0.75172656</v>
      </c>
      <c r="U18" s="365" t="n">
        <v>0</v>
      </c>
      <c r="V18" s="143" t="n">
        <v>0</v>
      </c>
      <c r="W18" s="143" t="n">
        <v>59.1</v>
      </c>
      <c r="X18" s="143" t="n">
        <f aca="false">M18-N18-O18-P18-Q18-R18-S18-T18-U18+V18+W18-AT18+AR18</f>
        <v>211.923108899752</v>
      </c>
      <c r="Y18" s="143" t="n">
        <f aca="false">X18-AO18</f>
        <v>211.923108899752</v>
      </c>
      <c r="Z18" s="114" t="n">
        <f aca="false">Z17+AP18</f>
        <v>10737.1178428064</v>
      </c>
      <c r="AA18" s="143"/>
      <c r="AB18" s="114" t="n">
        <f aca="false">AB17+(Y18+AP18)*1.9835</f>
        <v>26296.1799670759</v>
      </c>
      <c r="AC18" s="114" t="n">
        <f aca="false">AC17-(AQ17/1.9835)</f>
        <v>1586.2806475821</v>
      </c>
      <c r="AD18" s="114"/>
      <c r="AE18" s="143" t="n">
        <v>72.5</v>
      </c>
      <c r="AF18" s="261" t="n">
        <v>1.7</v>
      </c>
      <c r="AG18" s="262" t="n">
        <v>1.3</v>
      </c>
      <c r="AH18" s="144" t="n">
        <v>21.2</v>
      </c>
      <c r="AI18" s="114" t="n">
        <f aca="false">AI17-AH18</f>
        <v>15254.8578774893</v>
      </c>
      <c r="AJ18" s="103"/>
      <c r="AK18" s="142" t="n">
        <f aca="false">N18+O18+P18+Q18+R18+S18+T18+U18+X18+AE18+AH18+AT18-AR18</f>
        <v>342.8</v>
      </c>
      <c r="AL18" s="143" t="n">
        <f aca="false">IF(L18&lt;0,L18*-1,0)</f>
        <v>43.576445676834</v>
      </c>
      <c r="AM18" s="143" t="n">
        <f aca="false">AK18+AL18</f>
        <v>386.376445676834</v>
      </c>
      <c r="AN18" s="431" t="n">
        <v>0</v>
      </c>
      <c r="AO18" s="225"/>
      <c r="AP18" s="157" t="n">
        <f aca="false">I18-Q18-R18-X18-AF18</f>
        <v>494.330094181588</v>
      </c>
      <c r="AQ18" s="171" t="n">
        <f aca="false">28.621*(Z18*1.9835+AC18*1.9835)/E18</f>
        <v>11.8650050808409</v>
      </c>
      <c r="AR18" s="144" t="n">
        <f aca="false">480.633/$D$2/31</f>
        <v>7.81663237841222</v>
      </c>
      <c r="AS18" s="231"/>
      <c r="AT18" s="111" t="n">
        <v>0</v>
      </c>
      <c r="AU18" s="56"/>
      <c r="AV18" s="232" t="n">
        <v>0.05</v>
      </c>
      <c r="AW18" s="225" t="n">
        <v>70</v>
      </c>
      <c r="AX18" s="225" t="n">
        <v>41</v>
      </c>
      <c r="AY18" s="86"/>
      <c r="AZ18" s="263" t="n">
        <f aca="false">SUM(N18,P18:U18)</f>
        <v>6.8785234786601</v>
      </c>
      <c r="BA18" s="193" t="n">
        <v>0</v>
      </c>
      <c r="BB18" s="264" t="n">
        <v>19759</v>
      </c>
    </row>
    <row r="19" customFormat="false" ht="12.95" hidden="false" customHeight="true" outlineLevel="0" collapsed="false">
      <c r="A19" s="192" t="n">
        <f aca="false">A18+1</f>
        <v>5</v>
      </c>
      <c r="B19" s="113" t="n">
        <v>6878.59</v>
      </c>
      <c r="C19" s="114" t="n">
        <v>211968</v>
      </c>
      <c r="D19" s="225" t="n">
        <f aca="false">C19-C18</f>
        <v>1005</v>
      </c>
      <c r="E19" s="114" t="n">
        <f aca="false">C19-152000</f>
        <v>59968</v>
      </c>
      <c r="F19" s="143" t="n">
        <f aca="false">D19/$D$2</f>
        <v>506.680110915049</v>
      </c>
      <c r="G19" s="223" t="n">
        <v>722</v>
      </c>
      <c r="H19" s="144" t="n">
        <v>1.72</v>
      </c>
      <c r="I19" s="143" t="n">
        <f aca="false">G19+H19</f>
        <v>723.72</v>
      </c>
      <c r="J19" s="144" t="n">
        <f aca="false">IF(L19&gt;0,L19,0)</f>
        <v>124.860110915049</v>
      </c>
      <c r="K19" s="143" t="n">
        <f aca="false">I19+J19</f>
        <v>848.580110915049</v>
      </c>
      <c r="L19" s="143" t="n">
        <f aca="false">F19-(I19-AK19)</f>
        <v>124.860110915049</v>
      </c>
      <c r="M19" s="261" t="n">
        <v>203</v>
      </c>
      <c r="N19" s="171" t="n">
        <f aca="false">1/$D$2*1.03</f>
        <v>0.519284093773632</v>
      </c>
      <c r="O19" s="143" t="n">
        <f aca="false">64.1*1.05</f>
        <v>67.305</v>
      </c>
      <c r="P19" s="171" t="n">
        <v>0</v>
      </c>
      <c r="Q19" s="346" t="n">
        <f aca="false">886300/325851/1.9835*1.02</f>
        <v>1.39871637131249</v>
      </c>
      <c r="R19" s="139" t="n">
        <f aca="false">(3.9*1.04)-T19</f>
        <v>3.30427344</v>
      </c>
      <c r="S19" s="139" t="n">
        <v>0</v>
      </c>
      <c r="T19" s="139" t="n">
        <f aca="false">(0.6819*1.06)*1.04</f>
        <v>0.75172656</v>
      </c>
      <c r="U19" s="365" t="n">
        <v>0</v>
      </c>
      <c r="V19" s="143" t="n">
        <v>0</v>
      </c>
      <c r="W19" s="143" t="n">
        <v>58.7</v>
      </c>
      <c r="X19" s="143" t="n">
        <f aca="false">M19-N19-O19-P19-Q19-R19-S19-T19-U19+V19+W19-AT19+AR19</f>
        <v>196.237631913326</v>
      </c>
      <c r="Y19" s="143" t="n">
        <f aca="false">X19-AO19</f>
        <v>196.237631913326</v>
      </c>
      <c r="Z19" s="114" t="n">
        <f aca="false">Z18+AP19</f>
        <v>11258.1972210817</v>
      </c>
      <c r="AA19" s="143"/>
      <c r="AB19" s="114" t="n">
        <f aca="false">AB18+(Y19+AP19)*1.9835</f>
        <v>27718.9782567852</v>
      </c>
      <c r="AC19" s="114" t="n">
        <f aca="false">AC18-(AQ18/1.9835)</f>
        <v>1580.29879475586</v>
      </c>
      <c r="AD19" s="114"/>
      <c r="AE19" s="143" t="n">
        <v>59.1</v>
      </c>
      <c r="AF19" s="261" t="n">
        <v>1.7</v>
      </c>
      <c r="AG19" s="262" t="n">
        <v>1.3</v>
      </c>
      <c r="AH19" s="144" t="n">
        <v>21.1</v>
      </c>
      <c r="AI19" s="114" t="n">
        <f aca="false">AI18-AH19</f>
        <v>15233.7578774893</v>
      </c>
      <c r="AJ19" s="103"/>
      <c r="AK19" s="142" t="n">
        <f aca="false">N19+O19+P19+Q19+R19+S19+T19+U19+X19+AE19+AH19+AT19-AR19</f>
        <v>341.9</v>
      </c>
      <c r="AL19" s="143" t="n">
        <f aca="false">IF(L19&lt;0,L19*-1,0)</f>
        <v>0</v>
      </c>
      <c r="AM19" s="143" t="n">
        <f aca="false">AK19+AL19</f>
        <v>341.9</v>
      </c>
      <c r="AN19" s="431" t="n">
        <v>0</v>
      </c>
      <c r="AO19" s="225"/>
      <c r="AP19" s="157" t="n">
        <f aca="false">I19-Q19-R19-X19-AF19</f>
        <v>521.079378275361</v>
      </c>
      <c r="AQ19" s="171" t="n">
        <f aca="false">0*(Z19*1.9835+AC19*1.9835)/E19</f>
        <v>0</v>
      </c>
      <c r="AR19" s="144" t="n">
        <f aca="false">480.633/$D$2/31</f>
        <v>7.81663237841222</v>
      </c>
      <c r="AS19" s="231"/>
      <c r="AT19" s="111" t="n">
        <v>0</v>
      </c>
      <c r="AU19" s="56"/>
      <c r="AV19" s="232" t="n">
        <v>0.58</v>
      </c>
      <c r="AW19" s="225" t="n">
        <v>58</v>
      </c>
      <c r="AX19" s="225" t="n">
        <v>43</v>
      </c>
      <c r="AY19" s="86"/>
      <c r="AZ19" s="263" t="n">
        <f aca="false">SUM(N19,P19:U19)</f>
        <v>5.97400046508612</v>
      </c>
      <c r="BA19" s="193" t="n">
        <v>0</v>
      </c>
      <c r="BB19" s="264" t="n">
        <v>19822</v>
      </c>
    </row>
    <row r="20" customFormat="false" ht="12.95" hidden="false" customHeight="true" outlineLevel="0" collapsed="false">
      <c r="A20" s="192" t="n">
        <f aca="false">A19+1</f>
        <v>6</v>
      </c>
      <c r="B20" s="113" t="n">
        <v>6879</v>
      </c>
      <c r="C20" s="114" t="n">
        <v>213179</v>
      </c>
      <c r="D20" s="225" t="n">
        <f aca="false">C20-C19</f>
        <v>1211</v>
      </c>
      <c r="E20" s="114" t="n">
        <f aca="false">C20-152000</f>
        <v>61179</v>
      </c>
      <c r="F20" s="143" t="n">
        <f aca="false">D20/$D$2</f>
        <v>610.536929669776</v>
      </c>
      <c r="G20" s="223" t="n">
        <v>994</v>
      </c>
      <c r="H20" s="144" t="n">
        <v>2.95</v>
      </c>
      <c r="I20" s="143" t="n">
        <f aca="false">G20+H20</f>
        <v>996.95</v>
      </c>
      <c r="J20" s="144" t="n">
        <f aca="false">IF(L20&gt;0,L20,0)</f>
        <v>0</v>
      </c>
      <c r="K20" s="143" t="n">
        <f aca="false">I20+J20</f>
        <v>996.95</v>
      </c>
      <c r="L20" s="143" t="n">
        <f aca="false">F20-(I20-AK20)</f>
        <v>-126.113070330224</v>
      </c>
      <c r="M20" s="261" t="n">
        <v>145</v>
      </c>
      <c r="N20" s="171" t="n">
        <f aca="false">1/$D$2*1.03</f>
        <v>0.519284093773632</v>
      </c>
      <c r="O20" s="143" t="n">
        <f aca="false">42.5*1.05</f>
        <v>44.625</v>
      </c>
      <c r="P20" s="171" t="n">
        <v>0</v>
      </c>
      <c r="Q20" s="346" t="n">
        <f aca="false">1191100/325851/1.9835*1.02</f>
        <v>1.87973718816462</v>
      </c>
      <c r="R20" s="139" t="n">
        <f aca="false">(3.7*1.04)-T20</f>
        <v>3.09627344</v>
      </c>
      <c r="S20" s="139" t="n">
        <v>0</v>
      </c>
      <c r="T20" s="139" t="n">
        <f aca="false">(0.6819*1.06)*1.04</f>
        <v>0.75172656</v>
      </c>
      <c r="U20" s="365" t="n">
        <v>0</v>
      </c>
      <c r="V20" s="143" t="n">
        <v>0</v>
      </c>
      <c r="W20" s="143" t="n">
        <v>57.7</v>
      </c>
      <c r="X20" s="143" t="n">
        <f aca="false">M20-N20-O20-P20-Q20-R20-S20-T20-U20+V20+W20-AT20+AR20</f>
        <v>159.644611096474</v>
      </c>
      <c r="Y20" s="143" t="n">
        <f aca="false">X20-AO20</f>
        <v>159.644611096474</v>
      </c>
      <c r="Z20" s="114" t="n">
        <f aca="false">Z19+AP20</f>
        <v>11893.5526099852</v>
      </c>
      <c r="AA20" s="143"/>
      <c r="AB20" s="114" t="n">
        <f aca="false">AB19+(Y20+AP20)*1.9835</f>
        <v>29295.8607567852</v>
      </c>
      <c r="AC20" s="114" t="n">
        <f aca="false">AC19-(AQ19/1.9835)</f>
        <v>1580.29879475586</v>
      </c>
      <c r="AD20" s="114"/>
      <c r="AE20" s="143" t="n">
        <v>36.6</v>
      </c>
      <c r="AF20" s="261" t="n">
        <v>1.7</v>
      </c>
      <c r="AG20" s="262" t="n">
        <v>1.3</v>
      </c>
      <c r="AH20" s="144" t="n">
        <v>21</v>
      </c>
      <c r="AI20" s="114" t="n">
        <f aca="false">AI19-AH20</f>
        <v>15212.7578774893</v>
      </c>
      <c r="AJ20" s="103"/>
      <c r="AK20" s="142" t="n">
        <f aca="false">N20+O20+P20+Q20+R20+S20+T20+U20+X20+AE20+AH20+AT20-AR20</f>
        <v>260.3</v>
      </c>
      <c r="AL20" s="143" t="n">
        <f aca="false">IF(L20&lt;0,L20*-1,0)</f>
        <v>126.113070330224</v>
      </c>
      <c r="AM20" s="143" t="n">
        <f aca="false">AK20+AL20</f>
        <v>386.413070330224</v>
      </c>
      <c r="AN20" s="431" t="n">
        <v>0</v>
      </c>
      <c r="AO20" s="225"/>
      <c r="AP20" s="157" t="n">
        <f aca="false">795-X20</f>
        <v>635.355388903526</v>
      </c>
      <c r="AQ20" s="171" t="n">
        <f aca="false">28.24*(Z20*1.9835+AC20*1.9835)/E20</f>
        <v>12.3363384746273</v>
      </c>
      <c r="AR20" s="144" t="n">
        <f aca="false">480.633/$D$2/31</f>
        <v>7.81663237841222</v>
      </c>
      <c r="AS20" s="231"/>
      <c r="AT20" s="111" t="n">
        <v>0</v>
      </c>
      <c r="AU20" s="56"/>
      <c r="AV20" s="232" t="n">
        <v>0.1</v>
      </c>
      <c r="AW20" s="225" t="n">
        <v>65</v>
      </c>
      <c r="AX20" s="225" t="n">
        <v>44</v>
      </c>
      <c r="AY20" s="86"/>
      <c r="AZ20" s="263" t="n">
        <f aca="false">SUM(N20,P20:U20)</f>
        <v>6.24702128193825</v>
      </c>
      <c r="BA20" s="193" t="n">
        <v>0</v>
      </c>
      <c r="BB20" s="264" t="n">
        <v>19947</v>
      </c>
    </row>
    <row r="21" customFormat="false" ht="12.95" hidden="false" customHeight="true" outlineLevel="0" collapsed="false">
      <c r="A21" s="192" t="n">
        <f aca="false">A20+1</f>
        <v>7</v>
      </c>
      <c r="B21" s="113" t="n">
        <v>6879.59</v>
      </c>
      <c r="C21" s="114" t="n">
        <v>214940</v>
      </c>
      <c r="D21" s="225" t="n">
        <f aca="false">C21-C20</f>
        <v>1761</v>
      </c>
      <c r="E21" s="114" t="n">
        <f aca="false">C21-152000</f>
        <v>62940</v>
      </c>
      <c r="F21" s="143" t="n">
        <f aca="false">D21/$D$2</f>
        <v>887.824552558608</v>
      </c>
      <c r="G21" s="223" t="n">
        <v>1110</v>
      </c>
      <c r="H21" s="144" t="n">
        <v>30.7</v>
      </c>
      <c r="I21" s="143" t="n">
        <f aca="false">G21+H21</f>
        <v>1140.7</v>
      </c>
      <c r="J21" s="144" t="n">
        <f aca="false">IF(L21&gt;0,L21,0)</f>
        <v>0</v>
      </c>
      <c r="K21" s="143" t="n">
        <f aca="false">I21+J21</f>
        <v>1140.7</v>
      </c>
      <c r="L21" s="143" t="n">
        <f aca="false">F21-(I21-AK21)</f>
        <v>-12.8754474413915</v>
      </c>
      <c r="M21" s="261" t="n">
        <v>117</v>
      </c>
      <c r="N21" s="171" t="n">
        <f aca="false">1/$D$2*1.03</f>
        <v>0.519284093773632</v>
      </c>
      <c r="O21" s="143" t="n">
        <f aca="false">0*1.05</f>
        <v>0</v>
      </c>
      <c r="P21" s="171" t="n">
        <v>0</v>
      </c>
      <c r="Q21" s="346" t="n">
        <f aca="false">854700/325851/1.9835*1.02</f>
        <v>1.34884675906666</v>
      </c>
      <c r="R21" s="139" t="n">
        <f aca="false">(3.6*1.04)-T21</f>
        <v>2.99227344</v>
      </c>
      <c r="S21" s="139" t="n">
        <v>0</v>
      </c>
      <c r="T21" s="139" t="n">
        <f aca="false">(0.6819*1.06)*1.04</f>
        <v>0.75172656</v>
      </c>
      <c r="U21" s="365" t="n">
        <v>0</v>
      </c>
      <c r="V21" s="143" t="n">
        <v>0</v>
      </c>
      <c r="W21" s="143" t="n">
        <v>58.4</v>
      </c>
      <c r="X21" s="143" t="n">
        <f aca="false">M21-N21-O21-P21-Q21-R21-S21-T21-U21+V21+W21-AT21+AR21</f>
        <v>177.604501525572</v>
      </c>
      <c r="Y21" s="143" t="n">
        <f aca="false">X21-AO21</f>
        <v>177.604501525572</v>
      </c>
      <c r="Z21" s="114" t="n">
        <f aca="false">Z20+AP21</f>
        <v>12510.9481084597</v>
      </c>
      <c r="AA21" s="143"/>
      <c r="AB21" s="114" t="n">
        <f aca="false">AB20+(Y21+AP21)*1.9835</f>
        <v>30872.7432567852</v>
      </c>
      <c r="AC21" s="114" t="n">
        <f aca="false">AC20-(AQ20/1.9835)</f>
        <v>1574.07931480899</v>
      </c>
      <c r="AD21" s="114"/>
      <c r="AE21" s="143" t="n">
        <v>43.6</v>
      </c>
      <c r="AF21" s="261" t="n">
        <v>1.7</v>
      </c>
      <c r="AG21" s="262" t="n">
        <v>1.3</v>
      </c>
      <c r="AH21" s="144" t="n">
        <v>21</v>
      </c>
      <c r="AI21" s="114" t="n">
        <f aca="false">AI20-AH21</f>
        <v>15191.7578774893</v>
      </c>
      <c r="AJ21" s="103"/>
      <c r="AK21" s="142" t="n">
        <f aca="false">N21+O21+P21+Q21+R21+S21+T21+U21+X21+AE21+AH21+AT21-AR21</f>
        <v>240</v>
      </c>
      <c r="AL21" s="143" t="n">
        <f aca="false">IF(L21&lt;0,L21*-1,0)</f>
        <v>12.8754474413915</v>
      </c>
      <c r="AM21" s="143" t="n">
        <f aca="false">AK21+AL21</f>
        <v>252.875447441392</v>
      </c>
      <c r="AN21" s="431" t="n">
        <v>0</v>
      </c>
      <c r="AO21" s="225"/>
      <c r="AP21" s="157" t="n">
        <f aca="false">795-X21</f>
        <v>617.395498474428</v>
      </c>
      <c r="AQ21" s="171" t="n">
        <f aca="false">34.148*(Z21*1.9835+AC21*1.9835)/E21</f>
        <v>15.157529978998</v>
      </c>
      <c r="AR21" s="144" t="n">
        <f aca="false">480.633/$D$2/31</f>
        <v>7.81663237841222</v>
      </c>
      <c r="AS21" s="231"/>
      <c r="AT21" s="111" t="n">
        <v>0</v>
      </c>
      <c r="AU21" s="56"/>
      <c r="AV21" s="232" t="n">
        <v>0</v>
      </c>
      <c r="AW21" s="225" t="n">
        <v>69</v>
      </c>
      <c r="AX21" s="225" t="n">
        <v>41</v>
      </c>
      <c r="AY21" s="86"/>
      <c r="AZ21" s="263" t="n">
        <f aca="false">SUM(N21,P21:U21)</f>
        <v>5.6121308528403</v>
      </c>
      <c r="BA21" s="193" t="n">
        <v>0</v>
      </c>
      <c r="BB21" s="264" t="n">
        <v>20028</v>
      </c>
    </row>
    <row r="22" customFormat="false" ht="12.95" hidden="false" customHeight="true" outlineLevel="0" collapsed="false">
      <c r="A22" s="192" t="n">
        <f aca="false">A21+1</f>
        <v>8</v>
      </c>
      <c r="B22" s="113" t="n">
        <v>6880.09</v>
      </c>
      <c r="C22" s="114" t="n">
        <v>216437</v>
      </c>
      <c r="D22" s="225" t="n">
        <f aca="false">C22-C21</f>
        <v>1497</v>
      </c>
      <c r="E22" s="114" t="n">
        <f aca="false">C22-152000</f>
        <v>64437</v>
      </c>
      <c r="F22" s="143" t="n">
        <f aca="false">D22/$D$2</f>
        <v>754.726493571969</v>
      </c>
      <c r="G22" s="223" t="n">
        <v>966</v>
      </c>
      <c r="H22" s="144" t="n">
        <v>11.3</v>
      </c>
      <c r="I22" s="143" t="n">
        <f aca="false">G22+H22</f>
        <v>977.3</v>
      </c>
      <c r="J22" s="144" t="n">
        <f aca="false">IF(L22&gt;0,L22,0)</f>
        <v>41.4264935719688</v>
      </c>
      <c r="K22" s="143" t="n">
        <f aca="false">I22+J22</f>
        <v>1018.72649357197</v>
      </c>
      <c r="L22" s="143" t="n">
        <f aca="false">F22-(I22-AK22)</f>
        <v>41.4264935719688</v>
      </c>
      <c r="M22" s="261" t="n">
        <v>121</v>
      </c>
      <c r="N22" s="171" t="n">
        <f aca="false">1/$D$2*1.03</f>
        <v>0.519284093773632</v>
      </c>
      <c r="O22" s="143" t="n">
        <f aca="false">0*1.05</f>
        <v>0</v>
      </c>
      <c r="P22" s="171" t="n">
        <v>0</v>
      </c>
      <c r="Q22" s="346" t="n">
        <f aca="false">1037300/325851/1.9835*1.02</f>
        <v>1.63701736653779</v>
      </c>
      <c r="R22" s="139" t="n">
        <f aca="false">(3*1.04)-T22</f>
        <v>2.40167616</v>
      </c>
      <c r="S22" s="139" t="n">
        <v>0</v>
      </c>
      <c r="T22" s="139" t="n">
        <f aca="false">(0.6516*1.06)*1.04</f>
        <v>0.71832384</v>
      </c>
      <c r="U22" s="365" t="n">
        <v>0</v>
      </c>
      <c r="V22" s="143" t="n">
        <v>0</v>
      </c>
      <c r="W22" s="143" t="n">
        <v>58.7</v>
      </c>
      <c r="X22" s="143" t="n">
        <f aca="false">M22-N22-O22-P22-Q22-R22-S22-T22-U22+V22+W22-AT22+AR22</f>
        <v>182.240330918101</v>
      </c>
      <c r="Y22" s="143" t="n">
        <f aca="false">X22-AO22</f>
        <v>182.240330918101</v>
      </c>
      <c r="Z22" s="114" t="n">
        <f aca="false">Z21+AP22</f>
        <v>13123.7077775416</v>
      </c>
      <c r="AA22" s="143"/>
      <c r="AB22" s="114" t="n">
        <f aca="false">AB21+(Y22+AP22)*1.9835</f>
        <v>32449.6257567852</v>
      </c>
      <c r="AC22" s="114" t="n">
        <f aca="false">AC21-(AQ21/1.9835)</f>
        <v>1566.43750488764</v>
      </c>
      <c r="AD22" s="114"/>
      <c r="AE22" s="143" t="n">
        <v>63</v>
      </c>
      <c r="AF22" s="261" t="n">
        <v>1.7</v>
      </c>
      <c r="AG22" s="262" t="n">
        <v>1.3</v>
      </c>
      <c r="AH22" s="144" t="n">
        <v>21.3</v>
      </c>
      <c r="AI22" s="114" t="n">
        <f aca="false">AI21-AH22</f>
        <v>15170.4578774893</v>
      </c>
      <c r="AJ22" s="103"/>
      <c r="AK22" s="142" t="n">
        <f aca="false">N22+O22+P22+Q22+R22+S22+T22+U22+X22+AE22+AH22+AT22-AR22</f>
        <v>264</v>
      </c>
      <c r="AL22" s="143" t="n">
        <f aca="false">IF(L22&lt;0,L22*-1,0)</f>
        <v>0</v>
      </c>
      <c r="AM22" s="143" t="n">
        <f aca="false">AK22+AL22</f>
        <v>264</v>
      </c>
      <c r="AN22" s="431" t="n">
        <v>0</v>
      </c>
      <c r="AO22" s="225"/>
      <c r="AP22" s="157" t="n">
        <f aca="false">795-X22</f>
        <v>612.759669081899</v>
      </c>
      <c r="AQ22" s="171" t="n">
        <f aca="false">0*(Z22*1.9835+AC22*1.9835)/E22</f>
        <v>0</v>
      </c>
      <c r="AR22" s="144" t="n">
        <f aca="false">480.633/$D$2/31</f>
        <v>7.81663237841222</v>
      </c>
      <c r="AS22" s="231"/>
      <c r="AT22" s="111" t="n">
        <v>0</v>
      </c>
      <c r="AU22" s="56"/>
      <c r="AV22" s="232" t="n">
        <v>0.23</v>
      </c>
      <c r="AW22" s="225" t="n">
        <v>64</v>
      </c>
      <c r="AX22" s="225" t="n">
        <v>36</v>
      </c>
      <c r="AY22" s="86"/>
      <c r="AZ22" s="263" t="n">
        <f aca="false">SUM(N22,P22:U22)</f>
        <v>5.27630146031142</v>
      </c>
      <c r="BA22" s="193" t="n">
        <v>0</v>
      </c>
      <c r="BB22" s="264" t="n">
        <v>20199</v>
      </c>
    </row>
    <row r="23" customFormat="false" ht="12.95" hidden="false" customHeight="true" outlineLevel="0" collapsed="false">
      <c r="A23" s="192" t="n">
        <f aca="false">A22+1</f>
        <v>9</v>
      </c>
      <c r="B23" s="113" t="n">
        <v>6880.52</v>
      </c>
      <c r="C23" s="114" t="n">
        <v>217737</v>
      </c>
      <c r="D23" s="225" t="n">
        <f aca="false">C23-C22</f>
        <v>1300</v>
      </c>
      <c r="E23" s="114" t="n">
        <f aca="false">C23-152000</f>
        <v>65737</v>
      </c>
      <c r="F23" s="143" t="n">
        <f aca="false">D23/$D$2</f>
        <v>655.407108646332</v>
      </c>
      <c r="G23" s="223" t="n">
        <v>891</v>
      </c>
      <c r="H23" s="144" t="n">
        <v>5.87</v>
      </c>
      <c r="I23" s="143" t="n">
        <f aca="false">G23+H23</f>
        <v>896.87</v>
      </c>
      <c r="J23" s="144" t="n">
        <f aca="false">IF(L23&gt;0,L23,0)</f>
        <v>0</v>
      </c>
      <c r="K23" s="143" t="n">
        <f aca="false">I23+J23</f>
        <v>896.87</v>
      </c>
      <c r="L23" s="143" t="n">
        <f aca="false">F23-(I23-AK23)</f>
        <v>-21.7628913536678</v>
      </c>
      <c r="M23" s="261" t="n">
        <v>108</v>
      </c>
      <c r="N23" s="171" t="n">
        <f aca="false">1/$D$2*1.03</f>
        <v>0.519284093773632</v>
      </c>
      <c r="O23" s="143" t="n">
        <f aca="false">0.012*1.05</f>
        <v>0.0126</v>
      </c>
      <c r="P23" s="171" t="n">
        <v>0</v>
      </c>
      <c r="Q23" s="346" t="n">
        <f aca="false">955000/325851/1.9835*1.02</f>
        <v>1.50713543337857</v>
      </c>
      <c r="R23" s="139" t="n">
        <f aca="false">(2.3*1.04)-T23</f>
        <v>1.67367616</v>
      </c>
      <c r="S23" s="139" t="n">
        <v>0</v>
      </c>
      <c r="T23" s="139" t="n">
        <f aca="false">(0.6516*1.06)*1.04</f>
        <v>0.71832384</v>
      </c>
      <c r="U23" s="365" t="n">
        <v>0</v>
      </c>
      <c r="V23" s="143" t="n">
        <v>0</v>
      </c>
      <c r="W23" s="143" t="n">
        <v>58.3</v>
      </c>
      <c r="X23" s="143" t="n">
        <f aca="false">M23-N23-O23-P23-Q23-R23-S23-T23-U23+V23+W23-AT23+AR23</f>
        <v>169.68561285126</v>
      </c>
      <c r="Y23" s="143" t="n">
        <f aca="false">X23-AO23</f>
        <v>169.68561285126</v>
      </c>
      <c r="Z23" s="114" t="n">
        <f aca="false">Z22+AP23</f>
        <v>13749.0221646903</v>
      </c>
      <c r="AA23" s="143"/>
      <c r="AB23" s="114" t="n">
        <f aca="false">AB22+(Y23+AP23)*1.9835</f>
        <v>34026.5082567852</v>
      </c>
      <c r="AC23" s="114" t="n">
        <f aca="false">AC22-(AQ22/1.9835)</f>
        <v>1566.43750488764</v>
      </c>
      <c r="AD23" s="114"/>
      <c r="AE23" s="143" t="n">
        <v>32</v>
      </c>
      <c r="AF23" s="261" t="n">
        <v>1.7</v>
      </c>
      <c r="AG23" s="262" t="n">
        <v>1.3</v>
      </c>
      <c r="AH23" s="144" t="n">
        <v>21.4</v>
      </c>
      <c r="AI23" s="114" t="n">
        <f aca="false">AI22-AH23</f>
        <v>15149.0578774893</v>
      </c>
      <c r="AJ23" s="103"/>
      <c r="AK23" s="142" t="n">
        <f aca="false">N23+O23+P23+Q23+R23+S23+T23+U23+X23+AE23+AH23+AT23-AR23</f>
        <v>219.7</v>
      </c>
      <c r="AL23" s="143" t="n">
        <f aca="false">IF(L23&lt;0,L23*-1,0)</f>
        <v>21.7628913536678</v>
      </c>
      <c r="AM23" s="143" t="n">
        <f aca="false">AK23+AL23</f>
        <v>241.462891353668</v>
      </c>
      <c r="AN23" s="431" t="n">
        <v>0</v>
      </c>
      <c r="AO23" s="225"/>
      <c r="AP23" s="157" t="n">
        <f aca="false">795-X23</f>
        <v>625.31438714874</v>
      </c>
      <c r="AQ23" s="171" t="n">
        <f aca="false">0*(Z23*1.9835+AC23*1.9835)/E23</f>
        <v>0</v>
      </c>
      <c r="AR23" s="144" t="n">
        <f aca="false">480.633/$D$2/31</f>
        <v>7.81663237841222</v>
      </c>
      <c r="AS23" s="231"/>
      <c r="AT23" s="111" t="n">
        <v>0</v>
      </c>
      <c r="AU23" s="56"/>
      <c r="AV23" s="232" t="n">
        <v>0.1</v>
      </c>
      <c r="AW23" s="225" t="n">
        <v>50</v>
      </c>
      <c r="AX23" s="225" t="n">
        <v>32</v>
      </c>
      <c r="AY23" s="86"/>
      <c r="AZ23" s="263" t="n">
        <f aca="false">SUM(N23,P23:U23)</f>
        <v>4.4184195271522</v>
      </c>
      <c r="BA23" s="193" t="n">
        <v>0</v>
      </c>
      <c r="BB23" s="264" t="n">
        <v>20225</v>
      </c>
    </row>
    <row r="24" customFormat="false" ht="12.95" hidden="false" customHeight="true" outlineLevel="0" collapsed="false">
      <c r="A24" s="192" t="n">
        <f aca="false">A23+1</f>
        <v>10</v>
      </c>
      <c r="B24" s="113" t="n">
        <v>6880.94</v>
      </c>
      <c r="C24" s="114" t="n">
        <v>219007</v>
      </c>
      <c r="D24" s="225" t="n">
        <f aca="false">C24-C23</f>
        <v>1270</v>
      </c>
      <c r="E24" s="114" t="n">
        <f aca="false">C24-152000</f>
        <v>67007</v>
      </c>
      <c r="F24" s="143" t="n">
        <f aca="false">D24/$D$2</f>
        <v>640.282329216032</v>
      </c>
      <c r="G24" s="223" t="n">
        <v>777</v>
      </c>
      <c r="H24" s="144" t="n">
        <v>5.26</v>
      </c>
      <c r="I24" s="143" t="n">
        <f aca="false">G24+H24</f>
        <v>782.26</v>
      </c>
      <c r="J24" s="144" t="n">
        <f aca="false">IF(L24&gt;0,L24,0)</f>
        <v>35.6223292160322</v>
      </c>
      <c r="K24" s="143" t="n">
        <f aca="false">I24+J24</f>
        <v>817.882329216032</v>
      </c>
      <c r="L24" s="143" t="n">
        <f aca="false">F24-(I24-AK24)</f>
        <v>35.6223292160322</v>
      </c>
      <c r="M24" s="261" t="n">
        <v>84.1</v>
      </c>
      <c r="N24" s="171" t="n">
        <f aca="false">1/$D$2*1.03</f>
        <v>0.519284093773632</v>
      </c>
      <c r="O24" s="143" t="n">
        <f aca="false">0.031*1.05</f>
        <v>0.03255</v>
      </c>
      <c r="P24" s="171" t="n">
        <v>0</v>
      </c>
      <c r="Q24" s="346" t="n">
        <f aca="false">1002900/325851/1.9835*1.02</f>
        <v>1.58272892789044</v>
      </c>
      <c r="R24" s="139" t="n">
        <f aca="false">(2.3*1.04)-T24</f>
        <v>1.67367616</v>
      </c>
      <c r="S24" s="139" t="n">
        <v>0</v>
      </c>
      <c r="T24" s="139" t="n">
        <f aca="false">(0.6516*1.06)*1.04</f>
        <v>0.71832384</v>
      </c>
      <c r="U24" s="365" t="n">
        <v>0</v>
      </c>
      <c r="V24" s="143" t="n">
        <v>0</v>
      </c>
      <c r="W24" s="143" t="n">
        <v>55.9</v>
      </c>
      <c r="X24" s="143" t="n">
        <f aca="false">M24-N24-O24-P24-Q24-R24-S24-T24-U24+V24+W24-AT24+AR24</f>
        <v>143.290069356748</v>
      </c>
      <c r="Y24" s="143" t="n">
        <f aca="false">X24-AO24</f>
        <v>143.290069356748</v>
      </c>
      <c r="Z24" s="114" t="n">
        <f aca="false">Z23+AP24</f>
        <v>14383.0356902457</v>
      </c>
      <c r="AA24" s="143"/>
      <c r="AB24" s="114" t="n">
        <f aca="false">AB23+(Y24+AP24)*1.9835</f>
        <v>35568.2899372934</v>
      </c>
      <c r="AC24" s="114" t="n">
        <f aca="false">AC23-(AQ23/1.9835)</f>
        <v>1566.43750488764</v>
      </c>
      <c r="AD24" s="114"/>
      <c r="AE24" s="143" t="n">
        <v>16.1</v>
      </c>
      <c r="AF24" s="261" t="n">
        <v>1.7</v>
      </c>
      <c r="AG24" s="262" t="n">
        <v>1.3</v>
      </c>
      <c r="AH24" s="144" t="n">
        <v>21.5</v>
      </c>
      <c r="AI24" s="114" t="n">
        <f aca="false">AI23-AH24</f>
        <v>15127.5578774893</v>
      </c>
      <c r="AJ24" s="103"/>
      <c r="AK24" s="142" t="n">
        <f aca="false">N24+O24+P24+Q24+R24+S24+T24+U24+X24+AE24+AH24+AT24-AR24</f>
        <v>177.6</v>
      </c>
      <c r="AL24" s="143" t="n">
        <f aca="false">IF(L24&lt;0,L24*-1,0)</f>
        <v>0</v>
      </c>
      <c r="AM24" s="143" t="n">
        <f aca="false">AK24+AL24</f>
        <v>177.6</v>
      </c>
      <c r="AN24" s="431" t="n">
        <v>0</v>
      </c>
      <c r="AO24" s="225"/>
      <c r="AP24" s="157" t="n">
        <f aca="false">I24-Q24-R24-X24-AF24</f>
        <v>634.013525555361</v>
      </c>
      <c r="AQ24" s="171" t="n">
        <f aca="false">0*(Z24*1.9835+AC24*1.9835)/E24</f>
        <v>0</v>
      </c>
      <c r="AR24" s="144" t="n">
        <f aca="false">480.633/$D$2/31</f>
        <v>7.81663237841222</v>
      </c>
      <c r="AS24" s="231"/>
      <c r="AT24" s="111" t="n">
        <v>0</v>
      </c>
      <c r="AU24" s="56"/>
      <c r="AV24" s="232" t="n">
        <v>0.14</v>
      </c>
      <c r="AW24" s="225" t="n">
        <v>55</v>
      </c>
      <c r="AX24" s="225" t="n">
        <v>32</v>
      </c>
      <c r="AY24" s="86"/>
      <c r="AZ24" s="263" t="n">
        <f aca="false">SUM(N24,P24:U24)</f>
        <v>4.49401302166407</v>
      </c>
      <c r="BA24" s="193" t="n">
        <v>0</v>
      </c>
      <c r="BB24" s="264" t="n">
        <v>20344</v>
      </c>
    </row>
    <row r="25" customFormat="false" ht="12.95" hidden="false" customHeight="true" outlineLevel="0" collapsed="false">
      <c r="A25" s="192" t="n">
        <f aca="false">A24+1</f>
        <v>11</v>
      </c>
      <c r="B25" s="113" t="n">
        <v>6881.23</v>
      </c>
      <c r="C25" s="114" t="n">
        <v>219893</v>
      </c>
      <c r="D25" s="225" t="n">
        <f aca="false">C25-C24</f>
        <v>886</v>
      </c>
      <c r="E25" s="114" t="n">
        <f aca="false">C25-152000</f>
        <v>67893</v>
      </c>
      <c r="F25" s="143" t="n">
        <f aca="false">D25/$D$2</f>
        <v>446.685152508193</v>
      </c>
      <c r="G25" s="223" t="n">
        <v>742</v>
      </c>
      <c r="H25" s="144" t="n">
        <v>6.96</v>
      </c>
      <c r="I25" s="143" t="n">
        <f aca="false">G25+H25</f>
        <v>748.96</v>
      </c>
      <c r="J25" s="144" t="n">
        <f aca="false">IF(L25&gt;0,L25,0)</f>
        <v>6.62515250819251</v>
      </c>
      <c r="K25" s="143" t="n">
        <f aca="false">I25+J25</f>
        <v>755.585152508193</v>
      </c>
      <c r="L25" s="143" t="n">
        <f aca="false">F25-(I25-AK25)</f>
        <v>6.62515250819251</v>
      </c>
      <c r="M25" s="261" t="n">
        <v>168</v>
      </c>
      <c r="N25" s="171" t="n">
        <f aca="false">1/$D$2*1.03</f>
        <v>0.519284093773632</v>
      </c>
      <c r="O25" s="143" t="n">
        <f aca="false">28.1*1.05</f>
        <v>29.505</v>
      </c>
      <c r="P25" s="171" t="n">
        <v>0</v>
      </c>
      <c r="Q25" s="346" t="n">
        <f aca="false">1006200/325851/1.9835*1.02</f>
        <v>1.5879368304351</v>
      </c>
      <c r="R25" s="139" t="n">
        <f aca="false">(2.3*1.04)-T25</f>
        <v>1.67367616</v>
      </c>
      <c r="S25" s="139" t="n">
        <v>0</v>
      </c>
      <c r="T25" s="139" t="n">
        <f aca="false">(0.6516*1.06)*1.04</f>
        <v>0.71832384</v>
      </c>
      <c r="U25" s="365" t="n">
        <v>0</v>
      </c>
      <c r="V25" s="143" t="n">
        <v>0</v>
      </c>
      <c r="W25" s="143" t="n">
        <v>56.4</v>
      </c>
      <c r="X25" s="143" t="n">
        <f aca="false">M25-N25-O25-P25-Q25-R25-S25-T25-U25+V25+W25-AT25+AR25</f>
        <v>198.212411454204</v>
      </c>
      <c r="Y25" s="143" t="n">
        <f aca="false">X25-AO25</f>
        <v>198.212411454204</v>
      </c>
      <c r="Z25" s="114" t="n">
        <f aca="false">Z24+AP25</f>
        <v>14928.821665801</v>
      </c>
      <c r="AA25" s="143"/>
      <c r="AB25" s="114" t="n">
        <f aca="false">AB24+(Y25+AP25)*1.9835</f>
        <v>37044.0107379268</v>
      </c>
      <c r="AC25" s="114" t="n">
        <f aca="false">AC24-(AQ24/1.9835)</f>
        <v>1566.43750488764</v>
      </c>
      <c r="AD25" s="114"/>
      <c r="AE25" s="143" t="n">
        <v>64</v>
      </c>
      <c r="AF25" s="261" t="n">
        <v>1.7</v>
      </c>
      <c r="AG25" s="262" t="n">
        <v>1.3</v>
      </c>
      <c r="AH25" s="144" t="n">
        <v>20.5</v>
      </c>
      <c r="AI25" s="114" t="n">
        <f aca="false">AI24-AH25</f>
        <v>15107.0578774893</v>
      </c>
      <c r="AJ25" s="103"/>
      <c r="AK25" s="142" t="n">
        <f aca="false">N25+O25+P25+Q25+R25+S25+T25+U25+X25+AE25+AH25+AT25-AR25</f>
        <v>308.9</v>
      </c>
      <c r="AL25" s="143" t="n">
        <f aca="false">IF(L25&lt;0,L25*-1,0)</f>
        <v>0</v>
      </c>
      <c r="AM25" s="143" t="n">
        <f aca="false">AK25+AL25</f>
        <v>308.9</v>
      </c>
      <c r="AN25" s="431" t="n">
        <v>0</v>
      </c>
      <c r="AO25" s="225"/>
      <c r="AP25" s="157" t="n">
        <f aca="false">I25-Q25-R25-X25-AF25</f>
        <v>545.785975555361</v>
      </c>
      <c r="AQ25" s="171" t="n">
        <f aca="false">18.467*(Z25*1.9835+AC25*1.9835)/E25</f>
        <v>8.89944038438397</v>
      </c>
      <c r="AR25" s="144" t="n">
        <f aca="false">480.633/$D$2/31</f>
        <v>7.81663237841222</v>
      </c>
      <c r="AS25" s="231"/>
      <c r="AT25" s="111" t="n">
        <v>0</v>
      </c>
      <c r="AU25" s="56"/>
      <c r="AV25" s="232" t="n">
        <v>0</v>
      </c>
      <c r="AW25" s="225" t="n">
        <v>68</v>
      </c>
      <c r="AX25" s="225" t="n">
        <v>32</v>
      </c>
      <c r="AY25" s="86"/>
      <c r="AZ25" s="263" t="n">
        <f aca="false">SUM(N25,P25:U25)</f>
        <v>4.49922092420873</v>
      </c>
      <c r="BA25" s="193" t="n">
        <v>0</v>
      </c>
      <c r="BB25" s="264" t="n">
        <v>20506</v>
      </c>
    </row>
    <row r="26" customFormat="false" ht="12.95" hidden="false" customHeight="true" outlineLevel="0" collapsed="false">
      <c r="A26" s="192" t="n">
        <f aca="false">A25+1</f>
        <v>12</v>
      </c>
      <c r="B26" s="113" t="n">
        <v>6881.55</v>
      </c>
      <c r="C26" s="114" t="n">
        <v>220874</v>
      </c>
      <c r="D26" s="225" t="n">
        <f aca="false">C26-C25</f>
        <v>981</v>
      </c>
      <c r="E26" s="114" t="n">
        <f aca="false">C26-152000</f>
        <v>68874</v>
      </c>
      <c r="F26" s="143" t="n">
        <f aca="false">D26/$D$2</f>
        <v>494.580287370809</v>
      </c>
      <c r="G26" s="223" t="n">
        <v>910</v>
      </c>
      <c r="H26" s="144" t="n">
        <v>25.4</v>
      </c>
      <c r="I26" s="143" t="n">
        <f aca="false">G26+H26</f>
        <v>935.4</v>
      </c>
      <c r="J26" s="144" t="n">
        <f aca="false">IF(L26&gt;0,L26,0)</f>
        <v>0</v>
      </c>
      <c r="K26" s="143" t="n">
        <f aca="false">I26+J26</f>
        <v>935.4</v>
      </c>
      <c r="L26" s="143" t="n">
        <f aca="false">F26-(I26-AK26)</f>
        <v>-50.9197126291908</v>
      </c>
      <c r="M26" s="261" t="n">
        <v>212</v>
      </c>
      <c r="N26" s="171" t="n">
        <f aca="false">1/$D$2*1.03</f>
        <v>0.519284093773632</v>
      </c>
      <c r="O26" s="143" t="n">
        <f aca="false">82.9*1.05</f>
        <v>87.045</v>
      </c>
      <c r="P26" s="171" t="n">
        <v>0</v>
      </c>
      <c r="Q26" s="346" t="n">
        <f aca="false">1072800/325851/1.9835*1.02</f>
        <v>1.69304177270003</v>
      </c>
      <c r="R26" s="139" t="n">
        <f aca="false">(2.3*1.04)-T26</f>
        <v>1.67367616</v>
      </c>
      <c r="S26" s="139" t="n">
        <v>0</v>
      </c>
      <c r="T26" s="139" t="n">
        <f aca="false">(0.6516*1.06)*1.04</f>
        <v>0.71832384</v>
      </c>
      <c r="U26" s="365" t="n">
        <v>0</v>
      </c>
      <c r="V26" s="143" t="n">
        <v>0</v>
      </c>
      <c r="W26" s="143" t="n">
        <v>56.3</v>
      </c>
      <c r="X26" s="143" t="n">
        <f aca="false">M26-N26-O26-P26-Q26-R26-S26-T26-U26+V26+W26-AT26+AR26</f>
        <v>184.467306511939</v>
      </c>
      <c r="Y26" s="143" t="n">
        <f aca="false">X26-AO26</f>
        <v>184.467306511939</v>
      </c>
      <c r="Z26" s="114" t="n">
        <f aca="false">Z25+AP26</f>
        <v>15539.3543592891</v>
      </c>
      <c r="AA26" s="143"/>
      <c r="AB26" s="114" t="n">
        <f aca="false">AB25+(Y26+AP26)*1.9835</f>
        <v>38620.8932379268</v>
      </c>
      <c r="AC26" s="114" t="n">
        <f aca="false">AC25-(AQ25/1.9835)</f>
        <v>1561.95076912541</v>
      </c>
      <c r="AD26" s="114"/>
      <c r="AE26" s="143" t="n">
        <v>101</v>
      </c>
      <c r="AF26" s="261" t="n">
        <v>1.7</v>
      </c>
      <c r="AG26" s="262" t="n">
        <v>1.3</v>
      </c>
      <c r="AH26" s="144" t="n">
        <v>20.6</v>
      </c>
      <c r="AI26" s="114" t="n">
        <f aca="false">AI25-AH26</f>
        <v>15086.4578774893</v>
      </c>
      <c r="AJ26" s="103"/>
      <c r="AK26" s="142" t="n">
        <f aca="false">N26+O26+P26+Q26+R26+S26+T26+U26+X26+AE26+AH26+AT26-AR26</f>
        <v>389.9</v>
      </c>
      <c r="AL26" s="143" t="n">
        <f aca="false">IF(L26&lt;0,L26*-1,0)</f>
        <v>50.9197126291908</v>
      </c>
      <c r="AM26" s="143" t="n">
        <f aca="false">AK26+AL26</f>
        <v>440.819712629191</v>
      </c>
      <c r="AN26" s="431" t="n">
        <v>0</v>
      </c>
      <c r="AO26" s="225"/>
      <c r="AP26" s="157" t="n">
        <f aca="false">795-X26</f>
        <v>610.532693488061</v>
      </c>
      <c r="AQ26" s="171" t="n">
        <f aca="false">28.443*(Z26*1.9835+AC26*1.9835)/E26</f>
        <v>14.0081749074516</v>
      </c>
      <c r="AR26" s="144" t="n">
        <f aca="false">480.633/$D$2/31</f>
        <v>7.81663237841222</v>
      </c>
      <c r="AS26" s="231"/>
      <c r="AT26" s="111" t="n">
        <v>0</v>
      </c>
      <c r="AU26" s="56"/>
      <c r="AV26" s="232" t="n">
        <v>0.12</v>
      </c>
      <c r="AW26" s="342" t="n">
        <v>73</v>
      </c>
      <c r="AX26" s="225" t="n">
        <v>43</v>
      </c>
      <c r="AY26" s="86"/>
      <c r="AZ26" s="263" t="n">
        <f aca="false">SUM(N26,P26:U26)</f>
        <v>4.60432586647366</v>
      </c>
      <c r="BA26" s="193" t="n">
        <v>0</v>
      </c>
      <c r="BB26" s="264" t="n">
        <v>20622</v>
      </c>
    </row>
    <row r="27" customFormat="false" ht="12.95" hidden="false" customHeight="true" outlineLevel="0" collapsed="false">
      <c r="A27" s="192" t="n">
        <f aca="false">A26+1</f>
        <v>13</v>
      </c>
      <c r="B27" s="113" t="n">
        <v>6881.96</v>
      </c>
      <c r="C27" s="114" t="n">
        <v>222130</v>
      </c>
      <c r="D27" s="225" t="n">
        <f aca="false">C27-C26</f>
        <v>1256</v>
      </c>
      <c r="E27" s="114" t="n">
        <f aca="false">C27-152000</f>
        <v>70130</v>
      </c>
      <c r="F27" s="143" t="n">
        <f aca="false">D27/$D$2</f>
        <v>633.224098815226</v>
      </c>
      <c r="G27" s="223" t="n">
        <v>1000</v>
      </c>
      <c r="H27" s="144" t="n">
        <v>25.7</v>
      </c>
      <c r="I27" s="143" t="n">
        <f aca="false">G27+H27</f>
        <v>1025.7</v>
      </c>
      <c r="J27" s="144" t="n">
        <f aca="false">IF(L27&gt;0,L27,0)</f>
        <v>0</v>
      </c>
      <c r="K27" s="143" t="n">
        <f aca="false">I27+J27</f>
        <v>1025.7</v>
      </c>
      <c r="L27" s="143" t="n">
        <f aca="false">F27-(I27-AK27)</f>
        <v>-34.0759011847745</v>
      </c>
      <c r="M27" s="261" t="n">
        <v>182</v>
      </c>
      <c r="N27" s="171" t="n">
        <f aca="false">1/$D$2*1.03</f>
        <v>0.519284093773632</v>
      </c>
      <c r="O27" s="143" t="n">
        <f aca="false">55.8*1.05</f>
        <v>58.59</v>
      </c>
      <c r="P27" s="171" t="n">
        <v>0</v>
      </c>
      <c r="Q27" s="346" t="n">
        <f aca="false">1026600/325851/1.9835*1.02</f>
        <v>1.62013113707481</v>
      </c>
      <c r="R27" s="139" t="n">
        <f aca="false">(2.4*1.04)-T27</f>
        <v>1.77767616</v>
      </c>
      <c r="S27" s="139" t="n">
        <v>0</v>
      </c>
      <c r="T27" s="139" t="n">
        <f aca="false">(0.6516*1.06)*1.04</f>
        <v>0.71832384</v>
      </c>
      <c r="U27" s="365" t="n">
        <v>0</v>
      </c>
      <c r="V27" s="143" t="n">
        <v>0</v>
      </c>
      <c r="W27" s="143" t="n">
        <v>56.5</v>
      </c>
      <c r="X27" s="143" t="n">
        <f aca="false">M27-N27-O27-P27-Q27-R27-S27-T27-U27+V27+W27-AT27+AR27</f>
        <v>183.091217147564</v>
      </c>
      <c r="Y27" s="143" t="n">
        <f aca="false">X27-AO27</f>
        <v>183.091217147564</v>
      </c>
      <c r="Z27" s="114" t="n">
        <f aca="false">Z26+AP27</f>
        <v>16151.2631421415</v>
      </c>
      <c r="AA27" s="143"/>
      <c r="AB27" s="114" t="n">
        <f aca="false">AB26+(Y27+AP27)*1.9835</f>
        <v>40197.7757379268</v>
      </c>
      <c r="AC27" s="114" t="n">
        <f aca="false">AC26-(AQ26/1.9835)</f>
        <v>1554.88841726887</v>
      </c>
      <c r="AD27" s="114"/>
      <c r="AE27" s="143" t="n">
        <v>98.7</v>
      </c>
      <c r="AF27" s="261" t="n">
        <v>1.7</v>
      </c>
      <c r="AG27" s="262" t="n">
        <v>1.3</v>
      </c>
      <c r="AH27" s="144" t="n">
        <v>21.2</v>
      </c>
      <c r="AI27" s="114" t="n">
        <f aca="false">AI26-AH27</f>
        <v>15065.2578774893</v>
      </c>
      <c r="AJ27" s="103"/>
      <c r="AK27" s="142" t="n">
        <f aca="false">N27+O27+P27+Q27+R27+S27+T27+U27+X27+AE27+AH27+AT27-AR27</f>
        <v>358.4</v>
      </c>
      <c r="AL27" s="143" t="n">
        <f aca="false">IF(L27&lt;0,L27*-1,0)</f>
        <v>34.0759011847745</v>
      </c>
      <c r="AM27" s="143" t="n">
        <f aca="false">AK27+AL27</f>
        <v>392.475901184774</v>
      </c>
      <c r="AN27" s="431" t="n">
        <v>0</v>
      </c>
      <c r="AO27" s="225"/>
      <c r="AP27" s="157" t="n">
        <f aca="false">795-X27</f>
        <v>611.908782852436</v>
      </c>
      <c r="AQ27" s="171" t="n">
        <f aca="false">29.343*(Z27*1.9835+AC27*1.9835)/E27</f>
        <v>14.6945759151523</v>
      </c>
      <c r="AR27" s="144" t="n">
        <f aca="false">480.633/$D$2/31</f>
        <v>7.81663237841222</v>
      </c>
      <c r="AS27" s="231"/>
      <c r="AT27" s="111" t="n">
        <v>0</v>
      </c>
      <c r="AU27" s="56"/>
      <c r="AV27" s="232" t="n">
        <v>0</v>
      </c>
      <c r="AW27" s="342" t="n">
        <v>69</v>
      </c>
      <c r="AX27" s="225" t="n">
        <v>42</v>
      </c>
      <c r="AY27" s="86"/>
      <c r="AZ27" s="263" t="n">
        <f aca="false">SUM(N27,P27:U27)</f>
        <v>4.63541523084844</v>
      </c>
      <c r="BA27" s="193" t="n">
        <v>0</v>
      </c>
      <c r="BB27" s="264" t="n">
        <v>20739</v>
      </c>
    </row>
    <row r="28" customFormat="false" ht="12.95" hidden="false" customHeight="true" outlineLevel="0" collapsed="false">
      <c r="A28" s="192" t="n">
        <f aca="false">A27+1</f>
        <v>14</v>
      </c>
      <c r="B28" s="113" t="n">
        <v>6882.34</v>
      </c>
      <c r="C28" s="114" t="n">
        <v>223309</v>
      </c>
      <c r="D28" s="225" t="n">
        <f aca="false">C28-C27</f>
        <v>1179</v>
      </c>
      <c r="E28" s="114" t="n">
        <f aca="false">C28-152000</f>
        <v>71309</v>
      </c>
      <c r="F28" s="143" t="n">
        <f aca="false">D28/$D$2</f>
        <v>594.403831610789</v>
      </c>
      <c r="G28" s="223" t="n">
        <v>990</v>
      </c>
      <c r="H28" s="144" t="n">
        <v>14.5</v>
      </c>
      <c r="I28" s="143" t="n">
        <f aca="false">G28+H28</f>
        <v>1004.5</v>
      </c>
      <c r="J28" s="144" t="n">
        <f aca="false">IF(L28&gt;0,L28,0)</f>
        <v>0</v>
      </c>
      <c r="K28" s="143" t="n">
        <f aca="false">I28+J28</f>
        <v>1004.5</v>
      </c>
      <c r="L28" s="143" t="n">
        <f aca="false">F28-(I28-AK28)</f>
        <v>-30.596168389211</v>
      </c>
      <c r="M28" s="261" t="n">
        <v>193</v>
      </c>
      <c r="N28" s="171" t="n">
        <f aca="false">1/$D$2*1.03</f>
        <v>0.519284093773632</v>
      </c>
      <c r="O28" s="143" t="n">
        <f aca="false">64.2*1.05</f>
        <v>67.41</v>
      </c>
      <c r="P28" s="171" t="n">
        <v>0</v>
      </c>
      <c r="Q28" s="346" t="n">
        <f aca="false">1054900/325851/1.9835*1.02</f>
        <v>1.66479284677597</v>
      </c>
      <c r="R28" s="139" t="n">
        <f aca="false">(2.2*1.04)-T28</f>
        <v>1.56967616</v>
      </c>
      <c r="S28" s="139" t="n">
        <v>0</v>
      </c>
      <c r="T28" s="139" t="n">
        <f aca="false">(0.6516*1.06)*1.04</f>
        <v>0.71832384</v>
      </c>
      <c r="U28" s="365" t="n">
        <v>0</v>
      </c>
      <c r="V28" s="143" t="n">
        <v>0</v>
      </c>
      <c r="W28" s="143" t="n">
        <v>58.5</v>
      </c>
      <c r="X28" s="143" t="n">
        <f aca="false">M28-N28-O28-P28-Q28-R28-S28-T28-U28+V28+W28-AT28+AR28</f>
        <v>187.434555437863</v>
      </c>
      <c r="Y28" s="143" t="n">
        <f aca="false">X28-AO28</f>
        <v>187.434555437863</v>
      </c>
      <c r="Z28" s="114" t="n">
        <f aca="false">Z27+AP28</f>
        <v>16758.8285867037</v>
      </c>
      <c r="AA28" s="143"/>
      <c r="AB28" s="114" t="n">
        <f aca="false">AB27+(Y28+AP28)*1.9835</f>
        <v>41774.6582379268</v>
      </c>
      <c r="AC28" s="114" t="n">
        <f aca="false">AC27-(AQ27/1.9835)</f>
        <v>1547.48000995092</v>
      </c>
      <c r="AD28" s="114"/>
      <c r="AE28" s="143" t="n">
        <v>107</v>
      </c>
      <c r="AF28" s="261" t="n">
        <v>1.7</v>
      </c>
      <c r="AG28" s="262" t="n">
        <v>1.3</v>
      </c>
      <c r="AH28" s="144" t="n">
        <v>21</v>
      </c>
      <c r="AI28" s="114" t="n">
        <f aca="false">AI27-AH28</f>
        <v>15044.2578774893</v>
      </c>
      <c r="AJ28" s="103"/>
      <c r="AK28" s="142" t="n">
        <f aca="false">N28+O28+P28+Q28+R28+S28+T28+U28+X28+AE28+AH28+AT28-AR28</f>
        <v>379.5</v>
      </c>
      <c r="AL28" s="143" t="n">
        <f aca="false">IF(L28&lt;0,L28*-1,0)</f>
        <v>30.596168389211</v>
      </c>
      <c r="AM28" s="143" t="n">
        <f aca="false">AK28+AL28</f>
        <v>410.096168389211</v>
      </c>
      <c r="AN28" s="431" t="n">
        <v>0</v>
      </c>
      <c r="AO28" s="225"/>
      <c r="AP28" s="157" t="n">
        <f aca="false">795-X28</f>
        <v>607.565444562137</v>
      </c>
      <c r="AQ28" s="171" t="n">
        <f aca="false">31.143*(Z28*1.9835+AC28*1.9835)/E28</f>
        <v>15.8580244663213</v>
      </c>
      <c r="AR28" s="144" t="n">
        <f aca="false">480.633/$D$2/31</f>
        <v>7.81663237841222</v>
      </c>
      <c r="AS28" s="231"/>
      <c r="AT28" s="111" t="n">
        <v>0</v>
      </c>
      <c r="AU28" s="56"/>
      <c r="AV28" s="232" t="n">
        <v>0.07</v>
      </c>
      <c r="AW28" s="342" t="n">
        <v>71</v>
      </c>
      <c r="AX28" s="225" t="n">
        <v>43</v>
      </c>
      <c r="AY28" s="86"/>
      <c r="AZ28" s="263" t="n">
        <f aca="false">SUM(N28,P28:U28)</f>
        <v>4.4720769405496</v>
      </c>
      <c r="BA28" s="193" t="n">
        <v>0</v>
      </c>
      <c r="BB28" s="264" t="n">
        <v>20774</v>
      </c>
    </row>
    <row r="29" customFormat="false" ht="12.95" hidden="false" customHeight="true" outlineLevel="0" collapsed="false">
      <c r="A29" s="192" t="n">
        <f aca="false">A28+1</f>
        <v>15</v>
      </c>
      <c r="B29" s="113" t="n">
        <v>6882.85</v>
      </c>
      <c r="C29" s="114" t="n">
        <v>224893</v>
      </c>
      <c r="D29" s="225" t="n">
        <f aca="false">C29-C28</f>
        <v>1584</v>
      </c>
      <c r="E29" s="114" t="n">
        <f aca="false">C29-152000</f>
        <v>72893</v>
      </c>
      <c r="F29" s="143" t="n">
        <f aca="false">D29/$D$2</f>
        <v>798.588353919839</v>
      </c>
      <c r="G29" s="223" t="n">
        <v>1050</v>
      </c>
      <c r="H29" s="144" t="n">
        <v>9.7</v>
      </c>
      <c r="I29" s="143" t="n">
        <f aca="false">G29+H29</f>
        <v>1059.7</v>
      </c>
      <c r="J29" s="144" t="n">
        <f aca="false">IF(L29&gt;0,L29,0)</f>
        <v>51.8883539198386</v>
      </c>
      <c r="K29" s="143" t="n">
        <f aca="false">I29+J29</f>
        <v>1111.58835391984</v>
      </c>
      <c r="L29" s="143" t="n">
        <f aca="false">F29-(I29-AK29)</f>
        <v>51.8883539198386</v>
      </c>
      <c r="M29" s="261" t="n">
        <v>154</v>
      </c>
      <c r="N29" s="171" t="n">
        <f aca="false">1/$D$2*1.03</f>
        <v>0.519284093773632</v>
      </c>
      <c r="O29" s="143" t="n">
        <f aca="false">37.9*1.05</f>
        <v>39.795</v>
      </c>
      <c r="P29" s="171" t="n">
        <v>0</v>
      </c>
      <c r="Q29" s="346" t="n">
        <f aca="false">919700/325851/1.9835*1.02</f>
        <v>1.45142665767358</v>
      </c>
      <c r="R29" s="139" t="n">
        <f aca="false">(3.3*1.04)-T29</f>
        <v>2.78235568</v>
      </c>
      <c r="S29" s="139" t="n">
        <v>0</v>
      </c>
      <c r="T29" s="139" t="n">
        <f aca="false">(0.5893*1.06)*1.04</f>
        <v>0.64964432</v>
      </c>
      <c r="U29" s="365" t="n">
        <v>0</v>
      </c>
      <c r="V29" s="143" t="n">
        <v>0</v>
      </c>
      <c r="W29" s="143" t="n">
        <v>56.1</v>
      </c>
      <c r="X29" s="143" t="n">
        <f aca="false">M29-N29-O29-P29-Q29-R29-S29-T29-U29+V29+W29-AT29+AR29</f>
        <v>172.718921626965</v>
      </c>
      <c r="Y29" s="143" t="n">
        <f aca="false">X29-AO29</f>
        <v>172.718921626965</v>
      </c>
      <c r="Z29" s="114" t="n">
        <f aca="false">Z28+AP29</f>
        <v>17381.1096650767</v>
      </c>
      <c r="AA29" s="143"/>
      <c r="AB29" s="114" t="n">
        <f aca="false">AB28+(Y29+AP29)*1.9835</f>
        <v>43351.5407379268</v>
      </c>
      <c r="AC29" s="114" t="n">
        <f aca="false">AC28-(AQ28/1.9835)</f>
        <v>1539.48503920914</v>
      </c>
      <c r="AD29" s="114"/>
      <c r="AE29" s="143" t="n">
        <v>81.7</v>
      </c>
      <c r="AF29" s="261" t="n">
        <v>1.7</v>
      </c>
      <c r="AG29" s="262" t="n">
        <v>1.3</v>
      </c>
      <c r="AH29" s="144" t="n">
        <v>21.2</v>
      </c>
      <c r="AI29" s="114" t="n">
        <f aca="false">AI28-AH29</f>
        <v>15023.0578774893</v>
      </c>
      <c r="AJ29" s="103"/>
      <c r="AK29" s="142" t="n">
        <f aca="false">N29+O29+P29+Q29+R29+S29+T29+U29+X29+AE29+AH29+AT29-AR29</f>
        <v>313</v>
      </c>
      <c r="AL29" s="143" t="n">
        <f aca="false">IF(L29&lt;0,L29*-1,0)</f>
        <v>0</v>
      </c>
      <c r="AM29" s="143" t="n">
        <f aca="false">AK29+AL29</f>
        <v>313</v>
      </c>
      <c r="AN29" s="431" t="n">
        <v>0</v>
      </c>
      <c r="AO29" s="225"/>
      <c r="AP29" s="157" t="n">
        <f aca="false">795-X29</f>
        <v>622.281078373035</v>
      </c>
      <c r="AQ29" s="171" t="n">
        <f aca="false">0*(Z29*1.9835+AC29*1.9835)/E29</f>
        <v>0</v>
      </c>
      <c r="AR29" s="144" t="n">
        <f aca="false">480.633/$D$2/31</f>
        <v>7.81663237841222</v>
      </c>
      <c r="AS29" s="231"/>
      <c r="AT29" s="111" t="n">
        <v>0</v>
      </c>
      <c r="AU29" s="56"/>
      <c r="AV29" s="232" t="n">
        <v>0.47</v>
      </c>
      <c r="AW29" s="342" t="n">
        <v>56</v>
      </c>
      <c r="AX29" s="225" t="n">
        <v>36</v>
      </c>
      <c r="AY29" s="86"/>
      <c r="AZ29" s="263" t="n">
        <f aca="false">SUM(N29,P29:U29)</f>
        <v>5.40271075144721</v>
      </c>
      <c r="BA29" s="193" t="n">
        <v>0</v>
      </c>
      <c r="BB29" s="264" t="n">
        <v>20842</v>
      </c>
    </row>
    <row r="30" customFormat="false" ht="12.95" hidden="false" customHeight="true" outlineLevel="0" collapsed="false">
      <c r="A30" s="192" t="n">
        <f aca="false">A29+1</f>
        <v>16</v>
      </c>
      <c r="B30" s="113" t="n">
        <v>6883.48</v>
      </c>
      <c r="C30" s="114" t="n">
        <v>226869</v>
      </c>
      <c r="D30" s="225" t="n">
        <f aca="false">C30-C29</f>
        <v>1976</v>
      </c>
      <c r="E30" s="114" t="n">
        <f aca="false">C30-152000</f>
        <v>74869</v>
      </c>
      <c r="F30" s="143" t="n">
        <f aca="false">D30/$D$2</f>
        <v>996.218805142425</v>
      </c>
      <c r="G30" s="223" t="n">
        <v>1090</v>
      </c>
      <c r="H30" s="144" t="n">
        <v>23.8</v>
      </c>
      <c r="I30" s="143" t="n">
        <f aca="false">G30+H30</f>
        <v>1113.8</v>
      </c>
      <c r="J30" s="144" t="n">
        <f aca="false">IF(L30&gt;0,L30,0)</f>
        <v>90.1188051424251</v>
      </c>
      <c r="K30" s="143" t="n">
        <f aca="false">I30+J30</f>
        <v>1203.91880514243</v>
      </c>
      <c r="L30" s="143" t="n">
        <f aca="false">F30-(I30-AK30)</f>
        <v>90.1188051424251</v>
      </c>
      <c r="M30" s="261" t="n">
        <v>93.6</v>
      </c>
      <c r="N30" s="171" t="n">
        <f aca="false">1/$D$2*1.03</f>
        <v>0.519284093773632</v>
      </c>
      <c r="O30" s="143" t="n">
        <f aca="false">1.46*1.05</f>
        <v>1.533</v>
      </c>
      <c r="P30" s="171" t="n">
        <v>0</v>
      </c>
      <c r="Q30" s="346" t="n">
        <f aca="false">951400/325851/1.9835*1.02</f>
        <v>1.50145408514803</v>
      </c>
      <c r="R30" s="139" t="n">
        <f aca="false">(3.5*1.04)-T30</f>
        <v>2.99035568</v>
      </c>
      <c r="S30" s="139" t="n">
        <v>0</v>
      </c>
      <c r="T30" s="139" t="n">
        <f aca="false">(0.5893*1.06)*1.04</f>
        <v>0.64964432</v>
      </c>
      <c r="U30" s="365" t="n">
        <v>0</v>
      </c>
      <c r="V30" s="143" t="n">
        <v>0</v>
      </c>
      <c r="W30" s="143" t="n">
        <v>53.1</v>
      </c>
      <c r="X30" s="143" t="n">
        <f aca="false">M30-N30-O30-P30-Q30-R30-S30-T30-U30+V30+W30-AT30+AR30</f>
        <v>147.322894199491</v>
      </c>
      <c r="Y30" s="143" t="n">
        <f aca="false">X30-AO30</f>
        <v>147.322894199491</v>
      </c>
      <c r="Z30" s="114" t="n">
        <f aca="false">Z29+AP30</f>
        <v>18028.7867708772</v>
      </c>
      <c r="AA30" s="143"/>
      <c r="AB30" s="114" t="n">
        <f aca="false">AB29+(Y30+AP30)*1.9835</f>
        <v>44928.4232379268</v>
      </c>
      <c r="AC30" s="114" t="n">
        <f aca="false">AC29-(AQ29/1.9835)</f>
        <v>1539.48503920914</v>
      </c>
      <c r="AD30" s="114"/>
      <c r="AE30" s="143" t="n">
        <v>40</v>
      </c>
      <c r="AF30" s="261" t="n">
        <v>1.7</v>
      </c>
      <c r="AG30" s="262" t="n">
        <v>1.3</v>
      </c>
      <c r="AH30" s="144" t="n">
        <v>21</v>
      </c>
      <c r="AI30" s="114" t="n">
        <f aca="false">AI29-AH30</f>
        <v>15002.0578774893</v>
      </c>
      <c r="AJ30" s="103"/>
      <c r="AK30" s="142" t="n">
        <f aca="false">N30+O30+P30+Q30+R30+S30+T30+U30+X30+AE30+AH30+AT30-AR30</f>
        <v>207.7</v>
      </c>
      <c r="AL30" s="143" t="n">
        <f aca="false">IF(L30&lt;0,L30*-1,0)</f>
        <v>0</v>
      </c>
      <c r="AM30" s="143" t="n">
        <f aca="false">AK30+AL30</f>
        <v>207.7</v>
      </c>
      <c r="AN30" s="431" t="n">
        <v>0</v>
      </c>
      <c r="AO30" s="225"/>
      <c r="AP30" s="157" t="n">
        <f aca="false">795-X30</f>
        <v>647.67710580051</v>
      </c>
      <c r="AQ30" s="171" t="n">
        <f aca="false">0*(Z30*1.9835+AC30*1.9835)/E30</f>
        <v>0</v>
      </c>
      <c r="AR30" s="144" t="n">
        <f aca="false">480.633/$D$2/31</f>
        <v>7.81663237841222</v>
      </c>
      <c r="AS30" s="231"/>
      <c r="AT30" s="111" t="n">
        <v>0</v>
      </c>
      <c r="AU30" s="56"/>
      <c r="AV30" s="232" t="n">
        <v>0.21</v>
      </c>
      <c r="AW30" s="225" t="n">
        <v>54</v>
      </c>
      <c r="AX30" s="225" t="n">
        <v>35</v>
      </c>
      <c r="AY30" s="86"/>
      <c r="AZ30" s="263" t="n">
        <f aca="false">SUM(N30,P30:U30)</f>
        <v>5.66073817892167</v>
      </c>
      <c r="BA30" s="193" t="n">
        <v>0</v>
      </c>
      <c r="BB30" s="264" t="n">
        <v>21002</v>
      </c>
    </row>
    <row r="31" customFormat="false" ht="12.95" hidden="false" customHeight="true" outlineLevel="0" collapsed="false">
      <c r="A31" s="192" t="n">
        <f aca="false">A30+1</f>
        <v>17</v>
      </c>
      <c r="B31" s="113" t="n">
        <v>6884.02</v>
      </c>
      <c r="C31" s="114" t="n">
        <v>228568</v>
      </c>
      <c r="D31" s="225" t="n">
        <f aca="false">C31-C30</f>
        <v>1699</v>
      </c>
      <c r="E31" s="114" t="n">
        <f aca="false">C31-152000</f>
        <v>76568</v>
      </c>
      <c r="F31" s="143" t="n">
        <f aca="false">D31/$D$2</f>
        <v>856.566675069322</v>
      </c>
      <c r="G31" s="223" t="n">
        <v>1010</v>
      </c>
      <c r="H31" s="144" t="n">
        <v>31.8</v>
      </c>
      <c r="I31" s="143" t="n">
        <f aca="false">G31+H31</f>
        <v>1041.8</v>
      </c>
      <c r="J31" s="144" t="n">
        <f aca="false">IF(L31&gt;0,L31,0)</f>
        <v>0</v>
      </c>
      <c r="K31" s="143" t="n">
        <f aca="false">I31+J31</f>
        <v>1041.8</v>
      </c>
      <c r="L31" s="143" t="n">
        <f aca="false">F31-(I31-AK31)</f>
        <v>-14.9133249306781</v>
      </c>
      <c r="M31" s="261" t="n">
        <v>93.9</v>
      </c>
      <c r="N31" s="171" t="n">
        <f aca="false">1/$D$2*1.03</f>
        <v>0.519284093773632</v>
      </c>
      <c r="O31" s="143" t="n">
        <f aca="false">4.55*1.05</f>
        <v>4.7775</v>
      </c>
      <c r="P31" s="171" t="n">
        <v>0</v>
      </c>
      <c r="Q31" s="346" t="n">
        <f aca="false">1221300/325851/1.9835*1.02</f>
        <v>1.92739738720968</v>
      </c>
      <c r="R31" s="139" t="n">
        <f aca="false">(3.1*1.04)-T31</f>
        <v>2.57435568</v>
      </c>
      <c r="S31" s="139" t="n">
        <v>0</v>
      </c>
      <c r="T31" s="139" t="n">
        <f aca="false">(0.5893*1.06)*1.04</f>
        <v>0.64964432</v>
      </c>
      <c r="U31" s="365" t="n">
        <v>0</v>
      </c>
      <c r="V31" s="143" t="n">
        <v>0</v>
      </c>
      <c r="W31" s="143" t="n">
        <v>51.3</v>
      </c>
      <c r="X31" s="143" t="n">
        <f aca="false">M31-N31-O31-P31-Q31-R31-S31-T31-U31+V31+W31-AT31+AR31</f>
        <v>142.568450897429</v>
      </c>
      <c r="Y31" s="143" t="n">
        <f aca="false">X31-AO31</f>
        <v>142.568450897429</v>
      </c>
      <c r="Z31" s="114" t="n">
        <f aca="false">Z30+AP31</f>
        <v>18681.2183199798</v>
      </c>
      <c r="AA31" s="143"/>
      <c r="AB31" s="114" t="n">
        <f aca="false">AB30+(Y31+AP31)*1.9835</f>
        <v>46505.3057379268</v>
      </c>
      <c r="AC31" s="114" t="n">
        <f aca="false">AC30-(AQ30/1.9835)</f>
        <v>1539.48503920914</v>
      </c>
      <c r="AD31" s="114"/>
      <c r="AE31" s="143" t="n">
        <v>4.12</v>
      </c>
      <c r="AF31" s="261" t="n">
        <v>1.7</v>
      </c>
      <c r="AG31" s="262" t="n">
        <v>1.3</v>
      </c>
      <c r="AH31" s="144" t="n">
        <v>21</v>
      </c>
      <c r="AI31" s="114" t="n">
        <f aca="false">AI30-AH31</f>
        <v>14981.0578774893</v>
      </c>
      <c r="AJ31" s="103"/>
      <c r="AK31" s="142" t="n">
        <f aca="false">N31+O31+P31+Q31+R31+S31+T31+U31+X31+AE31+AH31+AT31-AR31</f>
        <v>170.32</v>
      </c>
      <c r="AL31" s="143" t="n">
        <f aca="false">IF(L31&lt;0,L31*-1,0)</f>
        <v>14.9133249306781</v>
      </c>
      <c r="AM31" s="143" t="n">
        <f aca="false">AK31+AL31</f>
        <v>185.233324930678</v>
      </c>
      <c r="AN31" s="431" t="n">
        <v>0</v>
      </c>
      <c r="AO31" s="225"/>
      <c r="AP31" s="157" t="n">
        <f aca="false">795-X31</f>
        <v>652.431549102571</v>
      </c>
      <c r="AQ31" s="171" t="n">
        <f aca="false">25.848*(Z31*1.9835+AC31*1.9835)/E31</f>
        <v>13.5396707846563</v>
      </c>
      <c r="AR31" s="144" t="n">
        <f aca="false">480.633/$D$2/31</f>
        <v>7.81663237841222</v>
      </c>
      <c r="AS31" s="231"/>
      <c r="AT31" s="111" t="n">
        <v>0</v>
      </c>
      <c r="AU31" s="56"/>
      <c r="AV31" s="232" t="n">
        <v>0</v>
      </c>
      <c r="AW31" s="225" t="n">
        <v>67</v>
      </c>
      <c r="AX31" s="225" t="n">
        <v>37</v>
      </c>
      <c r="AY31" s="86"/>
      <c r="AZ31" s="263" t="n">
        <f aca="false">SUM(N31,P31:U31)</f>
        <v>5.67068148098331</v>
      </c>
      <c r="BA31" s="193" t="n">
        <v>0</v>
      </c>
      <c r="BB31" s="264" t="n">
        <v>21197</v>
      </c>
    </row>
    <row r="32" customFormat="false" ht="12.95" hidden="false" customHeight="true" outlineLevel="0" collapsed="false">
      <c r="A32" s="192" t="n">
        <f aca="false">A31+1</f>
        <v>18</v>
      </c>
      <c r="B32" s="113" t="n">
        <v>6884.69</v>
      </c>
      <c r="C32" s="114" t="n">
        <v>230702</v>
      </c>
      <c r="D32" s="225" t="n">
        <f aca="false">C32-C31</f>
        <v>2134</v>
      </c>
      <c r="E32" s="114" t="n">
        <f aca="false">C32-152000</f>
        <v>78702</v>
      </c>
      <c r="F32" s="143" t="n">
        <f aca="false">D32/$D$2</f>
        <v>1075.87597680867</v>
      </c>
      <c r="G32" s="223" t="n">
        <v>1190</v>
      </c>
      <c r="H32" s="144" t="n">
        <v>69.9</v>
      </c>
      <c r="I32" s="143" t="n">
        <f aca="false">G32+H32</f>
        <v>1259.9</v>
      </c>
      <c r="J32" s="144" t="n">
        <f aca="false">IF(L32&gt;0,L32,0)</f>
        <v>61.6759768086715</v>
      </c>
      <c r="K32" s="143" t="n">
        <f aca="false">I32+J32</f>
        <v>1321.57597680867</v>
      </c>
      <c r="L32" s="143" t="n">
        <f aca="false">F32-(I32-AK32)</f>
        <v>61.6759768086715</v>
      </c>
      <c r="M32" s="261" t="n">
        <v>119</v>
      </c>
      <c r="N32" s="171" t="n">
        <f aca="false">1/$D$2*1.03</f>
        <v>0.519284093773632</v>
      </c>
      <c r="O32" s="143" t="n">
        <f aca="false">4.66*1.05</f>
        <v>4.893</v>
      </c>
      <c r="P32" s="171" t="n">
        <v>0</v>
      </c>
      <c r="Q32" s="346" t="n">
        <f aca="false">1037400/325851/1.9835*1.02</f>
        <v>1.63717518176642</v>
      </c>
      <c r="R32" s="139" t="n">
        <f aca="false">(3.3*1.04)-T32</f>
        <v>2.78235568</v>
      </c>
      <c r="S32" s="139" t="n">
        <v>0</v>
      </c>
      <c r="T32" s="139" t="n">
        <f aca="false">(0.5893*1.06)*1.04</f>
        <v>0.64964432</v>
      </c>
      <c r="U32" s="365" t="n">
        <v>0</v>
      </c>
      <c r="V32" s="143" t="n">
        <v>0</v>
      </c>
      <c r="W32" s="143" t="n">
        <v>50.9</v>
      </c>
      <c r="X32" s="143" t="n">
        <f aca="false">M32-N32-O32-P32-Q32-R32-S32-T32-U32+V32+W32-AT32+AR32</f>
        <v>167.235173102872</v>
      </c>
      <c r="Y32" s="143" t="n">
        <f aca="false">X32-AO32</f>
        <v>167.235173102872</v>
      </c>
      <c r="Z32" s="114" t="n">
        <f aca="false">Z31+AP32</f>
        <v>19308.9831468769</v>
      </c>
      <c r="AA32" s="143"/>
      <c r="AB32" s="114" t="n">
        <f aca="false">AB31+(Y32+AP32)*1.9835</f>
        <v>48082.1882379268</v>
      </c>
      <c r="AC32" s="114" t="n">
        <f aca="false">AC31-(AQ31/1.9835)</f>
        <v>1532.65888806991</v>
      </c>
      <c r="AD32" s="114"/>
      <c r="AE32" s="143" t="n">
        <v>54.8</v>
      </c>
      <c r="AF32" s="261" t="n">
        <v>1.7</v>
      </c>
      <c r="AG32" s="262" t="n">
        <v>1.3</v>
      </c>
      <c r="AH32" s="144" t="n">
        <v>21</v>
      </c>
      <c r="AI32" s="114" t="n">
        <f aca="false">AI31-AH32</f>
        <v>14960.0578774893</v>
      </c>
      <c r="AJ32" s="103"/>
      <c r="AK32" s="142" t="n">
        <f aca="false">N32+O32+P32+Q32+R32+S32+T32+U32+X32+AE32+AH32+AT32-AR32</f>
        <v>245.7</v>
      </c>
      <c r="AL32" s="143" t="n">
        <f aca="false">IF(L32&lt;0,L32*-1,0)</f>
        <v>0</v>
      </c>
      <c r="AM32" s="143" t="n">
        <f aca="false">AK32+AL32</f>
        <v>245.7</v>
      </c>
      <c r="AN32" s="431" t="n">
        <v>0</v>
      </c>
      <c r="AO32" s="225"/>
      <c r="AP32" s="157" t="n">
        <f aca="false">795-X32</f>
        <v>627.764826897128</v>
      </c>
      <c r="AQ32" s="171" t="n">
        <f aca="false">0*(Z32*1.9835+AC32*1.9835)/E32</f>
        <v>0</v>
      </c>
      <c r="AR32" s="144" t="n">
        <f aca="false">480.633/$D$2/31</f>
        <v>7.81663237841222</v>
      </c>
      <c r="AS32" s="231"/>
      <c r="AT32" s="111" t="n">
        <v>0</v>
      </c>
      <c r="AU32" s="56"/>
      <c r="AV32" s="232" t="n">
        <v>0.34</v>
      </c>
      <c r="AW32" s="225" t="n">
        <v>71</v>
      </c>
      <c r="AX32" s="225" t="n">
        <v>39</v>
      </c>
      <c r="AY32" s="86"/>
      <c r="AZ32" s="263" t="n">
        <f aca="false">SUM(N32,P32:U32)</f>
        <v>5.58845927554005</v>
      </c>
      <c r="BA32" s="193" t="n">
        <v>0</v>
      </c>
      <c r="BB32" s="264" t="n">
        <v>21417</v>
      </c>
    </row>
    <row r="33" customFormat="false" ht="12.95" hidden="false" customHeight="true" outlineLevel="0" collapsed="false">
      <c r="A33" s="192" t="n">
        <f aca="false">A32+1</f>
        <v>19</v>
      </c>
      <c r="B33" s="113" t="n">
        <v>6885.81</v>
      </c>
      <c r="C33" s="319" t="n">
        <v>234300</v>
      </c>
      <c r="D33" s="225" t="n">
        <f aca="false">C33-C32</f>
        <v>3598</v>
      </c>
      <c r="E33" s="114" t="n">
        <f aca="false">C33-152000</f>
        <v>82300</v>
      </c>
      <c r="F33" s="143" t="n">
        <f aca="false">D33/$D$2</f>
        <v>1813.96521300731</v>
      </c>
      <c r="G33" s="223" t="n">
        <v>1780</v>
      </c>
      <c r="H33" s="144" t="n">
        <v>368</v>
      </c>
      <c r="I33" s="143" t="n">
        <f aca="false">G33+H33</f>
        <v>2148</v>
      </c>
      <c r="J33" s="144" t="n">
        <f aca="false">IF(L33&gt;0,L33,0)</f>
        <v>0</v>
      </c>
      <c r="K33" s="143" t="n">
        <f aca="false">I33+J33</f>
        <v>2148</v>
      </c>
      <c r="L33" s="143" t="n">
        <f aca="false">F33-(I33-AK33)</f>
        <v>-120.83478699269</v>
      </c>
      <c r="M33" s="261" t="n">
        <v>99.6</v>
      </c>
      <c r="N33" s="171" t="n">
        <f aca="false">1/$D$2*1.03</f>
        <v>0.519284093773632</v>
      </c>
      <c r="O33" s="143" t="n">
        <f aca="false">7.57*1.05</f>
        <v>7.9485</v>
      </c>
      <c r="P33" s="171" t="n">
        <v>0</v>
      </c>
      <c r="Q33" s="346" t="n">
        <f aca="false">870700/325851/1.9835*1.02</f>
        <v>1.37409719564683</v>
      </c>
      <c r="R33" s="139" t="n">
        <f aca="false">(3.3*1.04)-T33</f>
        <v>2.78235568</v>
      </c>
      <c r="S33" s="139" t="n">
        <v>0</v>
      </c>
      <c r="T33" s="139" t="n">
        <f aca="false">(0.5893*1.06)*1.04</f>
        <v>0.64964432</v>
      </c>
      <c r="U33" s="365" t="n">
        <v>0</v>
      </c>
      <c r="V33" s="143" t="n">
        <v>0</v>
      </c>
      <c r="W33" s="143" t="n">
        <v>48.7</v>
      </c>
      <c r="X33" s="143" t="n">
        <f aca="false">M33-N33-O33-P33-Q33-R33-S33-T33-U33+V33+W33-AT33+AR33</f>
        <v>142.842751088992</v>
      </c>
      <c r="Y33" s="143" t="n">
        <f aca="false">X33-AO33</f>
        <v>142.842751088992</v>
      </c>
      <c r="Z33" s="114" t="n">
        <f aca="false">Z32+AP33</f>
        <v>19961.1403957879</v>
      </c>
      <c r="AA33" s="143"/>
      <c r="AB33" s="114" t="n">
        <f aca="false">AB32+(Y33+AP33)*1.9835</f>
        <v>49659.0707379268</v>
      </c>
      <c r="AC33" s="114" t="n">
        <f aca="false">AC32-(AQ32/1.9835)</f>
        <v>1532.65888806991</v>
      </c>
      <c r="AD33" s="114"/>
      <c r="AE33" s="143" t="n">
        <v>43.8</v>
      </c>
      <c r="AF33" s="261" t="n">
        <v>1.7</v>
      </c>
      <c r="AG33" s="262" t="n">
        <v>1.3</v>
      </c>
      <c r="AH33" s="144" t="n">
        <v>21.1</v>
      </c>
      <c r="AI33" s="114" t="n">
        <f aca="false">AI32-AH33</f>
        <v>14938.9578774893</v>
      </c>
      <c r="AJ33" s="103"/>
      <c r="AK33" s="142" t="n">
        <f aca="false">N33+O33+P33+Q33+R33+S33+T33+U33+X33+AE33+AH33+AT33-AR33</f>
        <v>213.2</v>
      </c>
      <c r="AL33" s="143" t="n">
        <f aca="false">IF(L33&lt;0,L33*-1,0)</f>
        <v>120.83478699269</v>
      </c>
      <c r="AM33" s="143" t="n">
        <f aca="false">AK33+AL33</f>
        <v>334.03478699269</v>
      </c>
      <c r="AN33" s="431" t="n">
        <v>0</v>
      </c>
      <c r="AO33" s="225"/>
      <c r="AP33" s="157" t="n">
        <f aca="false">795-X33</f>
        <v>652.157248911008</v>
      </c>
      <c r="AQ33" s="171" t="n">
        <f aca="false">0*(Z33*1.9835+AC33*1.9835)/E33</f>
        <v>0</v>
      </c>
      <c r="AR33" s="144" t="n">
        <f aca="false">480.633/$D$2/31</f>
        <v>7.81663237841222</v>
      </c>
      <c r="AS33" s="231"/>
      <c r="AT33" s="111" t="n">
        <v>0</v>
      </c>
      <c r="AU33" s="56"/>
      <c r="AV33" s="232" t="n">
        <v>0.28</v>
      </c>
      <c r="AW33" s="225" t="n">
        <v>64</v>
      </c>
      <c r="AX33" s="225" t="n">
        <v>39</v>
      </c>
      <c r="AY33" s="86"/>
      <c r="AZ33" s="263" t="n">
        <f aca="false">SUM(N33,P33:U33)</f>
        <v>5.32538128942046</v>
      </c>
      <c r="BA33" s="193" t="n">
        <v>0.03</v>
      </c>
      <c r="BB33" s="264" t="n">
        <v>21676</v>
      </c>
    </row>
    <row r="34" customFormat="false" ht="12.95" hidden="false" customHeight="true" outlineLevel="0" collapsed="false">
      <c r="A34" s="192" t="n">
        <f aca="false">A33+1</f>
        <v>20</v>
      </c>
      <c r="B34" s="113" t="n">
        <v>6886.85</v>
      </c>
      <c r="C34" s="114" t="n">
        <v>237684</v>
      </c>
      <c r="D34" s="225" t="n">
        <f aca="false">C34-C33</f>
        <v>3384</v>
      </c>
      <c r="E34" s="114" t="n">
        <f aca="false">C34-152000</f>
        <v>85684</v>
      </c>
      <c r="F34" s="143" t="n">
        <f aca="false">D34/$D$2</f>
        <v>1706.07511973784</v>
      </c>
      <c r="G34" s="223" t="n">
        <v>1690</v>
      </c>
      <c r="H34" s="144" t="n">
        <v>358</v>
      </c>
      <c r="I34" s="143" t="n">
        <f aca="false">G34+H34</f>
        <v>2048</v>
      </c>
      <c r="J34" s="144" t="n">
        <f aca="false">IF(L34&gt;0,L34,0)</f>
        <v>0</v>
      </c>
      <c r="K34" s="143" t="n">
        <f aca="false">I34+J34</f>
        <v>2048</v>
      </c>
      <c r="L34" s="143" t="n">
        <f aca="false">F34-(I34-AK34)</f>
        <v>-66.8248802621629</v>
      </c>
      <c r="M34" s="261" t="n">
        <v>141</v>
      </c>
      <c r="N34" s="171" t="n">
        <f aca="false">1/$D$2*1.03</f>
        <v>0.519284093773632</v>
      </c>
      <c r="O34" s="143" t="n">
        <f aca="false">28.7*1.05</f>
        <v>30.135</v>
      </c>
      <c r="P34" s="171" t="n">
        <v>0</v>
      </c>
      <c r="Q34" s="346" t="n">
        <f aca="false">1016900/325851/1.9835*1.02</f>
        <v>1.60482305989808</v>
      </c>
      <c r="R34" s="139" t="n">
        <f aca="false">(3.4*1.04)-T34</f>
        <v>2.88635568</v>
      </c>
      <c r="S34" s="139" t="n">
        <v>0</v>
      </c>
      <c r="T34" s="139" t="n">
        <f aca="false">(0.5893*1.06)*1.04</f>
        <v>0.64964432</v>
      </c>
      <c r="U34" s="365" t="n">
        <v>0</v>
      </c>
      <c r="V34" s="143" t="n">
        <v>0</v>
      </c>
      <c r="W34" s="143" t="n">
        <v>45.6</v>
      </c>
      <c r="X34" s="143" t="n">
        <f aca="false">M34-N34-O34-P34-Q34-R34-S34-T34-U34+V34+W34-AT34+AR34</f>
        <v>158.621525224741</v>
      </c>
      <c r="Y34" s="143" t="n">
        <f aca="false">X34-AO34</f>
        <v>158.621525224741</v>
      </c>
      <c r="Z34" s="114" t="n">
        <f aca="false">Z33+AP34</f>
        <v>20597.5188705632</v>
      </c>
      <c r="AA34" s="143"/>
      <c r="AB34" s="114" t="n">
        <f aca="false">AB33+(Y34+AP34)*1.9835</f>
        <v>51235.9532379268</v>
      </c>
      <c r="AC34" s="114" t="n">
        <f aca="false">AC33-(AQ33/1.9835)</f>
        <v>1532.65888806991</v>
      </c>
      <c r="AD34" s="114"/>
      <c r="AE34" s="143" t="n">
        <v>67.5</v>
      </c>
      <c r="AF34" s="261" t="n">
        <v>1.7</v>
      </c>
      <c r="AG34" s="262" t="n">
        <v>1.3</v>
      </c>
      <c r="AH34" s="144" t="n">
        <v>21</v>
      </c>
      <c r="AI34" s="114" t="n">
        <f aca="false">AI33-AH34</f>
        <v>14917.9578774893</v>
      </c>
      <c r="AJ34" s="103"/>
      <c r="AK34" s="142" t="n">
        <f aca="false">N34+O34+P34+Q34+R34+S34+T34+U34+X34+AE34+AH34+AT34-AR34</f>
        <v>275.1</v>
      </c>
      <c r="AL34" s="143" t="n">
        <f aca="false">IF(L34&lt;0,L34*-1,0)</f>
        <v>66.8248802621629</v>
      </c>
      <c r="AM34" s="143" t="n">
        <f aca="false">AK34+AL34</f>
        <v>341.924880262163</v>
      </c>
      <c r="AN34" s="431" t="n">
        <v>0</v>
      </c>
      <c r="AO34" s="225"/>
      <c r="AP34" s="157" t="n">
        <f aca="false">795-X34</f>
        <v>636.37847477526</v>
      </c>
      <c r="AQ34" s="171" t="n">
        <f aca="false">23.137*(Z34*1.9835+AC34*1.9835)/E34</f>
        <v>11.8528945646417</v>
      </c>
      <c r="AR34" s="144" t="n">
        <f aca="false">480.633/$D$2/31</f>
        <v>7.81663237841222</v>
      </c>
      <c r="AS34" s="231"/>
      <c r="AT34" s="111" t="n">
        <v>0</v>
      </c>
      <c r="AU34" s="56"/>
      <c r="AV34" s="232" t="n">
        <v>0</v>
      </c>
      <c r="AW34" s="225" t="n">
        <v>69</v>
      </c>
      <c r="AX34" s="225" t="n">
        <v>38</v>
      </c>
      <c r="AY34" s="86"/>
      <c r="AZ34" s="263" t="n">
        <f aca="false">SUM(N34,P34:U34)</f>
        <v>5.66010715367171</v>
      </c>
      <c r="BA34" s="193" t="n">
        <v>0</v>
      </c>
      <c r="BB34" s="264" t="n">
        <v>21993</v>
      </c>
    </row>
    <row r="35" customFormat="false" ht="12.95" hidden="false" customHeight="true" outlineLevel="0" collapsed="false">
      <c r="A35" s="192" t="n">
        <f aca="false">A34+1</f>
        <v>21</v>
      </c>
      <c r="B35" s="437" t="n">
        <v>6887.65</v>
      </c>
      <c r="C35" s="114" t="n">
        <v>240315</v>
      </c>
      <c r="D35" s="225" t="n">
        <f aca="false">C35-C34</f>
        <v>2631</v>
      </c>
      <c r="E35" s="114" t="n">
        <f aca="false">C35-152000</f>
        <v>88315</v>
      </c>
      <c r="F35" s="143" t="n">
        <f aca="false">D35/$D$2</f>
        <v>1326.44315603731</v>
      </c>
      <c r="G35" s="223" t="n">
        <v>1440</v>
      </c>
      <c r="H35" s="144" t="n">
        <v>154</v>
      </c>
      <c r="I35" s="143" t="n">
        <f aca="false">G35+H35</f>
        <v>1594</v>
      </c>
      <c r="J35" s="144" t="n">
        <f aca="false">IF(L35&gt;0,L35,0)</f>
        <v>36.3431560373078</v>
      </c>
      <c r="K35" s="143" t="n">
        <f aca="false">I35+J35</f>
        <v>1630.34315603731</v>
      </c>
      <c r="L35" s="143" t="n">
        <f aca="false">F35-(I35-AK35)</f>
        <v>36.3431560373078</v>
      </c>
      <c r="M35" s="261" t="n">
        <v>156</v>
      </c>
      <c r="N35" s="171" t="n">
        <f aca="false">1/$D$2*1.03</f>
        <v>0.519284093773632</v>
      </c>
      <c r="O35" s="143" t="n">
        <f aca="false">51.7*1.05</f>
        <v>54.285</v>
      </c>
      <c r="P35" s="171" t="n">
        <v>0</v>
      </c>
      <c r="Q35" s="346" t="n">
        <f aca="false">1021300/325851/1.9835*1.02</f>
        <v>1.61176692995763</v>
      </c>
      <c r="R35" s="139" t="n">
        <f aca="false">(2.8*1.04)-T35</f>
        <v>2.26235568</v>
      </c>
      <c r="S35" s="139" t="n">
        <v>0</v>
      </c>
      <c r="T35" s="139" t="n">
        <f aca="false">(0.5893*1.06)*1.04</f>
        <v>0.64964432</v>
      </c>
      <c r="U35" s="365" t="n">
        <v>0</v>
      </c>
      <c r="V35" s="143" t="n">
        <v>0</v>
      </c>
      <c r="W35" s="143" t="n">
        <v>45.9</v>
      </c>
      <c r="X35" s="143" t="n">
        <f aca="false">M35-N35-O35-P35-Q35-R35-S35-T35-U35+V35+W35-AT35+AR35</f>
        <v>150.388581354681</v>
      </c>
      <c r="Y35" s="143" t="n">
        <f aca="false">X35-AO35</f>
        <v>150.388581354681</v>
      </c>
      <c r="Z35" s="114" t="n">
        <f aca="false">Z34+AP35</f>
        <v>21242.1302892085</v>
      </c>
      <c r="AA35" s="143"/>
      <c r="AB35" s="114" t="n">
        <f aca="false">AB34+(Y35+AP35)*1.9835</f>
        <v>52812.8357379268</v>
      </c>
      <c r="AC35" s="114" t="n">
        <f aca="false">AC34-(AQ34/1.9835)</f>
        <v>1526.68314087322</v>
      </c>
      <c r="AD35" s="114"/>
      <c r="AE35" s="143" t="n">
        <v>78.4</v>
      </c>
      <c r="AF35" s="261" t="n">
        <v>1.7</v>
      </c>
      <c r="AG35" s="262" t="n">
        <v>1.3</v>
      </c>
      <c r="AH35" s="144" t="n">
        <v>23.6</v>
      </c>
      <c r="AI35" s="114" t="n">
        <f aca="false">AI34-AH35</f>
        <v>14894.3578774893</v>
      </c>
      <c r="AJ35" s="103"/>
      <c r="AK35" s="142" t="n">
        <f aca="false">N35+O35+P35+Q35+R35+S35+T35+U35+X35+AE35+AH35+AT35-AR35</f>
        <v>303.9</v>
      </c>
      <c r="AL35" s="143" t="n">
        <f aca="false">IF(L35&lt;0,L35*-1,0)</f>
        <v>0</v>
      </c>
      <c r="AM35" s="143" t="n">
        <f aca="false">AK35+AL35</f>
        <v>303.9</v>
      </c>
      <c r="AN35" s="431" t="n">
        <v>0</v>
      </c>
      <c r="AO35" s="225"/>
      <c r="AP35" s="157" t="n">
        <f aca="false">795-X35</f>
        <v>644.611418645319</v>
      </c>
      <c r="AQ35" s="171" t="n">
        <f aca="false">49.489*(Z35*1.9835+AC35*1.9835)/E35</f>
        <v>25.3073579782964</v>
      </c>
      <c r="AR35" s="144" t="n">
        <f aca="false">480.633/$D$2/31</f>
        <v>7.81663237841222</v>
      </c>
      <c r="AS35" s="231"/>
      <c r="AT35" s="111" t="n">
        <v>0</v>
      </c>
      <c r="AU35" s="56"/>
      <c r="AV35" s="232" t="n">
        <v>0.03</v>
      </c>
      <c r="AW35" s="225" t="n">
        <v>72</v>
      </c>
      <c r="AX35" s="225" t="n">
        <v>44</v>
      </c>
      <c r="AY35" s="86"/>
      <c r="AZ35" s="263" t="n">
        <f aca="false">SUM(N35,P35:U35)</f>
        <v>5.04305102373126</v>
      </c>
      <c r="BA35" s="193" t="n">
        <v>0</v>
      </c>
      <c r="BB35" s="264" t="n">
        <v>22311</v>
      </c>
    </row>
    <row r="36" customFormat="false" ht="12.95" hidden="false" customHeight="true" outlineLevel="0" collapsed="false">
      <c r="A36" s="192" t="n">
        <f aca="false">A35+1</f>
        <v>22</v>
      </c>
      <c r="B36" s="113" t="n">
        <v>6888.45</v>
      </c>
      <c r="C36" s="114" t="n">
        <v>242969</v>
      </c>
      <c r="D36" s="225" t="n">
        <f aca="false">C36-C35</f>
        <v>2654</v>
      </c>
      <c r="E36" s="114" t="n">
        <f aca="false">C36-152000</f>
        <v>90969</v>
      </c>
      <c r="F36" s="143" t="n">
        <f aca="false">D36/$D$2</f>
        <v>1338.0388202672</v>
      </c>
      <c r="G36" s="223" t="n">
        <v>1510</v>
      </c>
      <c r="H36" s="144" t="n">
        <v>116</v>
      </c>
      <c r="I36" s="143" t="n">
        <f aca="false">G36+H36</f>
        <v>1626</v>
      </c>
      <c r="J36" s="144" t="n">
        <f aca="false">IF(L36&gt;0,L36,0)</f>
        <v>17.2388202672043</v>
      </c>
      <c r="K36" s="143" t="n">
        <f aca="false">I36+J36</f>
        <v>1643.2388202672</v>
      </c>
      <c r="L36" s="143" t="n">
        <f aca="false">F36-(I36-AK36)</f>
        <v>17.2388202672043</v>
      </c>
      <c r="M36" s="261" t="n">
        <v>137</v>
      </c>
      <c r="N36" s="171" t="n">
        <f aca="false">1/$D$2*1.03</f>
        <v>0.519284093773632</v>
      </c>
      <c r="O36" s="143" t="n">
        <f aca="false">40*1.05</f>
        <v>42</v>
      </c>
      <c r="P36" s="171" t="n">
        <v>0</v>
      </c>
      <c r="Q36" s="346" t="n">
        <f aca="false">1017000/325851/1.9835*1.02</f>
        <v>1.60498087512671</v>
      </c>
      <c r="R36" s="139" t="n">
        <f aca="false">(2.8*1.04)-T36</f>
        <v>2.17074624</v>
      </c>
      <c r="S36" s="139" t="n">
        <v>0</v>
      </c>
      <c r="T36" s="139" t="n">
        <f aca="false">(0.6724*1.06)*1.04</f>
        <v>0.74125376</v>
      </c>
      <c r="U36" s="365" t="n">
        <v>0</v>
      </c>
      <c r="V36" s="143" t="n">
        <v>0</v>
      </c>
      <c r="W36" s="143" t="n">
        <v>46.4</v>
      </c>
      <c r="X36" s="143" t="n">
        <f aca="false">M36-N36-O36-P36-Q36-R36-S36-T36-U36+V36+W36-AT36+AR36</f>
        <v>144.180367409512</v>
      </c>
      <c r="Y36" s="143" t="n">
        <f aca="false">X36-AO36</f>
        <v>144.180367409512</v>
      </c>
      <c r="Z36" s="114" t="n">
        <f aca="false">Z35+AP36</f>
        <v>21892.949921799</v>
      </c>
      <c r="AA36" s="143"/>
      <c r="AB36" s="114" t="n">
        <f aca="false">AB35+(Y36+AP36)*1.9835</f>
        <v>54389.7182379268</v>
      </c>
      <c r="AC36" s="114" t="n">
        <f aca="false">AC35-(AQ35/1.9835)</f>
        <v>1513.92420062704</v>
      </c>
      <c r="AD36" s="114"/>
      <c r="AE36" s="143" t="n">
        <v>97.6</v>
      </c>
      <c r="AF36" s="261" t="n">
        <v>1.7</v>
      </c>
      <c r="AG36" s="262" t="n">
        <v>1.3</v>
      </c>
      <c r="AH36" s="144" t="n">
        <v>24.2</v>
      </c>
      <c r="AI36" s="114" t="n">
        <f aca="false">AI35-AH36</f>
        <v>14870.1578774893</v>
      </c>
      <c r="AJ36" s="103"/>
      <c r="AK36" s="142" t="n">
        <f aca="false">N36+O36+P36+Q36+R36+S36+T36+U36+X36+AE36+AH36+AT36-AR36</f>
        <v>305.2</v>
      </c>
      <c r="AL36" s="143" t="n">
        <f aca="false">IF(L36&lt;0,L36*-1,0)</f>
        <v>0</v>
      </c>
      <c r="AM36" s="143" t="n">
        <f aca="false">AK36+AL36</f>
        <v>305.2</v>
      </c>
      <c r="AN36" s="431" t="n">
        <v>0</v>
      </c>
      <c r="AO36" s="225"/>
      <c r="AP36" s="157" t="n">
        <f aca="false">795-X36</f>
        <v>650.819632590488</v>
      </c>
      <c r="AQ36" s="171" t="n">
        <f aca="false">13.146*(Z36*1.9835+AC36*1.9835)/E36</f>
        <v>6.7092786857919</v>
      </c>
      <c r="AR36" s="144" t="n">
        <f aca="false">480.633/$D$2/31</f>
        <v>7.81663237841222</v>
      </c>
      <c r="AS36" s="231"/>
      <c r="AT36" s="111" t="n">
        <v>0</v>
      </c>
      <c r="AU36" s="56"/>
      <c r="AV36" s="232" t="n">
        <v>0.05</v>
      </c>
      <c r="AW36" s="225" t="n">
        <v>66</v>
      </c>
      <c r="AX36" s="225" t="n">
        <v>39</v>
      </c>
      <c r="AY36" s="86"/>
      <c r="AZ36" s="263" t="n">
        <f aca="false">SUM(N36,P36:U36)</f>
        <v>5.03626496890034</v>
      </c>
      <c r="BA36" s="193" t="n">
        <v>0</v>
      </c>
      <c r="BB36" s="264" t="n">
        <v>22552</v>
      </c>
    </row>
    <row r="37" customFormat="false" ht="12.95" hidden="false" customHeight="true" outlineLevel="0" collapsed="false">
      <c r="A37" s="192" t="n">
        <f aca="false">A36+1</f>
        <v>23</v>
      </c>
      <c r="B37" s="113" t="n">
        <v>6889.27</v>
      </c>
      <c r="C37" s="114" t="n">
        <v>245710</v>
      </c>
      <c r="D37" s="225" t="n">
        <f aca="false">C37-C36</f>
        <v>2741</v>
      </c>
      <c r="E37" s="114" t="n">
        <f aca="false">C37-152000</f>
        <v>93710</v>
      </c>
      <c r="F37" s="143" t="n">
        <f aca="false">D37/$D$2</f>
        <v>1381.90068061507</v>
      </c>
      <c r="G37" s="223" t="n">
        <v>1440</v>
      </c>
      <c r="H37" s="144" t="n">
        <v>84.7</v>
      </c>
      <c r="I37" s="143" t="n">
        <f aca="false">G37+H37</f>
        <v>1524.7</v>
      </c>
      <c r="J37" s="144" t="n">
        <f aca="false">IF(L37&gt;0,L37,0)</f>
        <v>158.300680615074</v>
      </c>
      <c r="K37" s="143" t="n">
        <f aca="false">I37+J37</f>
        <v>1683.00068061507</v>
      </c>
      <c r="L37" s="143" t="n">
        <f aca="false">F37-(I37-AK37)</f>
        <v>158.300680615074</v>
      </c>
      <c r="M37" s="261" t="n">
        <v>131</v>
      </c>
      <c r="N37" s="171" t="n">
        <f aca="false">1/$D$2*1.03</f>
        <v>0.519284093773632</v>
      </c>
      <c r="O37" s="143" t="n">
        <f aca="false">32.2*1.05</f>
        <v>33.81</v>
      </c>
      <c r="P37" s="171" t="n">
        <v>0</v>
      </c>
      <c r="Q37" s="346" t="n">
        <f aca="false">970300/325851/1.9835*1.02</f>
        <v>1.53128116335835</v>
      </c>
      <c r="R37" s="139" t="n">
        <f aca="false">(2.8*1.04)-T37</f>
        <v>2.17074624</v>
      </c>
      <c r="S37" s="139" t="n">
        <v>0</v>
      </c>
      <c r="T37" s="139" t="n">
        <f aca="false">(0.6724*1.06)*1.04</f>
        <v>0.74125376</v>
      </c>
      <c r="U37" s="365" t="n">
        <v>0</v>
      </c>
      <c r="V37" s="143" t="n">
        <v>0</v>
      </c>
      <c r="W37" s="143" t="n">
        <v>46.2</v>
      </c>
      <c r="X37" s="143" t="n">
        <f aca="false">M37-N37-O37-P37-Q37-R37-S37-T37-U37+V37+W37-AT37+AR37</f>
        <v>146.24406712128</v>
      </c>
      <c r="Y37" s="143" t="n">
        <f aca="false">X37-AO37</f>
        <v>146.24406712128</v>
      </c>
      <c r="Z37" s="114" t="n">
        <f aca="false">Z36+AP37</f>
        <v>22541.7058546777</v>
      </c>
      <c r="AA37" s="143"/>
      <c r="AB37" s="114" t="n">
        <f aca="false">AB36+(Y37+AP37)*1.9835</f>
        <v>55966.6007379268</v>
      </c>
      <c r="AC37" s="114" t="n">
        <f aca="false">AC36-(AQ36/1.9835)</f>
        <v>1510.54165528507</v>
      </c>
      <c r="AD37" s="114"/>
      <c r="AE37" s="143" t="n">
        <v>101</v>
      </c>
      <c r="AF37" s="261" t="n">
        <v>1.7</v>
      </c>
      <c r="AG37" s="262" t="n">
        <v>1.3</v>
      </c>
      <c r="AH37" s="144" t="n">
        <v>22.9</v>
      </c>
      <c r="AI37" s="114" t="n">
        <f aca="false">AI36-AH37</f>
        <v>14847.2578774893</v>
      </c>
      <c r="AJ37" s="103"/>
      <c r="AK37" s="142" t="n">
        <f aca="false">N37+O37+P37+Q37+R37+S37+T37+U37+X37+AE37+AH37+AT37-AR37</f>
        <v>301.1</v>
      </c>
      <c r="AL37" s="143" t="n">
        <f aca="false">IF(L37&lt;0,L37*-1,0)</f>
        <v>0</v>
      </c>
      <c r="AM37" s="143" t="n">
        <f aca="false">AK37+AL37</f>
        <v>301.1</v>
      </c>
      <c r="AN37" s="431" t="n">
        <v>0</v>
      </c>
      <c r="AO37" s="225"/>
      <c r="AP37" s="157" t="n">
        <f aca="false">795-X37</f>
        <v>648.75593287872</v>
      </c>
      <c r="AQ37" s="171" t="n">
        <f aca="false">9.966*(21925*1.9835+AC37*1.9835)/E37</f>
        <v>4.94358658882604</v>
      </c>
      <c r="AR37" s="144" t="n">
        <f aca="false">480.633/$D$2/31</f>
        <v>7.81663237841222</v>
      </c>
      <c r="AS37" s="231"/>
      <c r="AT37" s="111" t="n">
        <v>0</v>
      </c>
      <c r="AU37" s="56"/>
      <c r="AV37" s="232" t="n">
        <v>0.1</v>
      </c>
      <c r="AW37" s="225" t="n">
        <v>58</v>
      </c>
      <c r="AX37" s="225" t="n">
        <v>37</v>
      </c>
      <c r="AY37" s="86"/>
      <c r="AZ37" s="263" t="n">
        <f aca="false">SUM(N37,P37:U37)</f>
        <v>4.96256525713198</v>
      </c>
      <c r="BA37" s="193" t="n">
        <v>0</v>
      </c>
      <c r="BB37" s="264" t="n">
        <v>22781</v>
      </c>
    </row>
    <row r="38" customFormat="false" ht="12.95" hidden="false" customHeight="true" outlineLevel="0" collapsed="false">
      <c r="A38" s="192" t="n">
        <f aca="false">A37+1</f>
        <v>24</v>
      </c>
      <c r="B38" s="113" t="n">
        <v>6890.07</v>
      </c>
      <c r="C38" s="114" t="n">
        <v>248406</v>
      </c>
      <c r="D38" s="225" t="n">
        <f aca="false">C38-C37</f>
        <v>2696</v>
      </c>
      <c r="E38" s="114" t="n">
        <f aca="false">C38-152000</f>
        <v>96406</v>
      </c>
      <c r="F38" s="143" t="n">
        <f aca="false">D38/$D$2</f>
        <v>1359.21351146962</v>
      </c>
      <c r="G38" s="223" t="n">
        <v>1340</v>
      </c>
      <c r="H38" s="144" t="n">
        <v>71.1</v>
      </c>
      <c r="I38" s="143" t="n">
        <f aca="false">G38+H38</f>
        <v>1411.1</v>
      </c>
      <c r="J38" s="144" t="n">
        <f aca="false">IF(L38&gt;0,L38,0)</f>
        <v>164.613511469624</v>
      </c>
      <c r="K38" s="143" t="n">
        <f aca="false">I38+J38</f>
        <v>1575.71351146962</v>
      </c>
      <c r="L38" s="143" t="n">
        <f aca="false">F38-(I38-AK38)</f>
        <v>164.613511469624</v>
      </c>
      <c r="M38" s="261" t="n">
        <v>99</v>
      </c>
      <c r="N38" s="171" t="n">
        <f aca="false">1/$D$2*1.03</f>
        <v>0.519284093773632</v>
      </c>
      <c r="O38" s="143" t="n">
        <f aca="false">18.1*1.05</f>
        <v>19.005</v>
      </c>
      <c r="P38" s="171" t="n">
        <v>0</v>
      </c>
      <c r="Q38" s="346" t="n">
        <f aca="false">1039300/325851/1.9835*1.02</f>
        <v>1.64017367111031</v>
      </c>
      <c r="R38" s="139" t="n">
        <f aca="false">(2.8*1.04)-T38</f>
        <v>2.17074624</v>
      </c>
      <c r="S38" s="139" t="n">
        <v>0</v>
      </c>
      <c r="T38" s="139" t="n">
        <f aca="false">(0.6724*1.06)*1.04</f>
        <v>0.74125376</v>
      </c>
      <c r="U38" s="365" t="n">
        <v>0</v>
      </c>
      <c r="V38" s="143" t="n">
        <v>0</v>
      </c>
      <c r="W38" s="143" t="n">
        <v>47.1</v>
      </c>
      <c r="X38" s="143" t="n">
        <f aca="false">M38-N38-O38-P38-Q38-R38-S38-T38-U38+V38+W38-AT38+AR38</f>
        <v>129.840174613528</v>
      </c>
      <c r="Y38" s="143" t="n">
        <f aca="false">X38-AO38</f>
        <v>129.840174613528</v>
      </c>
      <c r="Z38" s="114" t="n">
        <f aca="false">Z37+AP38</f>
        <v>23206.8656800642</v>
      </c>
      <c r="AA38" s="143"/>
      <c r="AB38" s="114" t="n">
        <f aca="false">AB37+(Y38+AP38)*1.9835</f>
        <v>57543.4832379268</v>
      </c>
      <c r="AC38" s="114" t="n">
        <f aca="false">AC37-(AQ37/1.9835)</f>
        <v>1508.04930006005</v>
      </c>
      <c r="AD38" s="114"/>
      <c r="AE38" s="143" t="n">
        <v>45.9</v>
      </c>
      <c r="AF38" s="261" t="n">
        <v>1.7</v>
      </c>
      <c r="AG38" s="262" t="n">
        <v>1.3</v>
      </c>
      <c r="AH38" s="144" t="n">
        <v>24.5</v>
      </c>
      <c r="AI38" s="114" t="n">
        <f aca="false">AI37-AH38</f>
        <v>14822.7578774893</v>
      </c>
      <c r="AJ38" s="103"/>
      <c r="AK38" s="142" t="n">
        <f aca="false">N38+O38+P38+Q38+R38+S38+T38+U38+X38+AE38+AH38+AT38-AR38</f>
        <v>216.5</v>
      </c>
      <c r="AL38" s="143" t="n">
        <f aca="false">IF(L38&lt;0,L38*-1,0)</f>
        <v>0</v>
      </c>
      <c r="AM38" s="143" t="n">
        <f aca="false">AK38+AL38</f>
        <v>216.5</v>
      </c>
      <c r="AN38" s="431" t="n">
        <v>0</v>
      </c>
      <c r="AO38" s="225"/>
      <c r="AP38" s="157" t="n">
        <f aca="false">795-X38</f>
        <v>665.159825386472</v>
      </c>
      <c r="AQ38" s="171" t="n">
        <f aca="false">0*(21925*1.9835+AC38*1.9835)/E38</f>
        <v>0</v>
      </c>
      <c r="AR38" s="144" t="n">
        <f aca="false">480.633/$D$2/31</f>
        <v>7.81663237841222</v>
      </c>
      <c r="AS38" s="231"/>
      <c r="AT38" s="111" t="n">
        <v>0</v>
      </c>
      <c r="AU38" s="56"/>
      <c r="AV38" s="232" t="n">
        <v>0.33</v>
      </c>
      <c r="AW38" s="225" t="n">
        <v>60</v>
      </c>
      <c r="AX38" s="225" t="n">
        <v>36</v>
      </c>
      <c r="AY38" s="86"/>
      <c r="AZ38" s="263" t="n">
        <f aca="false">SUM(N38,P38:U38)</f>
        <v>5.07145776488394</v>
      </c>
      <c r="BA38" s="193" t="n">
        <v>0</v>
      </c>
      <c r="BB38" s="264" t="n">
        <v>23025</v>
      </c>
    </row>
    <row r="39" customFormat="false" ht="12.95" hidden="false" customHeight="true" outlineLevel="0" collapsed="false">
      <c r="A39" s="192" t="n">
        <f aca="false">A38+1</f>
        <v>25</v>
      </c>
      <c r="B39" s="113" t="n">
        <v>6890.93</v>
      </c>
      <c r="C39" s="114" t="n">
        <v>251331</v>
      </c>
      <c r="D39" s="225" t="n">
        <f aca="false">C39-C38</f>
        <v>2925</v>
      </c>
      <c r="E39" s="114" t="n">
        <f aca="false">C39-152000</f>
        <v>99331</v>
      </c>
      <c r="F39" s="143" t="n">
        <f aca="false">D39/$D$2</f>
        <v>1474.66599445425</v>
      </c>
      <c r="G39" s="223" t="n">
        <v>1370</v>
      </c>
      <c r="H39" s="144" t="n">
        <v>80.3</v>
      </c>
      <c r="I39" s="143" t="n">
        <f aca="false">G39+H39</f>
        <v>1450.3</v>
      </c>
      <c r="J39" s="144" t="n">
        <f aca="false">IF(L39&gt;0,L39,0)</f>
        <v>251.865994454248</v>
      </c>
      <c r="K39" s="143" t="n">
        <f aca="false">I39+J39</f>
        <v>1702.16599445425</v>
      </c>
      <c r="L39" s="143" t="n">
        <f aca="false">F39-(I39-AK39)</f>
        <v>251.865994454248</v>
      </c>
      <c r="M39" s="261" t="n">
        <v>96.7</v>
      </c>
      <c r="N39" s="171" t="n">
        <f aca="false">1/$D$2*1.03</f>
        <v>0.519284093773632</v>
      </c>
      <c r="O39" s="143" t="n">
        <f aca="false">20.9*1.05</f>
        <v>21.945</v>
      </c>
      <c r="P39" s="171" t="n">
        <v>0</v>
      </c>
      <c r="Q39" s="346" t="n">
        <f aca="false">1219700/325851/1.9835*1.02</f>
        <v>1.92487234355167</v>
      </c>
      <c r="R39" s="139" t="n">
        <f aca="false">(2.7*1.04)-T39</f>
        <v>2.06674624</v>
      </c>
      <c r="S39" s="139" t="n">
        <v>0</v>
      </c>
      <c r="T39" s="139" t="n">
        <f aca="false">(0.6724*1.06)*1.04</f>
        <v>0.74125376</v>
      </c>
      <c r="U39" s="365" t="n">
        <v>0</v>
      </c>
      <c r="V39" s="143" t="n">
        <v>1.6</v>
      </c>
      <c r="W39" s="143" t="n">
        <v>46</v>
      </c>
      <c r="X39" s="143" t="n">
        <f aca="false">M39-N39-O39-P39-Q39-R39-S39-T39-U39+V39+W39-AT39+AR39</f>
        <v>124.919475941087</v>
      </c>
      <c r="Y39" s="143" t="n">
        <f aca="false">X39-AO39</f>
        <v>124.919475941087</v>
      </c>
      <c r="Z39" s="114" t="n">
        <f aca="false">Z38+AP39</f>
        <v>23876.9462041231</v>
      </c>
      <c r="AA39" s="143"/>
      <c r="AB39" s="114" t="n">
        <f aca="false">AB38+(Y39+AP39)*1.9835</f>
        <v>59120.3657379268</v>
      </c>
      <c r="AC39" s="114" t="n">
        <f aca="false">AC38-(AQ38/1.9835)</f>
        <v>1508.04930006005</v>
      </c>
      <c r="AD39" s="114"/>
      <c r="AE39" s="143" t="n">
        <v>58.3</v>
      </c>
      <c r="AF39" s="261" t="n">
        <v>1.7</v>
      </c>
      <c r="AG39" s="262" t="n">
        <v>1.3</v>
      </c>
      <c r="AH39" s="144" t="n">
        <v>24.9</v>
      </c>
      <c r="AI39" s="114" t="n">
        <f aca="false">AI38-AH39</f>
        <v>14797.8578774893</v>
      </c>
      <c r="AJ39" s="103"/>
      <c r="AK39" s="142" t="n">
        <f aca="false">N39+O39+P39+Q39+R39+S39+T39+U39+X39+AE39+AH39+AT39-AR39</f>
        <v>227.5</v>
      </c>
      <c r="AL39" s="143" t="n">
        <f aca="false">IF(L39&lt;0,L39*-1,0)</f>
        <v>0</v>
      </c>
      <c r="AM39" s="143" t="n">
        <f aca="false">AK39+AL39</f>
        <v>227.5</v>
      </c>
      <c r="AN39" s="431" t="n">
        <v>0</v>
      </c>
      <c r="AO39" s="225"/>
      <c r="AP39" s="157" t="n">
        <f aca="false">795-X39</f>
        <v>670.080524058913</v>
      </c>
      <c r="AQ39" s="171" t="n">
        <f aca="false">0*(21925*1.9835+AC39*1.9835)/E39</f>
        <v>0</v>
      </c>
      <c r="AR39" s="144" t="n">
        <f aca="false">480.633/$D$2/31</f>
        <v>7.81663237841222</v>
      </c>
      <c r="AS39" s="231"/>
      <c r="AT39" s="111" t="n">
        <v>0</v>
      </c>
      <c r="AU39" s="56"/>
      <c r="AV39" s="232" t="n">
        <v>0.48</v>
      </c>
      <c r="AW39" s="225" t="n">
        <v>63</v>
      </c>
      <c r="AX39" s="225" t="n">
        <v>40</v>
      </c>
      <c r="AY39" s="86"/>
      <c r="AZ39" s="263" t="n">
        <f aca="false">SUM(N39,P39:U39)</f>
        <v>5.2521564373253</v>
      </c>
      <c r="BA39" s="193" t="n">
        <v>11.1</v>
      </c>
      <c r="BB39" s="264" t="n">
        <v>23289</v>
      </c>
    </row>
    <row r="40" customFormat="false" ht="12.95" hidden="false" customHeight="true" outlineLevel="0" collapsed="false">
      <c r="A40" s="192" t="n">
        <f aca="false">A39+1</f>
        <v>26</v>
      </c>
      <c r="B40" s="113" t="n">
        <v>6891.64</v>
      </c>
      <c r="C40" s="114" t="n">
        <v>253767</v>
      </c>
      <c r="D40" s="225" t="n">
        <f aca="false">C40-C39</f>
        <v>2436</v>
      </c>
      <c r="E40" s="114" t="n">
        <f aca="false">C40-152000</f>
        <v>101767</v>
      </c>
      <c r="F40" s="143" t="n">
        <f aca="false">D40/$D$2</f>
        <v>1228.13208974036</v>
      </c>
      <c r="G40" s="223" t="n">
        <v>1320</v>
      </c>
      <c r="H40" s="144" t="n">
        <v>84.8</v>
      </c>
      <c r="I40" s="143" t="n">
        <f aca="false">G40+H40</f>
        <v>1404.8</v>
      </c>
      <c r="J40" s="144" t="n">
        <f aca="false">IF(L40&gt;0,L40,0)</f>
        <v>84.0320897403581</v>
      </c>
      <c r="K40" s="143" t="n">
        <f aca="false">I40+J40</f>
        <v>1488.83208974036</v>
      </c>
      <c r="L40" s="143" t="n">
        <f aca="false">F40-(I40-AK40)</f>
        <v>84.0320897403581</v>
      </c>
      <c r="M40" s="261" t="n">
        <v>110</v>
      </c>
      <c r="N40" s="171" t="n">
        <f aca="false">1/$D$2*1.03</f>
        <v>0.519284093773632</v>
      </c>
      <c r="O40" s="143" t="n">
        <f aca="false">18.2*1.05</f>
        <v>19.11</v>
      </c>
      <c r="P40" s="171" t="n">
        <v>0</v>
      </c>
      <c r="Q40" s="346" t="n">
        <f aca="false">1029500/325851/1.9835*1.02</f>
        <v>1.62470777870496</v>
      </c>
      <c r="R40" s="139" t="n">
        <f aca="false">(2.8*1.04)-T40</f>
        <v>2.17074624</v>
      </c>
      <c r="S40" s="139" t="n">
        <v>0</v>
      </c>
      <c r="T40" s="139" t="n">
        <f aca="false">(0.6724*1.06)*1.04</f>
        <v>0.74125376</v>
      </c>
      <c r="U40" s="365" t="n">
        <v>0</v>
      </c>
      <c r="V40" s="143" t="n">
        <v>10</v>
      </c>
      <c r="W40" s="143" t="n">
        <v>45.2</v>
      </c>
      <c r="X40" s="143" t="n">
        <f aca="false">M40-N40-O40-P40-Q40-R40-S40-T40-U40+V40+W40-AT40+AR40</f>
        <v>148.850640505934</v>
      </c>
      <c r="Y40" s="143" t="n">
        <f aca="false">X40-AO40</f>
        <v>148.850640505934</v>
      </c>
      <c r="Z40" s="114" t="n">
        <f aca="false">Z39+AP40</f>
        <v>24523.0955636172</v>
      </c>
      <c r="AA40" s="143"/>
      <c r="AB40" s="114" t="n">
        <f aca="false">AB39+(Y40+AP40)*1.9835</f>
        <v>60697.2482379268</v>
      </c>
      <c r="AC40" s="114" t="n">
        <f aca="false">AC39-(AQ39/1.9835)</f>
        <v>1508.04930006005</v>
      </c>
      <c r="AD40" s="114"/>
      <c r="AE40" s="143" t="n">
        <v>70.6</v>
      </c>
      <c r="AF40" s="261" t="n">
        <v>1.7</v>
      </c>
      <c r="AG40" s="262" t="n">
        <v>1.3</v>
      </c>
      <c r="AH40" s="144" t="n">
        <v>24.9</v>
      </c>
      <c r="AI40" s="114" t="n">
        <f aca="false">AI39-AH40</f>
        <v>14772.9578774893</v>
      </c>
      <c r="AJ40" s="103"/>
      <c r="AK40" s="142" t="n">
        <f aca="false">N40+O40+P40+Q40+R40+S40+T40+U40+X40+AE40+AH40+AT40-AR40</f>
        <v>260.7</v>
      </c>
      <c r="AL40" s="143" t="n">
        <f aca="false">IF(L40&lt;0,L40*-1,0)</f>
        <v>0</v>
      </c>
      <c r="AM40" s="143" t="n">
        <f aca="false">AK40+AL40</f>
        <v>260.7</v>
      </c>
      <c r="AN40" s="431" t="n">
        <v>0</v>
      </c>
      <c r="AO40" s="225"/>
      <c r="AP40" s="157" t="n">
        <f aca="false">795-X40</f>
        <v>646.149359494066</v>
      </c>
      <c r="AQ40" s="171" t="n">
        <f aca="false">24.955*(21925*1.9835+AC40*1.9835)/E40</f>
        <v>11.3975528095436</v>
      </c>
      <c r="AR40" s="144" t="n">
        <f aca="false">480.633/$D$2/31</f>
        <v>7.81663237841222</v>
      </c>
      <c r="AS40" s="231"/>
      <c r="AT40" s="111" t="n">
        <v>0</v>
      </c>
      <c r="AU40" s="56"/>
      <c r="AV40" s="232" t="n">
        <v>0</v>
      </c>
      <c r="AW40" s="225" t="n">
        <v>69</v>
      </c>
      <c r="AX40" s="225" t="n">
        <v>39</v>
      </c>
      <c r="AY40" s="86"/>
      <c r="AZ40" s="263" t="n">
        <f aca="false">SUM(N40,P40:U40)</f>
        <v>5.05599187247859</v>
      </c>
      <c r="BA40" s="193" t="n">
        <v>23.9</v>
      </c>
      <c r="BB40" s="264" t="n">
        <v>23472</v>
      </c>
    </row>
    <row r="41" customFormat="false" ht="12.95" hidden="false" customHeight="true" outlineLevel="0" collapsed="false">
      <c r="A41" s="192" t="n">
        <f aca="false">A40+1</f>
        <v>27</v>
      </c>
      <c r="B41" s="113" t="n">
        <v>6892.27</v>
      </c>
      <c r="C41" s="114" t="n">
        <v>255939</v>
      </c>
      <c r="D41" s="225" t="n">
        <f aca="false">C41-C40</f>
        <v>2172</v>
      </c>
      <c r="E41" s="114" t="n">
        <f aca="false">C41-152000</f>
        <v>103939</v>
      </c>
      <c r="F41" s="143" t="n">
        <f aca="false">D41/$D$2</f>
        <v>1095.03403075372</v>
      </c>
      <c r="G41" s="223" t="n">
        <v>1230</v>
      </c>
      <c r="H41" s="144" t="n">
        <v>58.5</v>
      </c>
      <c r="I41" s="143" t="n">
        <f aca="false">G41+H41</f>
        <v>1288.5</v>
      </c>
      <c r="J41" s="144" t="n">
        <f aca="false">IF(L41&gt;0,L41,0)</f>
        <v>73.634030753718</v>
      </c>
      <c r="K41" s="143" t="n">
        <f aca="false">I41+J41</f>
        <v>1362.13403075372</v>
      </c>
      <c r="L41" s="143" t="n">
        <f aca="false">F41-(I41-AK41)</f>
        <v>73.634030753718</v>
      </c>
      <c r="M41" s="261" t="n">
        <v>111</v>
      </c>
      <c r="N41" s="171" t="n">
        <f aca="false">1/$D$2*1.03</f>
        <v>0.519284093773632</v>
      </c>
      <c r="O41" s="143" t="n">
        <f aca="false">22.1*1.05</f>
        <v>23.205</v>
      </c>
      <c r="P41" s="171" t="n">
        <v>0</v>
      </c>
      <c r="Q41" s="346" t="n">
        <f aca="false">1321300/325851/1.9835*1.02</f>
        <v>2.08521261583571</v>
      </c>
      <c r="R41" s="139" t="n">
        <f aca="false">(2.8*1.04)-T41</f>
        <v>2.17074624</v>
      </c>
      <c r="S41" s="139" t="n">
        <v>0</v>
      </c>
      <c r="T41" s="139" t="n">
        <f aca="false">(0.6724*1.06)*1.04</f>
        <v>0.74125376</v>
      </c>
      <c r="U41" s="365" t="n">
        <v>0</v>
      </c>
      <c r="V41" s="143" t="n">
        <v>10.2</v>
      </c>
      <c r="W41" s="143" t="n">
        <v>45.8</v>
      </c>
      <c r="X41" s="143" t="n">
        <f aca="false">M41-N41-O41-P41-Q41-R41-S41-T41-U41+V41+W41-AT41+AR41</f>
        <v>146.095135668803</v>
      </c>
      <c r="Y41" s="143" t="n">
        <f aca="false">X41-AO41</f>
        <v>146.095135668803</v>
      </c>
      <c r="Z41" s="114" t="n">
        <f aca="false">Z40+AP41</f>
        <v>25172.0004279483</v>
      </c>
      <c r="AA41" s="143"/>
      <c r="AB41" s="114" t="n">
        <f aca="false">AB40+(Y41+AP41)*1.9835</f>
        <v>62274.1307379268</v>
      </c>
      <c r="AC41" s="114" t="n">
        <f aca="false">AC40-(AQ40/1.9835)</f>
        <v>1502.3031176504</v>
      </c>
      <c r="AD41" s="114"/>
      <c r="AE41" s="143" t="n">
        <v>75.2</v>
      </c>
      <c r="AF41" s="261" t="n">
        <v>1.7</v>
      </c>
      <c r="AG41" s="262" t="n">
        <v>1.3</v>
      </c>
      <c r="AH41" s="144" t="n">
        <v>24.9</v>
      </c>
      <c r="AI41" s="114" t="n">
        <f aca="false">AI40-AH41</f>
        <v>14748.0578774893</v>
      </c>
      <c r="AJ41" s="103"/>
      <c r="AK41" s="142" t="n">
        <f aca="false">N41+O41+P41+Q41+R41+S41+T41+U41+X41+AE41+AH41+AT41-AR41</f>
        <v>267.1</v>
      </c>
      <c r="AL41" s="143" t="n">
        <f aca="false">IF(L41&lt;0,L41*-1,0)</f>
        <v>0</v>
      </c>
      <c r="AM41" s="143" t="n">
        <f aca="false">AK41+AL41</f>
        <v>267.1</v>
      </c>
      <c r="AN41" s="431" t="n">
        <v>0</v>
      </c>
      <c r="AO41" s="225"/>
      <c r="AP41" s="157" t="n">
        <f aca="false">795-X41</f>
        <v>648.904864331197</v>
      </c>
      <c r="AQ41" s="171" t="n">
        <f aca="false">36.829*(21925*1.9835+AC41*1.9835)/E41</f>
        <v>16.4651576850106</v>
      </c>
      <c r="AR41" s="144" t="n">
        <f aca="false">480.633/$D$2/31</f>
        <v>7.81663237841222</v>
      </c>
      <c r="AS41" s="231"/>
      <c r="AT41" s="111" t="n">
        <v>0</v>
      </c>
      <c r="AU41" s="56"/>
      <c r="AV41" s="232" t="n">
        <v>0.01</v>
      </c>
      <c r="AW41" s="225" t="n">
        <v>75</v>
      </c>
      <c r="AX41" s="225" t="n">
        <v>44</v>
      </c>
      <c r="AY41" s="86"/>
      <c r="AZ41" s="263" t="n">
        <f aca="false">SUM(N41,P41:U41)</f>
        <v>5.51649670960934</v>
      </c>
      <c r="BA41" s="193" t="n">
        <v>23</v>
      </c>
      <c r="BB41" s="264" t="n">
        <v>23565</v>
      </c>
    </row>
    <row r="42" customFormat="false" ht="12.95" hidden="false" customHeight="true" outlineLevel="0" collapsed="false">
      <c r="A42" s="192" t="n">
        <v>28</v>
      </c>
      <c r="B42" s="113" t="n">
        <v>6892.83</v>
      </c>
      <c r="C42" s="114" t="n">
        <v>257880</v>
      </c>
      <c r="D42" s="225" t="n">
        <f aca="false">C42-C41</f>
        <v>1941</v>
      </c>
      <c r="E42" s="114" t="n">
        <f aca="false">C42-152000</f>
        <v>105880</v>
      </c>
      <c r="F42" s="143" t="n">
        <f aca="false">D42/$D$2</f>
        <v>978.573229140408</v>
      </c>
      <c r="G42" s="223" t="n">
        <v>1250</v>
      </c>
      <c r="H42" s="144" t="n">
        <v>41</v>
      </c>
      <c r="I42" s="143" t="n">
        <f aca="false">G42+H42</f>
        <v>1291</v>
      </c>
      <c r="J42" s="144" t="n">
        <f aca="false">IF(L42&gt;0,L42,0)</f>
        <v>40.6732291404084</v>
      </c>
      <c r="K42" s="143" t="n">
        <f aca="false">I42+J42</f>
        <v>1331.67322914041</v>
      </c>
      <c r="L42" s="143" t="n">
        <f aca="false">F42-(I42-AK42)</f>
        <v>40.6732291404084</v>
      </c>
      <c r="M42" s="261" t="n">
        <v>143</v>
      </c>
      <c r="N42" s="171" t="n">
        <f aca="false">1/$D$2*1.03</f>
        <v>0.519284093773632</v>
      </c>
      <c r="O42" s="143" t="n">
        <f aca="false">31.2*1.05</f>
        <v>32.76</v>
      </c>
      <c r="P42" s="171" t="n">
        <v>0</v>
      </c>
      <c r="Q42" s="346" t="n">
        <f aca="false">1139800/325851/1.9835*1.02</f>
        <v>1.79877797587947</v>
      </c>
      <c r="R42" s="139" t="n">
        <f aca="false">(3.2*1.04)-T42</f>
        <v>2.58674624</v>
      </c>
      <c r="S42" s="139" t="n">
        <v>0</v>
      </c>
      <c r="T42" s="438" t="n">
        <f aca="false">(0.6724*1.06)*1.04</f>
        <v>0.74125376</v>
      </c>
      <c r="U42" s="365" t="n">
        <v>0</v>
      </c>
      <c r="V42" s="143" t="n">
        <v>10.2</v>
      </c>
      <c r="W42" s="143" t="n">
        <v>44.4</v>
      </c>
      <c r="X42" s="143" t="n">
        <f aca="false">M42-N42-O42-P42-Q42-R42-S42-T42-U42+V42+W42-AT42+AR42</f>
        <v>167.010570308759</v>
      </c>
      <c r="Y42" s="143" t="n">
        <f aca="false">X42-AO42</f>
        <v>167.010570308759</v>
      </c>
      <c r="Z42" s="114" t="n">
        <f aca="false">Z41+AP42</f>
        <v>25799.9898576396</v>
      </c>
      <c r="AA42" s="143"/>
      <c r="AB42" s="114" t="n">
        <f aca="false">AB41+(Y42+AP42)*1.9835</f>
        <v>63851.0132379268</v>
      </c>
      <c r="AC42" s="114" t="n">
        <f aca="false">AC41-(AQ41/1.9835)</f>
        <v>1494.00205504137</v>
      </c>
      <c r="AD42" s="114"/>
      <c r="AE42" s="143" t="n">
        <v>119</v>
      </c>
      <c r="AF42" s="261" t="n">
        <v>1.7</v>
      </c>
      <c r="AG42" s="262" t="n">
        <v>1.3</v>
      </c>
      <c r="AH42" s="144" t="n">
        <v>36.5</v>
      </c>
      <c r="AI42" s="114" t="n">
        <f aca="false">AI41-AH42</f>
        <v>14711.5578774893</v>
      </c>
      <c r="AJ42" s="103"/>
      <c r="AK42" s="142" t="n">
        <f aca="false">N42+O42+P42+Q42+R42+S42+T42+U42+X42+AE42+AH42+AT42-AR42</f>
        <v>353.1</v>
      </c>
      <c r="AL42" s="143" t="n">
        <f aca="false">IF(L42&lt;0,L42*-1,0)</f>
        <v>0</v>
      </c>
      <c r="AM42" s="143" t="n">
        <f aca="false">AK42+AL42</f>
        <v>353.1</v>
      </c>
      <c r="AN42" s="431" t="n">
        <v>0</v>
      </c>
      <c r="AO42" s="225"/>
      <c r="AP42" s="157" t="n">
        <f aca="false">795-X42</f>
        <v>627.989429691241</v>
      </c>
      <c r="AQ42" s="171" t="n">
        <f aca="false">60.326*(21925*1.9835+AC42*1.9835)/E42</f>
        <v>26.4661754164933</v>
      </c>
      <c r="AR42" s="144" t="n">
        <f aca="false">480.633/$D$2/31</f>
        <v>7.81663237841222</v>
      </c>
      <c r="AS42" s="231"/>
      <c r="AT42" s="111" t="n">
        <v>0</v>
      </c>
      <c r="AU42" s="56"/>
      <c r="AV42" s="232" t="n">
        <v>0</v>
      </c>
      <c r="AW42" s="225" t="n">
        <v>74</v>
      </c>
      <c r="AX42" s="225" t="n">
        <v>45</v>
      </c>
      <c r="AY42" s="86"/>
      <c r="AZ42" s="263" t="n">
        <f aca="false">SUM(N42,P42:U42)</f>
        <v>5.6460620696531</v>
      </c>
      <c r="BA42" s="193" t="n">
        <v>22.8</v>
      </c>
      <c r="BB42" s="264" t="n">
        <v>23675</v>
      </c>
    </row>
    <row r="43" customFormat="false" ht="12.95" hidden="false" customHeight="true" outlineLevel="0" collapsed="false">
      <c r="A43" s="192" t="n">
        <v>29</v>
      </c>
      <c r="B43" s="113" t="n">
        <v>6893.43</v>
      </c>
      <c r="C43" s="114" t="n">
        <v>259973</v>
      </c>
      <c r="D43" s="225" t="n">
        <f aca="false">C43-C42</f>
        <v>2093</v>
      </c>
      <c r="E43" s="114" t="n">
        <f aca="false">C43-152000</f>
        <v>107973</v>
      </c>
      <c r="F43" s="143" t="n">
        <f aca="false">D43/$D$2</f>
        <v>1055.20544492059</v>
      </c>
      <c r="G43" s="223" t="n">
        <v>1370</v>
      </c>
      <c r="H43" s="144" t="n">
        <v>26.6</v>
      </c>
      <c r="I43" s="143" t="n">
        <f aca="false">G43+H43</f>
        <v>1396.6</v>
      </c>
      <c r="J43" s="144" t="n">
        <f aca="false">IF(L43&gt;0,L43,0)</f>
        <v>29.005444920595</v>
      </c>
      <c r="K43" s="143" t="n">
        <f aca="false">I43+J43</f>
        <v>1425.60544492059</v>
      </c>
      <c r="L43" s="143" t="n">
        <f aca="false">F43-(I43-AK43)</f>
        <v>29.005444920595</v>
      </c>
      <c r="M43" s="261" t="n">
        <v>145</v>
      </c>
      <c r="N43" s="171" t="n">
        <f aca="false">1/$D$2*1.03</f>
        <v>0.519284093773632</v>
      </c>
      <c r="O43" s="143" t="n">
        <f aca="false">19.1*1.05</f>
        <v>20.055</v>
      </c>
      <c r="P43" s="171" t="n">
        <v>0</v>
      </c>
      <c r="Q43" s="346" t="n">
        <f aca="false">1196600/325851/1.9835*1.02</f>
        <v>1.88841702573905</v>
      </c>
      <c r="R43" s="139" t="n">
        <f aca="false">(3.5*1.04)-T43</f>
        <v>2.4896456</v>
      </c>
      <c r="S43" s="139" t="n">
        <v>0</v>
      </c>
      <c r="T43" s="438" t="n">
        <f aca="false">(1.0435*1.06)*1.04</f>
        <v>1.1503544</v>
      </c>
      <c r="U43" s="365" t="n">
        <v>0</v>
      </c>
      <c r="V43" s="143" t="n">
        <v>10.2</v>
      </c>
      <c r="W43" s="143" t="n">
        <v>42.3</v>
      </c>
      <c r="X43" s="143" t="n">
        <f aca="false">M43-N43-O43-P43-Q43-R43-S43-T43-U43+V43+W43-AT43+AR43</f>
        <v>179.2139312589</v>
      </c>
      <c r="Y43" s="143" t="n">
        <f aca="false">X43-AO43</f>
        <v>179.2139312589</v>
      </c>
      <c r="Z43" s="114" t="n">
        <f aca="false">Z42+AP43</f>
        <v>26415.7759263807</v>
      </c>
      <c r="AA43" s="143"/>
      <c r="AB43" s="114" t="n">
        <f aca="false">AB42+(Y43+AP43)*1.9835</f>
        <v>65427.8957379268</v>
      </c>
      <c r="AC43" s="114" t="n">
        <f aca="false">AC42-(AQ42/1.9835)</f>
        <v>1480.6588861901</v>
      </c>
      <c r="AD43" s="114"/>
      <c r="AE43" s="143" t="n">
        <v>125</v>
      </c>
      <c r="AF43" s="261" t="n">
        <v>1.7</v>
      </c>
      <c r="AG43" s="262" t="n">
        <v>1.3</v>
      </c>
      <c r="AH43" s="144" t="n">
        <v>47.9</v>
      </c>
      <c r="AI43" s="114" t="n">
        <f aca="false">AI42-AH43</f>
        <v>14663.6578774893</v>
      </c>
      <c r="AJ43" s="103"/>
      <c r="AK43" s="142" t="n">
        <f aca="false">N43+O43+P43+Q43+R43+S43+T43+U43+X43+AE43+AH43+AT43-AR43</f>
        <v>370.4</v>
      </c>
      <c r="AL43" s="143" t="n">
        <f aca="false">IF(L43&lt;0,L43*-1,0)</f>
        <v>0</v>
      </c>
      <c r="AM43" s="143" t="n">
        <f aca="false">AK43+AL43</f>
        <v>370.4</v>
      </c>
      <c r="AN43" s="431" t="n">
        <v>0</v>
      </c>
      <c r="AO43" s="225"/>
      <c r="AP43" s="157" t="n">
        <f aca="false">795-X43</f>
        <v>615.786068741101</v>
      </c>
      <c r="AQ43" s="171" t="n">
        <f aca="false">54.638*(21925*1.9835+AC43*1.9835)/E43</f>
        <v>23.4926874960279</v>
      </c>
      <c r="AR43" s="144" t="n">
        <f aca="false">480.633/$D$2/31</f>
        <v>7.81663237841222</v>
      </c>
      <c r="AS43" s="231"/>
      <c r="AT43" s="111" t="n">
        <v>0</v>
      </c>
      <c r="AU43" s="56"/>
      <c r="AV43" s="232" t="n">
        <v>0</v>
      </c>
      <c r="AW43" s="225" t="n">
        <v>75</v>
      </c>
      <c r="AX43" s="225" t="n">
        <v>43</v>
      </c>
      <c r="AY43" s="86"/>
      <c r="AZ43" s="263" t="n">
        <f aca="false">SUM(N43,P43:U43)</f>
        <v>6.04770111951269</v>
      </c>
      <c r="BA43" s="193" t="n">
        <v>45.9</v>
      </c>
      <c r="BB43" s="264" t="n">
        <v>23810</v>
      </c>
    </row>
    <row r="44" customFormat="false" ht="12.95" hidden="false" customHeight="true" outlineLevel="0" collapsed="false">
      <c r="A44" s="192" t="n">
        <v>30</v>
      </c>
      <c r="B44" s="113" t="n">
        <v>6894.1</v>
      </c>
      <c r="C44" s="114" t="n">
        <v>262320</v>
      </c>
      <c r="D44" s="225" t="n">
        <f aca="false">C44-C43</f>
        <v>2347</v>
      </c>
      <c r="E44" s="114" t="n">
        <f aca="false">C44-152000</f>
        <v>110320</v>
      </c>
      <c r="F44" s="143" t="n">
        <f aca="false">D44/$D$2</f>
        <v>1183.2619107638</v>
      </c>
      <c r="G44" s="223" t="n">
        <v>1570</v>
      </c>
      <c r="H44" s="144" t="n">
        <v>17.5</v>
      </c>
      <c r="I44" s="143" t="n">
        <f aca="false">G44+H44</f>
        <v>1587.5</v>
      </c>
      <c r="J44" s="144" t="n">
        <f aca="false">IF(L44&gt;0,L44,0)</f>
        <v>12.2619107638013</v>
      </c>
      <c r="K44" s="143" t="n">
        <f aca="false">I44+J44</f>
        <v>1599.7619107638</v>
      </c>
      <c r="L44" s="143" t="n">
        <f aca="false">F44-(I44-AK44)</f>
        <v>12.2619107638013</v>
      </c>
      <c r="M44" s="261" t="n">
        <v>166</v>
      </c>
      <c r="N44" s="171" t="n">
        <f aca="false">1/$D$2*1.03</f>
        <v>0.519284093773632</v>
      </c>
      <c r="O44" s="143" t="n">
        <f aca="false">18.9*1.05</f>
        <v>19.845</v>
      </c>
      <c r="P44" s="171" t="n">
        <v>0</v>
      </c>
      <c r="Q44" s="346" t="n">
        <f aca="false">1379100/325851/1.9835*1.02</f>
        <v>2.17642981798155</v>
      </c>
      <c r="R44" s="139" t="n">
        <v>4.2</v>
      </c>
      <c r="S44" s="139" t="n">
        <f aca="false">((5.4*1.04)-T44)-4.2</f>
        <v>0.2656456</v>
      </c>
      <c r="T44" s="438" t="n">
        <f aca="false">(1.0435*1.06)*1.04</f>
        <v>1.1503544</v>
      </c>
      <c r="U44" s="365" t="n">
        <v>0</v>
      </c>
      <c r="V44" s="143" t="n">
        <v>14</v>
      </c>
      <c r="W44" s="143" t="n">
        <v>44.1</v>
      </c>
      <c r="X44" s="143" t="n">
        <f aca="false">M44-N44-O44-P44-Q44-R44-S44-T44-U44+V44+W44-AT44+AR44</f>
        <v>203.759918466657</v>
      </c>
      <c r="Y44" s="143" t="n">
        <f aca="false">X44-AO44</f>
        <v>203.759918466657</v>
      </c>
      <c r="Z44" s="114" t="n">
        <f aca="false">Z43+AP44</f>
        <v>27007.016007914</v>
      </c>
      <c r="AA44" s="143"/>
      <c r="AB44" s="114" t="n">
        <f aca="false">AB43+(Y44+AP44)*1.9835</f>
        <v>67004.7782379268</v>
      </c>
      <c r="AC44" s="114" t="n">
        <f aca="false">AC43-(AQ43/1.9835)</f>
        <v>1468.81482897002</v>
      </c>
      <c r="AD44" s="114"/>
      <c r="AE44" s="143" t="n">
        <v>142</v>
      </c>
      <c r="AF44" s="261" t="n">
        <v>1.7</v>
      </c>
      <c r="AG44" s="262" t="n">
        <v>1.3</v>
      </c>
      <c r="AH44" s="144" t="n">
        <v>50.4</v>
      </c>
      <c r="AI44" s="114" t="n">
        <f aca="false">AI43-AH44</f>
        <v>14613.2578774893</v>
      </c>
      <c r="AJ44" s="103"/>
      <c r="AK44" s="142" t="n">
        <f aca="false">N44+O44+P44+Q44+R44+S44+T44+U44+X44+AE44+AH44+AT44-AR44</f>
        <v>416.5</v>
      </c>
      <c r="AL44" s="143" t="n">
        <f aca="false">IF(L44&lt;0,L44*-1,0)</f>
        <v>0</v>
      </c>
      <c r="AM44" s="143" t="n">
        <f aca="false">AK44+AL44</f>
        <v>416.5</v>
      </c>
      <c r="AN44" s="431" t="n">
        <v>0</v>
      </c>
      <c r="AO44" s="225"/>
      <c r="AP44" s="157" t="n">
        <f aca="false">795-X44</f>
        <v>591.240081533343</v>
      </c>
      <c r="AQ44" s="171" t="n">
        <f aca="false">45.084*(21925*1.9835+AC44*1.9835)/E44</f>
        <v>18.9627552951478</v>
      </c>
      <c r="AR44" s="144" t="n">
        <f aca="false">480.633/$D$2/31</f>
        <v>7.81663237841222</v>
      </c>
      <c r="AS44" s="231"/>
      <c r="AT44" s="111" t="n">
        <v>0</v>
      </c>
      <c r="AU44" s="56"/>
      <c r="AV44" s="232" t="n">
        <v>0</v>
      </c>
      <c r="AW44" s="225" t="n">
        <v>80</v>
      </c>
      <c r="AX44" s="225" t="n">
        <v>44</v>
      </c>
      <c r="AY44" s="86"/>
      <c r="AZ44" s="263" t="n">
        <f aca="false">SUM(N44,P44:U44)</f>
        <v>8.31171391175519</v>
      </c>
      <c r="BA44" s="193" t="n">
        <v>104</v>
      </c>
      <c r="BB44" s="264" t="n">
        <v>23816</v>
      </c>
    </row>
    <row r="45" customFormat="false" ht="12.95" hidden="false" customHeight="true" outlineLevel="0" collapsed="false">
      <c r="A45" s="192" t="n">
        <v>31</v>
      </c>
      <c r="B45" s="113" t="n">
        <v>6894.83</v>
      </c>
      <c r="C45" s="114" t="n">
        <v>264896</v>
      </c>
      <c r="D45" s="225" t="n">
        <f aca="false">C45-C44</f>
        <v>2576</v>
      </c>
      <c r="E45" s="114" t="n">
        <f aca="false">C45-152000</f>
        <v>112896</v>
      </c>
      <c r="F45" s="143" t="n">
        <f aca="false">D45/$D$2</f>
        <v>1298.71439374842</v>
      </c>
      <c r="G45" s="223" t="n">
        <v>1830</v>
      </c>
      <c r="H45" s="144" t="n">
        <v>5.8</v>
      </c>
      <c r="I45" s="143" t="n">
        <f aca="false">G45+H45</f>
        <v>1835.8</v>
      </c>
      <c r="J45" s="144" t="n">
        <f aca="false">IF(L45&gt;0,L45,0)</f>
        <v>0</v>
      </c>
      <c r="K45" s="143" t="n">
        <f aca="false">I45+J45</f>
        <v>1835.8</v>
      </c>
      <c r="L45" s="143" t="n">
        <f aca="false">F45-(I45-AK45)</f>
        <v>-92.7856062515755</v>
      </c>
      <c r="M45" s="261" t="n">
        <v>175</v>
      </c>
      <c r="N45" s="171" t="n">
        <f aca="false">1/$D$2*1.03</f>
        <v>0.519284093773632</v>
      </c>
      <c r="O45" s="143" t="n">
        <f aca="false">21.6*1.05</f>
        <v>22.68</v>
      </c>
      <c r="P45" s="171" t="n">
        <v>0</v>
      </c>
      <c r="Q45" s="346" t="n">
        <f aca="false">1619800/325851/1.9835*1.02</f>
        <v>2.5562910732844</v>
      </c>
      <c r="R45" s="139" t="n">
        <v>4.2</v>
      </c>
      <c r="S45" s="139" t="n">
        <f aca="false">((5.5*1.04)-T45)-4.2</f>
        <v>0.3696456</v>
      </c>
      <c r="T45" s="438" t="n">
        <f aca="false">(1.0435*1.06)*1.04</f>
        <v>1.1503544</v>
      </c>
      <c r="U45" s="365" t="n">
        <v>0</v>
      </c>
      <c r="V45" s="143" t="n">
        <v>16.1</v>
      </c>
      <c r="W45" s="143" t="n">
        <v>45.5</v>
      </c>
      <c r="X45" s="143" t="n">
        <f aca="false">M45-N45-O45-P45-Q45-R45-S45-T45-U45+V45+W45-AT45+AR45</f>
        <v>212.941057211354</v>
      </c>
      <c r="Y45" s="143" t="n">
        <f aca="false">X45-AO45</f>
        <v>212.941057211354</v>
      </c>
      <c r="Z45" s="114" t="n">
        <f aca="false">Z44+AP45</f>
        <v>27589.0749507027</v>
      </c>
      <c r="AA45" s="143"/>
      <c r="AB45" s="114" t="n">
        <f aca="false">AB44+(Y45+AP45)*1.9835</f>
        <v>68581.6607379268</v>
      </c>
      <c r="AC45" s="114" t="n">
        <f aca="false">AC44-(AQ44/1.9835)</f>
        <v>1459.25457926236</v>
      </c>
      <c r="AD45" s="114"/>
      <c r="AE45" s="143" t="n">
        <v>157</v>
      </c>
      <c r="AF45" s="261" t="n">
        <v>1.7</v>
      </c>
      <c r="AG45" s="262" t="n">
        <v>1.3</v>
      </c>
      <c r="AH45" s="144" t="n">
        <v>50.7</v>
      </c>
      <c r="AI45" s="114" t="n">
        <f aca="false">AI44-AH45</f>
        <v>14562.5578774893</v>
      </c>
      <c r="AJ45" s="103"/>
      <c r="AK45" s="142" t="n">
        <f aca="false">N45+O45+P45+Q45+R45+S45+T45+U45+X45+AE45+AH45+AT45-AR45</f>
        <v>444.3</v>
      </c>
      <c r="AL45" s="143" t="n">
        <f aca="false">IF(L45&lt;0,L45*-1,0)</f>
        <v>92.7856062515755</v>
      </c>
      <c r="AM45" s="259" t="n">
        <f aca="false">AK45+AL45</f>
        <v>537.085606251575</v>
      </c>
      <c r="AN45" s="431" t="n">
        <v>0</v>
      </c>
      <c r="AO45" s="225"/>
      <c r="AP45" s="157" t="n">
        <f aca="false">795-X45</f>
        <v>582.058942788646</v>
      </c>
      <c r="AQ45" s="171" t="n">
        <f aca="false">59.332*(21925*1.9835+AC45*1.9835)/E45</f>
        <v>24.3762092068283</v>
      </c>
      <c r="AR45" s="144" t="n">
        <f aca="false">480.633/$D$2/31</f>
        <v>7.81663237841222</v>
      </c>
      <c r="AS45" s="231"/>
      <c r="AT45" s="111" t="n">
        <v>0</v>
      </c>
      <c r="AU45" s="56"/>
      <c r="AV45" s="232" t="n">
        <v>0</v>
      </c>
      <c r="AW45" s="225" t="n">
        <v>85</v>
      </c>
      <c r="AX45" s="225" t="n">
        <v>48</v>
      </c>
      <c r="AY45" s="86"/>
      <c r="AZ45" s="263" t="n">
        <f aca="false">SUM(N45,P45:U45)</f>
        <v>8.79557516705804</v>
      </c>
      <c r="BA45" s="193" t="n">
        <v>104</v>
      </c>
      <c r="BB45" s="264" t="n">
        <v>23792</v>
      </c>
    </row>
    <row r="46" customFormat="false" ht="3" hidden="false" customHeight="true" outlineLevel="0" collapsed="false">
      <c r="A46" s="244"/>
      <c r="B46" s="266"/>
      <c r="C46" s="246"/>
      <c r="D46" s="247"/>
      <c r="E46" s="246"/>
      <c r="F46" s="247"/>
      <c r="G46" s="266"/>
      <c r="H46" s="253" t="n">
        <v>0.01</v>
      </c>
      <c r="I46" s="247" t="n">
        <f aca="false">G46+H46</f>
        <v>0.01</v>
      </c>
      <c r="J46" s="247"/>
      <c r="K46" s="247"/>
      <c r="L46" s="247"/>
      <c r="M46" s="250"/>
      <c r="N46" s="251"/>
      <c r="O46" s="247"/>
      <c r="P46" s="251"/>
      <c r="Q46" s="247"/>
      <c r="R46" s="247"/>
      <c r="S46" s="436"/>
      <c r="T46" s="436"/>
      <c r="U46" s="252"/>
      <c r="V46" s="247"/>
      <c r="W46" s="247"/>
      <c r="X46" s="247"/>
      <c r="Y46" s="247"/>
      <c r="Z46" s="246"/>
      <c r="AA46" s="247"/>
      <c r="AB46" s="246"/>
      <c r="AC46" s="246"/>
      <c r="AD46" s="246"/>
      <c r="AE46" s="247"/>
      <c r="AF46" s="266"/>
      <c r="AG46" s="248"/>
      <c r="AH46" s="256"/>
      <c r="AI46" s="247"/>
      <c r="AJ46" s="253"/>
      <c r="AK46" s="247"/>
      <c r="AL46" s="247"/>
      <c r="AM46" s="248"/>
      <c r="AN46" s="246"/>
      <c r="AO46" s="256"/>
      <c r="AP46" s="256"/>
      <c r="AQ46" s="251"/>
      <c r="AR46" s="253"/>
      <c r="AS46" s="251"/>
      <c r="AT46" s="253"/>
      <c r="AU46" s="253"/>
      <c r="AV46" s="258"/>
      <c r="AW46" s="256"/>
      <c r="AX46" s="256"/>
      <c r="AY46" s="256"/>
      <c r="AZ46" s="256"/>
      <c r="BA46" s="256"/>
      <c r="BB46" s="256"/>
    </row>
    <row r="47" customFormat="false" ht="12.95" hidden="false" customHeight="true" outlineLevel="0" collapsed="false">
      <c r="A47" s="194" t="s">
        <v>104</v>
      </c>
      <c r="B47" s="223"/>
      <c r="C47" s="114"/>
      <c r="D47" s="114"/>
      <c r="E47" s="114"/>
      <c r="F47" s="114" t="n">
        <f aca="false">SUM(F15:F45)</f>
        <v>28343.3324930678</v>
      </c>
      <c r="G47" s="431" t="n">
        <f aca="false">SUM(G15:G45)</f>
        <v>35069</v>
      </c>
      <c r="H47" s="144" t="n">
        <f aca="false">SUM(H15:H46)</f>
        <v>1735.663</v>
      </c>
      <c r="I47" s="114" t="n">
        <f aca="false">SUM(I15:I46)</f>
        <v>36804.663</v>
      </c>
      <c r="J47" s="114" t="n">
        <f aca="false">SUM(J15:J45)</f>
        <v>1280.18609024452</v>
      </c>
      <c r="K47" s="114" t="n">
        <f aca="false">SUM(K15:K45)</f>
        <v>38084.8390902445</v>
      </c>
      <c r="L47" s="114" t="n">
        <f aca="false">SUM(L15:L45)</f>
        <v>614.499493067809</v>
      </c>
      <c r="M47" s="226" t="n">
        <f aca="false">SUM(M15:M45)</f>
        <v>4348.9</v>
      </c>
      <c r="N47" s="144" t="n">
        <f aca="false">SUM(N15:N45)</f>
        <v>14.0206705318881</v>
      </c>
      <c r="O47" s="114" t="n">
        <f aca="false">SUM(O15:O45)</f>
        <v>821.18715</v>
      </c>
      <c r="P47" s="171" t="n">
        <f aca="false">SUM(P15:P45)</f>
        <v>0</v>
      </c>
      <c r="Q47" s="114" t="n">
        <f aca="false">SUM(Q15:Q45)</f>
        <v>54.4650338881862</v>
      </c>
      <c r="R47" s="114" t="n">
        <f aca="false">SUM(R15:R45)</f>
        <v>83.6947328</v>
      </c>
      <c r="S47" s="143" t="n">
        <f aca="false">SUM(S15:S45)</f>
        <v>0.67556464</v>
      </c>
      <c r="T47" s="143" t="n">
        <f aca="false">SUM(T15:T45)</f>
        <v>23.47770256</v>
      </c>
      <c r="U47" s="228" t="n">
        <f aca="false">SUM(U15:U45)</f>
        <v>0</v>
      </c>
      <c r="V47" s="114" t="n">
        <f aca="false">SUM(V15:V45)</f>
        <v>72.3</v>
      </c>
      <c r="W47" s="114" t="n">
        <f aca="false">SUM(W15:W45)</f>
        <v>1600.9</v>
      </c>
      <c r="X47" s="114" t="n">
        <f aca="false">SUM(X15:X45)</f>
        <v>5266.89474931071</v>
      </c>
      <c r="Y47" s="114" t="n">
        <f aca="false">SUM(Y15:Y45)</f>
        <v>5266.89474931071</v>
      </c>
      <c r="Z47" s="114"/>
      <c r="AA47" s="114" t="n">
        <f aca="false">SUM(AA15:AA45)</f>
        <v>0</v>
      </c>
      <c r="AB47" s="114"/>
      <c r="AC47" s="114"/>
      <c r="AD47" s="114"/>
      <c r="AE47" s="114" t="n">
        <f aca="false">SUM(AE15:AE45)</f>
        <v>2276.42</v>
      </c>
      <c r="AF47" s="439" t="n">
        <f aca="false">SUM(AF15:AF45)</f>
        <v>52.7</v>
      </c>
      <c r="AG47" s="440" t="n">
        <f aca="false">SUM(AG15:AG45)</f>
        <v>40.3</v>
      </c>
      <c r="AH47" s="225" t="n">
        <f aca="false">SUM(AH15:AH45)</f>
        <v>777.3</v>
      </c>
      <c r="AI47" s="114"/>
      <c r="AJ47" s="144" t="n">
        <f aca="false">SUM(AJ15:AJ45)</f>
        <v>0</v>
      </c>
      <c r="AK47" s="114" t="n">
        <f aca="false">SUM(AK15:AK45)</f>
        <v>9075.82</v>
      </c>
      <c r="AL47" s="114" t="n">
        <f aca="false">SUM(AL15:AL45)</f>
        <v>665.686597176708</v>
      </c>
      <c r="AM47" s="224" t="n">
        <f aca="false">SUM(AM15:AM45)</f>
        <v>9741.50659717671</v>
      </c>
      <c r="AN47" s="100" t="n">
        <f aca="false">SUM(AN15:AN45)</f>
        <v>0</v>
      </c>
      <c r="AO47" s="114" t="n">
        <f aca="false">SUM(AO15:AO45)</f>
        <v>0</v>
      </c>
      <c r="AP47" s="143"/>
      <c r="AQ47" s="171"/>
      <c r="AR47" s="144" t="n">
        <f aca="false">SUM(AR15:AR45)</f>
        <v>242.315603730779</v>
      </c>
      <c r="AS47" s="231" t="n">
        <f aca="false">SUM(AS15:AS45)</f>
        <v>0</v>
      </c>
      <c r="AT47" s="144" t="n">
        <f aca="false">SUM(AT15:AT45)</f>
        <v>0</v>
      </c>
      <c r="AU47" s="56"/>
      <c r="AV47" s="232" t="n">
        <f aca="false">SUM(AV15:AV45)</f>
        <v>3.69</v>
      </c>
      <c r="AW47" s="225" t="n">
        <f aca="false">AVERAGE(AW15:AW45)</f>
        <v>67.7096774193548</v>
      </c>
      <c r="AX47" s="225" t="n">
        <f aca="false">AVERAGE(AX15:AX45)</f>
        <v>40.0645161290323</v>
      </c>
      <c r="AY47" s="224" t="s">
        <v>130</v>
      </c>
      <c r="AZ47" s="348" t="n">
        <f aca="false">SUM(AZ15:AZ45)</f>
        <v>176.333704420074</v>
      </c>
      <c r="BA47" s="0" t="n">
        <f aca="false">SUM(BA15:BA45)</f>
        <v>334.73</v>
      </c>
      <c r="BB47" s="264"/>
    </row>
    <row r="48" customFormat="false" ht="12.95" hidden="false" customHeight="true" outlineLevel="0" collapsed="false">
      <c r="A48" s="194" t="s">
        <v>106</v>
      </c>
      <c r="B48" s="223"/>
      <c r="C48" s="114"/>
      <c r="D48" s="114" t="n">
        <f aca="false">SUM(D15:D45)</f>
        <v>56219</v>
      </c>
      <c r="E48" s="114"/>
      <c r="F48" s="114" t="n">
        <f aca="false">F47*$D$2</f>
        <v>56219</v>
      </c>
      <c r="G48" s="431" t="n">
        <f aca="false">G47*$D$2</f>
        <v>69559.3615</v>
      </c>
      <c r="H48" s="144" t="n">
        <f aca="false">H47*$D$2</f>
        <v>3442.6875605</v>
      </c>
      <c r="I48" s="114" t="n">
        <f aca="false">I47*$D$2</f>
        <v>73002.0490605</v>
      </c>
      <c r="J48" s="114" t="n">
        <f aca="false">J47*$D$2</f>
        <v>2539.24911</v>
      </c>
      <c r="K48" s="114" t="n">
        <f aca="false">K47*$D$2</f>
        <v>75541.2783355</v>
      </c>
      <c r="L48" s="114" t="n">
        <f aca="false">L47*$D$2</f>
        <v>1218.8597445</v>
      </c>
      <c r="M48" s="226" t="n">
        <f aca="false">M47*$D$2</f>
        <v>8626.04315</v>
      </c>
      <c r="N48" s="225" t="n">
        <f aca="false">N47*$D$2</f>
        <v>27.81</v>
      </c>
      <c r="O48" s="114" t="n">
        <f aca="false">O47*$D$2</f>
        <v>1628.824712025</v>
      </c>
      <c r="P48" s="171" t="n">
        <f aca="false">P47*$D$2</f>
        <v>0</v>
      </c>
      <c r="Q48" s="114" t="n">
        <f aca="false">Q47*$D$2</f>
        <v>108.031394717217</v>
      </c>
      <c r="R48" s="114" t="n">
        <f aca="false">R47*$D$2</f>
        <v>166.0085025088</v>
      </c>
      <c r="S48" s="143" t="n">
        <f aca="false">S47*$D$2</f>
        <v>1.33998246344</v>
      </c>
      <c r="T48" s="143" t="n">
        <f aca="false">T47*$D$2</f>
        <v>46.56802302776</v>
      </c>
      <c r="U48" s="228" t="n">
        <f aca="false">U47*$D$2</f>
        <v>0</v>
      </c>
      <c r="V48" s="114" t="n">
        <f aca="false">V47*$D$2</f>
        <v>143.40705</v>
      </c>
      <c r="W48" s="114" t="n">
        <f aca="false">W47*$D$2</f>
        <v>3175.38515</v>
      </c>
      <c r="X48" s="114" t="n">
        <f aca="false">X47*$D$2</f>
        <v>10446.8857352578</v>
      </c>
      <c r="Y48" s="114" t="n">
        <f aca="false">Y47*$D$2</f>
        <v>10446.8857352578</v>
      </c>
      <c r="Z48" s="114"/>
      <c r="AA48" s="114" t="n">
        <f aca="false">AA47*$D$2</f>
        <v>0</v>
      </c>
      <c r="AB48" s="114"/>
      <c r="AC48" s="114"/>
      <c r="AD48" s="114"/>
      <c r="AE48" s="114" t="n">
        <f aca="false">AE47*$D$2</f>
        <v>4515.27907</v>
      </c>
      <c r="AF48" s="226" t="n">
        <f aca="false">AF47*$D$2</f>
        <v>104.53045</v>
      </c>
      <c r="AG48" s="228" t="n">
        <f aca="false">AG47*$D$2</f>
        <v>79.93505</v>
      </c>
      <c r="AH48" s="225" t="n">
        <f aca="false">AH47*$D$2</f>
        <v>1541.77455</v>
      </c>
      <c r="AI48" s="114"/>
      <c r="AJ48" s="441" t="n">
        <f aca="false">AJ47*$D$2</f>
        <v>0</v>
      </c>
      <c r="AK48" s="442" t="n">
        <f aca="false">AK47*$D$2</f>
        <v>18001.88897</v>
      </c>
      <c r="AL48" s="114" t="n">
        <f aca="false">AL47*$D$2</f>
        <v>1320.3893655</v>
      </c>
      <c r="AM48" s="224" t="n">
        <f aca="false">AM47*$D$2</f>
        <v>19322.2783355</v>
      </c>
      <c r="AN48" s="114" t="n">
        <f aca="false">AN47*$D$2</f>
        <v>0</v>
      </c>
      <c r="AO48" s="114" t="n">
        <f aca="false">AO47*$D$2</f>
        <v>0</v>
      </c>
      <c r="AP48" s="143"/>
      <c r="AQ48" s="171" t="n">
        <f aca="false">SUM(AQ15:AQ45)</f>
        <v>323.600624857775</v>
      </c>
      <c r="AR48" s="144" t="n">
        <f aca="false">AR47*$D$2</f>
        <v>480.633</v>
      </c>
      <c r="AS48" s="114" t="n">
        <f aca="false">AS47*$D$2</f>
        <v>0</v>
      </c>
      <c r="AT48" s="144" t="n">
        <f aca="false">AT47*$D$2</f>
        <v>0</v>
      </c>
      <c r="AU48" s="56"/>
      <c r="AV48" s="232"/>
      <c r="AW48" s="225" t="n">
        <f aca="false">MAX(AW15:AW45)</f>
        <v>85</v>
      </c>
      <c r="AX48" s="225" t="n">
        <f aca="false">MAX(AX15:AX45)</f>
        <v>48</v>
      </c>
      <c r="AY48" s="224" t="s">
        <v>107</v>
      </c>
      <c r="AZ48" s="348" t="n">
        <f aca="false">AZ47*$D$2</f>
        <v>349.757902717217</v>
      </c>
      <c r="BA48" s="0" t="n">
        <f aca="false">BA47*D2</f>
        <v>663.936955</v>
      </c>
      <c r="BB48" s="264"/>
    </row>
    <row r="49" customFormat="false" ht="3" hidden="false" customHeight="true" outlineLevel="0" collapsed="false">
      <c r="A49" s="244"/>
      <c r="B49" s="266"/>
      <c r="C49" s="246"/>
      <c r="D49" s="246"/>
      <c r="E49" s="246"/>
      <c r="F49" s="246"/>
      <c r="G49" s="274"/>
      <c r="H49" s="253"/>
      <c r="I49" s="246"/>
      <c r="J49" s="246"/>
      <c r="K49" s="246"/>
      <c r="L49" s="246"/>
      <c r="M49" s="271"/>
      <c r="N49" s="251"/>
      <c r="O49" s="246"/>
      <c r="P49" s="251"/>
      <c r="Q49" s="246"/>
      <c r="R49" s="246"/>
      <c r="S49" s="436"/>
      <c r="T49" s="436"/>
      <c r="U49" s="272"/>
      <c r="V49" s="246"/>
      <c r="W49" s="246"/>
      <c r="X49" s="246"/>
      <c r="Y49" s="246"/>
      <c r="Z49" s="246"/>
      <c r="AA49" s="246"/>
      <c r="AB49" s="246"/>
      <c r="AC49" s="246"/>
      <c r="AD49" s="246"/>
      <c r="AE49" s="246"/>
      <c r="AF49" s="271"/>
      <c r="AG49" s="272"/>
      <c r="AH49" s="256"/>
      <c r="AI49" s="247"/>
      <c r="AJ49" s="253"/>
      <c r="AK49" s="246"/>
      <c r="AL49" s="246"/>
      <c r="AM49" s="270"/>
      <c r="AN49" s="246"/>
      <c r="AO49" s="246"/>
      <c r="AP49" s="246"/>
      <c r="AQ49" s="251"/>
      <c r="AR49" s="253"/>
      <c r="AS49" s="251"/>
      <c r="AT49" s="253"/>
      <c r="AU49" s="253"/>
      <c r="AV49" s="246"/>
      <c r="AW49" s="246"/>
      <c r="AX49" s="246"/>
      <c r="AY49" s="246"/>
      <c r="AZ49" s="246"/>
      <c r="BA49" s="127"/>
      <c r="BB49" s="246"/>
    </row>
    <row r="50" customFormat="false" ht="12.95" hidden="false" customHeight="true" outlineLevel="0" collapsed="false">
      <c r="A50" s="194" t="s">
        <v>108</v>
      </c>
      <c r="B50" s="223"/>
      <c r="C50" s="114"/>
      <c r="D50" s="114"/>
      <c r="E50" s="114"/>
      <c r="F50" s="114" t="n">
        <f aca="false">F12+F47</f>
        <v>35049.6596924628</v>
      </c>
      <c r="G50" s="431" t="n">
        <f aca="false">G12+G47</f>
        <v>46169</v>
      </c>
      <c r="H50" s="144" t="n">
        <f aca="false">H12+H47</f>
        <v>1784.022</v>
      </c>
      <c r="I50" s="114" t="n">
        <f aca="false">I12+I47</f>
        <v>47953.022</v>
      </c>
      <c r="J50" s="114" t="n">
        <f aca="false">J12+J47</f>
        <v>1673.01269473153</v>
      </c>
      <c r="K50" s="114" t="n">
        <f aca="false">K12+K47</f>
        <v>49626.0246947315</v>
      </c>
      <c r="L50" s="114" t="n">
        <f aca="false">L12+L47</f>
        <v>556.017692462817</v>
      </c>
      <c r="M50" s="226" t="n">
        <f aca="false">M12+M47</f>
        <v>7344.81</v>
      </c>
      <c r="N50" s="225" t="n">
        <f aca="false">N12+N47</f>
        <v>14.0206705318881</v>
      </c>
      <c r="O50" s="114" t="n">
        <f aca="false">O12+O47</f>
        <v>2131.416</v>
      </c>
      <c r="P50" s="171" t="n">
        <f aca="false">P12+P47</f>
        <v>0</v>
      </c>
      <c r="Q50" s="114"/>
      <c r="R50" s="114"/>
      <c r="S50" s="346"/>
      <c r="T50" s="346"/>
      <c r="U50" s="228"/>
      <c r="V50" s="114" t="n">
        <f aca="false">V12+V47</f>
        <v>72.3</v>
      </c>
      <c r="W50" s="114" t="n">
        <f aca="false">W12+W47</f>
        <v>1919.99</v>
      </c>
      <c r="X50" s="114" t="n">
        <f aca="false">X12+X47</f>
        <v>7166.26810345756</v>
      </c>
      <c r="Y50" s="114" t="n">
        <f aca="false">Y12+Y47</f>
        <v>6987.00810345756</v>
      </c>
      <c r="Z50" s="85" t="n">
        <f aca="false">Z45</f>
        <v>27589.0749507027</v>
      </c>
      <c r="AA50" s="114" t="n">
        <f aca="false">AA12+AA47</f>
        <v>0</v>
      </c>
      <c r="AB50" s="114"/>
      <c r="AC50" s="114"/>
      <c r="AD50" s="114"/>
      <c r="AE50" s="114" t="n">
        <f aca="false">AE12+AE47</f>
        <v>2653.57</v>
      </c>
      <c r="AF50" s="226" t="n">
        <f aca="false">AF12+AF47</f>
        <v>103.7</v>
      </c>
      <c r="AG50" s="228" t="n">
        <f aca="false">AG12+AG47</f>
        <v>79.3</v>
      </c>
      <c r="AH50" s="225"/>
      <c r="AI50" s="114"/>
      <c r="AJ50" s="144" t="n">
        <f aca="false">AJ12+AJ47</f>
        <v>0</v>
      </c>
      <c r="AK50" s="114" t="n">
        <f aca="false">AK12+AK47</f>
        <v>13459.37</v>
      </c>
      <c r="AL50" s="114" t="n">
        <f aca="false">AL12+AL47</f>
        <v>1116.99500226872</v>
      </c>
      <c r="AM50" s="224" t="n">
        <f aca="false">AM12+AM47</f>
        <v>14576.3650022687</v>
      </c>
      <c r="AN50" s="114"/>
      <c r="AO50" s="225"/>
      <c r="AP50" s="143"/>
      <c r="AQ50" s="171"/>
      <c r="AR50" s="144" t="n">
        <f aca="false">AR12+AR47</f>
        <v>242.315603730779</v>
      </c>
      <c r="AS50" s="114" t="n">
        <f aca="false">AS12+AS47</f>
        <v>0</v>
      </c>
      <c r="AT50" s="144" t="n">
        <f aca="false">AT12+AT47</f>
        <v>0</v>
      </c>
      <c r="AU50" s="56"/>
      <c r="AV50" s="232" t="s">
        <v>136</v>
      </c>
      <c r="AW50" s="225" t="n">
        <f aca="false">MIN(AW15:AW45)</f>
        <v>50</v>
      </c>
      <c r="AX50" s="225" t="n">
        <f aca="false">MIN(AX15:AX45)</f>
        <v>32</v>
      </c>
      <c r="AY50" s="224" t="s">
        <v>109</v>
      </c>
      <c r="AZ50" s="348" t="n">
        <f aca="false">AZ12+AZ47</f>
        <v>319.051650273219</v>
      </c>
      <c r="BA50" s="114" t="n">
        <f aca="false">BA12+BA47</f>
        <v>335.536</v>
      </c>
      <c r="BB50" s="264"/>
    </row>
    <row r="51" customFormat="false" ht="12.95" hidden="false" customHeight="true" outlineLevel="0" collapsed="false">
      <c r="A51" s="194" t="s">
        <v>110</v>
      </c>
      <c r="B51" s="223"/>
      <c r="C51" s="114"/>
      <c r="D51" s="114"/>
      <c r="E51" s="114"/>
      <c r="F51" s="114" t="n">
        <f aca="false">F50*$D$2</f>
        <v>69521</v>
      </c>
      <c r="G51" s="431" t="n">
        <f aca="false">G50*$D$2</f>
        <v>91576.2115</v>
      </c>
      <c r="H51" s="225" t="n">
        <f aca="false">H50*$D$2</f>
        <v>3538.607637</v>
      </c>
      <c r="I51" s="114" t="n">
        <f aca="false">I50*$D$2</f>
        <v>95114.819137</v>
      </c>
      <c r="J51" s="114" t="n">
        <f aca="false">J50*$D$2</f>
        <v>3318.42068</v>
      </c>
      <c r="K51" s="114" t="n">
        <f aca="false">K50*$D$2</f>
        <v>98433.219982</v>
      </c>
      <c r="L51" s="114" t="n">
        <f aca="false">L50*$D$2</f>
        <v>1102.861093</v>
      </c>
      <c r="M51" s="226" t="n">
        <f aca="false">M50*$D$2</f>
        <v>14568.430635</v>
      </c>
      <c r="N51" s="225" t="n">
        <f aca="false">N50*$D$2</f>
        <v>27.81</v>
      </c>
      <c r="O51" s="114" t="n">
        <f aca="false">O50*$D$2</f>
        <v>4227.663636</v>
      </c>
      <c r="P51" s="171" t="n">
        <f aca="false">P50*$D$2</f>
        <v>0</v>
      </c>
      <c r="Q51" s="114"/>
      <c r="R51" s="114"/>
      <c r="S51" s="346"/>
      <c r="T51" s="346"/>
      <c r="U51" s="228"/>
      <c r="V51" s="114" t="n">
        <f aca="false">V50*$D$2</f>
        <v>143.40705</v>
      </c>
      <c r="W51" s="114" t="n">
        <f aca="false">W50*$D$2</f>
        <v>3808.300165</v>
      </c>
      <c r="X51" s="114" t="n">
        <f aca="false">X50*$D$2</f>
        <v>14214.2927832081</v>
      </c>
      <c r="Y51" s="114" t="n">
        <f aca="false">Y50*$D$2</f>
        <v>13858.7305732081</v>
      </c>
      <c r="Z51" s="85" t="n">
        <f aca="false">Z50*$D$2</f>
        <v>54722.9301647188</v>
      </c>
      <c r="AA51" s="114" t="n">
        <f aca="false">AA50*$D$2</f>
        <v>0</v>
      </c>
      <c r="AB51" s="114"/>
      <c r="AC51" s="114"/>
      <c r="AD51" s="114"/>
      <c r="AE51" s="114" t="n">
        <f aca="false">AE50*$D$2</f>
        <v>5263.356095</v>
      </c>
      <c r="AF51" s="226" t="n">
        <f aca="false">AF50*$D$2</f>
        <v>205.68895</v>
      </c>
      <c r="AG51" s="228" t="n">
        <f aca="false">AG50*$D$2</f>
        <v>157.29155</v>
      </c>
      <c r="AH51" s="225"/>
      <c r="AI51" s="114"/>
      <c r="AJ51" s="144" t="n">
        <f aca="false">AJ50*$D$2</f>
        <v>0</v>
      </c>
      <c r="AK51" s="114" t="n">
        <f aca="false">AK50*$D$2</f>
        <v>26696.660395</v>
      </c>
      <c r="AL51" s="114" t="n">
        <f aca="false">AL50*$D$2</f>
        <v>2215.559587</v>
      </c>
      <c r="AM51" s="224" t="n">
        <f aca="false">AM50*$D$2</f>
        <v>28912.219982</v>
      </c>
      <c r="AN51" s="114"/>
      <c r="AO51" s="225"/>
      <c r="AP51" s="143"/>
      <c r="AQ51" s="171" t="n">
        <f aca="false">AQ12+AQ48</f>
        <v>529.927199035569</v>
      </c>
      <c r="AR51" s="144" t="n">
        <f aca="false">AR50*$D$2</f>
        <v>480.633</v>
      </c>
      <c r="AS51" s="114" t="n">
        <f aca="false">AS50*$D$2</f>
        <v>0</v>
      </c>
      <c r="AT51" s="144" t="n">
        <f aca="false">AT50*$D$2</f>
        <v>0</v>
      </c>
      <c r="AU51" s="56"/>
      <c r="AV51" s="232" t="n">
        <f aca="false">AV47</f>
        <v>3.69</v>
      </c>
      <c r="AW51" s="225"/>
      <c r="AX51" s="225"/>
      <c r="AY51" s="86"/>
      <c r="AZ51" s="348" t="n">
        <f aca="false">AZ50*$D$2</f>
        <v>632.83894831693</v>
      </c>
      <c r="BA51" s="114" t="n">
        <f aca="false">BA50*$D$2</f>
        <v>665.535656</v>
      </c>
      <c r="BB51" s="264"/>
    </row>
    <row r="52" customFormat="false" ht="3" hidden="false" customHeight="true" outlineLevel="0" collapsed="false">
      <c r="A52" s="244"/>
      <c r="B52" s="266"/>
      <c r="C52" s="246"/>
      <c r="D52" s="246"/>
      <c r="E52" s="246"/>
      <c r="F52" s="246"/>
      <c r="G52" s="274"/>
      <c r="H52" s="253"/>
      <c r="I52" s="246"/>
      <c r="J52" s="246"/>
      <c r="K52" s="246"/>
      <c r="L52" s="246"/>
      <c r="M52" s="271"/>
      <c r="N52" s="253"/>
      <c r="O52" s="246"/>
      <c r="P52" s="251"/>
      <c r="Q52" s="246"/>
      <c r="R52" s="246"/>
      <c r="S52" s="436"/>
      <c r="T52" s="436"/>
      <c r="U52" s="272"/>
      <c r="V52" s="246"/>
      <c r="W52" s="246"/>
      <c r="X52" s="246"/>
      <c r="Y52" s="246"/>
      <c r="Z52" s="246"/>
      <c r="AA52" s="246"/>
      <c r="AB52" s="246"/>
      <c r="AC52" s="246"/>
      <c r="AD52" s="246"/>
      <c r="AE52" s="246"/>
      <c r="AF52" s="271"/>
      <c r="AG52" s="272"/>
      <c r="AH52" s="256"/>
      <c r="AI52" s="246"/>
      <c r="AJ52" s="253"/>
      <c r="AK52" s="246"/>
      <c r="AL52" s="246"/>
      <c r="AM52" s="270"/>
      <c r="AN52" s="246"/>
      <c r="AO52" s="275"/>
      <c r="AP52" s="275"/>
      <c r="AQ52" s="251"/>
      <c r="AR52" s="253"/>
      <c r="AS52" s="251"/>
      <c r="AT52" s="253"/>
      <c r="AU52" s="253"/>
      <c r="AV52" s="258"/>
      <c r="AW52" s="443"/>
      <c r="AX52" s="275"/>
      <c r="AY52" s="275"/>
      <c r="AZ52" s="275"/>
      <c r="BA52" s="380"/>
      <c r="BB52" s="275"/>
    </row>
    <row r="53" customFormat="false" ht="12.95" hidden="false" customHeight="true" outlineLevel="0" collapsed="false">
      <c r="A53" s="194" t="s">
        <v>111</v>
      </c>
      <c r="B53" s="223"/>
      <c r="C53" s="114"/>
      <c r="D53" s="114"/>
      <c r="E53" s="114"/>
      <c r="F53" s="114" t="n">
        <f aca="false">F13+F47</f>
        <v>39907.2346861608</v>
      </c>
      <c r="G53" s="431" t="n">
        <f aca="false">G13+G47</f>
        <v>61398</v>
      </c>
      <c r="H53" s="144" t="n">
        <f aca="false">H13+H47</f>
        <v>1901.524</v>
      </c>
      <c r="I53" s="114" t="n">
        <f aca="false">I13+I47</f>
        <v>63298.904</v>
      </c>
      <c r="J53" s="114" t="n">
        <f aca="false">J13+J47</f>
        <v>4018.10160020166</v>
      </c>
      <c r="K53" s="114" t="n">
        <f aca="false">K13+K47</f>
        <v>67316.9956002017</v>
      </c>
      <c r="L53" s="114" t="n">
        <f aca="false">L13+L47</f>
        <v>685.460686160826</v>
      </c>
      <c r="M53" s="226" t="n">
        <f aca="false">M13+M47</f>
        <v>8089.34</v>
      </c>
      <c r="N53" s="225" t="n">
        <f aca="false">N13+N47</f>
        <v>14.0206705318881</v>
      </c>
      <c r="O53" s="114" t="n">
        <f aca="false">O13+O47</f>
        <v>2131.416</v>
      </c>
      <c r="P53" s="346" t="n">
        <f aca="false">P13+P47</f>
        <v>0</v>
      </c>
      <c r="Q53" s="114" t="n">
        <f aca="false">Q13+Q47</f>
        <v>328.548704383118</v>
      </c>
      <c r="R53" s="114" t="n">
        <f aca="false">R13+R47</f>
        <v>393.03137136</v>
      </c>
      <c r="S53" s="143" t="n">
        <f aca="false">S13+S47</f>
        <v>1.3250888</v>
      </c>
      <c r="T53" s="114" t="n">
        <f aca="false">T13+T47</f>
        <v>123.95363552</v>
      </c>
      <c r="U53" s="228" t="n">
        <f aca="false">U13+U47</f>
        <v>-45.366813481233</v>
      </c>
      <c r="V53" s="114" t="n">
        <f aca="false">V13+V47</f>
        <v>5784.79</v>
      </c>
      <c r="W53" s="114" t="n">
        <f aca="false">W13+W47</f>
        <v>1944.02</v>
      </c>
      <c r="X53" s="114" t="n">
        <f aca="false">X13+X47</f>
        <v>13081.500396617</v>
      </c>
      <c r="Y53" s="114" t="n">
        <f aca="false">Y13+Y47</f>
        <v>12706.6170632837</v>
      </c>
      <c r="Z53" s="114"/>
      <c r="AA53" s="114"/>
      <c r="AB53" s="114"/>
      <c r="AC53" s="114"/>
      <c r="AD53" s="114"/>
      <c r="AE53" s="114"/>
      <c r="AF53" s="226" t="n">
        <f aca="false">AF13+AF47</f>
        <v>103.7</v>
      </c>
      <c r="AG53" s="228" t="n">
        <f aca="false">AG13+AG47</f>
        <v>79.3</v>
      </c>
      <c r="AH53" s="225" t="n">
        <f aca="false">AH13+AH47</f>
        <v>5605.4</v>
      </c>
      <c r="AI53" s="114" t="n">
        <f aca="false">AI45</f>
        <v>14562.5578774893</v>
      </c>
      <c r="AJ53" s="144" t="n">
        <f aca="false">AJ13+AJ47</f>
        <v>0</v>
      </c>
      <c r="AK53" s="114" t="n">
        <f aca="false">AK13+AK47</f>
        <v>24077.12</v>
      </c>
      <c r="AL53" s="114" t="n">
        <f aca="false">AL13+AL47</f>
        <v>3332.64091404084</v>
      </c>
      <c r="AM53" s="224" t="n">
        <f aca="false">AM13+AM47</f>
        <v>27409.7609140408</v>
      </c>
      <c r="AN53" s="114" t="n">
        <f aca="false">AN13+AN47</f>
        <v>5685.01666666667</v>
      </c>
      <c r="AO53" s="114" t="n">
        <f aca="false">AO13+AO47</f>
        <v>374.883333333333</v>
      </c>
      <c r="AP53" s="143"/>
      <c r="AQ53" s="171"/>
      <c r="AR53" s="144" t="n">
        <f aca="false">AR13+AR47</f>
        <v>242.315603730779</v>
      </c>
      <c r="AS53" s="114" t="n">
        <f aca="false">AS13+AS47</f>
        <v>0</v>
      </c>
      <c r="AT53" s="144"/>
      <c r="AU53" s="56"/>
      <c r="AV53" s="232" t="n">
        <f aca="false">AV13+AV47</f>
        <v>9.97</v>
      </c>
      <c r="AW53" s="225"/>
      <c r="AX53" s="225"/>
      <c r="AY53" s="86"/>
      <c r="AZ53" s="348" t="n">
        <f aca="false">AZ13+AZ47</f>
        <v>815.512657113774</v>
      </c>
      <c r="BA53" s="116" t="n">
        <f aca="false">BA47+BA13</f>
        <v>349.142</v>
      </c>
      <c r="BB53" s="264"/>
    </row>
    <row r="54" customFormat="false" ht="12.95" hidden="false" customHeight="true" outlineLevel="0" collapsed="false">
      <c r="A54" s="194" t="s">
        <v>112</v>
      </c>
      <c r="B54" s="223"/>
      <c r="C54" s="114"/>
      <c r="D54" s="114" t="n">
        <f aca="false">D13+D48</f>
        <v>79156</v>
      </c>
      <c r="E54" s="114" t="n">
        <f aca="false">E45</f>
        <v>112896</v>
      </c>
      <c r="F54" s="114" t="n">
        <f aca="false">F53*$D$2</f>
        <v>79156</v>
      </c>
      <c r="G54" s="431" t="n">
        <f aca="false">G53*$D$2</f>
        <v>121782.933</v>
      </c>
      <c r="H54" s="225" t="n">
        <f aca="false">H53*$D$2</f>
        <v>3771.672854</v>
      </c>
      <c r="I54" s="114" t="n">
        <f aca="false">I53*$D$2</f>
        <v>125553.376084</v>
      </c>
      <c r="J54" s="114" t="n">
        <f aca="false">J53*$D$2</f>
        <v>7969.904524</v>
      </c>
      <c r="K54" s="114" t="n">
        <f aca="false">K53*$D$2</f>
        <v>133523.260773</v>
      </c>
      <c r="L54" s="114" t="n">
        <f aca="false">L53*$D$2</f>
        <v>1359.611271</v>
      </c>
      <c r="M54" s="226" t="n">
        <f aca="false">M53*$D$2</f>
        <v>16045.20589</v>
      </c>
      <c r="N54" s="225" t="n">
        <f aca="false">N53*$D$2</f>
        <v>27.81</v>
      </c>
      <c r="O54" s="114" t="n">
        <f aca="false">O53*$D$2</f>
        <v>4227.663636</v>
      </c>
      <c r="P54" s="346" t="n">
        <f aca="false">P53*$D$2</f>
        <v>0</v>
      </c>
      <c r="Q54" s="114" t="n">
        <f aca="false">Q53*$D$2</f>
        <v>651.676355143915</v>
      </c>
      <c r="R54" s="114" t="n">
        <f aca="false">R53*$D$2</f>
        <v>779.57772509256</v>
      </c>
      <c r="S54" s="143" t="n">
        <f aca="false">S53*$D$2</f>
        <v>2.6283136348</v>
      </c>
      <c r="T54" s="114" t="n">
        <f aca="false">T53*$D$2</f>
        <v>245.86203605392</v>
      </c>
      <c r="U54" s="228" t="n">
        <f aca="false">U53*$D$2</f>
        <v>-89.9850745400256</v>
      </c>
      <c r="V54" s="114" t="n">
        <f aca="false">V53*$D$2</f>
        <v>11474.130965</v>
      </c>
      <c r="W54" s="114" t="n">
        <f aca="false">W53*$D$2</f>
        <v>3855.96367</v>
      </c>
      <c r="X54" s="114" t="n">
        <f aca="false">X53*$D$2</f>
        <v>25947.1560366898</v>
      </c>
      <c r="Y54" s="114" t="n">
        <f aca="false">Y53*$D$2</f>
        <v>25203.5749450232</v>
      </c>
      <c r="Z54" s="114"/>
      <c r="AA54" s="114"/>
      <c r="AB54" s="114"/>
      <c r="AC54" s="114"/>
      <c r="AD54" s="114"/>
      <c r="AE54" s="114"/>
      <c r="AF54" s="277" t="n">
        <f aca="false">AF53*$D$2</f>
        <v>205.68895</v>
      </c>
      <c r="AG54" s="278" t="n">
        <f aca="false">AG53*$D$2</f>
        <v>157.29155</v>
      </c>
      <c r="AH54" s="225" t="n">
        <f aca="false">AH53*$D$2</f>
        <v>11118.3109</v>
      </c>
      <c r="AI54" s="114" t="n">
        <f aca="false">AI53*$D$2</f>
        <v>28884.83355</v>
      </c>
      <c r="AJ54" s="144" t="n">
        <f aca="false">AJ53*$D$2</f>
        <v>0</v>
      </c>
      <c r="AK54" s="114" t="n">
        <f aca="false">AK53*$D$2</f>
        <v>47756.96752</v>
      </c>
      <c r="AL54" s="114" t="n">
        <f aca="false">AL53*$D$2</f>
        <v>6610.293253</v>
      </c>
      <c r="AM54" s="279" t="n">
        <f aca="false">AM53*$D$2</f>
        <v>54367.260773</v>
      </c>
      <c r="AN54" s="114" t="n">
        <f aca="false">AN53*$D$2</f>
        <v>11276.2305583333</v>
      </c>
      <c r="AO54" s="114" t="n">
        <f aca="false">AO53*$D$2</f>
        <v>743.581091666667</v>
      </c>
      <c r="AP54" s="143"/>
      <c r="AQ54" s="171" t="n">
        <f aca="false">AQ12+AQ48</f>
        <v>529.927199035569</v>
      </c>
      <c r="AR54" s="144" t="n">
        <f aca="false">AR53*$D$2</f>
        <v>480.633</v>
      </c>
      <c r="AS54" s="114" t="n">
        <f aca="false">AS53*$D$2</f>
        <v>0</v>
      </c>
      <c r="AT54" s="144"/>
      <c r="AU54" s="56"/>
      <c r="AV54" s="232"/>
      <c r="AW54" s="225"/>
      <c r="AX54" s="225"/>
      <c r="AY54" s="86"/>
      <c r="AZ54" s="348" t="n">
        <f aca="false">AZ53*$D$2</f>
        <v>1617.56935538517</v>
      </c>
      <c r="BA54" s="0" t="n">
        <f aca="false">BA53*D2</f>
        <v>692.523157</v>
      </c>
      <c r="BB54" s="264"/>
    </row>
    <row r="55" customFormat="false" ht="3" hidden="false" customHeight="true" outlineLevel="0" collapsed="false">
      <c r="A55" s="244"/>
      <c r="B55" s="266"/>
      <c r="C55" s="246"/>
      <c r="D55" s="247"/>
      <c r="E55" s="246"/>
      <c r="F55" s="444"/>
      <c r="G55" s="445"/>
      <c r="H55" s="446"/>
      <c r="I55" s="247"/>
      <c r="J55" s="247"/>
      <c r="K55" s="247"/>
      <c r="L55" s="247"/>
      <c r="M55" s="250"/>
      <c r="N55" s="251"/>
      <c r="O55" s="247"/>
      <c r="P55" s="251"/>
      <c r="Q55" s="247"/>
      <c r="R55" s="247"/>
      <c r="S55" s="436"/>
      <c r="T55" s="436"/>
      <c r="U55" s="252"/>
      <c r="V55" s="247"/>
      <c r="W55" s="247"/>
      <c r="X55" s="247"/>
      <c r="Y55" s="247"/>
      <c r="Z55" s="246"/>
      <c r="AA55" s="247"/>
      <c r="AB55" s="246"/>
      <c r="AC55" s="246"/>
      <c r="AD55" s="246"/>
      <c r="AE55" s="247"/>
      <c r="AF55" s="250"/>
      <c r="AG55" s="254"/>
      <c r="AH55" s="256"/>
      <c r="AI55" s="246"/>
      <c r="AJ55" s="253"/>
      <c r="AK55" s="247"/>
      <c r="AL55" s="247"/>
      <c r="AM55" s="247"/>
      <c r="AN55" s="274"/>
      <c r="AO55" s="247"/>
      <c r="AP55" s="247"/>
      <c r="AQ55" s="251"/>
      <c r="AR55" s="253"/>
      <c r="AS55" s="251"/>
      <c r="AT55" s="253"/>
      <c r="AU55" s="253"/>
      <c r="AV55" s="247"/>
      <c r="AW55" s="247"/>
      <c r="AX55" s="247"/>
      <c r="AY55" s="247"/>
      <c r="AZ55" s="247"/>
      <c r="BA55" s="247"/>
      <c r="BB55" s="247"/>
    </row>
    <row r="56" customFormat="false" ht="11.1" hidden="false" customHeight="true" outlineLevel="0" collapsed="false">
      <c r="A56" s="447"/>
      <c r="B56" s="281"/>
      <c r="D56" s="194"/>
      <c r="F56" s="448"/>
      <c r="G56" s="448"/>
      <c r="H56" s="449"/>
      <c r="I56" s="194"/>
      <c r="J56" s="194"/>
      <c r="K56" s="194"/>
      <c r="L56" s="194"/>
      <c r="M56" s="194"/>
      <c r="O56" s="194"/>
      <c r="Q56" s="194"/>
      <c r="R56" s="194"/>
      <c r="V56" s="194"/>
      <c r="W56" s="194"/>
      <c r="X56" s="194"/>
      <c r="Y56" s="194"/>
      <c r="Z56" s="161"/>
      <c r="AA56" s="194"/>
      <c r="AB56" s="161"/>
      <c r="AC56" s="161"/>
      <c r="AD56" s="161"/>
      <c r="AE56" s="194"/>
      <c r="AF56" s="194"/>
      <c r="AG56" s="194"/>
      <c r="AI56" s="161"/>
      <c r="AK56" s="194"/>
      <c r="AL56" s="194"/>
      <c r="AM56" s="194"/>
      <c r="AN56" s="90"/>
      <c r="AO56" s="192"/>
      <c r="AP56" s="197"/>
      <c r="AQ56" s="76"/>
      <c r="AR56" s="414"/>
      <c r="AX56" s="191"/>
    </row>
    <row r="57" customFormat="false" ht="11.1" hidden="false" customHeight="true" outlineLevel="0" collapsed="false">
      <c r="A57" s="194"/>
      <c r="B57" s="161"/>
      <c r="E57" s="390"/>
      <c r="F57" s="237"/>
      <c r="G57" s="189"/>
      <c r="I57" s="390"/>
      <c r="J57" s="194"/>
      <c r="K57" s="186"/>
      <c r="L57" s="194"/>
      <c r="M57" s="194"/>
      <c r="O57" s="26"/>
      <c r="P57" s="99"/>
      <c r="Q57" s="26"/>
      <c r="R57" s="26"/>
      <c r="V57" s="194"/>
      <c r="W57" s="161"/>
      <c r="X57" s="26"/>
      <c r="Y57" s="26"/>
      <c r="Z57" s="161"/>
      <c r="AA57" s="26"/>
      <c r="AB57" s="161"/>
      <c r="AC57" s="161"/>
      <c r="AD57" s="161"/>
      <c r="AE57" s="161"/>
      <c r="AF57" s="161"/>
      <c r="AG57" s="161"/>
      <c r="AI57" s="450"/>
      <c r="AJ57" s="451"/>
      <c r="AK57" s="194"/>
      <c r="AL57" s="194"/>
      <c r="AN57" s="237"/>
      <c r="AO57" s="197"/>
      <c r="AP57" s="197"/>
    </row>
    <row r="59" customFormat="false" ht="11.1" hidden="false" customHeight="true" outlineLevel="0" collapsed="false">
      <c r="B59" s="8"/>
      <c r="D59" s="161"/>
      <c r="F59" s="392"/>
      <c r="AE59" s="161"/>
      <c r="AF59" s="161"/>
      <c r="AG59" s="161"/>
      <c r="AN59" s="237"/>
      <c r="AO59" s="189"/>
      <c r="AP59" s="189"/>
    </row>
    <row r="60" customFormat="false" ht="11.1" hidden="false" customHeight="true" outlineLevel="0" collapsed="false">
      <c r="B60" s="1"/>
      <c r="D60" s="1"/>
      <c r="G60" s="452"/>
      <c r="H60" s="453"/>
      <c r="I60" s="454"/>
      <c r="AN60" s="237"/>
      <c r="AO60" s="189"/>
      <c r="AP60" s="455"/>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D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2890625" defaultRowHeight="11.1" zeroHeight="false" outlineLevelRow="0" outlineLevelCol="0"/>
  <cols>
    <col collapsed="false" customWidth="true" hidden="false" outlineLevel="0" max="1" min="1" style="1" width="4.66"/>
    <col collapsed="false" customWidth="true" hidden="false" outlineLevel="0" max="2" min="2" style="1" width="6.99"/>
    <col collapsed="false" customWidth="true" hidden="false" outlineLevel="0" max="3" min="3" style="2" width="6.32"/>
    <col collapsed="false" customWidth="true" hidden="false" outlineLevel="0" max="4" min="4" style="1" width="6.99"/>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4" width="5.66"/>
    <col collapsed="false" customWidth="true" hidden="false" outlineLevel="0" max="11" min="9" style="1" width="6.32"/>
    <col collapsed="false" customWidth="true" hidden="false" outlineLevel="0" max="12" min="12" style="1" width="6.82"/>
    <col collapsed="false" customWidth="true" hidden="false" outlineLevel="0" max="13" min="13" style="4" width="5.49"/>
    <col collapsed="false" customWidth="true" hidden="false" outlineLevel="0" max="14" min="14" style="4" width="4.49"/>
    <col collapsed="false" customWidth="true" hidden="false" outlineLevel="0" max="15" min="15" style="4" width="5.49"/>
    <col collapsed="false" customWidth="true" hidden="false" outlineLevel="0" max="16" min="16" style="5" width="4.82"/>
    <col collapsed="false" customWidth="true" hidden="false" outlineLevel="0" max="18" min="17" style="4" width="4.32"/>
    <col collapsed="false" customWidth="true" hidden="false" outlineLevel="0" max="20" min="19" style="1" width="4.32"/>
    <col collapsed="false" customWidth="true" hidden="false" outlineLevel="0" max="21" min="21" style="5" width="5.16"/>
    <col collapsed="false" customWidth="true" hidden="false" outlineLevel="0" max="23" min="22" style="1" width="5.49"/>
    <col collapsed="false" customWidth="true" hidden="false" outlineLevel="0" max="25" min="24" style="2" width="6.32"/>
    <col collapsed="false" customWidth="true" hidden="false" outlineLevel="0" max="26" min="26" style="1" width="5.49"/>
    <col collapsed="false" customWidth="true" hidden="false" outlineLevel="0" max="27" min="27" style="2" width="6.32"/>
    <col collapsed="false" customWidth="true" hidden="false" outlineLevel="0" max="28" min="28" style="56" width="5.49"/>
    <col collapsed="false" customWidth="true" hidden="false" outlineLevel="0" max="29" min="29" style="1" width="5.82"/>
    <col collapsed="false" customWidth="true" hidden="false" outlineLevel="0" max="33" min="30" style="1" width="5.49"/>
    <col collapsed="false" customWidth="true" hidden="false" outlineLevel="0" max="34" min="34" style="2" width="6.32"/>
    <col collapsed="false" customWidth="true" hidden="false" outlineLevel="0" max="35" min="35" style="1" width="5.49"/>
    <col collapsed="false" customWidth="true" hidden="false" outlineLevel="0" max="36" min="36" style="93" width="6.32"/>
    <col collapsed="false" customWidth="true" hidden="false" outlineLevel="0" max="37" min="37" style="1" width="6.32"/>
    <col collapsed="false" customWidth="true" hidden="false" outlineLevel="0" max="38" min="38" style="1" width="6.82"/>
    <col collapsed="false" customWidth="true" hidden="false" outlineLevel="0" max="39" min="39" style="5" width="6.82"/>
    <col collapsed="false" customWidth="true" hidden="false" outlineLevel="0" max="41" min="40" style="1" width="5.49"/>
    <col collapsed="false" customWidth="true" hidden="false" outlineLevel="0" max="42" min="42" style="1" width="6.32"/>
    <col collapsed="false" customWidth="true" hidden="false" outlineLevel="0" max="43" min="43" style="300" width="6.32"/>
    <col collapsed="false" customWidth="true" hidden="false" outlineLevel="0" max="44" min="44" style="201" width="5.49"/>
    <col collapsed="false" customWidth="true" hidden="false" outlineLevel="0" max="45" min="45" style="184" width="5.49"/>
    <col collapsed="false" customWidth="true" hidden="false" outlineLevel="0" max="46" min="46" style="1" width="5.82"/>
    <col collapsed="false" customWidth="true" hidden="false" outlineLevel="0" max="47" min="47" style="4" width="4.99"/>
    <col collapsed="false" customWidth="true" hidden="false" outlineLevel="0" max="48" min="48" style="3" width="5.32"/>
    <col collapsed="false" customWidth="true" hidden="false" outlineLevel="0" max="49" min="49" style="9" width="3.82"/>
    <col collapsed="false" customWidth="true" hidden="false" outlineLevel="0" max="50" min="50" style="10" width="3.82"/>
    <col collapsed="false" customWidth="true" hidden="false" outlineLevel="0" max="51" min="51" style="0" width="3.82"/>
    <col collapsed="false" customWidth="true" hidden="false" outlineLevel="0" max="52" min="52" style="0" width="5.49"/>
    <col collapsed="false" customWidth="false" hidden="false" outlineLevel="0" max="53" min="53" style="456" width="9.32"/>
  </cols>
  <sheetData>
    <row r="1" customFormat="false" ht="14.1" hidden="false" customHeight="true" outlineLevel="0" collapsed="false">
      <c r="A1" s="11" t="s">
        <v>117</v>
      </c>
      <c r="B1" s="11"/>
      <c r="D1" s="11"/>
      <c r="F1" s="11"/>
      <c r="G1" s="11"/>
      <c r="I1" s="11"/>
      <c r="J1" s="11"/>
      <c r="K1" s="13" t="s">
        <v>0</v>
      </c>
      <c r="L1" s="11"/>
      <c r="M1" s="11"/>
      <c r="N1" s="11"/>
      <c r="S1" s="11"/>
      <c r="T1" s="11"/>
      <c r="V1" s="11"/>
      <c r="W1" s="11"/>
      <c r="Z1" s="11"/>
      <c r="AB1" s="194"/>
      <c r="AC1" s="11"/>
      <c r="AD1" s="11"/>
      <c r="AE1" s="11"/>
      <c r="AF1" s="11"/>
      <c r="AG1" s="11"/>
      <c r="AI1" s="11"/>
      <c r="AJ1" s="14"/>
      <c r="AK1" s="11"/>
      <c r="AL1" s="11"/>
      <c r="AN1" s="14"/>
      <c r="AO1" s="14"/>
      <c r="AP1" s="14"/>
    </row>
    <row r="2" customFormat="false" ht="14.1" hidden="false" customHeight="true" outlineLevel="0" collapsed="false">
      <c r="A2" s="14" t="s">
        <v>1</v>
      </c>
      <c r="B2" s="11"/>
      <c r="D2" s="15" t="n">
        <v>1.9835</v>
      </c>
      <c r="F2" s="11"/>
      <c r="G2" s="11"/>
      <c r="I2" s="11"/>
      <c r="J2" s="11"/>
      <c r="K2" s="457" t="s">
        <v>137</v>
      </c>
      <c r="L2" s="457"/>
      <c r="M2" s="457"/>
      <c r="N2" s="457"/>
      <c r="O2" s="457"/>
      <c r="P2" s="457"/>
      <c r="Q2" s="457"/>
      <c r="R2" s="457"/>
      <c r="S2" s="457"/>
      <c r="T2" s="457"/>
      <c r="U2" s="457"/>
      <c r="V2" s="457"/>
      <c r="W2" s="357"/>
      <c r="X2" s="358"/>
      <c r="Y2" s="358"/>
      <c r="Z2" s="357"/>
      <c r="AA2" s="358"/>
      <c r="AB2" s="200"/>
      <c r="AC2" s="357"/>
      <c r="AD2" s="357"/>
      <c r="AE2" s="357"/>
      <c r="AF2" s="357"/>
      <c r="AG2" s="357"/>
      <c r="AH2" s="358"/>
      <c r="AI2" s="11"/>
      <c r="AJ2" s="14"/>
      <c r="AK2" s="11"/>
      <c r="AL2" s="11"/>
      <c r="AN2" s="14"/>
      <c r="AO2" s="14"/>
      <c r="AP2" s="14"/>
    </row>
    <row r="3" customFormat="false" ht="14.1" hidden="false" customHeight="true" outlineLevel="0" collapsed="false">
      <c r="A3" s="16"/>
      <c r="B3" s="16"/>
      <c r="C3" s="17"/>
      <c r="D3" s="18"/>
      <c r="E3" s="17"/>
      <c r="F3" s="16"/>
      <c r="G3" s="16"/>
      <c r="H3" s="22"/>
      <c r="I3" s="16"/>
      <c r="J3" s="16"/>
      <c r="K3" s="16"/>
      <c r="L3" s="16"/>
      <c r="M3" s="16"/>
      <c r="N3" s="16"/>
      <c r="O3" s="22"/>
      <c r="P3" s="20"/>
      <c r="Q3" s="22"/>
      <c r="R3" s="22"/>
      <c r="S3" s="16"/>
      <c r="T3" s="16"/>
      <c r="U3" s="20"/>
      <c r="V3" s="16"/>
      <c r="W3" s="16"/>
      <c r="X3" s="17"/>
      <c r="Y3" s="17"/>
      <c r="Z3" s="16"/>
      <c r="AA3" s="96"/>
      <c r="AB3" s="194"/>
      <c r="AC3" s="16"/>
      <c r="AD3" s="16"/>
      <c r="AE3" s="16"/>
      <c r="AF3" s="16"/>
      <c r="AG3" s="16"/>
      <c r="AH3" s="17"/>
      <c r="AI3" s="16"/>
      <c r="AJ3" s="360"/>
      <c r="AK3" s="16"/>
      <c r="AL3" s="16"/>
      <c r="AM3" s="20"/>
      <c r="AN3" s="360"/>
      <c r="AO3" s="360"/>
      <c r="AP3" s="360"/>
      <c r="AV3" s="27"/>
      <c r="AW3" s="28"/>
      <c r="AX3" s="29"/>
      <c r="BA3" s="458"/>
      <c r="BB3" s="31"/>
    </row>
    <row r="4" s="56" customFormat="true" ht="14.1" hidden="false" customHeight="true" outlineLevel="0" collapsed="false">
      <c r="A4" s="395"/>
      <c r="B4" s="396"/>
      <c r="C4" s="397"/>
      <c r="D4" s="398" t="s">
        <v>3</v>
      </c>
      <c r="E4" s="397"/>
      <c r="F4" s="395"/>
      <c r="G4" s="396"/>
      <c r="H4" s="399"/>
      <c r="I4" s="400" t="s">
        <v>114</v>
      </c>
      <c r="J4" s="395"/>
      <c r="K4" s="395"/>
      <c r="L4" s="401"/>
      <c r="M4" s="395"/>
      <c r="N4" s="402"/>
      <c r="O4" s="395"/>
      <c r="P4" s="402"/>
      <c r="Q4" s="395"/>
      <c r="R4" s="395"/>
      <c r="S4" s="395"/>
      <c r="T4" s="395"/>
      <c r="U4" s="402"/>
      <c r="V4" s="400"/>
      <c r="W4" s="395"/>
      <c r="X4" s="400" t="s">
        <v>5</v>
      </c>
      <c r="Y4" s="397"/>
      <c r="Z4" s="395"/>
      <c r="AA4" s="397"/>
      <c r="AB4" s="395"/>
      <c r="AC4" s="395"/>
      <c r="AD4" s="395"/>
      <c r="AE4" s="395"/>
      <c r="AF4" s="395"/>
      <c r="AG4" s="395"/>
      <c r="AH4" s="404"/>
      <c r="AI4" s="395"/>
      <c r="AJ4" s="459"/>
      <c r="AK4" s="395"/>
      <c r="AL4" s="395"/>
      <c r="AM4" s="402"/>
      <c r="AN4" s="460"/>
      <c r="AO4" s="30"/>
      <c r="AP4" s="406" t="s">
        <v>6</v>
      </c>
      <c r="AQ4" s="48"/>
      <c r="AR4" s="407"/>
      <c r="AS4" s="42"/>
      <c r="AT4" s="405"/>
      <c r="AU4" s="405"/>
      <c r="AV4" s="408"/>
      <c r="AW4" s="409" t="s">
        <v>7</v>
      </c>
      <c r="AX4" s="410"/>
      <c r="AY4" s="57"/>
      <c r="AZ4" s="411"/>
      <c r="BA4" s="461"/>
      <c r="BB4" s="462"/>
    </row>
    <row r="5" s="193" customFormat="true" ht="12.95" hidden="false" customHeight="true" outlineLevel="0" collapsed="false">
      <c r="A5" s="333" t="s">
        <v>8</v>
      </c>
      <c r="B5" s="412" t="s">
        <v>9</v>
      </c>
      <c r="C5" s="413" t="s">
        <v>9</v>
      </c>
      <c r="D5" s="333" t="s">
        <v>10</v>
      </c>
      <c r="E5" s="413" t="s">
        <v>11</v>
      </c>
      <c r="F5" s="333" t="s">
        <v>12</v>
      </c>
      <c r="G5" s="412" t="s">
        <v>13</v>
      </c>
      <c r="H5" s="414" t="s">
        <v>14</v>
      </c>
      <c r="I5" s="333" t="s">
        <v>15</v>
      </c>
      <c r="J5" s="333" t="s">
        <v>16</v>
      </c>
      <c r="K5" s="333" t="s">
        <v>17</v>
      </c>
      <c r="L5" s="424" t="s">
        <v>16</v>
      </c>
      <c r="M5" s="463" t="s">
        <v>18</v>
      </c>
      <c r="N5" s="463"/>
      <c r="O5" s="463"/>
      <c r="P5" s="463"/>
      <c r="Q5" s="463"/>
      <c r="R5" s="463"/>
      <c r="S5" s="463"/>
      <c r="T5" s="463"/>
      <c r="U5" s="463"/>
      <c r="V5" s="333" t="s">
        <v>19</v>
      </c>
      <c r="W5" s="333" t="s">
        <v>20</v>
      </c>
      <c r="X5" s="58" t="s">
        <v>17</v>
      </c>
      <c r="Y5" s="58" t="s">
        <v>17</v>
      </c>
      <c r="Z5" s="64" t="s">
        <v>21</v>
      </c>
      <c r="AA5" s="58" t="s">
        <v>21</v>
      </c>
      <c r="AB5" s="64" t="s">
        <v>21</v>
      </c>
      <c r="AC5" s="413" t="s">
        <v>22</v>
      </c>
      <c r="AD5" s="413" t="s">
        <v>21</v>
      </c>
      <c r="AE5" s="333" t="s">
        <v>23</v>
      </c>
      <c r="AF5" s="416" t="s">
        <v>132</v>
      </c>
      <c r="AG5" s="417"/>
      <c r="AH5" s="418" t="s">
        <v>25</v>
      </c>
      <c r="AI5" s="413" t="s">
        <v>133</v>
      </c>
      <c r="AJ5" s="413" t="s">
        <v>27</v>
      </c>
      <c r="AK5" s="333" t="s">
        <v>15</v>
      </c>
      <c r="AL5" s="333" t="s">
        <v>16</v>
      </c>
      <c r="AM5" s="333" t="s">
        <v>17</v>
      </c>
      <c r="AN5" s="464" t="s">
        <v>28</v>
      </c>
      <c r="AO5" s="64" t="s">
        <v>21</v>
      </c>
      <c r="AP5" s="70" t="s">
        <v>29</v>
      </c>
      <c r="AQ5" s="70" t="s">
        <v>29</v>
      </c>
      <c r="AR5" s="65" t="s">
        <v>30</v>
      </c>
      <c r="AS5" s="65" t="s">
        <v>31</v>
      </c>
      <c r="AT5" s="414" t="s">
        <v>32</v>
      </c>
      <c r="AU5" s="72" t="s">
        <v>33</v>
      </c>
      <c r="AV5" s="419" t="s">
        <v>34</v>
      </c>
      <c r="AW5" s="418" t="s">
        <v>35</v>
      </c>
      <c r="AX5" s="418" t="s">
        <v>36</v>
      </c>
      <c r="AY5" s="465"/>
      <c r="AZ5" s="305" t="s">
        <v>17</v>
      </c>
      <c r="BA5" s="76" t="s">
        <v>37</v>
      </c>
      <c r="BB5" s="77" t="s">
        <v>37</v>
      </c>
    </row>
    <row r="6" s="193" customFormat="true" ht="12.95" hidden="false" customHeight="true" outlineLevel="0" collapsed="false">
      <c r="A6" s="420" t="s">
        <v>138</v>
      </c>
      <c r="B6" s="412" t="s">
        <v>39</v>
      </c>
      <c r="C6" s="413"/>
      <c r="D6" s="333" t="s">
        <v>40</v>
      </c>
      <c r="E6" s="413" t="s">
        <v>41</v>
      </c>
      <c r="F6" s="333" t="s">
        <v>42</v>
      </c>
      <c r="G6" s="412" t="s">
        <v>43</v>
      </c>
      <c r="H6" s="414" t="s">
        <v>44</v>
      </c>
      <c r="I6" s="333" t="s">
        <v>45</v>
      </c>
      <c r="J6" s="333" t="s">
        <v>45</v>
      </c>
      <c r="K6" s="333" t="s">
        <v>45</v>
      </c>
      <c r="L6" s="424" t="s">
        <v>46</v>
      </c>
      <c r="M6" s="333" t="s">
        <v>47</v>
      </c>
      <c r="N6" s="76" t="s">
        <v>48</v>
      </c>
      <c r="O6" s="333" t="s">
        <v>49</v>
      </c>
      <c r="P6" s="76" t="s">
        <v>135</v>
      </c>
      <c r="Q6" s="61" t="s">
        <v>51</v>
      </c>
      <c r="R6" s="61" t="s">
        <v>52</v>
      </c>
      <c r="S6" s="61"/>
      <c r="T6" s="61" t="s">
        <v>49</v>
      </c>
      <c r="U6" s="422" t="s">
        <v>53</v>
      </c>
      <c r="V6" s="333" t="s">
        <v>54</v>
      </c>
      <c r="W6" s="333" t="s">
        <v>55</v>
      </c>
      <c r="X6" s="58" t="s">
        <v>21</v>
      </c>
      <c r="Y6" s="58" t="s">
        <v>21</v>
      </c>
      <c r="Z6" s="64" t="s">
        <v>56</v>
      </c>
      <c r="AA6" s="58" t="s">
        <v>56</v>
      </c>
      <c r="AB6" s="64" t="s">
        <v>57</v>
      </c>
      <c r="AC6" s="413" t="s">
        <v>58</v>
      </c>
      <c r="AD6" s="413" t="s">
        <v>59</v>
      </c>
      <c r="AE6" s="333" t="s">
        <v>60</v>
      </c>
      <c r="AF6" s="79" t="s">
        <v>61</v>
      </c>
      <c r="AG6" s="82" t="s">
        <v>62</v>
      </c>
      <c r="AH6" s="418" t="s">
        <v>63</v>
      </c>
      <c r="AI6" s="413" t="s">
        <v>64</v>
      </c>
      <c r="AJ6" s="413"/>
      <c r="AK6" s="333" t="s">
        <v>65</v>
      </c>
      <c r="AL6" s="333" t="s">
        <v>65</v>
      </c>
      <c r="AM6" s="333" t="s">
        <v>65</v>
      </c>
      <c r="AN6" s="464" t="s">
        <v>66</v>
      </c>
      <c r="AO6" s="64" t="s">
        <v>67</v>
      </c>
      <c r="AP6" s="70" t="s">
        <v>68</v>
      </c>
      <c r="AQ6" s="70" t="s">
        <v>68</v>
      </c>
      <c r="AR6" s="65" t="s">
        <v>69</v>
      </c>
      <c r="AS6" s="65" t="s">
        <v>70</v>
      </c>
      <c r="AT6" s="414" t="s">
        <v>71</v>
      </c>
      <c r="AU6" s="72" t="s">
        <v>72</v>
      </c>
      <c r="AV6" s="423"/>
      <c r="AW6" s="418" t="s">
        <v>73</v>
      </c>
      <c r="AX6" s="418" t="s">
        <v>73</v>
      </c>
      <c r="AY6" s="465"/>
      <c r="AZ6" s="305" t="s">
        <v>74</v>
      </c>
      <c r="BA6" s="76" t="s">
        <v>75</v>
      </c>
      <c r="BB6" s="77" t="s">
        <v>76</v>
      </c>
    </row>
    <row r="7" s="193" customFormat="true" ht="12.95" hidden="false" customHeight="true" outlineLevel="0" collapsed="false">
      <c r="A7" s="333"/>
      <c r="B7" s="412"/>
      <c r="C7" s="413"/>
      <c r="D7" s="333"/>
      <c r="E7" s="413"/>
      <c r="F7" s="333"/>
      <c r="G7" s="412"/>
      <c r="H7" s="414"/>
      <c r="I7" s="333"/>
      <c r="J7" s="333"/>
      <c r="K7" s="333"/>
      <c r="L7" s="424"/>
      <c r="M7" s="333"/>
      <c r="N7" s="76" t="s">
        <v>77</v>
      </c>
      <c r="O7" s="333" t="s">
        <v>78</v>
      </c>
      <c r="P7" s="76"/>
      <c r="Q7" s="61" t="s">
        <v>79</v>
      </c>
      <c r="R7" s="61" t="s">
        <v>79</v>
      </c>
      <c r="S7" s="61" t="s">
        <v>62</v>
      </c>
      <c r="T7" s="61" t="s">
        <v>62</v>
      </c>
      <c r="U7" s="422" t="s">
        <v>80</v>
      </c>
      <c r="V7" s="333"/>
      <c r="W7" s="333"/>
      <c r="X7" s="68" t="s">
        <v>81</v>
      </c>
      <c r="Y7" s="60" t="s">
        <v>82</v>
      </c>
      <c r="Z7" s="64" t="s">
        <v>83</v>
      </c>
      <c r="AA7" s="58" t="s">
        <v>84</v>
      </c>
      <c r="AB7" s="64" t="s">
        <v>85</v>
      </c>
      <c r="AC7" s="413"/>
      <c r="AD7" s="413"/>
      <c r="AE7" s="333"/>
      <c r="AF7" s="84" t="n">
        <v>1.7</v>
      </c>
      <c r="AG7" s="84" t="n">
        <v>1.3</v>
      </c>
      <c r="AH7" s="418"/>
      <c r="AI7" s="413"/>
      <c r="AJ7" s="413"/>
      <c r="AK7" s="333"/>
      <c r="AL7" s="333"/>
      <c r="AM7" s="333"/>
      <c r="AN7" s="464"/>
      <c r="AO7" s="64" t="s">
        <v>42</v>
      </c>
      <c r="AP7" s="70" t="s">
        <v>86</v>
      </c>
      <c r="AQ7" s="70" t="s">
        <v>87</v>
      </c>
      <c r="AR7" s="65" t="s">
        <v>88</v>
      </c>
      <c r="AS7" s="65" t="s">
        <v>89</v>
      </c>
      <c r="AT7" s="414" t="s">
        <v>90</v>
      </c>
      <c r="AU7" s="72" t="s">
        <v>81</v>
      </c>
      <c r="AV7" s="423"/>
      <c r="AW7" s="418"/>
      <c r="AX7" s="418"/>
      <c r="AY7" s="465"/>
      <c r="AZ7" s="305" t="s">
        <v>91</v>
      </c>
      <c r="BA7" s="8"/>
      <c r="BB7" s="86"/>
    </row>
    <row r="8" s="193" customFormat="true" ht="12.95" hidden="false" customHeight="true" outlineLevel="0" collapsed="false">
      <c r="A8" s="333"/>
      <c r="B8" s="412"/>
      <c r="C8" s="413"/>
      <c r="D8" s="333"/>
      <c r="E8" s="413"/>
      <c r="F8" s="333"/>
      <c r="G8" s="412"/>
      <c r="H8" s="414"/>
      <c r="I8" s="333"/>
      <c r="J8" s="333"/>
      <c r="K8" s="333"/>
      <c r="L8" s="424"/>
      <c r="M8" s="333"/>
      <c r="N8" s="61"/>
      <c r="O8" s="333"/>
      <c r="P8" s="76"/>
      <c r="Q8" s="61" t="s">
        <v>62</v>
      </c>
      <c r="R8" s="61" t="s">
        <v>62</v>
      </c>
      <c r="S8" s="61"/>
      <c r="T8" s="61"/>
      <c r="U8" s="422"/>
      <c r="V8" s="333"/>
      <c r="W8" s="333"/>
      <c r="X8" s="68" t="s">
        <v>92</v>
      </c>
      <c r="Y8" s="60" t="s">
        <v>81</v>
      </c>
      <c r="Z8" s="64"/>
      <c r="AA8" s="60" t="s">
        <v>93</v>
      </c>
      <c r="AB8" s="64" t="s">
        <v>94</v>
      </c>
      <c r="AC8" s="413"/>
      <c r="AD8" s="413"/>
      <c r="AE8" s="333"/>
      <c r="AF8" s="425"/>
      <c r="AG8" s="426"/>
      <c r="AH8" s="418"/>
      <c r="AI8" s="413"/>
      <c r="AJ8" s="413"/>
      <c r="AK8" s="333"/>
      <c r="AL8" s="333"/>
      <c r="AM8" s="333"/>
      <c r="AN8" s="464"/>
      <c r="AO8" s="64"/>
      <c r="AP8" s="70"/>
      <c r="AQ8" s="70"/>
      <c r="AR8" s="65"/>
      <c r="AS8" s="184" t="n">
        <v>1535.7</v>
      </c>
      <c r="AT8" s="414"/>
      <c r="AU8" s="72"/>
      <c r="AV8" s="423"/>
      <c r="AW8" s="418"/>
      <c r="AX8" s="418"/>
      <c r="AY8" s="465"/>
      <c r="AZ8" s="305"/>
      <c r="BA8" s="8"/>
      <c r="BB8" s="86"/>
    </row>
    <row r="9" s="193" customFormat="true" ht="12.95" hidden="false" customHeight="true" outlineLevel="0" collapsed="false">
      <c r="A9" s="333"/>
      <c r="B9" s="412"/>
      <c r="C9" s="413"/>
      <c r="D9" s="333"/>
      <c r="E9" s="413"/>
      <c r="F9" s="333"/>
      <c r="G9" s="412"/>
      <c r="H9" s="414"/>
      <c r="I9" s="333"/>
      <c r="J9" s="333"/>
      <c r="K9" s="333"/>
      <c r="L9" s="424"/>
      <c r="M9" s="333"/>
      <c r="N9" s="76"/>
      <c r="O9" s="333"/>
      <c r="P9" s="76"/>
      <c r="Q9" s="61"/>
      <c r="R9" s="87" t="n">
        <v>4.2</v>
      </c>
      <c r="S9" s="61"/>
      <c r="T9" s="61"/>
      <c r="U9" s="422"/>
      <c r="V9" s="333"/>
      <c r="W9" s="333"/>
      <c r="X9" s="68"/>
      <c r="Y9" s="60" t="s">
        <v>92</v>
      </c>
      <c r="Z9" s="64"/>
      <c r="AA9" s="60" t="s">
        <v>92</v>
      </c>
      <c r="AB9" s="64" t="s">
        <v>95</v>
      </c>
      <c r="AC9" s="413"/>
      <c r="AD9" s="413"/>
      <c r="AE9" s="333"/>
      <c r="AF9" s="425"/>
      <c r="AG9" s="426"/>
      <c r="AH9" s="418"/>
      <c r="AI9" s="413"/>
      <c r="AJ9" s="413"/>
      <c r="AK9" s="333"/>
      <c r="AL9" s="333"/>
      <c r="AM9" s="333"/>
      <c r="AN9" s="464"/>
      <c r="AO9" s="64"/>
      <c r="AP9" s="70"/>
      <c r="AQ9" s="70"/>
      <c r="AR9" s="65"/>
      <c r="AS9" s="184"/>
      <c r="AT9" s="414"/>
      <c r="AU9" s="72"/>
      <c r="AV9" s="423"/>
      <c r="AW9" s="418"/>
      <c r="AX9" s="418"/>
      <c r="AY9" s="465"/>
      <c r="AZ9" s="305"/>
      <c r="BA9" s="8"/>
      <c r="BB9" s="77" t="s">
        <v>96</v>
      </c>
    </row>
    <row r="10" s="193" customFormat="true" ht="12.95" hidden="false" customHeight="true" outlineLevel="0" collapsed="false">
      <c r="A10" s="333"/>
      <c r="B10" s="412"/>
      <c r="C10" s="413" t="s">
        <v>10</v>
      </c>
      <c r="D10" s="333"/>
      <c r="E10" s="413" t="s">
        <v>98</v>
      </c>
      <c r="F10" s="333"/>
      <c r="G10" s="412" t="s">
        <v>42</v>
      </c>
      <c r="H10" s="414" t="s">
        <v>42</v>
      </c>
      <c r="I10" s="414" t="s">
        <v>42</v>
      </c>
      <c r="J10" s="414" t="s">
        <v>42</v>
      </c>
      <c r="K10" s="414" t="s">
        <v>42</v>
      </c>
      <c r="L10" s="427" t="s">
        <v>42</v>
      </c>
      <c r="M10" s="414" t="s">
        <v>42</v>
      </c>
      <c r="N10" s="414" t="s">
        <v>42</v>
      </c>
      <c r="O10" s="414" t="s">
        <v>42</v>
      </c>
      <c r="P10" s="414" t="s">
        <v>42</v>
      </c>
      <c r="Q10" s="61" t="s">
        <v>42</v>
      </c>
      <c r="R10" s="61" t="s">
        <v>42</v>
      </c>
      <c r="S10" s="61" t="s">
        <v>42</v>
      </c>
      <c r="T10" s="61" t="s">
        <v>42</v>
      </c>
      <c r="U10" s="427" t="s">
        <v>42</v>
      </c>
      <c r="V10" s="414" t="s">
        <v>42</v>
      </c>
      <c r="W10" s="414" t="s">
        <v>42</v>
      </c>
      <c r="X10" s="60" t="n">
        <v>153400</v>
      </c>
      <c r="Y10" s="60" t="n">
        <v>150400</v>
      </c>
      <c r="Z10" s="61" t="s">
        <v>42</v>
      </c>
      <c r="AA10" s="60"/>
      <c r="AB10" s="60" t="n">
        <v>72000</v>
      </c>
      <c r="AC10" s="414" t="s">
        <v>42</v>
      </c>
      <c r="AD10" s="414" t="s">
        <v>42</v>
      </c>
      <c r="AE10" s="414" t="s">
        <v>42</v>
      </c>
      <c r="AF10" s="428" t="s">
        <v>42</v>
      </c>
      <c r="AG10" s="427" t="s">
        <v>42</v>
      </c>
      <c r="AH10" s="414" t="s">
        <v>42</v>
      </c>
      <c r="AI10" s="414" t="s">
        <v>42</v>
      </c>
      <c r="AJ10" s="414" t="s">
        <v>42</v>
      </c>
      <c r="AK10" s="414" t="s">
        <v>42</v>
      </c>
      <c r="AL10" s="414" t="s">
        <v>42</v>
      </c>
      <c r="AM10" s="414" t="s">
        <v>42</v>
      </c>
      <c r="AN10" s="464" t="s">
        <v>42</v>
      </c>
      <c r="AO10" s="64" t="s">
        <v>42</v>
      </c>
      <c r="AP10" s="64" t="s">
        <v>42</v>
      </c>
      <c r="AQ10" s="70" t="s">
        <v>99</v>
      </c>
      <c r="AR10" s="65" t="s">
        <v>42</v>
      </c>
      <c r="AS10" s="65" t="s">
        <v>42</v>
      </c>
      <c r="AT10" s="64" t="s">
        <v>42</v>
      </c>
      <c r="AU10" s="64" t="s">
        <v>42</v>
      </c>
      <c r="AV10" s="423"/>
      <c r="AW10" s="418"/>
      <c r="AX10" s="418"/>
      <c r="AY10" s="264"/>
      <c r="AZ10" s="305" t="s">
        <v>100</v>
      </c>
      <c r="BA10" s="76" t="s">
        <v>42</v>
      </c>
      <c r="BB10" s="77" t="s">
        <v>98</v>
      </c>
    </row>
    <row r="11" s="193" customFormat="true" ht="12.95" hidden="false" customHeight="true" outlineLevel="0" collapsed="false">
      <c r="A11" s="333"/>
      <c r="B11" s="412"/>
      <c r="C11" s="413"/>
      <c r="D11" s="333"/>
      <c r="E11" s="413"/>
      <c r="F11" s="466"/>
      <c r="G11" s="333"/>
      <c r="H11" s="414"/>
      <c r="I11" s="333"/>
      <c r="J11" s="333"/>
      <c r="K11" s="333"/>
      <c r="L11" s="424"/>
      <c r="M11" s="333"/>
      <c r="N11" s="76" t="n">
        <v>1.03</v>
      </c>
      <c r="O11" s="430" t="n">
        <v>1.05</v>
      </c>
      <c r="P11" s="76" t="n">
        <v>1.02</v>
      </c>
      <c r="Q11" s="88" t="n">
        <v>1.02</v>
      </c>
      <c r="R11" s="89" t="n">
        <v>1.04</v>
      </c>
      <c r="S11" s="61"/>
      <c r="T11" s="88" t="n">
        <v>1.04</v>
      </c>
      <c r="U11" s="422"/>
      <c r="V11" s="333"/>
      <c r="W11" s="333"/>
      <c r="X11" s="61" t="s">
        <v>42</v>
      </c>
      <c r="Y11" s="61" t="s">
        <v>42</v>
      </c>
      <c r="Z11" s="61" t="s">
        <v>42</v>
      </c>
      <c r="AA11" s="60" t="s">
        <v>42</v>
      </c>
      <c r="AB11" s="90" t="s">
        <v>101</v>
      </c>
      <c r="AC11" s="413"/>
      <c r="AD11" s="413"/>
      <c r="AE11" s="333"/>
      <c r="AF11" s="425"/>
      <c r="AG11" s="426"/>
      <c r="AH11" s="418"/>
      <c r="AI11" s="413"/>
      <c r="AJ11" s="413"/>
      <c r="AK11" s="333"/>
      <c r="AL11" s="333"/>
      <c r="AM11" s="333"/>
      <c r="AN11" s="464"/>
      <c r="AO11" s="64"/>
      <c r="AP11" s="70"/>
      <c r="AQ11" s="70"/>
      <c r="AR11" s="65"/>
      <c r="AS11" s="354"/>
      <c r="AT11" s="335"/>
      <c r="AU11" s="189"/>
      <c r="AV11" s="423"/>
      <c r="AW11" s="418"/>
      <c r="AX11" s="418"/>
      <c r="AY11" s="264"/>
      <c r="AZ11" s="305" t="s">
        <v>42</v>
      </c>
      <c r="BA11" s="8"/>
      <c r="BB11" s="86"/>
    </row>
    <row r="12" customFormat="false" ht="12.95" hidden="false" customHeight="true" outlineLevel="0" collapsed="false">
      <c r="A12" s="11" t="s">
        <v>102</v>
      </c>
      <c r="B12" s="364"/>
      <c r="C12" s="100"/>
      <c r="D12" s="100"/>
      <c r="E12" s="100"/>
      <c r="F12" s="156" t="n">
        <f aca="false">MAY!F50</f>
        <v>35049.6596924628</v>
      </c>
      <c r="G12" s="100" t="n">
        <f aca="false">MAY!G50</f>
        <v>46169</v>
      </c>
      <c r="H12" s="100" t="n">
        <f aca="false">MAY!H50</f>
        <v>1784.022</v>
      </c>
      <c r="I12" s="100" t="n">
        <f aca="false">MAY!I50</f>
        <v>47953.022</v>
      </c>
      <c r="J12" s="100" t="n">
        <f aca="false">MAY!J50</f>
        <v>1673.01269473153</v>
      </c>
      <c r="K12" s="100" t="n">
        <f aca="false">MAY!K50</f>
        <v>49626.0246947315</v>
      </c>
      <c r="L12" s="105" t="n">
        <f aca="false">MAY!L50</f>
        <v>556.017692462817</v>
      </c>
      <c r="M12" s="100" t="n">
        <f aca="false">MAY!M50</f>
        <v>7344.81</v>
      </c>
      <c r="N12" s="100" t="n">
        <f aca="false">MAY!N50</f>
        <v>14.0206705318881</v>
      </c>
      <c r="O12" s="100" t="n">
        <f aca="false">MAY!O50</f>
        <v>2131.416</v>
      </c>
      <c r="P12" s="89" t="n">
        <f aca="false">MAY!P50</f>
        <v>0</v>
      </c>
      <c r="Q12" s="163"/>
      <c r="R12" s="163"/>
      <c r="S12" s="100"/>
      <c r="T12" s="100"/>
      <c r="U12" s="365"/>
      <c r="V12" s="100" t="n">
        <f aca="false">MAY!V50</f>
        <v>72.3</v>
      </c>
      <c r="W12" s="100" t="n">
        <f aca="false">MAY!W50</f>
        <v>1919.99</v>
      </c>
      <c r="X12" s="100" t="n">
        <f aca="false">MAY!X50</f>
        <v>7166.26810345756</v>
      </c>
      <c r="Y12" s="100" t="n">
        <f aca="false">MAY!Y50</f>
        <v>6987.00810345756</v>
      </c>
      <c r="Z12" s="114" t="n">
        <f aca="false">MAY!Z45</f>
        <v>27589.0749507027</v>
      </c>
      <c r="AA12" s="114" t="n">
        <f aca="false">MAY!AA50</f>
        <v>0</v>
      </c>
      <c r="AB12" s="114" t="n">
        <f aca="false">MAY!AB45</f>
        <v>68581.6607379268</v>
      </c>
      <c r="AC12" s="114" t="n">
        <f aca="false">MAY!AC45</f>
        <v>1459.25457926236</v>
      </c>
      <c r="AD12" s="85"/>
      <c r="AE12" s="100" t="n">
        <f aca="false">MAY!AE50</f>
        <v>2653.57</v>
      </c>
      <c r="AF12" s="104" t="n">
        <f aca="false">MAY!AF50</f>
        <v>103.7</v>
      </c>
      <c r="AG12" s="105" t="n">
        <f aca="false">MAY!AG50</f>
        <v>79.3</v>
      </c>
      <c r="AH12" s="85"/>
      <c r="AI12" s="85"/>
      <c r="AJ12" s="100" t="n">
        <f aca="false">MAY!AJ50</f>
        <v>0</v>
      </c>
      <c r="AK12" s="100" t="n">
        <f aca="false">MAY!AK50</f>
        <v>13459.37</v>
      </c>
      <c r="AL12" s="100" t="n">
        <f aca="false">MAY!AL50</f>
        <v>1116.99500226872</v>
      </c>
      <c r="AM12" s="100" t="n">
        <f aca="false">MAY!AM50</f>
        <v>14576.3650022687</v>
      </c>
      <c r="AN12" s="467"/>
      <c r="AO12" s="157"/>
      <c r="AP12" s="85"/>
      <c r="AQ12" s="100" t="n">
        <f aca="false">MAY!AQ51</f>
        <v>529.927199035569</v>
      </c>
      <c r="AR12" s="109" t="n">
        <f aca="false">MAY!AR50</f>
        <v>242.315603730779</v>
      </c>
      <c r="AS12" s="163" t="n">
        <f aca="false">MAY!AS50</f>
        <v>0</v>
      </c>
      <c r="AT12" s="100" t="n">
        <f aca="false">MAY!AT50</f>
        <v>0</v>
      </c>
      <c r="AU12" s="468"/>
      <c r="AV12" s="469"/>
      <c r="AW12" s="109"/>
      <c r="AX12" s="109"/>
      <c r="AY12" s="149"/>
      <c r="AZ12" s="470" t="n">
        <f aca="false">MAY!AZ50</f>
        <v>319.051650273219</v>
      </c>
      <c r="BA12" s="99" t="n">
        <f aca="false">MAY!BA50</f>
        <v>335.536</v>
      </c>
      <c r="BB12" s="471"/>
    </row>
    <row r="13" s="116" customFormat="true" ht="12.95" hidden="false" customHeight="true" outlineLevel="0" collapsed="false">
      <c r="A13" s="2" t="s">
        <v>103</v>
      </c>
      <c r="B13" s="139" t="n">
        <f aca="false">MAY!B45</f>
        <v>6894.83</v>
      </c>
      <c r="C13" s="100" t="n">
        <f aca="false">MAY!C45</f>
        <v>264896</v>
      </c>
      <c r="D13" s="100" t="n">
        <f aca="false">MAY!D54</f>
        <v>79156</v>
      </c>
      <c r="E13" s="100" t="n">
        <f aca="false">MAY!E54</f>
        <v>112896</v>
      </c>
      <c r="F13" s="174" t="n">
        <f aca="false">MAY!F53</f>
        <v>39907.2346861608</v>
      </c>
      <c r="G13" s="100" t="n">
        <f aca="false">MAY!G53</f>
        <v>61398</v>
      </c>
      <c r="H13" s="100" t="n">
        <f aca="false">MAY!H53</f>
        <v>1901.524</v>
      </c>
      <c r="I13" s="100" t="n">
        <f aca="false">MAY!I53</f>
        <v>63298.904</v>
      </c>
      <c r="J13" s="100" t="n">
        <f aca="false">MAY!J53</f>
        <v>4018.10160020166</v>
      </c>
      <c r="K13" s="100" t="n">
        <f aca="false">MAY!K53</f>
        <v>67316.9956002017</v>
      </c>
      <c r="L13" s="162" t="n">
        <f aca="false">MAY!L53</f>
        <v>685.460686160826</v>
      </c>
      <c r="M13" s="100" t="n">
        <f aca="false">MAY!M53</f>
        <v>8089.34</v>
      </c>
      <c r="N13" s="100" t="n">
        <f aca="false">MAY!N53</f>
        <v>14.0206705318881</v>
      </c>
      <c r="O13" s="100" t="n">
        <f aca="false">MAY!O53</f>
        <v>2131.416</v>
      </c>
      <c r="P13" s="89"/>
      <c r="Q13" s="100" t="n">
        <f aca="false">MAY!Q53</f>
        <v>328.548704383118</v>
      </c>
      <c r="R13" s="100" t="n">
        <f aca="false">MAY!R53</f>
        <v>393.03137136</v>
      </c>
      <c r="S13" s="100" t="n">
        <f aca="false">MAY!S53</f>
        <v>1.3250888</v>
      </c>
      <c r="T13" s="100" t="n">
        <f aca="false">MAY!T53</f>
        <v>123.95363552</v>
      </c>
      <c r="U13" s="472" t="n">
        <f aca="false">MAY!U53</f>
        <v>-45.366813481233</v>
      </c>
      <c r="V13" s="100" t="n">
        <f aca="false">MAY!V53</f>
        <v>5784.79</v>
      </c>
      <c r="W13" s="100" t="n">
        <f aca="false">MAY!W53</f>
        <v>1944.02</v>
      </c>
      <c r="X13" s="100" t="n">
        <f aca="false">MAY!X53</f>
        <v>13081.500396617</v>
      </c>
      <c r="Y13" s="100" t="n">
        <f aca="false">MAY!Y53</f>
        <v>12706.6170632837</v>
      </c>
      <c r="Z13" s="85"/>
      <c r="AA13" s="100"/>
      <c r="AB13" s="114"/>
      <c r="AC13" s="85"/>
      <c r="AD13" s="85"/>
      <c r="AE13" s="100"/>
      <c r="AF13" s="369" t="n">
        <f aca="false">AF12</f>
        <v>103.7</v>
      </c>
      <c r="AG13" s="162" t="n">
        <f aca="false">AG12</f>
        <v>79.3</v>
      </c>
      <c r="AH13" s="100" t="n">
        <f aca="false">MAY!AH53</f>
        <v>5605.4</v>
      </c>
      <c r="AI13" s="100" t="n">
        <f aca="false">MAY!AI53</f>
        <v>14562.5578774893</v>
      </c>
      <c r="AJ13" s="100" t="n">
        <f aca="false">MAY!AJ53</f>
        <v>0</v>
      </c>
      <c r="AK13" s="100" t="n">
        <f aca="false">MAY!AK53</f>
        <v>24077.12</v>
      </c>
      <c r="AL13" s="100" t="n">
        <f aca="false">MAY!AL53</f>
        <v>3332.64091404084</v>
      </c>
      <c r="AM13" s="100" t="n">
        <f aca="false">MAY!AM53</f>
        <v>27409.7609140408</v>
      </c>
      <c r="AN13" s="366" t="n">
        <f aca="false">MAY!AN53</f>
        <v>5685.01666666667</v>
      </c>
      <c r="AO13" s="100" t="n">
        <f aca="false">MAY!AO53</f>
        <v>374.883333333333</v>
      </c>
      <c r="AP13" s="142"/>
      <c r="AQ13" s="100" t="n">
        <f aca="false">MAY!AQ54</f>
        <v>529.927199035569</v>
      </c>
      <c r="AR13" s="109" t="n">
        <f aca="false">MAY!AR53</f>
        <v>242.315603730779</v>
      </c>
      <c r="AS13" s="163" t="n">
        <f aca="false">MAY!AS53</f>
        <v>0</v>
      </c>
      <c r="AT13" s="100" t="n">
        <f aca="false">MAY!AT53</f>
        <v>0</v>
      </c>
      <c r="AU13" s="473"/>
      <c r="AV13" s="139" t="n">
        <f aca="false">MAY!AV53</f>
        <v>9.97</v>
      </c>
      <c r="AW13" s="109"/>
      <c r="AX13" s="109"/>
      <c r="AY13" s="370"/>
      <c r="AZ13" s="474" t="n">
        <f aca="false">MAY!AZ53</f>
        <v>815.512657113774</v>
      </c>
      <c r="BA13" s="99" t="n">
        <f aca="false">MAY!BA53</f>
        <v>349.142</v>
      </c>
      <c r="BB13" s="97"/>
    </row>
    <row r="14" customFormat="false" ht="3" hidden="false" customHeight="true" outlineLevel="0" collapsed="false">
      <c r="A14" s="117"/>
      <c r="B14" s="371"/>
      <c r="C14" s="127"/>
      <c r="D14" s="124"/>
      <c r="E14" s="127"/>
      <c r="F14" s="153"/>
      <c r="G14" s="124"/>
      <c r="H14" s="126"/>
      <c r="I14" s="124"/>
      <c r="J14" s="124"/>
      <c r="K14" s="124"/>
      <c r="L14" s="124"/>
      <c r="M14" s="128"/>
      <c r="N14" s="124"/>
      <c r="O14" s="126" t="n">
        <v>0</v>
      </c>
      <c r="P14" s="372"/>
      <c r="Q14" s="126"/>
      <c r="R14" s="126"/>
      <c r="S14" s="124"/>
      <c r="T14" s="124"/>
      <c r="U14" s="373"/>
      <c r="V14" s="124"/>
      <c r="W14" s="124" t="n">
        <v>0</v>
      </c>
      <c r="X14" s="124"/>
      <c r="Y14" s="124"/>
      <c r="Z14" s="127"/>
      <c r="AA14" s="124"/>
      <c r="AB14" s="246"/>
      <c r="AC14" s="127"/>
      <c r="AD14" s="127"/>
      <c r="AE14" s="124"/>
      <c r="AF14" s="128"/>
      <c r="AG14" s="129"/>
      <c r="AH14" s="124"/>
      <c r="AI14" s="127"/>
      <c r="AJ14" s="127"/>
      <c r="AK14" s="124"/>
      <c r="AL14" s="124"/>
      <c r="AM14" s="124"/>
      <c r="AN14" s="475"/>
      <c r="AO14" s="131"/>
      <c r="AP14" s="131"/>
      <c r="AQ14" s="251"/>
      <c r="AR14" s="253"/>
      <c r="AS14" s="253"/>
      <c r="AT14" s="256"/>
      <c r="AU14" s="253"/>
      <c r="AV14" s="133"/>
      <c r="AW14" s="131"/>
      <c r="AX14" s="131"/>
      <c r="AY14" s="169"/>
      <c r="AZ14" s="476"/>
      <c r="BA14" s="372"/>
      <c r="BB14" s="476"/>
    </row>
    <row r="15" customFormat="false" ht="12.95" hidden="false" customHeight="true" outlineLevel="0" collapsed="false">
      <c r="A15" s="10" t="n">
        <v>1</v>
      </c>
      <c r="B15" s="367" t="n">
        <v>6895.57</v>
      </c>
      <c r="C15" s="100" t="n">
        <v>267524</v>
      </c>
      <c r="D15" s="109" t="n">
        <f aca="false">C15-C13</f>
        <v>2628</v>
      </c>
      <c r="E15" s="100" t="n">
        <f aca="false">C15-152000</f>
        <v>115524</v>
      </c>
      <c r="F15" s="151" t="n">
        <f aca="false">D15/$D$2</f>
        <v>1324.93067809428</v>
      </c>
      <c r="G15" s="142" t="n">
        <v>1960</v>
      </c>
      <c r="H15" s="103" t="n">
        <v>3.82</v>
      </c>
      <c r="I15" s="142" t="n">
        <f aca="false">G15+H15</f>
        <v>1963.82</v>
      </c>
      <c r="J15" s="375" t="n">
        <f aca="false">IF(L15&gt;0,L15,0)</f>
        <v>0</v>
      </c>
      <c r="K15" s="142" t="n">
        <f aca="false">I15+J15</f>
        <v>1963.82</v>
      </c>
      <c r="L15" s="142" t="n">
        <f aca="false">F15-(I15-AK15)</f>
        <v>-132.989321905722</v>
      </c>
      <c r="M15" s="145" t="n">
        <v>229</v>
      </c>
      <c r="N15" s="171" t="n">
        <f aca="false">1/$D$2*1.03</f>
        <v>0.519284093773632</v>
      </c>
      <c r="O15" s="144" t="n">
        <f aca="false">33.2*1.05</f>
        <v>34.86</v>
      </c>
      <c r="P15" s="171" t="n">
        <v>0</v>
      </c>
      <c r="Q15" s="477" t="n">
        <f aca="false">1653800/325851/1.9835*1.02</f>
        <v>2.60994825101725</v>
      </c>
      <c r="R15" s="438" t="n">
        <v>4.2</v>
      </c>
      <c r="S15" s="438" t="n">
        <f aca="false">((5.3*1.04)-T15)-4.2</f>
        <v>0.188544159999999</v>
      </c>
      <c r="T15" s="438" t="n">
        <f aca="false">(1.0191*1.06)*1.04</f>
        <v>1.12345584</v>
      </c>
      <c r="U15" s="365" t="n">
        <v>0</v>
      </c>
      <c r="V15" s="142" t="n">
        <v>16.2</v>
      </c>
      <c r="W15" s="142" t="n">
        <v>44.9</v>
      </c>
      <c r="X15" s="143" t="n">
        <f aca="false">M15-N15-O15-P15-Q15-R15-S15-T15-U15+V15+W15-AT15+AR15</f>
        <v>258.684457933337</v>
      </c>
      <c r="Y15" s="143" t="n">
        <f aca="false">X15-AO15</f>
        <v>258.684457933337</v>
      </c>
      <c r="Z15" s="114" t="n">
        <f aca="false">Z12+AP15</f>
        <v>28125.3904927693</v>
      </c>
      <c r="AA15" s="143"/>
      <c r="AB15" s="114" t="n">
        <f aca="false">AB12+(Y15+AP15)*1.9835</f>
        <v>70158.5432379268</v>
      </c>
      <c r="AC15" s="114" t="n">
        <f aca="false">AC12-(MAY!AQ45/1.9835)</f>
        <v>1446.96508634235</v>
      </c>
      <c r="AD15" s="85"/>
      <c r="AE15" s="142" t="n">
        <v>165</v>
      </c>
      <c r="AF15" s="145" t="n">
        <v>1.7</v>
      </c>
      <c r="AG15" s="146" t="n">
        <v>1.3</v>
      </c>
      <c r="AH15" s="142" t="n">
        <v>50.8</v>
      </c>
      <c r="AI15" s="85" t="n">
        <f aca="false">AI13-AH15</f>
        <v>14511.7578774893</v>
      </c>
      <c r="AJ15" s="142"/>
      <c r="AK15" s="142" t="n">
        <f aca="false">N16+O15+P15+Q15+R15+S15+T15+U15+X15+AE15+AH15-AR15</f>
        <v>505.9</v>
      </c>
      <c r="AL15" s="142" t="n">
        <f aca="false">IF(L15&lt;0,L15*-1,0)</f>
        <v>132.989321905722</v>
      </c>
      <c r="AM15" s="478" t="n">
        <f aca="false">AK15+AL15</f>
        <v>638.889321905722</v>
      </c>
      <c r="AN15" s="225"/>
      <c r="AO15" s="157"/>
      <c r="AP15" s="157" t="n">
        <f aca="false">795-X15</f>
        <v>536.315542066663</v>
      </c>
      <c r="AQ15" s="171" t="n">
        <f aca="false">73.803*(21925*1.9835+AC15*1.9835)/E15</f>
        <v>29.6161929965785</v>
      </c>
      <c r="AR15" s="144" t="n">
        <f aca="false">719.159/1.9835/30</f>
        <v>12.0856902781279</v>
      </c>
      <c r="AS15" s="103"/>
      <c r="AT15" s="185" t="n">
        <v>0</v>
      </c>
      <c r="AV15" s="108" t="n">
        <v>0</v>
      </c>
      <c r="AW15" s="109" t="n">
        <v>86</v>
      </c>
      <c r="AX15" s="109" t="n">
        <v>54</v>
      </c>
      <c r="AY15" s="149"/>
      <c r="AZ15" s="263" t="n">
        <f aca="false">SUM(N16,P15:U15)</f>
        <v>8.64123234479089</v>
      </c>
      <c r="BA15" s="99" t="n">
        <v>104</v>
      </c>
      <c r="BB15" s="471" t="n">
        <v>23854</v>
      </c>
    </row>
    <row r="16" customFormat="false" ht="12.95" hidden="false" customHeight="true" outlineLevel="0" collapsed="false">
      <c r="A16" s="10" t="n">
        <f aca="false">A15+1</f>
        <v>2</v>
      </c>
      <c r="B16" s="367" t="n">
        <v>6896.5</v>
      </c>
      <c r="C16" s="100" t="n">
        <v>270849</v>
      </c>
      <c r="D16" s="109" t="n">
        <f aca="false">C16-C15</f>
        <v>3325</v>
      </c>
      <c r="E16" s="100" t="n">
        <f aca="false">C16-152000</f>
        <v>118849</v>
      </c>
      <c r="F16" s="151" t="n">
        <f aca="false">D16/$D$2</f>
        <v>1676.32972019158</v>
      </c>
      <c r="G16" s="142" t="n">
        <v>2400</v>
      </c>
      <c r="H16" s="103" t="n">
        <v>2.39</v>
      </c>
      <c r="I16" s="142" t="n">
        <f aca="false">G16+H16</f>
        <v>2402.39</v>
      </c>
      <c r="J16" s="375" t="n">
        <f aca="false">IF(L16&gt;0,L16,0)</f>
        <v>0</v>
      </c>
      <c r="K16" s="142" t="n">
        <f aca="false">I16+J16</f>
        <v>2402.39</v>
      </c>
      <c r="L16" s="142" t="n">
        <f aca="false">F16-(I16-AK16)</f>
        <v>-172.560279808419</v>
      </c>
      <c r="M16" s="145" t="n">
        <v>224</v>
      </c>
      <c r="N16" s="171" t="n">
        <f aca="false">1/$D$2*1.03</f>
        <v>0.519284093773632</v>
      </c>
      <c r="O16" s="376" t="n">
        <f aca="false">51.2*1.05</f>
        <v>53.76</v>
      </c>
      <c r="P16" s="171" t="n">
        <v>0</v>
      </c>
      <c r="Q16" s="477" t="n">
        <f aca="false">1510400/325851/1.9835*1.02</f>
        <v>2.38364121316753</v>
      </c>
      <c r="R16" s="438" t="n">
        <v>4.2</v>
      </c>
      <c r="S16" s="438" t="n">
        <f aca="false">((5.4*1.04)-T16)-4.2</f>
        <v>0.29254416</v>
      </c>
      <c r="T16" s="438" t="n">
        <f aca="false">(1.0191*1.06)*1.04</f>
        <v>1.12345584</v>
      </c>
      <c r="U16" s="365" t="n">
        <v>0</v>
      </c>
      <c r="V16" s="142" t="n">
        <v>21.7</v>
      </c>
      <c r="W16" s="142" t="n">
        <v>48.8</v>
      </c>
      <c r="X16" s="143" t="n">
        <f aca="false">M16-N16-O16-P16-Q16-R16-S16-T16-U16+V16+W16-AT16+AR16</f>
        <v>244.306764971187</v>
      </c>
      <c r="Y16" s="143" t="n">
        <f aca="false">X16-AO16</f>
        <v>244.306764971187</v>
      </c>
      <c r="Z16" s="114" t="n">
        <f aca="false">Z15+AP16</f>
        <v>28676.0837277982</v>
      </c>
      <c r="AA16" s="143"/>
      <c r="AB16" s="114" t="n">
        <f aca="false">AB15+(Y16+AP16)*1.9835</f>
        <v>71735.4257379269</v>
      </c>
      <c r="AC16" s="114" t="n">
        <f aca="false">AC15-(AQ15/1.9835)</f>
        <v>1432.03380678774</v>
      </c>
      <c r="AD16" s="114"/>
      <c r="AE16" s="142" t="n">
        <v>209</v>
      </c>
      <c r="AF16" s="145" t="n">
        <v>1.7</v>
      </c>
      <c r="AG16" s="146" t="n">
        <v>1.3</v>
      </c>
      <c r="AH16" s="142" t="n">
        <v>50</v>
      </c>
      <c r="AI16" s="85" t="n">
        <f aca="false">AI15-AH16</f>
        <v>14461.7578774893</v>
      </c>
      <c r="AJ16" s="142"/>
      <c r="AK16" s="142" t="n">
        <f aca="false">N17+O16+P16+Q16+R16+S16+T16+U16+X16+AE16+AH16-AR16</f>
        <v>553.5</v>
      </c>
      <c r="AL16" s="142" t="n">
        <f aca="false">IF(L16&lt;0,L16*-1,0)</f>
        <v>172.560279808419</v>
      </c>
      <c r="AM16" s="142" t="n">
        <f aca="false">AK16+AL16</f>
        <v>726.060279808419</v>
      </c>
      <c r="AN16" s="467"/>
      <c r="AO16" s="157"/>
      <c r="AP16" s="157" t="n">
        <f aca="false">795-X16</f>
        <v>550.693235028813</v>
      </c>
      <c r="AQ16" s="171" t="n">
        <f aca="false">70.829*(21925*1.9835+AC16*1.9835)/E16</f>
        <v>27.6099406117693</v>
      </c>
      <c r="AR16" s="144" t="n">
        <f aca="false">719.159/1.9835/30</f>
        <v>12.0856902781279</v>
      </c>
      <c r="AS16" s="103"/>
      <c r="AT16" s="185" t="n">
        <v>0</v>
      </c>
      <c r="AV16" s="108" t="n">
        <v>0</v>
      </c>
      <c r="AW16" s="109" t="n">
        <v>83</v>
      </c>
      <c r="AX16" s="109" t="n">
        <v>46</v>
      </c>
      <c r="AY16" s="149"/>
      <c r="AZ16" s="263" t="n">
        <f aca="false">SUM(N17,P16:U16)</f>
        <v>8.51892530694116</v>
      </c>
      <c r="BA16" s="99" t="n">
        <v>103</v>
      </c>
      <c r="BB16" s="471" t="n">
        <v>23820</v>
      </c>
    </row>
    <row r="17" customFormat="false" ht="12.95" hidden="false" customHeight="true" outlineLevel="0" collapsed="false">
      <c r="A17" s="10" t="n">
        <f aca="false">A16+1</f>
        <v>3</v>
      </c>
      <c r="B17" s="367" t="n">
        <v>6897.38</v>
      </c>
      <c r="C17" s="100" t="n">
        <v>274018</v>
      </c>
      <c r="D17" s="109" t="n">
        <f aca="false">C17-C16</f>
        <v>3169</v>
      </c>
      <c r="E17" s="100" t="n">
        <f aca="false">C17-152000</f>
        <v>122018</v>
      </c>
      <c r="F17" s="151" t="n">
        <f aca="false">D17/$D$2</f>
        <v>1597.68086715402</v>
      </c>
      <c r="G17" s="142" t="n">
        <v>2340</v>
      </c>
      <c r="H17" s="103" t="n">
        <v>1.78</v>
      </c>
      <c r="I17" s="142" t="n">
        <f aca="false">G17+H17</f>
        <v>2341.78</v>
      </c>
      <c r="J17" s="375" t="n">
        <f aca="false">IF(L17&gt;0,L17,0)</f>
        <v>0</v>
      </c>
      <c r="K17" s="142" t="n">
        <f aca="false">I17+J17</f>
        <v>2341.78</v>
      </c>
      <c r="L17" s="142" t="n">
        <f aca="false">F17-(I17-AK17)</f>
        <v>-118.199132845979</v>
      </c>
      <c r="M17" s="145" t="n">
        <v>264</v>
      </c>
      <c r="N17" s="171" t="n">
        <f aca="false">1/$D$2*1.03</f>
        <v>0.519284093773632</v>
      </c>
      <c r="O17" s="163" t="n">
        <f aca="false">52*1.05</f>
        <v>54.6</v>
      </c>
      <c r="P17" s="171" t="n">
        <v>0</v>
      </c>
      <c r="Q17" s="477" t="n">
        <f aca="false">1702200/325851/1.9835*1.02</f>
        <v>2.68633082167225</v>
      </c>
      <c r="R17" s="438" t="n">
        <v>4.2</v>
      </c>
      <c r="S17" s="438" t="n">
        <f aca="false">((5.3*1.04)-T17)-4.2</f>
        <v>0.188544159999999</v>
      </c>
      <c r="T17" s="438" t="n">
        <f aca="false">(1.0191*1.06)*1.04</f>
        <v>1.12345584</v>
      </c>
      <c r="U17" s="365" t="n">
        <v>0</v>
      </c>
      <c r="V17" s="142" t="n">
        <v>38.3</v>
      </c>
      <c r="W17" s="142" t="n">
        <v>58.5</v>
      </c>
      <c r="X17" s="143" t="n">
        <f aca="false">M17-N17-O17-P17-Q17-R17-S17-T17-U17+V17+W17-AT17+AR17</f>
        <v>309.568075362682</v>
      </c>
      <c r="Y17" s="143" t="n">
        <f aca="false">X17-AO17</f>
        <v>309.568075362682</v>
      </c>
      <c r="Z17" s="114" t="n">
        <f aca="false">Z16+AP17+AA17</f>
        <v>28499.9032309952</v>
      </c>
      <c r="AA17" s="143" t="n">
        <f aca="false">(72000-AB17)/D2</f>
        <v>-661.612421440313</v>
      </c>
      <c r="AB17" s="114" t="n">
        <f aca="false">AB16+(Y17+AP17)*1.9835</f>
        <v>73312.3082379269</v>
      </c>
      <c r="AC17" s="114" t="n">
        <f aca="false">AC16-(AQ16/1.9835)</f>
        <v>1418.11399805985</v>
      </c>
      <c r="AD17" s="114"/>
      <c r="AE17" s="142" t="n">
        <v>216</v>
      </c>
      <c r="AF17" s="145" t="n">
        <v>1.7</v>
      </c>
      <c r="AG17" s="146" t="n">
        <v>1.3</v>
      </c>
      <c r="AH17" s="142" t="n">
        <v>49.1</v>
      </c>
      <c r="AI17" s="85" t="n">
        <f aca="false">AI16-AH17</f>
        <v>14412.6578774893</v>
      </c>
      <c r="AJ17" s="142"/>
      <c r="AK17" s="142" t="n">
        <f aca="false">N18+O17+P17+Q17+R17+S17+T17+U17+X17+AE17+AH17-AR17</f>
        <v>625.9</v>
      </c>
      <c r="AL17" s="142" t="n">
        <f aca="false">IF(L17&lt;0,L17*-1,0)</f>
        <v>118.199132845979</v>
      </c>
      <c r="AM17" s="142" t="n">
        <f aca="false">AK17+AL17</f>
        <v>744.09913284598</v>
      </c>
      <c r="AN17" s="467"/>
      <c r="AO17" s="157"/>
      <c r="AP17" s="157" t="n">
        <f aca="false">795-X17</f>
        <v>485.431924637318</v>
      </c>
      <c r="AQ17" s="171" t="n">
        <f aca="false">63.893*(21925*1.9835+AC17*1.9835)/E17</f>
        <v>24.2448986972569</v>
      </c>
      <c r="AR17" s="144" t="n">
        <f aca="false">719.159/1.9835/30</f>
        <v>12.0856902781279</v>
      </c>
      <c r="AS17" s="103"/>
      <c r="AT17" s="185" t="n">
        <v>0</v>
      </c>
      <c r="AU17" s="0"/>
      <c r="AV17" s="108" t="n">
        <v>0</v>
      </c>
      <c r="AW17" s="109" t="n">
        <v>82</v>
      </c>
      <c r="AX17" s="109" t="n">
        <v>46</v>
      </c>
      <c r="AY17" s="149"/>
      <c r="AZ17" s="263" t="n">
        <f aca="false">SUM(N17,P17:U17)</f>
        <v>8.71761491544588</v>
      </c>
      <c r="BA17" s="99" t="n">
        <v>103</v>
      </c>
      <c r="BB17" s="471" t="n">
        <v>23788</v>
      </c>
    </row>
    <row r="18" customFormat="false" ht="12.95" hidden="false" customHeight="true" outlineLevel="0" collapsed="false">
      <c r="A18" s="10" t="n">
        <f aca="false">A17+1</f>
        <v>4</v>
      </c>
      <c r="B18" s="367" t="n">
        <v>6898.18</v>
      </c>
      <c r="C18" s="100" t="n">
        <v>276917</v>
      </c>
      <c r="D18" s="109" t="n">
        <f aca="false">C18-C17</f>
        <v>2899</v>
      </c>
      <c r="E18" s="100" t="n">
        <f aca="false">C18-152000</f>
        <v>124917</v>
      </c>
      <c r="F18" s="151" t="n">
        <f aca="false">D18/$D$2</f>
        <v>1461.55785228132</v>
      </c>
      <c r="G18" s="142" t="n">
        <v>2150</v>
      </c>
      <c r="H18" s="103" t="n">
        <v>1.67</v>
      </c>
      <c r="I18" s="142" t="n">
        <f aca="false">G18+H18</f>
        <v>2151.67</v>
      </c>
      <c r="J18" s="375" t="n">
        <f aca="false">IF(L18&gt;0,L18,0)</f>
        <v>0</v>
      </c>
      <c r="K18" s="142" t="n">
        <f aca="false">I18+J18</f>
        <v>2151.67</v>
      </c>
      <c r="L18" s="142" t="n">
        <f aca="false">F18-(I18-AK18)</f>
        <v>-35.0121477186792</v>
      </c>
      <c r="M18" s="145" t="n">
        <v>274</v>
      </c>
      <c r="N18" s="171" t="n">
        <f aca="false">1/$D$2*1.03</f>
        <v>0.519284093773632</v>
      </c>
      <c r="O18" s="163" t="n">
        <f aca="false">65.7*1.05</f>
        <v>68.985</v>
      </c>
      <c r="P18" s="171" t="n">
        <v>0</v>
      </c>
      <c r="Q18" s="477" t="n">
        <f aca="false">1555100/325851/1.9835*1.02</f>
        <v>2.45418462036336</v>
      </c>
      <c r="R18" s="438" t="n">
        <v>4.2</v>
      </c>
      <c r="S18" s="438" t="n">
        <f aca="false">((5.4*1.04)-T18)-4.2</f>
        <v>0.29254416</v>
      </c>
      <c r="T18" s="438" t="n">
        <f aca="false">(1.0191*1.06)*1.04</f>
        <v>1.12345584</v>
      </c>
      <c r="U18" s="365" t="n">
        <v>0</v>
      </c>
      <c r="V18" s="142" t="n">
        <v>51</v>
      </c>
      <c r="W18" s="142" t="n">
        <v>57.9</v>
      </c>
      <c r="X18" s="143" t="n">
        <f aca="false">M18-N18-O18-P18-Q18-R18-S18-T18-U18+V18+W18-AT18+AR18</f>
        <v>317.411221563991</v>
      </c>
      <c r="Y18" s="143" t="n">
        <f aca="false">X18-AO18</f>
        <v>317.411221563991</v>
      </c>
      <c r="Z18" s="114" t="n">
        <f aca="false">Z17-Y18</f>
        <v>28182.4920094312</v>
      </c>
      <c r="AA18" s="143" t="n">
        <f aca="false">Y18</f>
        <v>317.411221563991</v>
      </c>
      <c r="AB18" s="114"/>
      <c r="AC18" s="114" t="n">
        <f aca="false">AC17-(AQ17/1.9835)</f>
        <v>1405.89070655632</v>
      </c>
      <c r="AD18" s="114"/>
      <c r="AE18" s="142" t="n">
        <v>222</v>
      </c>
      <c r="AF18" s="145" t="n">
        <v>1.7</v>
      </c>
      <c r="AG18" s="146" t="n">
        <v>1.3</v>
      </c>
      <c r="AH18" s="142" t="n">
        <v>50.2</v>
      </c>
      <c r="AI18" s="85" t="n">
        <f aca="false">AI17-AH18</f>
        <v>14362.4578774893</v>
      </c>
      <c r="AJ18" s="142"/>
      <c r="AK18" s="142" t="n">
        <f aca="false">N19+O18+P18+Q18+R18+S18+T18+U18+X18+AE18+AH18-AR18</f>
        <v>655.1</v>
      </c>
      <c r="AL18" s="142" t="n">
        <f aca="false">IF(L18&lt;0,L18*-1,0)</f>
        <v>35.0121477186792</v>
      </c>
      <c r="AM18" s="142" t="n">
        <f aca="false">AK18+AL18</f>
        <v>690.112147718679</v>
      </c>
      <c r="AN18" s="467"/>
      <c r="AO18" s="157"/>
      <c r="AP18" s="157" t="n">
        <f aca="false">IF((I18-Q18-R18-X18-AF18)&gt;0,0,I18-Q18-R18-X18-AF18)</f>
        <v>0</v>
      </c>
      <c r="AQ18" s="171" t="n">
        <f aca="false">60.806*(21925*1.9835+AC18*1.9835)/E18</f>
        <v>22.5262247835821</v>
      </c>
      <c r="AR18" s="144" t="n">
        <f aca="false">719.159/1.9835/30</f>
        <v>12.0856902781279</v>
      </c>
      <c r="AS18" s="103"/>
      <c r="AT18" s="185" t="n">
        <v>0</v>
      </c>
      <c r="AV18" s="108" t="n">
        <v>0</v>
      </c>
      <c r="AW18" s="109" t="n">
        <v>83</v>
      </c>
      <c r="AX18" s="109" t="n">
        <v>44</v>
      </c>
      <c r="AY18" s="149"/>
      <c r="AZ18" s="263" t="n">
        <f aca="false">SUM(N18,P18:U18)</f>
        <v>8.589468714137</v>
      </c>
      <c r="BA18" s="99" t="n">
        <v>103</v>
      </c>
      <c r="BB18" s="471" t="n">
        <v>23820</v>
      </c>
    </row>
    <row r="19" customFormat="false" ht="12.95" hidden="false" customHeight="true" outlineLevel="0" collapsed="false">
      <c r="A19" s="10" t="n">
        <f aca="false">A18+1</f>
        <v>5</v>
      </c>
      <c r="B19" s="367" t="n">
        <v>6899.01</v>
      </c>
      <c r="C19" s="100" t="n">
        <v>279943</v>
      </c>
      <c r="D19" s="109" t="n">
        <f aca="false">C19-C18</f>
        <v>3026</v>
      </c>
      <c r="E19" s="100" t="n">
        <f aca="false">C19-152000</f>
        <v>127943</v>
      </c>
      <c r="F19" s="151" t="n">
        <f aca="false">D19/$D$2</f>
        <v>1525.58608520292</v>
      </c>
      <c r="G19" s="142" t="n">
        <v>2070</v>
      </c>
      <c r="H19" s="103" t="n">
        <v>1.59</v>
      </c>
      <c r="I19" s="142" t="n">
        <f aca="false">G19+H19</f>
        <v>2071.59</v>
      </c>
      <c r="J19" s="375" t="n">
        <f aca="false">IF(L19&gt;0,L19,0)</f>
        <v>3.2960852029239</v>
      </c>
      <c r="K19" s="142" t="n">
        <f aca="false">I19+J19</f>
        <v>2074.88608520292</v>
      </c>
      <c r="L19" s="142" t="n">
        <f aca="false">F19-(I19-AK19)</f>
        <v>3.2960852029239</v>
      </c>
      <c r="M19" s="145" t="n">
        <v>226</v>
      </c>
      <c r="N19" s="171" t="n">
        <f aca="false">1/$D$2*1.03</f>
        <v>0.519284093773632</v>
      </c>
      <c r="O19" s="163" t="n">
        <f aca="false">48.9*1.05</f>
        <v>51.345</v>
      </c>
      <c r="P19" s="171" t="n">
        <v>0</v>
      </c>
      <c r="Q19" s="477" t="n">
        <f aca="false">1343200/325851/1.9835*1.02</f>
        <v>2.11977415090481</v>
      </c>
      <c r="R19" s="438" t="n">
        <v>4.2</v>
      </c>
      <c r="S19" s="438" t="n">
        <f aca="false">((5.5*1.04)-T19)-4.2</f>
        <v>0.62915056</v>
      </c>
      <c r="T19" s="438" t="n">
        <f aca="false">(0.8081*1.06)*1.04</f>
        <v>0.89084944</v>
      </c>
      <c r="U19" s="365" t="n">
        <v>0</v>
      </c>
      <c r="V19" s="142" t="n">
        <v>54.5</v>
      </c>
      <c r="W19" s="142" t="n">
        <v>55</v>
      </c>
      <c r="X19" s="143" t="n">
        <f aca="false">M19-N19-O19-P19-Q19-R19-S19-T19-U19+V19+W19-AT19+AR19</f>
        <v>287.881632033449</v>
      </c>
      <c r="Y19" s="143" t="n">
        <f aca="false">X19-AO19</f>
        <v>287.881632033449</v>
      </c>
      <c r="Z19" s="114" t="n">
        <f aca="false">Z18-Y19</f>
        <v>27894.6103773977</v>
      </c>
      <c r="AA19" s="143" t="n">
        <f aca="false">Y19</f>
        <v>287.881632033449</v>
      </c>
      <c r="AB19" s="114"/>
      <c r="AC19" s="114" t="n">
        <f aca="false">AC18-(AQ18/1.9835)</f>
        <v>1394.53390051468</v>
      </c>
      <c r="AD19" s="114"/>
      <c r="AE19" s="142" t="n">
        <v>163</v>
      </c>
      <c r="AF19" s="145" t="n">
        <v>1.7</v>
      </c>
      <c r="AG19" s="146" t="n">
        <v>1.3</v>
      </c>
      <c r="AH19" s="142" t="n">
        <v>50.8</v>
      </c>
      <c r="AI19" s="85" t="n">
        <f aca="false">AI18-AH19</f>
        <v>14311.6578774893</v>
      </c>
      <c r="AJ19" s="142"/>
      <c r="AK19" s="142" t="n">
        <f aca="false">N20+O19+P19+Q19+R19+S19+T19+U19+X19+AE19+AH19-AR19</f>
        <v>549.3</v>
      </c>
      <c r="AL19" s="142" t="n">
        <f aca="false">IF(L19&lt;0,L19*-1,0)</f>
        <v>0</v>
      </c>
      <c r="AM19" s="142" t="n">
        <f aca="false">AK19+AL19</f>
        <v>549.3</v>
      </c>
      <c r="AN19" s="467"/>
      <c r="AO19" s="157"/>
      <c r="AP19" s="157" t="n">
        <f aca="false">IF((I19-Q19-R19-X19-AF19)&gt;0,0,I19-Q19-R19-X19-AF19)</f>
        <v>0</v>
      </c>
      <c r="AQ19" s="171" t="n">
        <f aca="false">0*(21925*1.9835+AC19*1.9835)/E19</f>
        <v>0</v>
      </c>
      <c r="AR19" s="144" t="n">
        <f aca="false">719.159/1.9835/30</f>
        <v>12.0856902781279</v>
      </c>
      <c r="AS19" s="103"/>
      <c r="AT19" s="185" t="n">
        <v>0</v>
      </c>
      <c r="AV19" s="108" t="n">
        <v>0.28</v>
      </c>
      <c r="AW19" s="109" t="n">
        <v>68</v>
      </c>
      <c r="AX19" s="109" t="n">
        <v>50</v>
      </c>
      <c r="AY19" s="149"/>
      <c r="AZ19" s="263" t="n">
        <f aca="false">SUM(N19,P19:U19)</f>
        <v>8.35905824467844</v>
      </c>
      <c r="BA19" s="99" t="n">
        <v>103</v>
      </c>
      <c r="BB19" s="471" t="n">
        <v>23952</v>
      </c>
    </row>
    <row r="20" customFormat="false" ht="12.95" hidden="false" customHeight="true" outlineLevel="0" collapsed="false">
      <c r="A20" s="10" t="n">
        <f aca="false">A19+1</f>
        <v>6</v>
      </c>
      <c r="B20" s="367" t="n">
        <v>6900.32</v>
      </c>
      <c r="C20" s="100" t="n">
        <v>284764</v>
      </c>
      <c r="D20" s="109" t="n">
        <f aca="false">C20-C19</f>
        <v>4821</v>
      </c>
      <c r="E20" s="100" t="n">
        <f aca="false">C20-152000</f>
        <v>132764</v>
      </c>
      <c r="F20" s="151" t="n">
        <f aca="false">D20/$D$2</f>
        <v>2430.55205444921</v>
      </c>
      <c r="G20" s="142" t="n">
        <v>2740</v>
      </c>
      <c r="H20" s="103" t="n">
        <v>2.56</v>
      </c>
      <c r="I20" s="142" t="n">
        <f aca="false">G20+H20</f>
        <v>2742.56</v>
      </c>
      <c r="J20" s="375" t="n">
        <f aca="false">IF(L20&gt;0,L20,0)</f>
        <v>45.592054449206</v>
      </c>
      <c r="K20" s="142" t="n">
        <f aca="false">I20+J20</f>
        <v>2788.15205444921</v>
      </c>
      <c r="L20" s="142" t="n">
        <f aca="false">F20-(I20-AK20)</f>
        <v>45.592054449206</v>
      </c>
      <c r="M20" s="145" t="n">
        <v>145</v>
      </c>
      <c r="N20" s="171" t="n">
        <f aca="false">1/$D$2*1.03</f>
        <v>0.519284093773632</v>
      </c>
      <c r="O20" s="163" t="n">
        <f aca="false">44.9*1.05</f>
        <v>47.145</v>
      </c>
      <c r="P20" s="171" t="n">
        <v>0</v>
      </c>
      <c r="Q20" s="477" t="n">
        <f aca="false">1108000/325851/1.9835*1.02</f>
        <v>1.74859273317639</v>
      </c>
      <c r="R20" s="438" t="n">
        <f aca="false">(3.2*1.04)-T20</f>
        <v>2.43715056</v>
      </c>
      <c r="S20" s="438" t="n">
        <v>0</v>
      </c>
      <c r="T20" s="438" t="n">
        <f aca="false">(0.8081*1.06)*1.04</f>
        <v>0.89084944</v>
      </c>
      <c r="U20" s="365" t="n">
        <v>0</v>
      </c>
      <c r="V20" s="142" t="n">
        <v>47.8</v>
      </c>
      <c r="W20" s="142" t="n">
        <v>53.5</v>
      </c>
      <c r="X20" s="143" t="n">
        <f aca="false">M20-N20-O20-P20-Q20-R20-S20-T20-U20+V20+W20-AT20+AR20</f>
        <v>205.644813451178</v>
      </c>
      <c r="Y20" s="143" t="n">
        <f aca="false">X20-AO20</f>
        <v>205.644813451178</v>
      </c>
      <c r="Z20" s="114" t="n">
        <f aca="false">Z19-Y20</f>
        <v>27688.9655639465</v>
      </c>
      <c r="AA20" s="143" t="n">
        <f aca="false">Y20</f>
        <v>205.644813451178</v>
      </c>
      <c r="AB20" s="114"/>
      <c r="AC20" s="114" t="n">
        <f aca="false">AC19-(AQ19/1.9835)</f>
        <v>1394.53390051468</v>
      </c>
      <c r="AD20" s="114"/>
      <c r="AE20" s="142" t="n">
        <v>60.2</v>
      </c>
      <c r="AF20" s="145" t="n">
        <v>1.7</v>
      </c>
      <c r="AG20" s="146" t="n">
        <v>1.3</v>
      </c>
      <c r="AH20" s="142" t="n">
        <v>51.1</v>
      </c>
      <c r="AI20" s="85" t="n">
        <f aca="false">AI19-AH20</f>
        <v>14260.5578774893</v>
      </c>
      <c r="AJ20" s="142"/>
      <c r="AK20" s="142" t="n">
        <f aca="false">N21+O20+P20+Q20+R20+S20+T20+U20+X20+AE20+AH20-AR20</f>
        <v>357.6</v>
      </c>
      <c r="AL20" s="142" t="n">
        <f aca="false">IF(L20&lt;0,L20*-1,0)</f>
        <v>0</v>
      </c>
      <c r="AM20" s="142" t="n">
        <f aca="false">AK20+AL20</f>
        <v>357.6</v>
      </c>
      <c r="AN20" s="467"/>
      <c r="AO20" s="157"/>
      <c r="AP20" s="157" t="n">
        <f aca="false">IF((I20-Q20-R20-X20-AF20)&gt;0,0,I20-Q20-R20-X20-AF20)</f>
        <v>0</v>
      </c>
      <c r="AQ20" s="171" t="n">
        <f aca="false">0*(21925*1.9835+AC20*1.9835)/E20</f>
        <v>0</v>
      </c>
      <c r="AR20" s="144" t="n">
        <f aca="false">719.159/1.9835/30</f>
        <v>12.0856902781279</v>
      </c>
      <c r="AS20" s="103"/>
      <c r="AT20" s="185" t="n">
        <v>0</v>
      </c>
      <c r="AV20" s="108" t="n">
        <v>0.81</v>
      </c>
      <c r="AW20" s="109" t="n">
        <v>67</v>
      </c>
      <c r="AX20" s="109" t="n">
        <v>46</v>
      </c>
      <c r="AY20" s="149"/>
      <c r="AZ20" s="263" t="n">
        <f aca="false">SUM(N20,P20:U20)</f>
        <v>5.59587682695003</v>
      </c>
      <c r="BA20" s="99" t="n">
        <v>104</v>
      </c>
      <c r="BB20" s="471" t="n">
        <v>23821</v>
      </c>
    </row>
    <row r="21" customFormat="false" ht="12.95" hidden="false" customHeight="true" outlineLevel="0" collapsed="false">
      <c r="A21" s="10" t="n">
        <f aca="false">A20+1</f>
        <v>7</v>
      </c>
      <c r="B21" s="367" t="n">
        <v>6901.52</v>
      </c>
      <c r="C21" s="100" t="n">
        <v>289223</v>
      </c>
      <c r="D21" s="109" t="n">
        <f aca="false">C21-C20</f>
        <v>4459</v>
      </c>
      <c r="E21" s="100" t="n">
        <f aca="false">C21-152000</f>
        <v>137223</v>
      </c>
      <c r="F21" s="151" t="n">
        <f aca="false">D21/$D$2</f>
        <v>2248.04638265692</v>
      </c>
      <c r="G21" s="142" t="n">
        <v>2670</v>
      </c>
      <c r="H21" s="103" t="n">
        <v>6</v>
      </c>
      <c r="I21" s="142" t="n">
        <f aca="false">G21+H21</f>
        <v>2676</v>
      </c>
      <c r="J21" s="375" t="n">
        <f aca="false">IF(L21&gt;0,L21,0)</f>
        <v>0</v>
      </c>
      <c r="K21" s="142" t="n">
        <f aca="false">I21+J21</f>
        <v>2676</v>
      </c>
      <c r="L21" s="142" t="n">
        <f aca="false">F21-(I21-AK21)</f>
        <v>-84.0536173430805</v>
      </c>
      <c r="M21" s="145" t="n">
        <v>149</v>
      </c>
      <c r="N21" s="171" t="n">
        <f aca="false">1/$D$2*1.03</f>
        <v>0.519284093773632</v>
      </c>
      <c r="O21" s="163" t="n">
        <f aca="false">50*1.05</f>
        <v>52.5</v>
      </c>
      <c r="P21" s="171" t="n">
        <v>0</v>
      </c>
      <c r="Q21" s="346" t="n">
        <f aca="false">1529800/325851/1.9835*1.02</f>
        <v>2.41425736752098</v>
      </c>
      <c r="R21" s="438" t="n">
        <f aca="false">(3.1*1.04)-T21</f>
        <v>2.33315056</v>
      </c>
      <c r="S21" s="438" t="n">
        <v>0</v>
      </c>
      <c r="T21" s="438" t="n">
        <f aca="false">(0.8081*1.06)*1.04</f>
        <v>0.89084944</v>
      </c>
      <c r="U21" s="365" t="n">
        <v>0</v>
      </c>
      <c r="V21" s="142" t="n">
        <v>40.3</v>
      </c>
      <c r="W21" s="142" t="n">
        <v>55.1</v>
      </c>
      <c r="X21" s="143" t="n">
        <f aca="false">M21-N21-O21-P21-Q21-R21-S21-T21-U21+V21+W21-AT21+AR21</f>
        <v>197.828148816833</v>
      </c>
      <c r="Y21" s="143" t="n">
        <f aca="false">X21-AO21</f>
        <v>197.828148816833</v>
      </c>
      <c r="Z21" s="114" t="n">
        <f aca="false">Z20-Y21</f>
        <v>27491.1374151297</v>
      </c>
      <c r="AA21" s="143" t="n">
        <f aca="false">Y21</f>
        <v>197.828148816833</v>
      </c>
      <c r="AB21" s="114"/>
      <c r="AC21" s="114" t="n">
        <f aca="false">AC20-(AQ20/1.9835)</f>
        <v>1394.53390051468</v>
      </c>
      <c r="AD21" s="114"/>
      <c r="AE21" s="142" t="n">
        <v>48.5</v>
      </c>
      <c r="AF21" s="145" t="n">
        <v>1.7</v>
      </c>
      <c r="AG21" s="146" t="n">
        <v>1.3</v>
      </c>
      <c r="AH21" s="142" t="n">
        <v>51</v>
      </c>
      <c r="AI21" s="85" t="n">
        <f aca="false">AI20-AH21</f>
        <v>14209.5578774893</v>
      </c>
      <c r="AJ21" s="142"/>
      <c r="AK21" s="142" t="n">
        <f aca="false">N22+O21+P21+Q21+R21+S21+T21+U21+X21+AE21+AH21-AR21</f>
        <v>343.9</v>
      </c>
      <c r="AL21" s="142" t="n">
        <f aca="false">IF(L21&lt;0,L21*-1,0)</f>
        <v>84.0536173430805</v>
      </c>
      <c r="AM21" s="142" t="n">
        <f aca="false">AK21+AL21</f>
        <v>427.953617343081</v>
      </c>
      <c r="AN21" s="467"/>
      <c r="AO21" s="157"/>
      <c r="AP21" s="157" t="n">
        <f aca="false">IF((I21-Q21-R21-X21-AF21)&gt;0,0,I21-Q21-R21-X21-AF21)</f>
        <v>0</v>
      </c>
      <c r="AQ21" s="171" t="n">
        <f aca="false">43.945*(21925*1.9835+AC21*1.9835)/E21</f>
        <v>14.8127137242407</v>
      </c>
      <c r="AR21" s="144" t="n">
        <f aca="false">719.159/1.9835/30</f>
        <v>12.0856902781279</v>
      </c>
      <c r="AS21" s="103"/>
      <c r="AT21" s="185" t="n">
        <v>0</v>
      </c>
      <c r="AV21" s="108" t="n">
        <v>0</v>
      </c>
      <c r="AW21" s="109" t="n">
        <v>75</v>
      </c>
      <c r="AX21" s="109" t="n">
        <v>47</v>
      </c>
      <c r="AY21" s="149"/>
      <c r="AZ21" s="263" t="n">
        <f aca="false">SUM(N21,P21:U21)</f>
        <v>6.15754146129461</v>
      </c>
      <c r="BA21" s="99" t="n">
        <v>104</v>
      </c>
      <c r="BB21" s="471" t="n">
        <v>23976</v>
      </c>
    </row>
    <row r="22" customFormat="false" ht="12.95" hidden="false" customHeight="true" outlineLevel="0" collapsed="false">
      <c r="A22" s="10" t="n">
        <f aca="false">A21+1</f>
        <v>8</v>
      </c>
      <c r="B22" s="367" t="n">
        <v>6902.44</v>
      </c>
      <c r="C22" s="100" t="n">
        <v>292670</v>
      </c>
      <c r="D22" s="109" t="n">
        <f aca="false">C22-C21</f>
        <v>3447</v>
      </c>
      <c r="E22" s="100" t="n">
        <f aca="false">C22-152000</f>
        <v>140670</v>
      </c>
      <c r="F22" s="151" t="n">
        <f aca="false">D22/$D$2</f>
        <v>1737.83715654147</v>
      </c>
      <c r="G22" s="142" t="n">
        <v>2120</v>
      </c>
      <c r="H22" s="103" t="n">
        <v>2.78</v>
      </c>
      <c r="I22" s="142" t="n">
        <f aca="false">G22+H22</f>
        <v>2122.78</v>
      </c>
      <c r="J22" s="375" t="n">
        <f aca="false">IF(L22&gt;0,L22,0)</f>
        <v>0</v>
      </c>
      <c r="K22" s="142" t="n">
        <f aca="false">I22+J22</f>
        <v>2122.78</v>
      </c>
      <c r="L22" s="142" t="n">
        <f aca="false">F22-(I22-AK22)</f>
        <v>-14.7428434585333</v>
      </c>
      <c r="M22" s="145" t="n">
        <v>160</v>
      </c>
      <c r="N22" s="171" t="n">
        <f aca="false">1/$D$2*1.03</f>
        <v>0.519284093773632</v>
      </c>
      <c r="O22" s="163" t="n">
        <f aca="false">49.8*1.05</f>
        <v>52.29</v>
      </c>
      <c r="P22" s="171" t="n">
        <v>0</v>
      </c>
      <c r="Q22" s="346" t="n">
        <f aca="false">1326800/325851/1.9835*1.02</f>
        <v>2.09389245341014</v>
      </c>
      <c r="R22" s="438" t="n">
        <f aca="false">(3.2*1.04)-T22</f>
        <v>2.43715056</v>
      </c>
      <c r="S22" s="438" t="n">
        <v>0</v>
      </c>
      <c r="T22" s="438" t="n">
        <f aca="false">(0.8081*1.06)*1.04</f>
        <v>0.89084944</v>
      </c>
      <c r="U22" s="365" t="n">
        <v>0</v>
      </c>
      <c r="V22" s="142" t="n">
        <v>33.8</v>
      </c>
      <c r="W22" s="142" t="n">
        <v>55.5</v>
      </c>
      <c r="X22" s="143" t="n">
        <f aca="false">M22-N22-O22-P22-Q22-R22-S22-T22-U22+V22+W22-AT22+AR22</f>
        <v>203.154513730944</v>
      </c>
      <c r="Y22" s="143" t="n">
        <f aca="false">X22-AO22</f>
        <v>203.154513730944</v>
      </c>
      <c r="Z22" s="114" t="n">
        <f aca="false">Z21-Y22</f>
        <v>27287.9829013988</v>
      </c>
      <c r="AA22" s="143" t="n">
        <f aca="false">Y22</f>
        <v>203.154513730944</v>
      </c>
      <c r="AB22" s="114"/>
      <c r="AC22" s="114" t="n">
        <f aca="false">AC21-(AQ21/1.9835)</f>
        <v>1387.0659329199</v>
      </c>
      <c r="AD22" s="114"/>
      <c r="AE22" s="142" t="n">
        <v>69.4</v>
      </c>
      <c r="AF22" s="145" t="n">
        <v>1.7</v>
      </c>
      <c r="AG22" s="146" t="n">
        <v>1.3</v>
      </c>
      <c r="AH22" s="142" t="n">
        <v>51.5</v>
      </c>
      <c r="AI22" s="85" t="n">
        <f aca="false">AI21-AH22</f>
        <v>14158.0578774893</v>
      </c>
      <c r="AJ22" s="142"/>
      <c r="AK22" s="142" t="n">
        <f aca="false">N23+O22+P22+Q22+R22+S22+T22+U22+X22+AE22+AH22-AR22</f>
        <v>370.2</v>
      </c>
      <c r="AL22" s="142" t="n">
        <f aca="false">IF(L22&lt;0,L22*-1,0)</f>
        <v>14.7428434585333</v>
      </c>
      <c r="AM22" s="142" t="n">
        <f aca="false">AK22+AL22</f>
        <v>384.942843458533</v>
      </c>
      <c r="AN22" s="467"/>
      <c r="AO22" s="157"/>
      <c r="AP22" s="157" t="n">
        <f aca="false">IF((I22-Q22-R22-X22-AF22)&gt;0,0,I22-Q22-R22-X22-AF22)</f>
        <v>0</v>
      </c>
      <c r="AQ22" s="171" t="n">
        <f aca="false">57.938*(21925*1.9835+AC22*1.9835)/E22</f>
        <v>19.0447369957253</v>
      </c>
      <c r="AR22" s="144" t="n">
        <f aca="false">719.159/1.9835/30</f>
        <v>12.0856902781279</v>
      </c>
      <c r="AS22" s="103"/>
      <c r="AT22" s="185" t="n">
        <v>0</v>
      </c>
      <c r="AV22" s="108" t="n">
        <v>0</v>
      </c>
      <c r="AW22" s="109" t="n">
        <v>80</v>
      </c>
      <c r="AX22" s="109" t="n">
        <v>45</v>
      </c>
      <c r="AY22" s="149"/>
      <c r="AZ22" s="263" t="n">
        <f aca="false">SUM(N22,P22:U22)</f>
        <v>5.94117654718377</v>
      </c>
      <c r="BA22" s="99" t="n">
        <v>104</v>
      </c>
      <c r="BB22" s="471" t="n">
        <v>23898</v>
      </c>
    </row>
    <row r="23" customFormat="false" ht="12.95" hidden="false" customHeight="true" outlineLevel="0" collapsed="false">
      <c r="A23" s="10" t="n">
        <f aca="false">A22+1</f>
        <v>9</v>
      </c>
      <c r="B23" s="367" t="n">
        <v>6903.3</v>
      </c>
      <c r="C23" s="100" t="n">
        <v>295916</v>
      </c>
      <c r="D23" s="109" t="n">
        <f aca="false">C23-C22</f>
        <v>3246</v>
      </c>
      <c r="E23" s="100" t="n">
        <f aca="false">C23-152000</f>
        <v>143916</v>
      </c>
      <c r="F23" s="151" t="n">
        <f aca="false">D23/$D$2</f>
        <v>1636.50113435846</v>
      </c>
      <c r="G23" s="142" t="n">
        <v>2070</v>
      </c>
      <c r="H23" s="103" t="n">
        <v>1.91</v>
      </c>
      <c r="I23" s="142" t="n">
        <f aca="false">G23+H23</f>
        <v>2071.91</v>
      </c>
      <c r="J23" s="375" t="n">
        <f aca="false">IF(L23&gt;0,L23,0)</f>
        <v>17.2911343584574</v>
      </c>
      <c r="K23" s="142" t="n">
        <f aca="false">I23+J23</f>
        <v>2089.20113435846</v>
      </c>
      <c r="L23" s="142" t="n">
        <f aca="false">F23-(I23-AK23)</f>
        <v>17.2911343584574</v>
      </c>
      <c r="M23" s="145" t="n">
        <v>182</v>
      </c>
      <c r="N23" s="171" t="n">
        <f aca="false">1/$D$2*1.03</f>
        <v>0.519284093773632</v>
      </c>
      <c r="O23" s="163" t="n">
        <f aca="false">52.4*1.05</f>
        <v>55.02</v>
      </c>
      <c r="P23" s="171" t="n">
        <v>0</v>
      </c>
      <c r="Q23" s="346" t="n">
        <f aca="false">1288200/325851/1.9835*1.02</f>
        <v>2.0329757751605</v>
      </c>
      <c r="R23" s="438" t="n">
        <f aca="false">(3.2*1.04)-T23</f>
        <v>2.43715056</v>
      </c>
      <c r="S23" s="438" t="n">
        <v>0</v>
      </c>
      <c r="T23" s="438" t="n">
        <f aca="false">(0.8081*1.06)*1.04</f>
        <v>0.89084944</v>
      </c>
      <c r="U23" s="365" t="n">
        <v>0</v>
      </c>
      <c r="V23" s="142" t="n">
        <v>30.8</v>
      </c>
      <c r="W23" s="142" t="n">
        <v>56.3</v>
      </c>
      <c r="X23" s="143" t="n">
        <f aca="false">M23-N23-O23-P23-Q23-R23-S23-T23-U23+V23+W23-AT23+AR23</f>
        <v>220.285430409194</v>
      </c>
      <c r="Y23" s="143" t="n">
        <f aca="false">X23-AO23</f>
        <v>220.285430409194</v>
      </c>
      <c r="Z23" s="114" t="n">
        <f aca="false">Z22-Y23</f>
        <v>27067.6974709896</v>
      </c>
      <c r="AA23" s="143" t="n">
        <f aca="false">Y23</f>
        <v>220.285430409194</v>
      </c>
      <c r="AB23" s="114"/>
      <c r="AC23" s="114" t="n">
        <f aca="false">AC22-(AQ22/1.9835)</f>
        <v>1377.46435137429</v>
      </c>
      <c r="AD23" s="114"/>
      <c r="AE23" s="142" t="n">
        <v>132</v>
      </c>
      <c r="AF23" s="145" t="n">
        <v>1.7</v>
      </c>
      <c r="AG23" s="146" t="n">
        <v>1.3</v>
      </c>
      <c r="AH23" s="142" t="n">
        <v>51.6</v>
      </c>
      <c r="AI23" s="85" t="n">
        <f aca="false">AI22-AH23</f>
        <v>14106.4578774893</v>
      </c>
      <c r="AJ23" s="142"/>
      <c r="AK23" s="142" t="n">
        <f aca="false">N24+O23+P23+Q23+R23+S23+T23+U23+X23+AE23+AH23-AR23</f>
        <v>452.7</v>
      </c>
      <c r="AL23" s="142" t="n">
        <f aca="false">IF(L23&lt;0,L23*-1,0)</f>
        <v>0</v>
      </c>
      <c r="AM23" s="142" t="n">
        <f aca="false">AK23+AL23</f>
        <v>452.7</v>
      </c>
      <c r="AN23" s="467"/>
      <c r="AO23" s="157"/>
      <c r="AP23" s="157" t="n">
        <f aca="false">IF((I23-Q23-R23-X23-AF23)&gt;0,0,I23-Q23-R23-X23-AF23)</f>
        <v>0</v>
      </c>
      <c r="AQ23" s="171" t="n">
        <f aca="false">34.159*(21925*1.9835+AC23*1.9835)/E23</f>
        <v>10.9705935618058</v>
      </c>
      <c r="AR23" s="144" t="n">
        <f aca="false">719.159/1.9835/30</f>
        <v>12.0856902781279</v>
      </c>
      <c r="AS23" s="103"/>
      <c r="AT23" s="185" t="n">
        <v>0</v>
      </c>
      <c r="AV23" s="108" t="n">
        <v>0.04</v>
      </c>
      <c r="AW23" s="109" t="n">
        <v>83</v>
      </c>
      <c r="AX23" s="109" t="n">
        <v>51</v>
      </c>
      <c r="AY23" s="149"/>
      <c r="AZ23" s="263" t="n">
        <f aca="false">SUM(N23,P23:U23)</f>
        <v>5.88025986893413</v>
      </c>
      <c r="BA23" s="99" t="n">
        <v>104</v>
      </c>
      <c r="BB23" s="471" t="n">
        <v>23877</v>
      </c>
    </row>
    <row r="24" customFormat="false" ht="12.95" hidden="false" customHeight="true" outlineLevel="0" collapsed="false">
      <c r="A24" s="10" t="n">
        <f aca="false">A23+1</f>
        <v>10</v>
      </c>
      <c r="B24" s="367" t="n">
        <v>6904.33</v>
      </c>
      <c r="C24" s="100" t="n">
        <v>299833</v>
      </c>
      <c r="D24" s="109" t="n">
        <f aca="false">C24-C23</f>
        <v>3917</v>
      </c>
      <c r="E24" s="100" t="n">
        <f aca="false">C24-152000</f>
        <v>147833</v>
      </c>
      <c r="F24" s="151" t="n">
        <f aca="false">D24/$D$2</f>
        <v>1974.79203428283</v>
      </c>
      <c r="G24" s="142" t="n">
        <v>2330</v>
      </c>
      <c r="H24" s="103" t="n">
        <v>2.05</v>
      </c>
      <c r="I24" s="142" t="n">
        <f aca="false">G24+H24</f>
        <v>2332.05</v>
      </c>
      <c r="J24" s="375" t="n">
        <f aca="false">IF(L24&gt;0,L24,0)</f>
        <v>0</v>
      </c>
      <c r="K24" s="142" t="n">
        <f aca="false">I24+J24</f>
        <v>2332.05</v>
      </c>
      <c r="L24" s="142" t="n">
        <f aca="false">F24-(I24-AK24)</f>
        <v>-17.9579657171669</v>
      </c>
      <c r="M24" s="145" t="n">
        <v>140</v>
      </c>
      <c r="N24" s="171" t="n">
        <f aca="false">1/$D$2*1.03</f>
        <v>0.519284093773632</v>
      </c>
      <c r="O24" s="163" t="n">
        <f aca="false">43.9*1.05</f>
        <v>46.095</v>
      </c>
      <c r="P24" s="171" t="n">
        <v>0</v>
      </c>
      <c r="Q24" s="346" t="n">
        <f aca="false">1116700/325851/1.9835*1.02</f>
        <v>1.76232265806686</v>
      </c>
      <c r="R24" s="438" t="n">
        <f aca="false">(3.2*1.04)-T24</f>
        <v>2.43715056</v>
      </c>
      <c r="S24" s="438" t="n">
        <v>0</v>
      </c>
      <c r="T24" s="438" t="n">
        <f aca="false">(0.8081*1.06)*1.04</f>
        <v>0.89084944</v>
      </c>
      <c r="U24" s="365" t="n">
        <v>0</v>
      </c>
      <c r="V24" s="142" t="n">
        <v>31.4</v>
      </c>
      <c r="W24" s="142" t="n">
        <v>52.9</v>
      </c>
      <c r="X24" s="143" t="n">
        <f aca="false">M24-N24-O24-P24-Q24-R24-S24-T24-U24+V24+W24-AT24+AR24</f>
        <v>184.681083526287</v>
      </c>
      <c r="Y24" s="143" t="n">
        <f aca="false">X24-AO24</f>
        <v>184.681083526287</v>
      </c>
      <c r="Z24" s="114" t="n">
        <f aca="false">Z23-Y24</f>
        <v>26883.0163874633</v>
      </c>
      <c r="AA24" s="143" t="n">
        <f aca="false">Y24</f>
        <v>184.681083526287</v>
      </c>
      <c r="AB24" s="114"/>
      <c r="AC24" s="114" t="n">
        <f aca="false">AC23-(AQ23/1.9835)</f>
        <v>1371.93342444623</v>
      </c>
      <c r="AD24" s="114"/>
      <c r="AE24" s="142" t="n">
        <v>63.8</v>
      </c>
      <c r="AF24" s="145" t="n">
        <v>1.7</v>
      </c>
      <c r="AG24" s="146" t="n">
        <v>1.3</v>
      </c>
      <c r="AH24" s="142" t="n">
        <v>51.2</v>
      </c>
      <c r="AI24" s="85" t="n">
        <f aca="false">AI23-AH24</f>
        <v>14055.2578774893</v>
      </c>
      <c r="AJ24" s="142"/>
      <c r="AK24" s="142" t="n">
        <f aca="false">N25+O24+P24+Q24+R24+S24+T24+U24+X24+AE24+AH24-AR24</f>
        <v>339.3</v>
      </c>
      <c r="AL24" s="142" t="n">
        <f aca="false">IF(L24&lt;0,L24*-1,0)</f>
        <v>17.9579657171669</v>
      </c>
      <c r="AM24" s="142" t="n">
        <f aca="false">AK24+AL24</f>
        <v>357.257965717167</v>
      </c>
      <c r="AN24" s="467"/>
      <c r="AO24" s="157"/>
      <c r="AP24" s="157" t="n">
        <f aca="false">IF((I24-Q24-R24-X24-AF24)&gt;0,0,I24-Q24-R24-X24-AF24)</f>
        <v>0</v>
      </c>
      <c r="AQ24" s="171" t="n">
        <f aca="false">0*(21925*1.9835+AC24*1.9835)/E24</f>
        <v>0</v>
      </c>
      <c r="AR24" s="144" t="n">
        <f aca="false">719.159/1.9835/30</f>
        <v>12.0856902781279</v>
      </c>
      <c r="AS24" s="103"/>
      <c r="AT24" s="185" t="n">
        <v>0</v>
      </c>
      <c r="AV24" s="108" t="n">
        <v>0.56</v>
      </c>
      <c r="AW24" s="109" t="n">
        <v>73</v>
      </c>
      <c r="AX24" s="109" t="n">
        <v>53</v>
      </c>
      <c r="AY24" s="149"/>
      <c r="AZ24" s="263" t="n">
        <f aca="false">SUM(N24,P24:U24)</f>
        <v>5.60960675184049</v>
      </c>
      <c r="BA24" s="99" t="n">
        <v>105</v>
      </c>
      <c r="BB24" s="471" t="n">
        <v>23903</v>
      </c>
    </row>
    <row r="25" customFormat="false" ht="12.95" hidden="false" customHeight="true" outlineLevel="0" collapsed="false">
      <c r="A25" s="10" t="n">
        <f aca="false">A24+1</f>
        <v>11</v>
      </c>
      <c r="B25" s="367" t="n">
        <v>6905.69</v>
      </c>
      <c r="C25" s="100" t="n">
        <v>305056</v>
      </c>
      <c r="D25" s="109" t="n">
        <f aca="false">C25-C24</f>
        <v>5223</v>
      </c>
      <c r="E25" s="100" t="n">
        <f aca="false">C25-152000</f>
        <v>153056</v>
      </c>
      <c r="F25" s="151" t="n">
        <f aca="false">D25/$D$2</f>
        <v>2633.22409881523</v>
      </c>
      <c r="G25" s="142" t="n">
        <v>3080</v>
      </c>
      <c r="H25" s="103" t="n">
        <v>3.14</v>
      </c>
      <c r="I25" s="142" t="n">
        <f aca="false">G25+H25</f>
        <v>3083.14</v>
      </c>
      <c r="J25" s="375" t="n">
        <f aca="false">IF(L25&gt;0,L25,0)</f>
        <v>0</v>
      </c>
      <c r="K25" s="142" t="n">
        <f aca="false">I25+J25</f>
        <v>3083.14</v>
      </c>
      <c r="L25" s="142" t="n">
        <f aca="false">F25-(I25-AK25)</f>
        <v>-145.415901184774</v>
      </c>
      <c r="M25" s="145" t="n">
        <v>106</v>
      </c>
      <c r="N25" s="171" t="n">
        <f aca="false">1/$D$2*1.03</f>
        <v>0.519284093773632</v>
      </c>
      <c r="O25" s="163" t="n">
        <f aca="false">36.6*1.05</f>
        <v>38.43</v>
      </c>
      <c r="P25" s="171" t="n">
        <v>0</v>
      </c>
      <c r="Q25" s="346" t="n">
        <f aca="false">1114500/325851/1.9835*1.02</f>
        <v>1.75885072303708</v>
      </c>
      <c r="R25" s="438" t="n">
        <f aca="false">(4.1*1.04)-T25</f>
        <v>3.37315056</v>
      </c>
      <c r="S25" s="438" t="n">
        <v>0</v>
      </c>
      <c r="T25" s="438" t="n">
        <f aca="false">(0.8081*1.06)*1.04</f>
        <v>0.89084944</v>
      </c>
      <c r="U25" s="365" t="n">
        <v>0</v>
      </c>
      <c r="V25" s="142" t="n">
        <v>31.9</v>
      </c>
      <c r="W25" s="142" t="n">
        <v>49.6</v>
      </c>
      <c r="X25" s="143" t="n">
        <f aca="false">M25-N25-O25-P25-Q25-R25-S25-T25-U25+V25+W25-AT25+AR25</f>
        <v>154.613555461317</v>
      </c>
      <c r="Y25" s="143" t="n">
        <f aca="false">X25-AO25</f>
        <v>154.613555461317</v>
      </c>
      <c r="Z25" s="114" t="n">
        <f aca="false">Z24-Y25</f>
        <v>26728.402832002</v>
      </c>
      <c r="AA25" s="143" t="n">
        <f aca="false">Y25</f>
        <v>154.613555461317</v>
      </c>
      <c r="AB25" s="114"/>
      <c r="AC25" s="114" t="n">
        <f aca="false">AC24-(AQ24/1.9835)</f>
        <v>1371.93342444623</v>
      </c>
      <c r="AD25" s="114"/>
      <c r="AE25" s="142" t="n">
        <v>66.1</v>
      </c>
      <c r="AF25" s="145" t="n">
        <v>1.7</v>
      </c>
      <c r="AG25" s="146" t="n">
        <v>1.3</v>
      </c>
      <c r="AH25" s="142" t="n">
        <v>50.9</v>
      </c>
      <c r="AI25" s="85" t="n">
        <f aca="false">AI24-AH25</f>
        <v>14004.3578774893</v>
      </c>
      <c r="AJ25" s="142"/>
      <c r="AK25" s="142" t="n">
        <f aca="false">N26+O25+P25+Q25+R25+S25+T25+U25+X25+AE25+AH25-AR25</f>
        <v>304.5</v>
      </c>
      <c r="AL25" s="142" t="n">
        <f aca="false">IF(L25&lt;0,L25*-1,0)</f>
        <v>145.415901184774</v>
      </c>
      <c r="AM25" s="142" t="n">
        <f aca="false">AK25+AL25</f>
        <v>449.915901184774</v>
      </c>
      <c r="AN25" s="467"/>
      <c r="AO25" s="157"/>
      <c r="AP25" s="157" t="n">
        <f aca="false">IF((I25-Q25-R25-X25-AF25)&gt;0,0,I25-Q25-R25-X25-AF25)</f>
        <v>0</v>
      </c>
      <c r="AQ25" s="171" t="n">
        <f aca="false">0*(21925*1.9835+AC25*1.9835)/E25</f>
        <v>0</v>
      </c>
      <c r="AR25" s="144" t="n">
        <f aca="false">719.159/1.9835/30</f>
        <v>12.0856902781279</v>
      </c>
      <c r="AS25" s="103"/>
      <c r="AT25" s="185" t="n">
        <v>0</v>
      </c>
      <c r="AV25" s="108" t="n">
        <v>0.44</v>
      </c>
      <c r="AW25" s="109" t="n">
        <v>70</v>
      </c>
      <c r="AX25" s="109" t="n">
        <v>48</v>
      </c>
      <c r="AY25" s="149"/>
      <c r="AZ25" s="263" t="n">
        <f aca="false">SUM(N25,P25:U25)</f>
        <v>6.54213481681072</v>
      </c>
      <c r="BA25" s="99" t="n">
        <v>105</v>
      </c>
      <c r="BB25" s="471" t="n">
        <v>23975</v>
      </c>
    </row>
    <row r="26" customFormat="false" ht="12.95" hidden="false" customHeight="true" outlineLevel="0" collapsed="false">
      <c r="A26" s="10" t="n">
        <f aca="false">A25+1</f>
        <v>12</v>
      </c>
      <c r="B26" s="367" t="n">
        <v>6906.79</v>
      </c>
      <c r="C26" s="100" t="n">
        <v>309322</v>
      </c>
      <c r="D26" s="109" t="n">
        <f aca="false">C26-C25</f>
        <v>4266</v>
      </c>
      <c r="E26" s="100" t="n">
        <f aca="false">C26-152000</f>
        <v>157322</v>
      </c>
      <c r="F26" s="151" t="n">
        <f aca="false">D26/$D$2</f>
        <v>2150.74363498866</v>
      </c>
      <c r="G26" s="142" t="n">
        <v>2870</v>
      </c>
      <c r="H26" s="103" t="n">
        <v>5.34</v>
      </c>
      <c r="I26" s="142" t="n">
        <f aca="false">G26+H26</f>
        <v>2875.34</v>
      </c>
      <c r="J26" s="375" t="n">
        <f aca="false">IF(L26&gt;0,L26,0)</f>
        <v>0</v>
      </c>
      <c r="K26" s="142" t="n">
        <f aca="false">I26+J26</f>
        <v>2875.34</v>
      </c>
      <c r="L26" s="142" t="n">
        <f aca="false">F26-(I26-AK26)</f>
        <v>-403.196365011343</v>
      </c>
      <c r="M26" s="145" t="n">
        <v>119</v>
      </c>
      <c r="N26" s="171" t="n">
        <f aca="false">1/$D$2*1.03</f>
        <v>0.519284093773632</v>
      </c>
      <c r="O26" s="163" t="n">
        <f aca="false">36.8*1.05</f>
        <v>38.64</v>
      </c>
      <c r="P26" s="171" t="n">
        <v>0</v>
      </c>
      <c r="Q26" s="346" t="n">
        <f aca="false">1116800/325851/1.9835*1.02</f>
        <v>1.76248047329548</v>
      </c>
      <c r="R26" s="438" t="n">
        <f aca="false">(4*1.04)-T26</f>
        <v>3.14061072</v>
      </c>
      <c r="S26" s="438" t="n">
        <v>0</v>
      </c>
      <c r="T26" s="139" t="n">
        <f aca="false">(0.9247*1.06)*1.04</f>
        <v>1.01938928</v>
      </c>
      <c r="U26" s="365" t="n">
        <v>0</v>
      </c>
      <c r="V26" s="142" t="n">
        <v>30.7</v>
      </c>
      <c r="W26" s="142" t="n">
        <v>48.5</v>
      </c>
      <c r="X26" s="143" t="n">
        <f aca="false">M26-N26-O26-P26-Q26-R26-S26-T26-U26+V26+W26-AT26+AR26</f>
        <v>165.203925711059</v>
      </c>
      <c r="Y26" s="143" t="n">
        <f aca="false">X26-AO26</f>
        <v>165.203925711059</v>
      </c>
      <c r="Z26" s="114" t="n">
        <f aca="false">Z25-Y26</f>
        <v>26563.1989062909</v>
      </c>
      <c r="AA26" s="143" t="n">
        <f aca="false">Y26</f>
        <v>165.203925711059</v>
      </c>
      <c r="AB26" s="114"/>
      <c r="AC26" s="114" t="n">
        <f aca="false">AC25-(AQ25/1.9835)</f>
        <v>1371.93342444623</v>
      </c>
      <c r="AD26" s="114"/>
      <c r="AE26" s="142" t="n">
        <v>72.5</v>
      </c>
      <c r="AF26" s="145" t="n">
        <v>1.7</v>
      </c>
      <c r="AG26" s="146" t="n">
        <v>1.3</v>
      </c>
      <c r="AH26" s="142" t="n">
        <v>50.7</v>
      </c>
      <c r="AI26" s="85" t="n">
        <f aca="false">AI25-AH26</f>
        <v>13953.6578774893</v>
      </c>
      <c r="AJ26" s="142"/>
      <c r="AK26" s="142" t="n">
        <f aca="false">N27+O26+P26+Q26+R26+S26+T26+U26+X26+AE26+AH26-AR26</f>
        <v>321.4</v>
      </c>
      <c r="AL26" s="142" t="n">
        <f aca="false">IF(L26&lt;0,L26*-1,0)</f>
        <v>403.196365011343</v>
      </c>
      <c r="AM26" s="142" t="n">
        <f aca="false">AK26+AL26</f>
        <v>724.596365011343</v>
      </c>
      <c r="AN26" s="467"/>
      <c r="AO26" s="157"/>
      <c r="AP26" s="157" t="n">
        <f aca="false">IF((I26-Q26-R26-X26-AF26)&gt;0,0,I26-Q26-R26-X26-AF26)</f>
        <v>0</v>
      </c>
      <c r="AQ26" s="171" t="n">
        <f aca="false">0*(21925*1.9835+AC26*1.9835)/E26</f>
        <v>0</v>
      </c>
      <c r="AR26" s="144" t="n">
        <f aca="false">719.159/1.9835/30</f>
        <v>12.0856902781279</v>
      </c>
      <c r="AS26" s="103"/>
      <c r="AT26" s="185" t="n">
        <v>0</v>
      </c>
      <c r="AV26" s="108" t="n">
        <v>0.2</v>
      </c>
      <c r="AW26" s="109" t="n">
        <v>72</v>
      </c>
      <c r="AX26" s="109" t="n">
        <v>45</v>
      </c>
      <c r="AY26" s="149"/>
      <c r="AZ26" s="263" t="n">
        <f aca="false">SUM(N26,P26:U26)</f>
        <v>6.44176456706912</v>
      </c>
      <c r="BA26" s="99" t="n">
        <v>105</v>
      </c>
      <c r="BB26" s="471" t="n">
        <v>24003</v>
      </c>
    </row>
    <row r="27" customFormat="false" ht="12.95" hidden="false" customHeight="true" outlineLevel="0" collapsed="false">
      <c r="A27" s="10" t="n">
        <f aca="false">A26+1</f>
        <v>13</v>
      </c>
      <c r="B27" s="367" t="n">
        <v>6907.75</v>
      </c>
      <c r="C27" s="100" t="n">
        <v>313076</v>
      </c>
      <c r="D27" s="109" t="n">
        <f aca="false">C27-C26</f>
        <v>3754</v>
      </c>
      <c r="E27" s="100" t="n">
        <f aca="false">C27-152000</f>
        <v>161076</v>
      </c>
      <c r="F27" s="151" t="n">
        <f aca="false">D27/$D$2</f>
        <v>1892.61406604487</v>
      </c>
      <c r="G27" s="142" t="n">
        <v>2680</v>
      </c>
      <c r="H27" s="103" t="n">
        <v>40.5</v>
      </c>
      <c r="I27" s="142" t="n">
        <f aca="false">G27+H27</f>
        <v>2720.5</v>
      </c>
      <c r="J27" s="375" t="n">
        <f aca="false">IF(L27&gt;0,L27,0)</f>
        <v>0</v>
      </c>
      <c r="K27" s="142" t="n">
        <f aca="false">I27+J27</f>
        <v>2720.5</v>
      </c>
      <c r="L27" s="142" t="n">
        <f aca="false">F27-(I27-AK27)</f>
        <v>-510.78593395513</v>
      </c>
      <c r="M27" s="145" t="n">
        <v>117</v>
      </c>
      <c r="N27" s="171" t="n">
        <f aca="false">1/$D$2*1.03</f>
        <v>0.519284093773632</v>
      </c>
      <c r="O27" s="163" t="n">
        <f aca="false">42.7*1.05</f>
        <v>44.835</v>
      </c>
      <c r="P27" s="171" t="n">
        <v>0</v>
      </c>
      <c r="Q27" s="346" t="n">
        <f aca="false">1096100/325851/1.9835*1.02</f>
        <v>1.7298127209699</v>
      </c>
      <c r="R27" s="438" t="n">
        <f aca="false">(3.9*1.04)-T27</f>
        <v>3.03661072</v>
      </c>
      <c r="S27" s="438" t="n">
        <v>0</v>
      </c>
      <c r="T27" s="139" t="n">
        <f aca="false">(0.9247*1.06)*1.04</f>
        <v>1.01938928</v>
      </c>
      <c r="U27" s="365" t="n">
        <v>0</v>
      </c>
      <c r="V27" s="142" t="n">
        <v>30.7</v>
      </c>
      <c r="W27" s="142" t="n">
        <v>50</v>
      </c>
      <c r="X27" s="143" t="n">
        <f aca="false">M27-N27-O27-P27-Q27-R27-S27-T27-U27+V27+W27-AT27+AR27</f>
        <v>158.645593463384</v>
      </c>
      <c r="Y27" s="143" t="n">
        <f aca="false">X27-AO27</f>
        <v>158.645593463384</v>
      </c>
      <c r="Z27" s="114" t="n">
        <f aca="false">Z26-Y27</f>
        <v>26404.5533128275</v>
      </c>
      <c r="AA27" s="143" t="n">
        <f aca="false">Y27</f>
        <v>158.645593463384</v>
      </c>
      <c r="AB27" s="114"/>
      <c r="AC27" s="114" t="n">
        <f aca="false">AC26-(AQ26/1.9835)</f>
        <v>1371.93342444623</v>
      </c>
      <c r="AD27" s="114"/>
      <c r="AE27" s="142" t="n">
        <v>68.6</v>
      </c>
      <c r="AF27" s="145" t="n">
        <v>1.7</v>
      </c>
      <c r="AG27" s="146" t="n">
        <v>1.3</v>
      </c>
      <c r="AH27" s="142" t="n">
        <v>50.8</v>
      </c>
      <c r="AI27" s="85" t="n">
        <f aca="false">AI26-AH27</f>
        <v>13902.8578774893</v>
      </c>
      <c r="AJ27" s="142"/>
      <c r="AK27" s="142" t="n">
        <f aca="false">N28+O27+P27+Q27+R27+S27+T27+U27+X27+AE27+AH27-AR27</f>
        <v>317.1</v>
      </c>
      <c r="AL27" s="142" t="n">
        <f aca="false">IF(L27&lt;0,L27*-1,0)</f>
        <v>510.78593395513</v>
      </c>
      <c r="AM27" s="142" t="n">
        <f aca="false">AK27+AL27</f>
        <v>827.88593395513</v>
      </c>
      <c r="AN27" s="467"/>
      <c r="AO27" s="157"/>
      <c r="AP27" s="157" t="n">
        <f aca="false">IF((I27-Q27-R27-X27-AF27)&gt;0,0,I27-Q27-R27-X27-AF27)</f>
        <v>0</v>
      </c>
      <c r="AQ27" s="171" t="n">
        <f aca="false">24.096*(21925*1.9835+AC27*1.9835)/E27</f>
        <v>6.91265817137431</v>
      </c>
      <c r="AR27" s="144" t="n">
        <f aca="false">719.159/1.9835/30</f>
        <v>12.0856902781279</v>
      </c>
      <c r="AS27" s="103"/>
      <c r="AT27" s="185" t="n">
        <v>0</v>
      </c>
      <c r="AV27" s="108" t="n">
        <v>0</v>
      </c>
      <c r="AW27" s="109" t="n">
        <v>77</v>
      </c>
      <c r="AX27" s="109" t="n">
        <v>50</v>
      </c>
      <c r="AY27" s="149"/>
      <c r="AZ27" s="263" t="n">
        <f aca="false">SUM(N27,P27:U27)</f>
        <v>6.30509681474353</v>
      </c>
      <c r="BA27" s="99" t="n">
        <v>105</v>
      </c>
      <c r="BB27" s="471" t="n">
        <v>24040</v>
      </c>
    </row>
    <row r="28" customFormat="false" ht="12.95" hidden="false" customHeight="true" outlineLevel="0" collapsed="false">
      <c r="A28" s="10" t="n">
        <f aca="false">A27+1</f>
        <v>14</v>
      </c>
      <c r="B28" s="367" t="n">
        <v>6908.56</v>
      </c>
      <c r="C28" s="100" t="n">
        <v>316268</v>
      </c>
      <c r="D28" s="109" t="n">
        <f aca="false">C28-C27</f>
        <v>3192</v>
      </c>
      <c r="E28" s="100" t="n">
        <f aca="false">C28-152000</f>
        <v>164268</v>
      </c>
      <c r="F28" s="151" t="n">
        <f aca="false">D28/$D$2</f>
        <v>1609.27653138392</v>
      </c>
      <c r="G28" s="142" t="n">
        <v>2400</v>
      </c>
      <c r="H28" s="103" t="n">
        <v>37.1</v>
      </c>
      <c r="I28" s="142" t="n">
        <f aca="false">G28+H28</f>
        <v>2437.1</v>
      </c>
      <c r="J28" s="375" t="n">
        <f aca="false">IF(L28&gt;0,L28,0)</f>
        <v>0</v>
      </c>
      <c r="K28" s="142" t="n">
        <f aca="false">I28+J28</f>
        <v>2437.1</v>
      </c>
      <c r="L28" s="142" t="n">
        <f aca="false">F28-(I28-AK28)</f>
        <v>-506.723468616083</v>
      </c>
      <c r="M28" s="145" t="n">
        <v>121</v>
      </c>
      <c r="N28" s="171" t="n">
        <f aca="false">1/$D$2*1.03</f>
        <v>0.519284093773632</v>
      </c>
      <c r="O28" s="163" t="n">
        <f aca="false">36.5*1.05</f>
        <v>38.325</v>
      </c>
      <c r="P28" s="171" t="n">
        <v>0</v>
      </c>
      <c r="Q28" s="346" t="n">
        <f aca="false">1475100/325851/1.9835*1.02</f>
        <v>2.32793243746254</v>
      </c>
      <c r="R28" s="438" t="n">
        <f aca="false">(4*1.04)-T28</f>
        <v>3.14061072</v>
      </c>
      <c r="S28" s="438" t="n">
        <v>0</v>
      </c>
      <c r="T28" s="139" t="n">
        <f aca="false">(0.9247*1.06)*1.04</f>
        <v>1.01938928</v>
      </c>
      <c r="U28" s="365" t="n">
        <v>0</v>
      </c>
      <c r="V28" s="142" t="n">
        <v>30.8</v>
      </c>
      <c r="W28" s="142" t="n">
        <v>50.7</v>
      </c>
      <c r="X28" s="143" t="n">
        <f aca="false">M28-N28-O28-P28-Q28-R28-S28-T28-U28+V28+W28-AT28+AR28</f>
        <v>169.253473746892</v>
      </c>
      <c r="Y28" s="143" t="n">
        <f aca="false">X28-AO28</f>
        <v>169.253473746892</v>
      </c>
      <c r="Z28" s="114" t="n">
        <f aca="false">Z27-Y28</f>
        <v>26235.2998390806</v>
      </c>
      <c r="AA28" s="143" t="n">
        <f aca="false">Y28</f>
        <v>169.253473746892</v>
      </c>
      <c r="AB28" s="114"/>
      <c r="AC28" s="114" t="n">
        <f aca="false">AC27-(AQ27/1.9835)</f>
        <v>1368.44834344226</v>
      </c>
      <c r="AD28" s="114"/>
      <c r="AE28" s="142" t="n">
        <v>67.8</v>
      </c>
      <c r="AF28" s="145" t="n">
        <v>1.7</v>
      </c>
      <c r="AG28" s="146" t="n">
        <v>1.3</v>
      </c>
      <c r="AH28" s="142" t="n">
        <v>50.8</v>
      </c>
      <c r="AI28" s="85" t="n">
        <f aca="false">AI27-AH28</f>
        <v>13852.0578774893</v>
      </c>
      <c r="AJ28" s="142"/>
      <c r="AK28" s="142" t="n">
        <f aca="false">N29+O28+P28+Q28+R28+S28+T28+U28+X28+AE28+AH28-AR28</f>
        <v>321.1</v>
      </c>
      <c r="AL28" s="142" t="n">
        <f aca="false">IF(L28&lt;0,L28*-1,0)</f>
        <v>506.723468616083</v>
      </c>
      <c r="AM28" s="142" t="n">
        <f aca="false">AK28+AL28</f>
        <v>827.823468616083</v>
      </c>
      <c r="AN28" s="467"/>
      <c r="AO28" s="157"/>
      <c r="AP28" s="157" t="n">
        <f aca="false">IF((I28-Q28-R28-X28-AF28)&gt;0,0,I28-Q28-R28-X28-AF28)</f>
        <v>0</v>
      </c>
      <c r="AQ28" s="171" t="n">
        <f aca="false">73.782*(21925*1.9835+AC28*1.9835)/E28</f>
        <v>20.7521665659657</v>
      </c>
      <c r="AR28" s="144" t="n">
        <f aca="false">719.159/1.9835/30</f>
        <v>12.0856902781279</v>
      </c>
      <c r="AS28" s="103"/>
      <c r="AT28" s="185" t="n">
        <v>0</v>
      </c>
      <c r="AV28" s="108" t="n">
        <v>0</v>
      </c>
      <c r="AW28" s="109" t="n">
        <v>84</v>
      </c>
      <c r="AX28" s="109" t="n">
        <v>48</v>
      </c>
      <c r="AY28" s="149"/>
      <c r="AZ28" s="263" t="n">
        <f aca="false">SUM(N28,P28:U28)</f>
        <v>7.00721653123618</v>
      </c>
      <c r="BA28" s="99" t="n">
        <v>89.2</v>
      </c>
      <c r="BB28" s="471" t="n">
        <v>24105</v>
      </c>
    </row>
    <row r="29" customFormat="false" ht="12.95" hidden="false" customHeight="true" outlineLevel="0" collapsed="false">
      <c r="A29" s="10" t="n">
        <f aca="false">A28+1</f>
        <v>15</v>
      </c>
      <c r="B29" s="367" t="n">
        <v>6909.32</v>
      </c>
      <c r="C29" s="100" t="n">
        <v>319279</v>
      </c>
      <c r="D29" s="109" t="n">
        <f aca="false">C29-C28</f>
        <v>3011</v>
      </c>
      <c r="E29" s="100" t="n">
        <f aca="false">C29-152000</f>
        <v>167279</v>
      </c>
      <c r="F29" s="151" t="n">
        <f aca="false">D29/$D$2</f>
        <v>1518.02369548777</v>
      </c>
      <c r="G29" s="142" t="n">
        <v>2420</v>
      </c>
      <c r="H29" s="103" t="n">
        <v>29.8</v>
      </c>
      <c r="I29" s="142" t="n">
        <f aca="false">G29+H29</f>
        <v>2449.8</v>
      </c>
      <c r="J29" s="375" t="n">
        <f aca="false">IF(L29&gt;0,L29,0)</f>
        <v>0</v>
      </c>
      <c r="K29" s="142" t="n">
        <f aca="false">I29+J29</f>
        <v>2449.8</v>
      </c>
      <c r="L29" s="142" t="n">
        <f aca="false">F29-(I29-AK29)</f>
        <v>-561.576304512226</v>
      </c>
      <c r="M29" s="145" t="n">
        <v>171</v>
      </c>
      <c r="N29" s="171" t="n">
        <f aca="false">1/$D$2*1.03</f>
        <v>0.519284093773632</v>
      </c>
      <c r="O29" s="163" t="n">
        <f aca="false">50.9*1.05</f>
        <v>53.445</v>
      </c>
      <c r="P29" s="171" t="n">
        <v>0</v>
      </c>
      <c r="Q29" s="346" t="n">
        <f aca="false">1437100/325851/1.9835*1.02</f>
        <v>2.26796265058465</v>
      </c>
      <c r="R29" s="438" t="n">
        <f aca="false">(3.8*1.04)-T29</f>
        <v>2.93261072</v>
      </c>
      <c r="S29" s="438" t="n">
        <v>0</v>
      </c>
      <c r="T29" s="139" t="n">
        <f aca="false">(0.9247*1.06)*1.04</f>
        <v>1.01938928</v>
      </c>
      <c r="U29" s="365" t="n">
        <v>0</v>
      </c>
      <c r="V29" s="142" t="n">
        <v>31.2</v>
      </c>
      <c r="W29" s="142" t="n">
        <v>51.3</v>
      </c>
      <c r="X29" s="143" t="n">
        <f aca="false">M29-N29-O29-P29-Q29-R29-S29-T29-U29+V29+W29-AT29+AR29</f>
        <v>205.40144353377</v>
      </c>
      <c r="Y29" s="143" t="n">
        <f aca="false">X29-AO29</f>
        <v>205.40144353377</v>
      </c>
      <c r="Z29" s="114" t="n">
        <f aca="false">Z28-Y29</f>
        <v>26029.8983955469</v>
      </c>
      <c r="AA29" s="143" t="n">
        <f aca="false">Y29</f>
        <v>205.40144353377</v>
      </c>
      <c r="AB29" s="114"/>
      <c r="AC29" s="114" t="n">
        <f aca="false">AC28-(AQ28/1.9835)</f>
        <v>1357.98594537523</v>
      </c>
      <c r="AD29" s="114"/>
      <c r="AE29" s="142" t="n">
        <v>65.9</v>
      </c>
      <c r="AF29" s="145" t="n">
        <v>1.7</v>
      </c>
      <c r="AG29" s="146" t="n">
        <v>1.3</v>
      </c>
      <c r="AH29" s="142" t="n">
        <v>50.8</v>
      </c>
      <c r="AI29" s="85" t="n">
        <f aca="false">AI28-AH29</f>
        <v>13801.2578774893</v>
      </c>
      <c r="AJ29" s="142"/>
      <c r="AK29" s="142" t="n">
        <f aca="false">N30+O29+P29+Q29+R29+S29+T29+U29+X29+AE29+AH29-AR29</f>
        <v>370.2</v>
      </c>
      <c r="AL29" s="142" t="n">
        <f aca="false">IF(L29&lt;0,L29*-1,0)</f>
        <v>561.576304512226</v>
      </c>
      <c r="AM29" s="142" t="n">
        <f aca="false">AK29+AL29</f>
        <v>931.776304512226</v>
      </c>
      <c r="AN29" s="467"/>
      <c r="AO29" s="157"/>
      <c r="AP29" s="157" t="n">
        <f aca="false">IF((I29-Q29-R29-X29-AF29)&gt;0,0,I29-Q29-R29-X29-AF29)</f>
        <v>0</v>
      </c>
      <c r="AQ29" s="171" t="n">
        <f aca="false">55.047*(21925*1.9835+AC29*1.9835)/E29</f>
        <v>15.1971836809708</v>
      </c>
      <c r="AR29" s="144" t="n">
        <f aca="false">719.159/1.9835/30</f>
        <v>12.0856902781279</v>
      </c>
      <c r="AS29" s="103"/>
      <c r="AT29" s="185" t="n">
        <v>0</v>
      </c>
      <c r="AV29" s="108" t="n">
        <v>0</v>
      </c>
      <c r="AW29" s="109" t="n">
        <v>86</v>
      </c>
      <c r="AX29" s="109" t="n">
        <v>52</v>
      </c>
      <c r="AY29" s="149"/>
      <c r="AZ29" s="263" t="n">
        <f aca="false">SUM(N29,P29:U29)</f>
        <v>6.73924674435828</v>
      </c>
      <c r="BA29" s="99" t="n">
        <v>71.3</v>
      </c>
      <c r="BB29" s="471" t="n">
        <v>24111</v>
      </c>
    </row>
    <row r="30" customFormat="false" ht="12.95" hidden="false" customHeight="true" outlineLevel="0" collapsed="false">
      <c r="A30" s="10" t="n">
        <f aca="false">A29+1</f>
        <v>16</v>
      </c>
      <c r="B30" s="367" t="n">
        <v>6909.99</v>
      </c>
      <c r="C30" s="100" t="n">
        <v>321947</v>
      </c>
      <c r="D30" s="109" t="n">
        <f aca="false">C30-C29</f>
        <v>2668</v>
      </c>
      <c r="E30" s="100" t="n">
        <f aca="false">C30-152000</f>
        <v>169947</v>
      </c>
      <c r="F30" s="151" t="n">
        <f aca="false">D30/$D$2</f>
        <v>1345.09705066801</v>
      </c>
      <c r="G30" s="142" t="n">
        <v>2240</v>
      </c>
      <c r="H30" s="103" t="n">
        <v>21.8</v>
      </c>
      <c r="I30" s="142" t="n">
        <f aca="false">G30+H30</f>
        <v>2261.8</v>
      </c>
      <c r="J30" s="375" t="n">
        <f aca="false">IF(L30&gt;0,L30,0)</f>
        <v>0</v>
      </c>
      <c r="K30" s="142" t="n">
        <f aca="false">I30+J30</f>
        <v>2261.8</v>
      </c>
      <c r="L30" s="142" t="n">
        <f aca="false">F30-(I30-AK30)</f>
        <v>-511.002949331989</v>
      </c>
      <c r="M30" s="145" t="n">
        <v>184</v>
      </c>
      <c r="N30" s="171" t="n">
        <f aca="false">1/$D$2*1.03</f>
        <v>0.519284093773632</v>
      </c>
      <c r="O30" s="163" t="n">
        <f aca="false">82.7*1.05</f>
        <v>86.835</v>
      </c>
      <c r="P30" s="171" t="n">
        <v>0</v>
      </c>
      <c r="Q30" s="346" t="n">
        <f aca="false">1557900/325851/1.9835*1.02</f>
        <v>2.45860344676489</v>
      </c>
      <c r="R30" s="438" t="n">
        <v>4.2</v>
      </c>
      <c r="S30" s="139" t="n">
        <f aca="false">((5.8*1.04)-T30)-4.2</f>
        <v>0.812610719999999</v>
      </c>
      <c r="T30" s="139" t="n">
        <f aca="false">(0.9247*1.06)*1.04</f>
        <v>1.01938928</v>
      </c>
      <c r="U30" s="365" t="n">
        <v>0</v>
      </c>
      <c r="V30" s="142" t="n">
        <v>31.3</v>
      </c>
      <c r="W30" s="142" t="n">
        <v>50.8</v>
      </c>
      <c r="X30" s="143" t="n">
        <f aca="false">M30-N30-O30-P30-Q30-R30-S30-T30-U30+V30+W30-AT30+AR30</f>
        <v>182.340802737589</v>
      </c>
      <c r="Y30" s="143" t="n">
        <f aca="false">X30-AO30</f>
        <v>182.340802737589</v>
      </c>
      <c r="Z30" s="114" t="n">
        <f aca="false">Z29-Y30</f>
        <v>25847.5575928093</v>
      </c>
      <c r="AA30" s="143" t="n">
        <f aca="false">Y30</f>
        <v>182.340802737589</v>
      </c>
      <c r="AB30" s="114"/>
      <c r="AC30" s="114" t="n">
        <f aca="false">AC29-(AQ29/1.9835)</f>
        <v>1350.32414367068</v>
      </c>
      <c r="AD30" s="114"/>
      <c r="AE30" s="142" t="n">
        <v>88.8</v>
      </c>
      <c r="AF30" s="145" t="n">
        <v>1.7</v>
      </c>
      <c r="AG30" s="146" t="n">
        <v>1.3</v>
      </c>
      <c r="AH30" s="142" t="n">
        <v>50.8</v>
      </c>
      <c r="AI30" s="85" t="n">
        <f aca="false">AI29-AH30</f>
        <v>13750.4578774893</v>
      </c>
      <c r="AJ30" s="85"/>
      <c r="AK30" s="142" t="n">
        <f aca="false">N31+O30+P30+Q30+R30+S30+T30+U30+X30+AE30+AH30-AR30</f>
        <v>405.7</v>
      </c>
      <c r="AL30" s="142" t="n">
        <f aca="false">IF(L30&lt;0,L30*-1,0)</f>
        <v>511.002949331989</v>
      </c>
      <c r="AM30" s="142" t="n">
        <f aca="false">AK30+AL30</f>
        <v>916.702949331989</v>
      </c>
      <c r="AN30" s="467"/>
      <c r="AO30" s="157"/>
      <c r="AP30" s="157" t="n">
        <f aca="false">IF((I30-Q30-R30-X30-AF30)&gt;0,0,I30-Q30-R30-X30-AF30)</f>
        <v>0</v>
      </c>
      <c r="AQ30" s="171" t="n">
        <f aca="false">70.88*(21925*1.9835+AC30*1.9835)/E30</f>
        <v>19.2547617405088</v>
      </c>
      <c r="AR30" s="144" t="n">
        <f aca="false">719.159/1.9835/30</f>
        <v>12.0856902781279</v>
      </c>
      <c r="AS30" s="103"/>
      <c r="AT30" s="185" t="n">
        <v>0</v>
      </c>
      <c r="AV30" s="108" t="n">
        <v>0</v>
      </c>
      <c r="AW30" s="109" t="n">
        <v>87</v>
      </c>
      <c r="AX30" s="109" t="n">
        <v>60</v>
      </c>
      <c r="AY30" s="149"/>
      <c r="AZ30" s="263" t="n">
        <f aca="false">SUM(N30,P30:U30)</f>
        <v>9.00988754053853</v>
      </c>
      <c r="BA30" s="99" t="n">
        <v>71.4</v>
      </c>
      <c r="BB30" s="471" t="n">
        <v>24082</v>
      </c>
    </row>
    <row r="31" customFormat="false" ht="12.95" hidden="false" customHeight="true" outlineLevel="0" collapsed="false">
      <c r="A31" s="10" t="n">
        <f aca="false">A30+1</f>
        <v>17</v>
      </c>
      <c r="B31" s="367" t="n">
        <v>6910.77</v>
      </c>
      <c r="C31" s="100" t="n">
        <v>325076</v>
      </c>
      <c r="D31" s="109" t="n">
        <f aca="false">C31-C30</f>
        <v>3129</v>
      </c>
      <c r="E31" s="100" t="n">
        <f aca="false">C31-152000</f>
        <v>173076</v>
      </c>
      <c r="F31" s="151" t="n">
        <f aca="false">D31/$D$2</f>
        <v>1577.51449458029</v>
      </c>
      <c r="G31" s="142" t="n">
        <v>2370</v>
      </c>
      <c r="H31" s="103" t="n">
        <v>4.86</v>
      </c>
      <c r="I31" s="142" t="n">
        <f aca="false">G31+H31</f>
        <v>2374.86</v>
      </c>
      <c r="J31" s="375" t="n">
        <f aca="false">IF(L31&gt;0,L31,0)</f>
        <v>0</v>
      </c>
      <c r="K31" s="142" t="n">
        <f aca="false">I31+J31</f>
        <v>2374.86</v>
      </c>
      <c r="L31" s="142" t="n">
        <f aca="false">F31-(I31-AK31)</f>
        <v>-411.445505419713</v>
      </c>
      <c r="M31" s="145" t="n">
        <v>166</v>
      </c>
      <c r="N31" s="171" t="n">
        <f aca="false">1/$D$2*1.03</f>
        <v>0.519284093773632</v>
      </c>
      <c r="O31" s="163" t="n">
        <f aca="false">51.6*1.05</f>
        <v>54.18</v>
      </c>
      <c r="P31" s="171" t="n">
        <v>0</v>
      </c>
      <c r="Q31" s="346" t="n">
        <f aca="false">1550900/325851/1.9835*1.02</f>
        <v>2.44755638076107</v>
      </c>
      <c r="R31" s="438" t="n">
        <v>4.2</v>
      </c>
      <c r="S31" s="139" t="n">
        <f aca="false">((6.4*1.04)-T31)-4.2</f>
        <v>1.43661072</v>
      </c>
      <c r="T31" s="139" t="n">
        <f aca="false">(0.9247*1.06)*1.04</f>
        <v>1.01938928</v>
      </c>
      <c r="U31" s="365" t="n">
        <v>0</v>
      </c>
      <c r="V31" s="142" t="n">
        <v>31.4</v>
      </c>
      <c r="W31" s="142" t="n">
        <v>47.4</v>
      </c>
      <c r="X31" s="143" t="n">
        <f aca="false">M31-N31-O31-P31-Q31-R31-S31-T31-U31+V31+W31-AT31+AR31</f>
        <v>193.082849803593</v>
      </c>
      <c r="Y31" s="143" t="n">
        <f aca="false">X31-AO31</f>
        <v>193.082849803593</v>
      </c>
      <c r="Z31" s="114" t="n">
        <f aca="false">Z30-Y31</f>
        <v>25654.4747430057</v>
      </c>
      <c r="AA31" s="143" t="n">
        <f aca="false">Y31</f>
        <v>193.082849803593</v>
      </c>
      <c r="AB31" s="114"/>
      <c r="AC31" s="114" t="n">
        <f aca="false">AC30-(AQ30/1.9835)</f>
        <v>1340.61667619374</v>
      </c>
      <c r="AD31" s="114"/>
      <c r="AE31" s="142" t="n">
        <v>77.4</v>
      </c>
      <c r="AF31" s="145" t="n">
        <v>1.7</v>
      </c>
      <c r="AG31" s="146" t="n">
        <v>1.3</v>
      </c>
      <c r="AH31" s="142" t="n">
        <v>63.7</v>
      </c>
      <c r="AI31" s="85" t="n">
        <f aca="false">AI30-AH31</f>
        <v>13686.7578774893</v>
      </c>
      <c r="AJ31" s="85"/>
      <c r="AK31" s="142" t="n">
        <f aca="false">N32+O31+P31+Q31+R31+S31+T31+U31+X31+AE31+AH31-AR31</f>
        <v>385.9</v>
      </c>
      <c r="AL31" s="142" t="n">
        <f aca="false">IF(L31&lt;0,L31*-1,0)</f>
        <v>411.445505419713</v>
      </c>
      <c r="AM31" s="142" t="n">
        <f aca="false">AK31+AL31</f>
        <v>797.345505419713</v>
      </c>
      <c r="AN31" s="467"/>
      <c r="AO31" s="157"/>
      <c r="AP31" s="157" t="n">
        <f aca="false">IF((I31-Q31-R31-X31-AF31)&gt;0,0,I31-Q31-R31-X31-AF31)</f>
        <v>0</v>
      </c>
      <c r="AQ31" s="171" t="n">
        <f aca="false">77.088*(21925*1.9835+AC31*1.9835)/E31</f>
        <v>20.5540165534582</v>
      </c>
      <c r="AR31" s="144" t="n">
        <f aca="false">719.159/1.9835/30</f>
        <v>12.0856902781279</v>
      </c>
      <c r="AS31" s="103"/>
      <c r="AT31" s="185" t="n">
        <v>0</v>
      </c>
      <c r="AV31" s="108" t="n">
        <v>0</v>
      </c>
      <c r="AW31" s="109" t="n">
        <v>87</v>
      </c>
      <c r="AX31" s="109" t="n">
        <v>54</v>
      </c>
      <c r="AY31" s="149"/>
      <c r="AZ31" s="263" t="n">
        <f aca="false">SUM(N31,P31:U31)</f>
        <v>9.6228404745347</v>
      </c>
      <c r="BA31" s="99" t="n">
        <v>71.7</v>
      </c>
      <c r="BB31" s="471" t="n">
        <v>24103</v>
      </c>
    </row>
    <row r="32" customFormat="false" ht="12.95" hidden="false" customHeight="true" outlineLevel="0" collapsed="false">
      <c r="A32" s="10" t="n">
        <f aca="false">A31+1</f>
        <v>18</v>
      </c>
      <c r="B32" s="367" t="n">
        <v>6911.44</v>
      </c>
      <c r="C32" s="100" t="n">
        <v>327779</v>
      </c>
      <c r="D32" s="109" t="n">
        <f aca="false">C32-C31</f>
        <v>2703</v>
      </c>
      <c r="E32" s="100" t="n">
        <f aca="false">C32-152000</f>
        <v>175779</v>
      </c>
      <c r="F32" s="151" t="n">
        <f aca="false">D32/$D$2</f>
        <v>1362.74262667003</v>
      </c>
      <c r="G32" s="142" t="n">
        <v>2190</v>
      </c>
      <c r="H32" s="103" t="n">
        <v>2.49</v>
      </c>
      <c r="I32" s="142" t="n">
        <f aca="false">G32+H32</f>
        <v>2192.49</v>
      </c>
      <c r="J32" s="375" t="n">
        <f aca="false">IF(L32&gt;0,L32,0)</f>
        <v>0</v>
      </c>
      <c r="K32" s="142" t="n">
        <f aca="false">I32+J32</f>
        <v>2192.49</v>
      </c>
      <c r="L32" s="142" t="n">
        <f aca="false">F32-(I32-AK32)</f>
        <v>-430.947373329972</v>
      </c>
      <c r="M32" s="145" t="n">
        <v>183</v>
      </c>
      <c r="N32" s="171" t="n">
        <f aca="false">1/$D$2*1.03</f>
        <v>0.519284093773632</v>
      </c>
      <c r="O32" s="163" t="n">
        <f aca="false">64.7*1.05</f>
        <v>67.935</v>
      </c>
      <c r="P32" s="171" t="n">
        <v>0</v>
      </c>
      <c r="Q32" s="346" t="n">
        <f aca="false">1764900/325851/1.9835*1.02</f>
        <v>2.78528097002077</v>
      </c>
      <c r="R32" s="438" t="n">
        <v>4.2</v>
      </c>
      <c r="S32" s="139" t="n">
        <f aca="false">((6.5*1.04)-T32)-4.2</f>
        <v>1.54061072</v>
      </c>
      <c r="T32" s="139" t="n">
        <f aca="false">(0.9247*1.06)*1.04</f>
        <v>1.01938928</v>
      </c>
      <c r="U32" s="365" t="n">
        <v>0</v>
      </c>
      <c r="V32" s="142" t="n">
        <v>31.5</v>
      </c>
      <c r="W32" s="142" t="n">
        <v>45.2</v>
      </c>
      <c r="X32" s="143" t="n">
        <f aca="false">M32-N32-O32-P32-Q32-R32-S32-T32-U32+V32+W32-AT32+AR32</f>
        <v>193.786125214333</v>
      </c>
      <c r="Y32" s="143" t="n">
        <f aca="false">X32-AO32</f>
        <v>193.786125214333</v>
      </c>
      <c r="Z32" s="114" t="n">
        <f aca="false">Z31-Y32</f>
        <v>25460.6886177914</v>
      </c>
      <c r="AA32" s="143" t="n">
        <f aca="false">Y32</f>
        <v>193.786125214333</v>
      </c>
      <c r="AB32" s="114"/>
      <c r="AC32" s="114" t="n">
        <f aca="false">AC31-(AQ31/1.9835)</f>
        <v>1330.25417730115</v>
      </c>
      <c r="AD32" s="114"/>
      <c r="AE32" s="142" t="n">
        <v>66.2</v>
      </c>
      <c r="AF32" s="145" t="n">
        <v>1.7</v>
      </c>
      <c r="AG32" s="146" t="n">
        <v>1.3</v>
      </c>
      <c r="AH32" s="142" t="n">
        <v>72.9</v>
      </c>
      <c r="AI32" s="85" t="n">
        <f aca="false">AI31-AH32</f>
        <v>13613.8578774893</v>
      </c>
      <c r="AJ32" s="85"/>
      <c r="AK32" s="142" t="n">
        <f aca="false">N33+O32+P32+Q32+R32+S32+T32+U32+X32+AE32+AH32-AR32</f>
        <v>398.8</v>
      </c>
      <c r="AL32" s="142" t="n">
        <f aca="false">IF(L32&lt;0,L32*-1,0)</f>
        <v>430.947373329972</v>
      </c>
      <c r="AM32" s="142" t="n">
        <f aca="false">AK32+AL32</f>
        <v>829.747373329972</v>
      </c>
      <c r="AN32" s="467"/>
      <c r="AO32" s="157"/>
      <c r="AP32" s="157" t="n">
        <f aca="false">IF((I32-Q32-R32-X32-AF32)&gt;0,0,I32-Q32-R32-X32-AF32)</f>
        <v>0</v>
      </c>
      <c r="AQ32" s="171" t="n">
        <f aca="false">71.448*(21925*1.9835+AC32*1.9835)/E32</f>
        <v>18.7489254564654</v>
      </c>
      <c r="AR32" s="144" t="n">
        <f aca="false">719.159/1.9835/30</f>
        <v>12.0856902781279</v>
      </c>
      <c r="AS32" s="103"/>
      <c r="AT32" s="185" t="n">
        <v>0</v>
      </c>
      <c r="AV32" s="108" t="n">
        <v>0</v>
      </c>
      <c r="AW32" s="109" t="n">
        <v>90</v>
      </c>
      <c r="AX32" s="109" t="n">
        <v>53</v>
      </c>
      <c r="AY32" s="149"/>
      <c r="AZ32" s="263" t="n">
        <f aca="false">SUM(N32,P32:U32)</f>
        <v>10.0645650637944</v>
      </c>
      <c r="BA32" s="99" t="n">
        <v>71.8</v>
      </c>
      <c r="BB32" s="471" t="n">
        <v>24097</v>
      </c>
    </row>
    <row r="33" customFormat="false" ht="12.95" hidden="false" customHeight="true" outlineLevel="0" collapsed="false">
      <c r="A33" s="10" t="n">
        <f aca="false">A32+1</f>
        <v>19</v>
      </c>
      <c r="B33" s="367" t="n">
        <v>6911.98</v>
      </c>
      <c r="C33" s="100" t="n">
        <v>329963</v>
      </c>
      <c r="D33" s="109" t="n">
        <f aca="false">C33-C32</f>
        <v>2184</v>
      </c>
      <c r="E33" s="100" t="n">
        <f aca="false">C33-152000</f>
        <v>177963</v>
      </c>
      <c r="F33" s="151" t="n">
        <f aca="false">D33/$D$2</f>
        <v>1101.08394252584</v>
      </c>
      <c r="G33" s="142" t="n">
        <v>1930</v>
      </c>
      <c r="H33" s="103" t="n">
        <v>1.64</v>
      </c>
      <c r="I33" s="142" t="n">
        <f aca="false">G33+H33</f>
        <v>1931.64</v>
      </c>
      <c r="J33" s="375" t="n">
        <f aca="false">IF(L33&gt;0,L33,0)</f>
        <v>0</v>
      </c>
      <c r="K33" s="142" t="n">
        <f aca="false">I33+J33</f>
        <v>1931.64</v>
      </c>
      <c r="L33" s="142" t="n">
        <f aca="false">F33-(I33-AK33)</f>
        <v>-403.756057474162</v>
      </c>
      <c r="M33" s="145" t="n">
        <v>198</v>
      </c>
      <c r="N33" s="171" t="n">
        <f aca="false">1/$D$2*1.03</f>
        <v>0.519284093773632</v>
      </c>
      <c r="O33" s="163" t="n">
        <f aca="false">63.3*1.05</f>
        <v>66.465</v>
      </c>
      <c r="P33" s="171" t="n">
        <v>0</v>
      </c>
      <c r="Q33" s="346" t="n">
        <f aca="false">1879000/325851/1.9835*1.02</f>
        <v>2.96534814588307</v>
      </c>
      <c r="R33" s="438" t="n">
        <v>4.2</v>
      </c>
      <c r="S33" s="139" t="n">
        <f aca="false">((6.6*1.04)-T33)-4.2</f>
        <v>1.31819008</v>
      </c>
      <c r="T33" s="139" t="n">
        <f aca="false">(1.2208*1.06)*1.04</f>
        <v>1.34580992</v>
      </c>
      <c r="U33" s="365" t="n">
        <v>0</v>
      </c>
      <c r="V33" s="142" t="n">
        <v>31.8</v>
      </c>
      <c r="W33" s="142" t="n">
        <v>45.6</v>
      </c>
      <c r="X33" s="143" t="n">
        <f aca="false">M33-N33-O33-P33-Q33-R33-S33-T33-U33+V33+W33-AT33+AR33</f>
        <v>210.672058038471</v>
      </c>
      <c r="Y33" s="143" t="n">
        <f aca="false">X33-AO33</f>
        <v>210.672058038471</v>
      </c>
      <c r="Z33" s="114" t="n">
        <f aca="false">Z32-Y33</f>
        <v>25250.0165597529</v>
      </c>
      <c r="AA33" s="143" t="n">
        <f aca="false">Y33</f>
        <v>210.672058038471</v>
      </c>
      <c r="AB33" s="114"/>
      <c r="AC33" s="114" t="n">
        <f aca="false">AC32-(AQ32/1.9835)</f>
        <v>1320.80173189834</v>
      </c>
      <c r="AD33" s="114"/>
      <c r="AE33" s="142" t="n">
        <v>77.3</v>
      </c>
      <c r="AF33" s="145" t="n">
        <v>1.7</v>
      </c>
      <c r="AG33" s="146" t="n">
        <v>1.3</v>
      </c>
      <c r="AH33" s="142" t="n">
        <v>74.1</v>
      </c>
      <c r="AI33" s="85" t="n">
        <f aca="false">AI32-AH33</f>
        <v>13539.7578774893</v>
      </c>
      <c r="AJ33" s="85"/>
      <c r="AK33" s="142" t="n">
        <f aca="false">N34+O33+P33+Q33+R33+S33+T33+U33+X33+AE33+AH33-AR33</f>
        <v>426.8</v>
      </c>
      <c r="AL33" s="142" t="n">
        <f aca="false">IF(L33&lt;0,L33*-1,0)</f>
        <v>403.756057474162</v>
      </c>
      <c r="AM33" s="142" t="n">
        <f aca="false">AK33+AL33</f>
        <v>830.556057474162</v>
      </c>
      <c r="AN33" s="467"/>
      <c r="AO33" s="157"/>
      <c r="AP33" s="157" t="n">
        <f aca="false">IF((I33-Q33-R33-X33-AF33)&gt;0,0,I33-Q33-R33-X33-AF33)</f>
        <v>0</v>
      </c>
      <c r="AQ33" s="171" t="n">
        <f aca="false">69.172*(21925*1.9835+AC33*1.9835)/E33</f>
        <v>17.9216234719614</v>
      </c>
      <c r="AR33" s="144" t="n">
        <f aca="false">719.159/1.9835/30</f>
        <v>12.0856902781279</v>
      </c>
      <c r="AS33" s="103"/>
      <c r="AT33" s="185" t="n">
        <v>0</v>
      </c>
      <c r="AV33" s="108" t="n">
        <v>0</v>
      </c>
      <c r="AW33" s="109" t="n">
        <v>91</v>
      </c>
      <c r="AX33" s="109" t="n">
        <v>54</v>
      </c>
      <c r="AY33" s="149"/>
      <c r="AZ33" s="263" t="n">
        <f aca="false">SUM(N33,P33:U33)</f>
        <v>10.3486322396567</v>
      </c>
      <c r="BA33" s="99" t="n">
        <v>72.2</v>
      </c>
      <c r="BB33" s="471" t="n">
        <v>24112</v>
      </c>
    </row>
    <row r="34" customFormat="false" ht="12.95" hidden="false" customHeight="true" outlineLevel="0" collapsed="false">
      <c r="A34" s="10" t="n">
        <f aca="false">A33+1</f>
        <v>20</v>
      </c>
      <c r="B34" s="367" t="n">
        <v>6912.5</v>
      </c>
      <c r="C34" s="100" t="n">
        <v>332083</v>
      </c>
      <c r="D34" s="109" t="n">
        <f aca="false">C34-C33</f>
        <v>2120</v>
      </c>
      <c r="E34" s="100" t="n">
        <f aca="false">C34-152000</f>
        <v>180083</v>
      </c>
      <c r="F34" s="151" t="n">
        <f aca="false">D34/$D$2</f>
        <v>1068.81774640787</v>
      </c>
      <c r="G34" s="142" t="n">
        <v>1740</v>
      </c>
      <c r="H34" s="103" t="n">
        <v>1.21</v>
      </c>
      <c r="I34" s="142" t="n">
        <f aca="false">G34+H34</f>
        <v>1741.21</v>
      </c>
      <c r="J34" s="375" t="n">
        <f aca="false">IF(L34&gt;0,L34,0)</f>
        <v>0</v>
      </c>
      <c r="K34" s="142" t="n">
        <f aca="false">I34+J34</f>
        <v>1741.21</v>
      </c>
      <c r="L34" s="142" t="n">
        <f aca="false">F34-(I34-AK34)</f>
        <v>-282.592253592135</v>
      </c>
      <c r="M34" s="145" t="n">
        <v>167</v>
      </c>
      <c r="N34" s="171" t="n">
        <f aca="false">1/$D$2*1.03</f>
        <v>0.519284093773632</v>
      </c>
      <c r="O34" s="103" t="n">
        <f aca="false">34.2*1.05</f>
        <v>35.91</v>
      </c>
      <c r="P34" s="171" t="n">
        <v>0</v>
      </c>
      <c r="Q34" s="346" t="n">
        <f aca="false">1786700/325851/1.9835*1.02</f>
        <v>2.81968468986125</v>
      </c>
      <c r="R34" s="438" t="n">
        <v>4.2</v>
      </c>
      <c r="S34" s="139" t="n">
        <f aca="false">((6.2*1.04)-T34)-4.2</f>
        <v>0.90219008</v>
      </c>
      <c r="T34" s="139" t="n">
        <f aca="false">(1.2208*1.06)*1.04</f>
        <v>1.34580992</v>
      </c>
      <c r="U34" s="365" t="n">
        <v>0</v>
      </c>
      <c r="V34" s="142" t="n">
        <v>38.4</v>
      </c>
      <c r="W34" s="142" t="n">
        <v>45</v>
      </c>
      <c r="X34" s="143" t="n">
        <f aca="false">M34-N34-O34-P34-Q34-R34-S34-T34-U34+V34+W34-AT34+AR34</f>
        <v>216.788721494493</v>
      </c>
      <c r="Y34" s="143" t="n">
        <f aca="false">X34-AO34</f>
        <v>216.788721494493</v>
      </c>
      <c r="Z34" s="114" t="n">
        <f aca="false">Z33-Y34</f>
        <v>25033.2278382584</v>
      </c>
      <c r="AA34" s="143" t="n">
        <f aca="false">Y34</f>
        <v>216.788721494493</v>
      </c>
      <c r="AB34" s="114"/>
      <c r="AC34" s="114" t="n">
        <f aca="false">AC33-(AQ33/1.9835)</f>
        <v>1311.7663784968</v>
      </c>
      <c r="AD34" s="114"/>
      <c r="AE34" s="142" t="n">
        <v>64.8</v>
      </c>
      <c r="AF34" s="145" t="n">
        <v>1.7</v>
      </c>
      <c r="AG34" s="146" t="n">
        <v>1.3</v>
      </c>
      <c r="AH34" s="142" t="n">
        <v>74.6</v>
      </c>
      <c r="AI34" s="85" t="n">
        <f aca="false">AI33-AH34</f>
        <v>13465.1578774893</v>
      </c>
      <c r="AJ34" s="85"/>
      <c r="AK34" s="142" t="n">
        <f aca="false">N35+O34+P34+Q34+R34+S34+T34+U34+X34+AE34+AH34-AR34</f>
        <v>389.8</v>
      </c>
      <c r="AL34" s="142" t="n">
        <f aca="false">IF(L34&lt;0,L34*-1,0)</f>
        <v>282.592253592135</v>
      </c>
      <c r="AM34" s="142" t="n">
        <f aca="false">AK34+AL34</f>
        <v>672.392253592135</v>
      </c>
      <c r="AN34" s="467"/>
      <c r="AO34" s="157"/>
      <c r="AP34" s="157" t="n">
        <f aca="false">IF((I34-Q34-R34-X34-AF34)&gt;0,0,I34-Q34-R34-X34-AF34)</f>
        <v>0</v>
      </c>
      <c r="AQ34" s="171" t="n">
        <f aca="false">75.925*(21925*1.9835+AC34*1.9835)/E34</f>
        <v>19.4321108879489</v>
      </c>
      <c r="AR34" s="144" t="n">
        <f aca="false">719.159/1.9835/30</f>
        <v>12.0856902781279</v>
      </c>
      <c r="AS34" s="103"/>
      <c r="AT34" s="185" t="n">
        <v>0</v>
      </c>
      <c r="AV34" s="108" t="n">
        <v>0</v>
      </c>
      <c r="AW34" s="109" t="n">
        <v>93</v>
      </c>
      <c r="AX34" s="109" t="n">
        <v>54</v>
      </c>
      <c r="AY34" s="149"/>
      <c r="AZ34" s="263" t="n">
        <f aca="false">SUM(N34,P34:U34)</f>
        <v>9.78696878363488</v>
      </c>
      <c r="BA34" s="99" t="n">
        <v>72.6</v>
      </c>
      <c r="BB34" s="471" t="n">
        <v>24062</v>
      </c>
    </row>
    <row r="35" customFormat="false" ht="12.95" hidden="false" customHeight="true" outlineLevel="0" collapsed="false">
      <c r="A35" s="10" t="n">
        <f aca="false">A34+1</f>
        <v>21</v>
      </c>
      <c r="B35" s="367" t="n">
        <v>6912.94</v>
      </c>
      <c r="C35" s="100" t="n">
        <v>333877</v>
      </c>
      <c r="D35" s="109" t="n">
        <f aca="false">C35-C34</f>
        <v>1794</v>
      </c>
      <c r="E35" s="100" t="n">
        <f aca="false">C35-152000</f>
        <v>181877</v>
      </c>
      <c r="F35" s="151" t="n">
        <f aca="false">D35/$D$2</f>
        <v>904.461809931938</v>
      </c>
      <c r="G35" s="142" t="n">
        <v>1520</v>
      </c>
      <c r="H35" s="103" t="n">
        <v>0.891</v>
      </c>
      <c r="I35" s="142" t="n">
        <f aca="false">G35+H35</f>
        <v>1520.891</v>
      </c>
      <c r="J35" s="375" t="n">
        <f aca="false">IF(L35&gt;0,L35,0)</f>
        <v>0</v>
      </c>
      <c r="K35" s="142" t="n">
        <f aca="false">I35+J35</f>
        <v>1520.891</v>
      </c>
      <c r="L35" s="142" t="n">
        <f aca="false">F35-(I35-AK35)</f>
        <v>-194.829190068062</v>
      </c>
      <c r="M35" s="145" t="n">
        <v>196</v>
      </c>
      <c r="N35" s="171" t="n">
        <f aca="false">1/$D$2*1.03</f>
        <v>0.519284093773632</v>
      </c>
      <c r="O35" s="163" t="n">
        <f aca="false">39.7*1.05</f>
        <v>41.685</v>
      </c>
      <c r="P35" s="171" t="n">
        <v>0</v>
      </c>
      <c r="Q35" s="346" t="n">
        <f aca="false">2036400/325851/1.9835*1.02</f>
        <v>3.21374931574044</v>
      </c>
      <c r="R35" s="438" t="n">
        <v>4.2</v>
      </c>
      <c r="S35" s="139" t="n">
        <f aca="false">((6.6*1.04)-T35)-4.2</f>
        <v>1.31819008</v>
      </c>
      <c r="T35" s="139" t="n">
        <f aca="false">(1.2208*1.06)*1.04</f>
        <v>1.34580992</v>
      </c>
      <c r="U35" s="365" t="n">
        <v>0</v>
      </c>
      <c r="V35" s="142" t="n">
        <v>47.1</v>
      </c>
      <c r="W35" s="142" t="n">
        <v>44.8</v>
      </c>
      <c r="X35" s="143" t="n">
        <f aca="false">M35-N35-O35-P35-Q35-R35-S35-T35-U35+V35+W35-AT35+AR35</f>
        <v>247.703656868614</v>
      </c>
      <c r="Y35" s="143" t="n">
        <f aca="false">X35-AO35</f>
        <v>247.703656868614</v>
      </c>
      <c r="Z35" s="114" t="n">
        <f aca="false">Z34-Y35</f>
        <v>24785.5241813898</v>
      </c>
      <c r="AA35" s="143" t="n">
        <f aca="false">Y35</f>
        <v>247.703656868614</v>
      </c>
      <c r="AB35" s="114"/>
      <c r="AC35" s="114" t="n">
        <f aca="false">AC34-(AQ34/1.9835)</f>
        <v>1301.96949879528</v>
      </c>
      <c r="AD35" s="114"/>
      <c r="AE35" s="142" t="n">
        <v>59.1</v>
      </c>
      <c r="AF35" s="145" t="n">
        <v>1.7</v>
      </c>
      <c r="AG35" s="146" t="n">
        <v>1.3</v>
      </c>
      <c r="AH35" s="142" t="n">
        <v>74.6</v>
      </c>
      <c r="AI35" s="85" t="n">
        <f aca="false">AI34-AH35</f>
        <v>13390.5578774893</v>
      </c>
      <c r="AJ35" s="85"/>
      <c r="AK35" s="142" t="n">
        <f aca="false">N36+O35+P35+Q35+R35+S35+T35+U35+X35+AE35+AH35-AR35</f>
        <v>421.6</v>
      </c>
      <c r="AL35" s="142" t="n">
        <f aca="false">IF(L35&lt;0,L35*-1,0)</f>
        <v>194.829190068062</v>
      </c>
      <c r="AM35" s="142" t="n">
        <f aca="false">AK35+AL35</f>
        <v>616.429190068062</v>
      </c>
      <c r="AN35" s="467"/>
      <c r="AO35" s="157"/>
      <c r="AP35" s="157" t="n">
        <f aca="false">IF((I35-Q35-R35-X35-AF35)&gt;0,0,I35-Q35-R35-X35-AF35)</f>
        <v>0</v>
      </c>
      <c r="AQ35" s="171" t="n">
        <f aca="false">81.178*(21925*1.9835+AC35*1.9835)/E35</f>
        <v>20.562945274014</v>
      </c>
      <c r="AR35" s="144" t="n">
        <f aca="false">719.159/1.9835/30</f>
        <v>12.0856902781279</v>
      </c>
      <c r="AS35" s="103"/>
      <c r="AT35" s="185" t="n">
        <v>0</v>
      </c>
      <c r="AV35" s="108" t="n">
        <v>0</v>
      </c>
      <c r="AW35" s="109" t="n">
        <v>94</v>
      </c>
      <c r="AX35" s="109" t="n">
        <v>57</v>
      </c>
      <c r="AY35" s="149"/>
      <c r="AZ35" s="263" t="n">
        <f aca="false">SUM(N35,P35:U35)</f>
        <v>10.5970334095141</v>
      </c>
      <c r="BA35" s="99" t="n">
        <v>73.3</v>
      </c>
      <c r="BB35" s="471" t="n">
        <v>24059</v>
      </c>
    </row>
    <row r="36" customFormat="false" ht="12.95" hidden="false" customHeight="true" outlineLevel="0" collapsed="false">
      <c r="A36" s="10" t="n">
        <f aca="false">A35+1</f>
        <v>22</v>
      </c>
      <c r="B36" s="367" t="n">
        <v>6913.28</v>
      </c>
      <c r="C36" s="100" t="n">
        <v>335272</v>
      </c>
      <c r="D36" s="109" t="n">
        <f aca="false">C36-C35</f>
        <v>1395</v>
      </c>
      <c r="E36" s="100" t="n">
        <f aca="false">C36-152000</f>
        <v>183272</v>
      </c>
      <c r="F36" s="151" t="n">
        <f aca="false">D36/$D$2</f>
        <v>703.302243508949</v>
      </c>
      <c r="G36" s="142" t="n">
        <v>1370</v>
      </c>
      <c r="H36" s="103" t="n">
        <v>0.638</v>
      </c>
      <c r="I36" s="142" t="n">
        <f aca="false">G36+H36</f>
        <v>1370.638</v>
      </c>
      <c r="J36" s="375" t="n">
        <f aca="false">IF(L36&gt;0,L36,0)</f>
        <v>0</v>
      </c>
      <c r="K36" s="142" t="n">
        <f aca="false">I36+J36</f>
        <v>1370.638</v>
      </c>
      <c r="L36" s="142" t="n">
        <f aca="false">F36-(I36-AK36)</f>
        <v>-229.835756491051</v>
      </c>
      <c r="M36" s="145" t="n">
        <v>193</v>
      </c>
      <c r="N36" s="171" t="n">
        <f aca="false">1/$D$2*1.03</f>
        <v>0.519284093773632</v>
      </c>
      <c r="O36" s="163" t="n">
        <f aca="false">33.6*1.05</f>
        <v>35.28</v>
      </c>
      <c r="P36" s="171" t="n">
        <v>0</v>
      </c>
      <c r="Q36" s="346" t="n">
        <f aca="false">2100100/325851/1.9835*1.02</f>
        <v>3.31427761637522</v>
      </c>
      <c r="R36" s="438" t="n">
        <v>4.2</v>
      </c>
      <c r="S36" s="139" t="n">
        <f aca="false">((6.4*1.04)-T36)-4.2</f>
        <v>1.11019008</v>
      </c>
      <c r="T36" s="139" t="n">
        <f aca="false">(1.2208*1.06)*1.04</f>
        <v>1.34580992</v>
      </c>
      <c r="U36" s="365" t="n">
        <v>0</v>
      </c>
      <c r="V36" s="142" t="n">
        <v>52.1</v>
      </c>
      <c r="W36" s="142" t="n">
        <v>45.8</v>
      </c>
      <c r="X36" s="143" t="n">
        <f aca="false">M36-N36-O36-P36-Q36-R36-S36-T36-U36+V36+W36-AT36+AR36</f>
        <v>257.216128567979</v>
      </c>
      <c r="Y36" s="143" t="n">
        <f aca="false">X36-AO36</f>
        <v>257.216128567979</v>
      </c>
      <c r="Z36" s="114" t="n">
        <f aca="false">Z35-Y36</f>
        <v>24528.3080528218</v>
      </c>
      <c r="AA36" s="143" t="n">
        <f aca="false">Y36</f>
        <v>257.216128567979</v>
      </c>
      <c r="AB36" s="114"/>
      <c r="AC36" s="114" t="n">
        <f aca="false">AC35-(AQ35/1.9835)</f>
        <v>1291.60249840506</v>
      </c>
      <c r="AD36" s="114"/>
      <c r="AE36" s="142" t="n">
        <v>70.2</v>
      </c>
      <c r="AF36" s="145" t="n">
        <v>1.7</v>
      </c>
      <c r="AG36" s="146" t="n">
        <v>1.3</v>
      </c>
      <c r="AH36" s="142" t="n">
        <v>76.4</v>
      </c>
      <c r="AI36" s="85" t="n">
        <f aca="false">AI35-AH36</f>
        <v>13314.1578774893</v>
      </c>
      <c r="AJ36" s="85"/>
      <c r="AK36" s="142" t="n">
        <f aca="false">N37+O36+P36+Q36+R36+S36+T36+U36+X36+AE36+AH36-AR36</f>
        <v>437.5</v>
      </c>
      <c r="AL36" s="142" t="n">
        <f aca="false">IF(L36&lt;0,L36*-1,0)</f>
        <v>229.835756491051</v>
      </c>
      <c r="AM36" s="142" t="n">
        <f aca="false">AK36+AL36</f>
        <v>667.335756491051</v>
      </c>
      <c r="AN36" s="467"/>
      <c r="AO36" s="157"/>
      <c r="AP36" s="157" t="n">
        <f aca="false">IF((I36-Q36-R36-X36-AF36)&gt;0,0,I36-Q36-R36-X36-AF36)</f>
        <v>0</v>
      </c>
      <c r="AQ36" s="171" t="n">
        <f aca="false">85.475*(21925*1.9835+AC36*1.9835)/E36</f>
        <v>21.4770120475373</v>
      </c>
      <c r="AR36" s="144" t="n">
        <f aca="false">719.159/1.9835/30</f>
        <v>12.0856902781279</v>
      </c>
      <c r="AS36" s="103"/>
      <c r="AT36" s="185" t="n">
        <v>0</v>
      </c>
      <c r="AV36" s="108" t="n">
        <v>0</v>
      </c>
      <c r="AW36" s="109" t="n">
        <v>93</v>
      </c>
      <c r="AX36" s="109" t="n">
        <v>54</v>
      </c>
      <c r="AY36" s="149"/>
      <c r="AZ36" s="263" t="n">
        <f aca="false">SUM(N36,P36:U36)</f>
        <v>10.4895617101489</v>
      </c>
      <c r="BA36" s="99" t="n">
        <v>73.8</v>
      </c>
      <c r="BB36" s="471" t="n">
        <v>23985</v>
      </c>
    </row>
    <row r="37" customFormat="false" ht="12.95" hidden="false" customHeight="true" outlineLevel="0" collapsed="false">
      <c r="A37" s="10" t="n">
        <f aca="false">A36+1</f>
        <v>23</v>
      </c>
      <c r="B37" s="367" t="n">
        <v>6913.48</v>
      </c>
      <c r="C37" s="100" t="n">
        <v>336094</v>
      </c>
      <c r="D37" s="109" t="n">
        <f aca="false">C37-C36</f>
        <v>822</v>
      </c>
      <c r="E37" s="100" t="n">
        <f aca="false">C37-152000</f>
        <v>184094</v>
      </c>
      <c r="F37" s="151" t="n">
        <f aca="false">D37/$D$2</f>
        <v>414.418956390219</v>
      </c>
      <c r="G37" s="142" t="n">
        <v>1220</v>
      </c>
      <c r="H37" s="103" t="n">
        <v>0.477</v>
      </c>
      <c r="I37" s="142" t="n">
        <f aca="false">G37+H37</f>
        <v>1220.477</v>
      </c>
      <c r="J37" s="375" t="n">
        <f aca="false">IF(L37&gt;0,L37,0)</f>
        <v>0</v>
      </c>
      <c r="K37" s="142" t="n">
        <f aca="false">I37+J37</f>
        <v>1220.477</v>
      </c>
      <c r="L37" s="142" t="n">
        <f aca="false">F37-(I37-AK37)</f>
        <v>-309.658043609781</v>
      </c>
      <c r="M37" s="145" t="n">
        <v>228</v>
      </c>
      <c r="N37" s="171" t="n">
        <f aca="false">1/$D$2*1.03</f>
        <v>0.519284093773632</v>
      </c>
      <c r="O37" s="163" t="n">
        <f aca="false">46.7*1.05</f>
        <v>49.035</v>
      </c>
      <c r="P37" s="171" t="n">
        <v>0</v>
      </c>
      <c r="Q37" s="346" t="n">
        <f aca="false">2004800/325851/1.9835*1.02</f>
        <v>3.16387970349461</v>
      </c>
      <c r="R37" s="438" t="n">
        <v>4.2</v>
      </c>
      <c r="S37" s="139" t="n">
        <f aca="false">((6.3*1.04)-T37)-4.2</f>
        <v>1.00619008</v>
      </c>
      <c r="T37" s="139" t="n">
        <f aca="false">(1.2208*1.06)*1.04</f>
        <v>1.34580992</v>
      </c>
      <c r="U37" s="365" t="n">
        <v>0</v>
      </c>
      <c r="V37" s="142" t="n">
        <v>55.5</v>
      </c>
      <c r="W37" s="142" t="n">
        <v>47.3</v>
      </c>
      <c r="X37" s="143" t="n">
        <f aca="false">M37-N37-O37-P37-Q37-R37-S37-T37-U37+V37+W37-AT37+AR37</f>
        <v>283.61552648086</v>
      </c>
      <c r="Y37" s="143" t="n">
        <f aca="false">X37-AO37</f>
        <v>283.61552648086</v>
      </c>
      <c r="Z37" s="114" t="n">
        <f aca="false">Z36-Y37</f>
        <v>24244.6925263409</v>
      </c>
      <c r="AA37" s="143" t="n">
        <f aca="false">Y37</f>
        <v>283.61552648086</v>
      </c>
      <c r="AB37" s="114"/>
      <c r="AC37" s="114" t="n">
        <f aca="false">AC36-(AQ36/1.9835)</f>
        <v>1280.77466273703</v>
      </c>
      <c r="AD37" s="114"/>
      <c r="AE37" s="142" t="n">
        <v>87.4</v>
      </c>
      <c r="AF37" s="145" t="n">
        <v>1.7</v>
      </c>
      <c r="AG37" s="146" t="n">
        <v>1.3</v>
      </c>
      <c r="AH37" s="142" t="n">
        <v>78.2</v>
      </c>
      <c r="AI37" s="85" t="n">
        <f aca="false">AI36-AH37</f>
        <v>13235.9578774893</v>
      </c>
      <c r="AJ37" s="85"/>
      <c r="AK37" s="142" t="n">
        <f aca="false">N38+O37+P37+Q37+R37+S37+T37+U37+X37+AE37+AH37-AR37</f>
        <v>496.4</v>
      </c>
      <c r="AL37" s="142" t="n">
        <f aca="false">IF(L37&lt;0,L37*-1,0)</f>
        <v>309.658043609781</v>
      </c>
      <c r="AM37" s="142" t="n">
        <f aca="false">AK37+AL37</f>
        <v>806.058043609781</v>
      </c>
      <c r="AN37" s="467"/>
      <c r="AO37" s="157"/>
      <c r="AP37" s="157" t="n">
        <f aca="false">IF((I37-Q37-R37-X37-AF37)&gt;0,0,I37-Q37-R37-X37-AF37)</f>
        <v>0</v>
      </c>
      <c r="AQ37" s="171" t="n">
        <f aca="false">93.116*(21925*1.9835+AC37*1.9835)/E37</f>
        <v>23.2816069503524</v>
      </c>
      <c r="AR37" s="144" t="n">
        <f aca="false">719.159/1.9835/30</f>
        <v>12.0856902781279</v>
      </c>
      <c r="AS37" s="103"/>
      <c r="AT37" s="185" t="n">
        <v>0</v>
      </c>
      <c r="AV37" s="108" t="n">
        <v>0</v>
      </c>
      <c r="AW37" s="109" t="n">
        <v>94</v>
      </c>
      <c r="AX37" s="109" t="n">
        <v>56</v>
      </c>
      <c r="AY37" s="149"/>
      <c r="AZ37" s="263" t="n">
        <f aca="false">SUM(N37,P37:U37)</f>
        <v>10.2351637972682</v>
      </c>
      <c r="BA37" s="99" t="n">
        <v>74.1</v>
      </c>
      <c r="BB37" s="471" t="n">
        <v>23902</v>
      </c>
    </row>
    <row r="38" customFormat="false" ht="12.95" hidden="false" customHeight="true" outlineLevel="0" collapsed="false">
      <c r="A38" s="10" t="n">
        <f aca="false">A37+1</f>
        <v>24</v>
      </c>
      <c r="B38" s="367" t="n">
        <v>6913.76</v>
      </c>
      <c r="C38" s="100" t="n">
        <v>337244</v>
      </c>
      <c r="D38" s="109" t="n">
        <f aca="false">C38-C37</f>
        <v>1150</v>
      </c>
      <c r="E38" s="100" t="n">
        <f aca="false">C38-152000</f>
        <v>185244</v>
      </c>
      <c r="F38" s="151" t="n">
        <f aca="false">D38/$D$2</f>
        <v>579.783211494832</v>
      </c>
      <c r="G38" s="142" t="n">
        <v>1090</v>
      </c>
      <c r="H38" s="103" t="n">
        <v>0.343</v>
      </c>
      <c r="I38" s="142" t="n">
        <f aca="false">G38+H38</f>
        <v>1090.343</v>
      </c>
      <c r="J38" s="375" t="n">
        <f aca="false">IF(L38&gt;0,L38,0)</f>
        <v>0</v>
      </c>
      <c r="K38" s="142" t="n">
        <f aca="false">I38+J38</f>
        <v>1090.343</v>
      </c>
      <c r="L38" s="142" t="n">
        <f aca="false">F38-(I38-AK38)</f>
        <v>-40.4597885051677</v>
      </c>
      <c r="M38" s="145" t="n">
        <v>232</v>
      </c>
      <c r="N38" s="171" t="n">
        <f aca="false">1/$D$2*1.03</f>
        <v>0.519284093773632</v>
      </c>
      <c r="O38" s="163" t="n">
        <f aca="false">56.2*1.05</f>
        <v>59.01</v>
      </c>
      <c r="P38" s="171" t="n">
        <v>0</v>
      </c>
      <c r="Q38" s="346" t="n">
        <f aca="false">1936700/325851/1.9835*1.02</f>
        <v>3.05640753280029</v>
      </c>
      <c r="R38" s="438" t="n">
        <v>4.2</v>
      </c>
      <c r="S38" s="139" t="n">
        <f aca="false">((6.5*1.04)-T38)-4.2</f>
        <v>1.21419008</v>
      </c>
      <c r="T38" s="139" t="n">
        <f aca="false">(1.2208*1.06)*1.04</f>
        <v>1.34580992</v>
      </c>
      <c r="U38" s="365" t="n">
        <v>0</v>
      </c>
      <c r="V38" s="142" t="n">
        <v>55.8</v>
      </c>
      <c r="W38" s="142" t="n">
        <v>48.9</v>
      </c>
      <c r="X38" s="143" t="n">
        <f aca="false">M38-N38-O38-P38-Q38-R38-S38-T38-U38+V38+W38-AT38+AR38</f>
        <v>279.439998651554</v>
      </c>
      <c r="Y38" s="143" t="n">
        <f aca="false">X38-AO38</f>
        <v>279.439998651554</v>
      </c>
      <c r="Z38" s="114" t="n">
        <f aca="false">Z37-Y38</f>
        <v>23965.2525276894</v>
      </c>
      <c r="AA38" s="143" t="n">
        <f aca="false">Y38</f>
        <v>279.439998651554</v>
      </c>
      <c r="AB38" s="114"/>
      <c r="AC38" s="114" t="n">
        <f aca="false">AC37-(AQ37/1.9835)</f>
        <v>1269.03702374013</v>
      </c>
      <c r="AD38" s="114"/>
      <c r="AE38" s="142" t="n">
        <v>55.1</v>
      </c>
      <c r="AF38" s="145" t="n">
        <v>1.7</v>
      </c>
      <c r="AG38" s="146" t="n">
        <v>1.3</v>
      </c>
      <c r="AH38" s="142" t="n">
        <v>78.3</v>
      </c>
      <c r="AI38" s="85" t="n">
        <f aca="false">AI37-AH38</f>
        <v>13157.6578774893</v>
      </c>
      <c r="AJ38" s="85"/>
      <c r="AK38" s="142" t="n">
        <f aca="false">N39+O38+P38+Q38+R38+S38+T38+U38+X38+AE38+AH38-AR38</f>
        <v>470.1</v>
      </c>
      <c r="AL38" s="142" t="n">
        <f aca="false">IF(L38&lt;0,L38*-1,0)</f>
        <v>40.4597885051677</v>
      </c>
      <c r="AM38" s="142" t="n">
        <f aca="false">AK38+AL38</f>
        <v>510.559788505168</v>
      </c>
      <c r="AN38" s="467"/>
      <c r="AO38" s="157"/>
      <c r="AP38" s="157" t="n">
        <f aca="false">IF((I38-Q38-R38-X38-AF38)&gt;0,0,I38-Q38-R38-X38-AF38)</f>
        <v>0</v>
      </c>
      <c r="AQ38" s="171" t="n">
        <f aca="false">72.428*(21925*1.9835+AC38*1.9835)/E38</f>
        <v>17.9875035889812</v>
      </c>
      <c r="AR38" s="144" t="n">
        <f aca="false">719.159/1.9835/30</f>
        <v>12.0856902781279</v>
      </c>
      <c r="AS38" s="103"/>
      <c r="AT38" s="185" t="n">
        <v>0</v>
      </c>
      <c r="AV38" s="108" t="n">
        <v>0.01</v>
      </c>
      <c r="AW38" s="109" t="n">
        <v>89</v>
      </c>
      <c r="AX38" s="109" t="n">
        <v>58</v>
      </c>
      <c r="AY38" s="149"/>
      <c r="AZ38" s="263" t="n">
        <f aca="false">SUM(N38,P38:U38)</f>
        <v>10.3356916265739</v>
      </c>
      <c r="BA38" s="99" t="n">
        <v>74.7</v>
      </c>
      <c r="BB38" s="471" t="n">
        <v>23789</v>
      </c>
    </row>
    <row r="39" customFormat="false" ht="12.95" hidden="false" customHeight="true" outlineLevel="0" collapsed="false">
      <c r="A39" s="10" t="n">
        <f aca="false">A38+1</f>
        <v>25</v>
      </c>
      <c r="B39" s="367" t="n">
        <v>6913.95</v>
      </c>
      <c r="C39" s="100" t="n">
        <v>338025</v>
      </c>
      <c r="D39" s="109" t="n">
        <f aca="false">C39-C38</f>
        <v>781</v>
      </c>
      <c r="E39" s="100" t="n">
        <f aca="false">C39-152000</f>
        <v>186025</v>
      </c>
      <c r="F39" s="151" t="n">
        <f aca="false">D39/$D$2</f>
        <v>393.748424502143</v>
      </c>
      <c r="G39" s="142" t="n">
        <v>1050</v>
      </c>
      <c r="H39" s="103" t="n">
        <v>0.244</v>
      </c>
      <c r="I39" s="142" t="n">
        <f aca="false">G39+H39</f>
        <v>1050.244</v>
      </c>
      <c r="J39" s="375" t="n">
        <f aca="false">IF(L39&gt;0,L39,0)</f>
        <v>0</v>
      </c>
      <c r="K39" s="142" t="n">
        <f aca="false">I39+J39</f>
        <v>1050.244</v>
      </c>
      <c r="L39" s="142" t="n">
        <f aca="false">F39-(I39-AK39)</f>
        <v>-139.195575497857</v>
      </c>
      <c r="M39" s="145" t="n">
        <v>232</v>
      </c>
      <c r="N39" s="171" t="n">
        <f aca="false">1/$D$2*1.03</f>
        <v>0.519284093773632</v>
      </c>
      <c r="O39" s="163" t="n">
        <f aca="false">46*1.05</f>
        <v>48.3</v>
      </c>
      <c r="P39" s="171" t="n">
        <v>0</v>
      </c>
      <c r="Q39" s="346" t="n">
        <f aca="false">1991600/325851/1.9835*1.02</f>
        <v>3.14304809331598</v>
      </c>
      <c r="R39" s="438" t="n">
        <v>4.2</v>
      </c>
      <c r="S39" s="139" t="n">
        <f aca="false">((6.5*1.04)-T39)-4.2</f>
        <v>1.21419008</v>
      </c>
      <c r="T39" s="139" t="n">
        <f aca="false">(1.2208*1.06)*1.04</f>
        <v>1.34580992</v>
      </c>
      <c r="U39" s="365" t="n">
        <v>0</v>
      </c>
      <c r="V39" s="142" t="n">
        <v>55.3</v>
      </c>
      <c r="W39" s="142" t="n">
        <v>52.9</v>
      </c>
      <c r="X39" s="143" t="n">
        <f aca="false">M39-N39-O39-P39-Q39-R39-S39-T39-U39+V39+W39-AT39+AR39</f>
        <v>293.563358091038</v>
      </c>
      <c r="Y39" s="143" t="n">
        <f aca="false">X39-AO39</f>
        <v>293.563358091038</v>
      </c>
      <c r="Z39" s="114" t="n">
        <f aca="false">Z38-Y39</f>
        <v>23671.6891695983</v>
      </c>
      <c r="AA39" s="143" t="n">
        <f aca="false">Y39</f>
        <v>293.563358091038</v>
      </c>
      <c r="AB39" s="114"/>
      <c r="AC39" s="114" t="n">
        <f aca="false">AC38-(AQ38/1.9835)</f>
        <v>1259.96845626396</v>
      </c>
      <c r="AD39" s="114"/>
      <c r="AE39" s="142" t="n">
        <v>98.4</v>
      </c>
      <c r="AF39" s="145" t="n">
        <v>1.7</v>
      </c>
      <c r="AG39" s="146" t="n">
        <v>1.3</v>
      </c>
      <c r="AH39" s="142" t="n">
        <v>78.7</v>
      </c>
      <c r="AI39" s="85" t="n">
        <f aca="false">AI38-AH39</f>
        <v>13078.9578774893</v>
      </c>
      <c r="AJ39" s="85"/>
      <c r="AK39" s="142" t="n">
        <f aca="false">N40+O39+P39+Q39+R39+S39+T39+U39+X39+AE39+AH39-AR39</f>
        <v>517.3</v>
      </c>
      <c r="AL39" s="142" t="n">
        <f aca="false">IF(L39&lt;0,L39*-1,0)</f>
        <v>139.195575497857</v>
      </c>
      <c r="AM39" s="142" t="n">
        <f aca="false">AK39+AL39</f>
        <v>656.495575497857</v>
      </c>
      <c r="AN39" s="467"/>
      <c r="AO39" s="157"/>
      <c r="AP39" s="157" t="n">
        <f aca="false">IF((I39-Q39-R39-X39-AF39)&gt;0,0,I39-Q39-R39-X39-AF39)</f>
        <v>0</v>
      </c>
      <c r="AQ39" s="171" t="n">
        <f aca="false">63.044*(21925*1.9835+AC39*1.9835)/E39</f>
        <v>15.5851562731677</v>
      </c>
      <c r="AR39" s="144" t="n">
        <f aca="false">719.159/1.9835/30</f>
        <v>12.0856902781279</v>
      </c>
      <c r="AS39" s="103"/>
      <c r="AT39" s="185" t="n">
        <v>0</v>
      </c>
      <c r="AV39" s="108" t="n">
        <v>0</v>
      </c>
      <c r="AW39" s="109" t="n">
        <v>91</v>
      </c>
      <c r="AX39" s="109" t="n">
        <v>55</v>
      </c>
      <c r="AY39" s="149"/>
      <c r="AZ39" s="263" t="n">
        <f aca="false">SUM(N39,P39:U39)</f>
        <v>10.4223321870896</v>
      </c>
      <c r="BA39" s="99" t="n">
        <v>75.2</v>
      </c>
      <c r="BB39" s="471" t="n">
        <v>23719</v>
      </c>
    </row>
    <row r="40" customFormat="false" ht="12.95" hidden="false" customHeight="true" outlineLevel="0" collapsed="false">
      <c r="A40" s="10" t="n">
        <f aca="false">A39+1</f>
        <v>26</v>
      </c>
      <c r="B40" s="367" t="n">
        <v>6914.08</v>
      </c>
      <c r="C40" s="100" t="n">
        <v>338562</v>
      </c>
      <c r="D40" s="109" t="n">
        <f aca="false">C40-C39</f>
        <v>537</v>
      </c>
      <c r="E40" s="100" t="n">
        <f aca="false">C40-152000</f>
        <v>186562</v>
      </c>
      <c r="F40" s="151" t="n">
        <f aca="false">D40/$D$2</f>
        <v>270.73355180237</v>
      </c>
      <c r="G40" s="142" t="n">
        <v>916</v>
      </c>
      <c r="H40" s="103" t="n">
        <v>0.193</v>
      </c>
      <c r="I40" s="142" t="n">
        <f aca="false">G40+H40</f>
        <v>916.193</v>
      </c>
      <c r="J40" s="375" t="n">
        <f aca="false">IF(L40&gt;0,L40,0)</f>
        <v>0</v>
      </c>
      <c r="K40" s="142" t="n">
        <f aca="false">I40+J40</f>
        <v>916.193</v>
      </c>
      <c r="L40" s="142" t="n">
        <f aca="false">F40-(I40-AK40)</f>
        <v>-101.95944819763</v>
      </c>
      <c r="M40" s="145" t="n">
        <v>243</v>
      </c>
      <c r="N40" s="171" t="n">
        <f aca="false">1/$D$2*1.03</f>
        <v>0.519284093773632</v>
      </c>
      <c r="O40" s="4" t="n">
        <f aca="false">36.2*1.05</f>
        <v>38.01</v>
      </c>
      <c r="P40" s="171" t="n">
        <v>0</v>
      </c>
      <c r="Q40" s="346" t="n">
        <f aca="false">1982200/325851/1.9835*1.02</f>
        <v>3.12821346182513</v>
      </c>
      <c r="R40" s="438" t="n">
        <v>4.2</v>
      </c>
      <c r="S40" s="139" t="n">
        <f aca="false">((7.3*1.04)-T40)-4.2</f>
        <v>2.7950504</v>
      </c>
      <c r="T40" s="139" t="n">
        <f aca="false">(0.5415*1.06)*1.04</f>
        <v>0.5969496</v>
      </c>
      <c r="U40" s="365" t="n">
        <v>0</v>
      </c>
      <c r="V40" s="142" t="n">
        <v>59.9</v>
      </c>
      <c r="W40" s="142" t="n">
        <v>58.5</v>
      </c>
      <c r="X40" s="143" t="n">
        <f aca="false">M40-N40-O40-P40-Q40-R40-S40-T40-U40+V40+W40-AT40+AR40</f>
        <v>324.236192722529</v>
      </c>
      <c r="Y40" s="143" t="n">
        <f aca="false">X40-AO40</f>
        <v>324.236192722529</v>
      </c>
      <c r="Z40" s="114" t="n">
        <f aca="false">Z39-Y40</f>
        <v>23347.4529768758</v>
      </c>
      <c r="AA40" s="143" t="n">
        <f aca="false">Y40</f>
        <v>324.236192722529</v>
      </c>
      <c r="AB40" s="114"/>
      <c r="AC40" s="114" t="n">
        <f aca="false">AC39-(AQ39/1.9835)</f>
        <v>1252.11105456334</v>
      </c>
      <c r="AD40" s="114"/>
      <c r="AE40" s="479" t="n">
        <v>103</v>
      </c>
      <c r="AF40" s="145" t="n">
        <v>1.7</v>
      </c>
      <c r="AG40" s="146" t="n">
        <v>1.3</v>
      </c>
      <c r="AH40" s="142" t="n">
        <v>79.1</v>
      </c>
      <c r="AI40" s="85" t="n">
        <f aca="false">AI39-AH40</f>
        <v>12999.8578774893</v>
      </c>
      <c r="AJ40" s="85"/>
      <c r="AK40" s="142" t="n">
        <f aca="false">N41+O40+P40+Q40+R40+S40+T40+U40+X40+AE40+AH40-AR40</f>
        <v>543.5</v>
      </c>
      <c r="AL40" s="142" t="n">
        <f aca="false">IF(L40&lt;0,L40*-1,0)</f>
        <v>101.95944819763</v>
      </c>
      <c r="AM40" s="142" t="n">
        <f aca="false">AK40+AL40</f>
        <v>645.45944819763</v>
      </c>
      <c r="AN40" s="467"/>
      <c r="AO40" s="157"/>
      <c r="AP40" s="157" t="n">
        <f aca="false">IF((I40-Q40-R40-X40-AF40)&gt;0,0,I40-Q40-R40-X40-AF40)</f>
        <v>0</v>
      </c>
      <c r="AQ40" s="171" t="n">
        <f aca="false">81.813*(21925*1.9835+AC40*1.9835)/E40</f>
        <v>20.1600050124533</v>
      </c>
      <c r="AR40" s="144" t="n">
        <f aca="false">719.159/1.9835/30</f>
        <v>12.0856902781279</v>
      </c>
      <c r="AS40" s="103"/>
      <c r="AT40" s="185" t="n">
        <v>0</v>
      </c>
      <c r="AV40" s="108" t="n">
        <v>0</v>
      </c>
      <c r="AW40" s="109" t="n">
        <v>94</v>
      </c>
      <c r="AX40" s="109" t="n">
        <v>57</v>
      </c>
      <c r="AY40" s="149"/>
      <c r="AZ40" s="263" t="n">
        <f aca="false">SUM(N40,P40:U40)</f>
        <v>11.2394975555988</v>
      </c>
      <c r="BA40" s="99" t="n">
        <v>75.7</v>
      </c>
      <c r="BB40" s="471" t="n">
        <v>23616</v>
      </c>
    </row>
    <row r="41" customFormat="false" ht="12.95" hidden="false" customHeight="true" outlineLevel="0" collapsed="false">
      <c r="A41" s="10" t="n">
        <f aca="false">A40+1</f>
        <v>27</v>
      </c>
      <c r="B41" s="367" t="n">
        <v>6914.11</v>
      </c>
      <c r="C41" s="100" t="n">
        <v>338686</v>
      </c>
      <c r="D41" s="109" t="n">
        <f aca="false">C41-C40</f>
        <v>124</v>
      </c>
      <c r="E41" s="100" t="n">
        <f aca="false">C41-152000</f>
        <v>186686</v>
      </c>
      <c r="F41" s="151" t="n">
        <f aca="false">D41/$D$2</f>
        <v>62.5157549785732</v>
      </c>
      <c r="G41" s="142" t="n">
        <v>828</v>
      </c>
      <c r="H41" s="103" t="n">
        <v>0.169</v>
      </c>
      <c r="I41" s="142" t="n">
        <f aca="false">G41+H41</f>
        <v>828.169</v>
      </c>
      <c r="J41" s="375" t="n">
        <f aca="false">IF(L41&gt;0,L41,0)</f>
        <v>0</v>
      </c>
      <c r="K41" s="142" t="n">
        <f aca="false">I41+J41</f>
        <v>828.169</v>
      </c>
      <c r="L41" s="142" t="n">
        <f aca="false">F41-(I41-AK41)</f>
        <v>-182.453245021427</v>
      </c>
      <c r="M41" s="145" t="n">
        <v>272</v>
      </c>
      <c r="N41" s="171" t="n">
        <f aca="false">1/$D$2*1.03</f>
        <v>0.519284093773632</v>
      </c>
      <c r="O41" s="163" t="n">
        <f aca="false">48.8*1.05</f>
        <v>51.24</v>
      </c>
      <c r="P41" s="171" t="n">
        <v>0</v>
      </c>
      <c r="Q41" s="346" t="n">
        <f aca="false">2190300/325851/1.9835*1.02</f>
        <v>3.4566269525959</v>
      </c>
      <c r="R41" s="438" t="n">
        <v>4.2</v>
      </c>
      <c r="S41" s="139" t="n">
        <f aca="false">((7.5*1.04)-T41)-4.2</f>
        <v>3.0030504</v>
      </c>
      <c r="T41" s="139" t="n">
        <f aca="false">(0.5415*1.06)*1.04</f>
        <v>0.5969496</v>
      </c>
      <c r="U41" s="365" t="n">
        <v>0</v>
      </c>
      <c r="V41" s="142" t="n">
        <v>62.3</v>
      </c>
      <c r="W41" s="142" t="n">
        <v>58.4</v>
      </c>
      <c r="X41" s="143" t="n">
        <f aca="false">M41-N41-O41-P41-Q41-R41-S41-T41-U41+V41+W41-AT41+AR41</f>
        <v>341.769779231758</v>
      </c>
      <c r="Y41" s="143" t="n">
        <f aca="false">X41-AO41</f>
        <v>341.769779231758</v>
      </c>
      <c r="Z41" s="114" t="n">
        <f aca="false">Z40-Y41</f>
        <v>23005.6831976441</v>
      </c>
      <c r="AA41" s="143" t="n">
        <f aca="false">Y41</f>
        <v>341.769779231758</v>
      </c>
      <c r="AB41" s="114"/>
      <c r="AC41" s="114" t="n">
        <f aca="false">AC40-(AQ40/1.9835)</f>
        <v>1241.94720025911</v>
      </c>
      <c r="AD41" s="114"/>
      <c r="AE41" s="142" t="n">
        <v>112</v>
      </c>
      <c r="AF41" s="145" t="n">
        <v>1.7</v>
      </c>
      <c r="AG41" s="146" t="n">
        <v>1.3</v>
      </c>
      <c r="AH41" s="142" t="n">
        <v>78.5</v>
      </c>
      <c r="AI41" s="85" t="n">
        <f aca="false">AI40-AH41</f>
        <v>12921.3578774893</v>
      </c>
      <c r="AJ41" s="85"/>
      <c r="AK41" s="142" t="n">
        <f aca="false">N42+O41+P41+Q41+R41+S41+T41+U41+X41+AE41+AH41-AR41</f>
        <v>583.2</v>
      </c>
      <c r="AL41" s="142" t="n">
        <f aca="false">IF(L41&lt;0,L41*-1,0)</f>
        <v>182.453245021427</v>
      </c>
      <c r="AM41" s="142" t="n">
        <f aca="false">AK41+AL41</f>
        <v>765.653245021427</v>
      </c>
      <c r="AN41" s="467"/>
      <c r="AO41" s="157"/>
      <c r="AP41" s="157" t="n">
        <f aca="false">IF((I41-Q41-R41-X41-AF41)&gt;0,0,I41-Q41-R41-X41-AF41)</f>
        <v>0</v>
      </c>
      <c r="AQ41" s="171" t="n">
        <f aca="false">68.097*(21925*1.9835+AC41*1.9835)/E41</f>
        <v>16.761668328286</v>
      </c>
      <c r="AR41" s="144" t="n">
        <f aca="false">719.159/1.9835/30</f>
        <v>12.0856902781279</v>
      </c>
      <c r="AS41" s="103"/>
      <c r="AT41" s="185" t="n">
        <v>0</v>
      </c>
      <c r="AV41" s="108" t="n">
        <v>0</v>
      </c>
      <c r="AW41" s="109" t="n">
        <v>92</v>
      </c>
      <c r="AX41" s="109" t="n">
        <v>59</v>
      </c>
      <c r="AY41" s="149"/>
      <c r="AZ41" s="263" t="n">
        <f aca="false">SUM(N41,P41:U41)</f>
        <v>11.7759110463695</v>
      </c>
      <c r="BA41" s="99" t="n">
        <v>50.7</v>
      </c>
      <c r="BB41" s="480" t="n">
        <v>23534</v>
      </c>
    </row>
    <row r="42" customFormat="false" ht="12.95" hidden="false" customHeight="true" outlineLevel="0" collapsed="false">
      <c r="A42" s="10" t="n">
        <f aca="false">A41+1</f>
        <v>28</v>
      </c>
      <c r="B42" s="367" t="n">
        <v>6914.15</v>
      </c>
      <c r="C42" s="100" t="n">
        <v>338852</v>
      </c>
      <c r="D42" s="109" t="n">
        <f aca="false">C42-C41</f>
        <v>166</v>
      </c>
      <c r="E42" s="100" t="n">
        <f aca="false">C42-152000</f>
        <v>186852</v>
      </c>
      <c r="F42" s="151" t="n">
        <f aca="false">D42/$D$2</f>
        <v>83.6904461809932</v>
      </c>
      <c r="G42" s="142" t="n">
        <v>745</v>
      </c>
      <c r="H42" s="103" t="n">
        <v>0.158</v>
      </c>
      <c r="I42" s="142" t="n">
        <f aca="false">G42+H42</f>
        <v>745.158</v>
      </c>
      <c r="J42" s="375" t="n">
        <f aca="false">IF(L42&gt;0,L42,0)</f>
        <v>0</v>
      </c>
      <c r="K42" s="142" t="n">
        <f aca="false">I42+J42</f>
        <v>745.158</v>
      </c>
      <c r="L42" s="142" t="n">
        <f aca="false">F42-(I42-AK42)</f>
        <v>-86.3675538190068</v>
      </c>
      <c r="M42" s="145" t="n">
        <v>265</v>
      </c>
      <c r="N42" s="171" t="n">
        <f aca="false">1/$D$2*1.03</f>
        <v>0.519284093773632</v>
      </c>
      <c r="O42" s="163" t="n">
        <f aca="false">43.1*1.05</f>
        <v>45.255</v>
      </c>
      <c r="P42" s="171" t="n">
        <v>0</v>
      </c>
      <c r="Q42" s="346" t="n">
        <f aca="false">2117700/325851/1.9835*1.02</f>
        <v>3.3420530966134</v>
      </c>
      <c r="R42" s="438" t="n">
        <v>4.2</v>
      </c>
      <c r="S42" s="139" t="n">
        <f aca="false">((7.4*1.04)-T42)-4.2</f>
        <v>2.8990504</v>
      </c>
      <c r="T42" s="139" t="n">
        <f aca="false">(0.5415*1.06)*1.04</f>
        <v>0.5969496</v>
      </c>
      <c r="U42" s="365" t="n">
        <v>0</v>
      </c>
      <c r="V42" s="142" t="n">
        <v>62.6</v>
      </c>
      <c r="W42" s="142" t="n">
        <v>58.2</v>
      </c>
      <c r="X42" s="143" t="n">
        <f aca="false">M42-N42-O42-P42-Q42-R42-S42-T42-U42+V42+W42-AT42+AR42</f>
        <v>341.073353087741</v>
      </c>
      <c r="Y42" s="143" t="n">
        <f aca="false">X42-AO42</f>
        <v>341.073353087741</v>
      </c>
      <c r="Z42" s="114" t="n">
        <f aca="false">Z41-Y42</f>
        <v>22664.6098445563</v>
      </c>
      <c r="AA42" s="143" t="n">
        <f aca="false">Y42</f>
        <v>341.073353087741</v>
      </c>
      <c r="AB42" s="114"/>
      <c r="AC42" s="114" t="n">
        <f aca="false">AC41-(AQ41/1.9835)</f>
        <v>1233.49664904747</v>
      </c>
      <c r="AD42" s="114"/>
      <c r="AE42" s="142" t="n">
        <v>111</v>
      </c>
      <c r="AF42" s="145" t="n">
        <v>1.7</v>
      </c>
      <c r="AG42" s="146" t="n">
        <v>1.3</v>
      </c>
      <c r="AH42" s="142" t="n">
        <v>78.3</v>
      </c>
      <c r="AI42" s="85" t="n">
        <f aca="false">AI41-AH42</f>
        <v>12843.0578774893</v>
      </c>
      <c r="AJ42" s="85"/>
      <c r="AK42" s="142" t="n">
        <f aca="false">N43+O42+P42+Q42+R42+S42+T42+U42+X42+AE42+AH42-AR42</f>
        <v>575.1</v>
      </c>
      <c r="AL42" s="142" t="n">
        <f aca="false">IF(L42&lt;0,L42*-1,0)</f>
        <v>86.3675538190068</v>
      </c>
      <c r="AM42" s="142" t="n">
        <f aca="false">AK42+AL42</f>
        <v>661.467553819007</v>
      </c>
      <c r="AN42" s="467"/>
      <c r="AO42" s="157"/>
      <c r="AP42" s="157" t="n">
        <f aca="false">IF((I42-Q42-R42-X42-AF42)&gt;0,0,I42-Q42-R42-X42-AF42)</f>
        <v>0</v>
      </c>
      <c r="AQ42" s="171" t="n">
        <f aca="false">77.481*(21925*1.9835+AC42*1.9835)/E42</f>
        <v>19.0475900195257</v>
      </c>
      <c r="AR42" s="144" t="n">
        <f aca="false">719.159/1.9835/30</f>
        <v>12.0856902781279</v>
      </c>
      <c r="AS42" s="103"/>
      <c r="AT42" s="185" t="n">
        <v>0</v>
      </c>
      <c r="AV42" s="108" t="n">
        <v>0</v>
      </c>
      <c r="AW42" s="109" t="n">
        <v>91</v>
      </c>
      <c r="AX42" s="109" t="n">
        <v>56</v>
      </c>
      <c r="AY42" s="149"/>
      <c r="AZ42" s="263" t="n">
        <f aca="false">SUM(N42,P42:U42)</f>
        <v>11.557337190387</v>
      </c>
      <c r="BA42" s="99" t="n">
        <v>31.6</v>
      </c>
      <c r="BB42" s="480" t="n">
        <v>23505</v>
      </c>
    </row>
    <row r="43" customFormat="false" ht="12.95" hidden="false" customHeight="true" outlineLevel="0" collapsed="false">
      <c r="A43" s="10" t="n">
        <f aca="false">A42+1</f>
        <v>29</v>
      </c>
      <c r="B43" s="367" t="n">
        <v>6914.16</v>
      </c>
      <c r="C43" s="100" t="n">
        <v>338893</v>
      </c>
      <c r="D43" s="109" t="n">
        <f aca="false">C43-C42</f>
        <v>41</v>
      </c>
      <c r="E43" s="100" t="n">
        <f aca="false">C43-152000</f>
        <v>186893</v>
      </c>
      <c r="F43" s="151" t="n">
        <f aca="false">D43/$D$2</f>
        <v>20.6705318880766</v>
      </c>
      <c r="G43" s="142" t="n">
        <v>701</v>
      </c>
      <c r="H43" s="103" t="n">
        <v>0.156</v>
      </c>
      <c r="I43" s="142" t="n">
        <f aca="false">G43+H43</f>
        <v>701.156</v>
      </c>
      <c r="J43" s="375" t="n">
        <f aca="false">IF(L43&gt;0,L43,0)</f>
        <v>0</v>
      </c>
      <c r="K43" s="142" t="n">
        <f aca="false">I43+J43</f>
        <v>701.156</v>
      </c>
      <c r="L43" s="142" t="n">
        <f aca="false">F43-(I43-AK43)</f>
        <v>-83.0854681119232</v>
      </c>
      <c r="M43" s="145" t="n">
        <v>252</v>
      </c>
      <c r="N43" s="171" t="n">
        <f aca="false">1/$D$2*1.03</f>
        <v>0.519284093773632</v>
      </c>
      <c r="O43" s="163" t="n">
        <f aca="false">36*1.05</f>
        <v>37.8</v>
      </c>
      <c r="P43" s="171" t="n">
        <v>0</v>
      </c>
      <c r="Q43" s="346" t="n">
        <f aca="false">2236800/325851/1.9835*1.02</f>
        <v>3.530011033907</v>
      </c>
      <c r="R43" s="438" t="n">
        <v>4.2</v>
      </c>
      <c r="S43" s="139" t="n">
        <f aca="false">((7.4*1.04)-T43)-4.2</f>
        <v>2.8990504</v>
      </c>
      <c r="T43" s="139" t="n">
        <f aca="false">(0.5415*1.06)*1.04</f>
        <v>0.5969496</v>
      </c>
      <c r="U43" s="365" t="n">
        <v>0</v>
      </c>
      <c r="V43" s="142" t="n">
        <v>77.5</v>
      </c>
      <c r="W43" s="142" t="n">
        <v>59.7</v>
      </c>
      <c r="X43" s="143" t="n">
        <f aca="false">M43-N43-O43-P43-Q43-R43-S43-T43-U43+V43+W43-AT43+AR43</f>
        <v>351.740395150447</v>
      </c>
      <c r="Y43" s="143" t="n">
        <f aca="false">X43-AO43</f>
        <v>351.740395150447</v>
      </c>
      <c r="Z43" s="114" t="n">
        <f aca="false">Z42-Y43</f>
        <v>22312.8694494059</v>
      </c>
      <c r="AA43" s="143" t="n">
        <f aca="false">Y43</f>
        <v>351.740395150447</v>
      </c>
      <c r="AB43" s="114"/>
      <c r="AC43" s="114" t="n">
        <f aca="false">AC42-(AQ42/1.9835)</f>
        <v>1223.89362912333</v>
      </c>
      <c r="AD43" s="114"/>
      <c r="AE43" s="142" t="n">
        <v>130</v>
      </c>
      <c r="AF43" s="145" t="n">
        <v>1.7</v>
      </c>
      <c r="AG43" s="146" t="n">
        <v>1.3</v>
      </c>
      <c r="AH43" s="142" t="n">
        <v>78.2</v>
      </c>
      <c r="AI43" s="85" t="n">
        <f aca="false">AI42-AH43</f>
        <v>12764.8578774893</v>
      </c>
      <c r="AJ43" s="85"/>
      <c r="AK43" s="142" t="n">
        <f aca="false">N44+O43+P43+Q43+R43+S43+T43+U43+X43+AE43+AH43-AR43</f>
        <v>597.4</v>
      </c>
      <c r="AL43" s="142" t="n">
        <f aca="false">IF(L43&lt;0,L43*-1,0)</f>
        <v>83.0854681119232</v>
      </c>
      <c r="AM43" s="142" t="n">
        <f aca="false">AK43+AL43</f>
        <v>680.485468111923</v>
      </c>
      <c r="AN43" s="467"/>
      <c r="AO43" s="157"/>
      <c r="AP43" s="157" t="n">
        <f aca="false">IF((I43-Q43-R43-X43-AF43)&gt;0,0,I43-Q43-R43-X43-AF43)</f>
        <v>0</v>
      </c>
      <c r="AQ43" s="171" t="n">
        <f aca="false">83.016*(21925*1.9835+AC43*1.9835)/E43</f>
        <v>20.3953523454469</v>
      </c>
      <c r="AR43" s="144" t="n">
        <f aca="false">719.159/1.9835/30</f>
        <v>12.0856902781279</v>
      </c>
      <c r="AS43" s="103"/>
      <c r="AT43" s="185" t="n">
        <v>0</v>
      </c>
      <c r="AV43" s="108" t="n">
        <v>0</v>
      </c>
      <c r="AW43" s="109" t="n">
        <v>95</v>
      </c>
      <c r="AX43" s="109" t="n">
        <v>58</v>
      </c>
      <c r="AY43" s="149"/>
      <c r="AZ43" s="263" t="n">
        <f aca="false">SUM(N43,P43:U43)</f>
        <v>11.7452951276806</v>
      </c>
      <c r="BA43" s="99" t="n">
        <v>29</v>
      </c>
      <c r="BB43" s="471" t="n">
        <v>23506</v>
      </c>
    </row>
    <row r="44" customFormat="false" ht="12.95" hidden="false" customHeight="true" outlineLevel="0" collapsed="false">
      <c r="A44" s="10" t="n">
        <v>30</v>
      </c>
      <c r="B44" s="367" t="n">
        <v>6914.1</v>
      </c>
      <c r="C44" s="100" t="n">
        <v>338645</v>
      </c>
      <c r="D44" s="109" t="n">
        <f aca="false">C44-C43</f>
        <v>-248</v>
      </c>
      <c r="E44" s="100" t="n">
        <f aca="false">C44-152000</f>
        <v>186645</v>
      </c>
      <c r="F44" s="151" t="n">
        <f aca="false">D44/$D$2</f>
        <v>-125.031509957146</v>
      </c>
      <c r="G44" s="142" t="n">
        <v>630</v>
      </c>
      <c r="H44" s="103" t="n">
        <v>0.142</v>
      </c>
      <c r="I44" s="142" t="n">
        <f aca="false">G44+H44</f>
        <v>630.142</v>
      </c>
      <c r="J44" s="375" t="n">
        <f aca="false">IF(L44&gt;0,L44,0)</f>
        <v>0</v>
      </c>
      <c r="K44" s="142" t="n">
        <f aca="false">I44+J44</f>
        <v>630.142</v>
      </c>
      <c r="L44" s="142" t="n">
        <f aca="false">F44-(I44-AK44)</f>
        <v>-85.59279405092</v>
      </c>
      <c r="M44" s="145" t="n">
        <v>274</v>
      </c>
      <c r="N44" s="171" t="n">
        <f aca="false">1/$D$2*1.03</f>
        <v>0.519284093773632</v>
      </c>
      <c r="O44" s="163" t="n">
        <f aca="false">43*1.05</f>
        <v>45.15</v>
      </c>
      <c r="P44" s="171" t="n">
        <v>0</v>
      </c>
      <c r="Q44" s="346" t="n">
        <f aca="false">2196900/325851/1.9835*1.02</f>
        <v>3.46704275768521</v>
      </c>
      <c r="R44" s="438" t="n">
        <v>4.2</v>
      </c>
      <c r="S44" s="139" t="n">
        <f aca="false">((7.5*1.04)-T44)-4.2</f>
        <v>3.0030504</v>
      </c>
      <c r="T44" s="139" t="n">
        <f aca="false">(0.5415*1.06)*1.04</f>
        <v>0.5969496</v>
      </c>
      <c r="U44" s="365" t="n">
        <v>0</v>
      </c>
      <c r="V44" s="142" t="n">
        <v>95.5</v>
      </c>
      <c r="W44" s="142" t="n">
        <v>63.4</v>
      </c>
      <c r="X44" s="143" t="n">
        <f aca="false">M44-N44-O44-P44-Q44-R44-S44-T44-U44+V44+W44-AT44+AR44</f>
        <v>388.049363426669</v>
      </c>
      <c r="Y44" s="143" t="n">
        <f aca="false">X44-AO44</f>
        <v>388.049363426669</v>
      </c>
      <c r="Z44" s="114" t="n">
        <f aca="false">Z43-Y44</f>
        <v>21924.8200859792</v>
      </c>
      <c r="AA44" s="143" t="n">
        <f aca="false">Y44</f>
        <v>388.049363426669</v>
      </c>
      <c r="AB44" s="114"/>
      <c r="AC44" s="114" t="n">
        <f aca="false">AC43-(AQ43/1.9835)</f>
        <v>1213.61112226906</v>
      </c>
      <c r="AD44" s="114"/>
      <c r="AE44" s="142" t="n">
        <v>159</v>
      </c>
      <c r="AF44" s="145" t="n">
        <v>1.7</v>
      </c>
      <c r="AG44" s="146" t="n">
        <v>1.3</v>
      </c>
      <c r="AH44" s="142" t="n">
        <v>78.2</v>
      </c>
      <c r="AI44" s="85" t="n">
        <f aca="false">AI43-AH44</f>
        <v>12686.6578774893</v>
      </c>
      <c r="AJ44" s="85"/>
      <c r="AK44" s="142" t="n">
        <f aca="false">N45+O44+P44+Q44+R44+S44+T44+U44+X44+AE44+AH44-AR44</f>
        <v>669.580715906227</v>
      </c>
      <c r="AL44" s="142" t="n">
        <f aca="false">IF(L44&lt;0,L44*-1,0)</f>
        <v>85.59279405092</v>
      </c>
      <c r="AM44" s="151" t="n">
        <f aca="false">AK44+AL44</f>
        <v>755.173509957147</v>
      </c>
      <c r="AN44" s="109"/>
      <c r="AO44" s="157"/>
      <c r="AP44" s="157" t="n">
        <f aca="false">IF((I44-Q44-R44-X44-AF44)&gt;0,0,I44-Q44-R44-X44-AF44)</f>
        <v>0</v>
      </c>
      <c r="AQ44" s="171" t="n">
        <f aca="false">84.459*(21925*1.9835+AC44*1.9835)/E44</f>
        <v>20.7682100150802</v>
      </c>
      <c r="AR44" s="144" t="n">
        <f aca="false">719.159/1.9835/30</f>
        <v>12.0856902781279</v>
      </c>
      <c r="AS44" s="103"/>
      <c r="AT44" s="185" t="n">
        <v>0</v>
      </c>
      <c r="AV44" s="108" t="n">
        <v>0</v>
      </c>
      <c r="AW44" s="109" t="n">
        <v>97</v>
      </c>
      <c r="AX44" s="109" t="n">
        <v>58</v>
      </c>
      <c r="AY44" s="149"/>
      <c r="AZ44" s="263" t="n">
        <f aca="false">SUM(N44,P44:U44)</f>
        <v>11.7863268514588</v>
      </c>
      <c r="BA44" s="99" t="n">
        <v>27.1</v>
      </c>
      <c r="BB44" s="471" t="n">
        <v>23427</v>
      </c>
    </row>
    <row r="45" customFormat="false" ht="3" hidden="false" customHeight="true" outlineLevel="0" collapsed="false">
      <c r="A45" s="117"/>
      <c r="B45" s="378"/>
      <c r="C45" s="127" t="s">
        <v>139</v>
      </c>
      <c r="D45" s="124"/>
      <c r="E45" s="127"/>
      <c r="F45" s="153"/>
      <c r="G45" s="124"/>
      <c r="H45" s="126"/>
      <c r="I45" s="124"/>
      <c r="J45" s="124"/>
      <c r="K45" s="124"/>
      <c r="L45" s="124"/>
      <c r="M45" s="128"/>
      <c r="N45" s="124"/>
      <c r="O45" s="124"/>
      <c r="P45" s="124"/>
      <c r="Q45" s="124"/>
      <c r="R45" s="124"/>
      <c r="S45" s="124"/>
      <c r="T45" s="124"/>
      <c r="U45" s="373"/>
      <c r="V45" s="124"/>
      <c r="W45" s="124"/>
      <c r="X45" s="124"/>
      <c r="Y45" s="124"/>
      <c r="Z45" s="127"/>
      <c r="AA45" s="124"/>
      <c r="AB45" s="246"/>
      <c r="AC45" s="127"/>
      <c r="AD45" s="127"/>
      <c r="AE45" s="124"/>
      <c r="AF45" s="128"/>
      <c r="AG45" s="129"/>
      <c r="AH45" s="124"/>
      <c r="AI45" s="124"/>
      <c r="AJ45" s="124"/>
      <c r="AK45" s="124"/>
      <c r="AL45" s="124"/>
      <c r="AM45" s="153"/>
      <c r="AN45" s="131"/>
      <c r="AO45" s="131"/>
      <c r="AP45" s="131"/>
      <c r="AQ45" s="251"/>
      <c r="AR45" s="253"/>
      <c r="AS45" s="253"/>
      <c r="AT45" s="256"/>
      <c r="AU45" s="253"/>
      <c r="AV45" s="133"/>
      <c r="AW45" s="131"/>
      <c r="AX45" s="131"/>
      <c r="AY45" s="169"/>
      <c r="AZ45" s="476"/>
      <c r="BA45" s="372"/>
      <c r="BB45" s="476"/>
    </row>
    <row r="46" customFormat="false" ht="12.95" hidden="false" customHeight="true" outlineLevel="0" collapsed="false">
      <c r="A46" s="11" t="s">
        <v>104</v>
      </c>
      <c r="B46" s="364"/>
      <c r="C46" s="100"/>
      <c r="D46" s="100"/>
      <c r="E46" s="100"/>
      <c r="F46" s="156" t="n">
        <f aca="false">SUM(F15:F44)</f>
        <v>37181.2452735064</v>
      </c>
      <c r="G46" s="85" t="n">
        <f aca="false">SUM(G15:G44)</f>
        <v>56840</v>
      </c>
      <c r="H46" s="157" t="n">
        <f aca="false">SUM(H15:H44)</f>
        <v>177.841</v>
      </c>
      <c r="I46" s="85" t="n">
        <f aca="false">SUM(I15:I44)</f>
        <v>57017.841</v>
      </c>
      <c r="J46" s="85" t="n">
        <f aca="false">SUM(J15:J44)</f>
        <v>66.1792740105873</v>
      </c>
      <c r="K46" s="85" t="n">
        <f aca="false">SUM(K15:K44)</f>
        <v>57084.0202740106</v>
      </c>
      <c r="L46" s="85" t="n">
        <f aca="false">SUM(L15:L44)</f>
        <v>-6130.21501058735</v>
      </c>
      <c r="M46" s="104" t="n">
        <f aca="false">SUM(M15:M44)</f>
        <v>5912</v>
      </c>
      <c r="N46" s="100" t="n">
        <f aca="false">SUM(N15:N44)</f>
        <v>15.578522813209</v>
      </c>
      <c r="O46" s="109" t="n">
        <f aca="false">SUM(O15:O44)</f>
        <v>1492.365</v>
      </c>
      <c r="P46" s="89" t="n">
        <f aca="false">SUM(P15:P44)</f>
        <v>0</v>
      </c>
      <c r="Q46" s="109" t="n">
        <f aca="false">SUM(Q15:Q44)</f>
        <v>78.444742247454</v>
      </c>
      <c r="R46" s="109" t="n">
        <f aca="false">SUM(R15:R44)</f>
        <v>111.70534624</v>
      </c>
      <c r="S46" s="109" t="n">
        <f aca="false">SUM(S15:S44)</f>
        <v>28.06374192</v>
      </c>
      <c r="T46" s="109" t="n">
        <f aca="false">SUM(T15:T44)</f>
        <v>30.27091184</v>
      </c>
      <c r="U46" s="368" t="n">
        <f aca="false">SUM(U15:U44)</f>
        <v>0</v>
      </c>
      <c r="V46" s="85" t="n">
        <f aca="false">SUM(V15:V44)</f>
        <v>1309.1</v>
      </c>
      <c r="W46" s="85" t="n">
        <f aca="false">SUM(W15:W44)</f>
        <v>1560.4</v>
      </c>
      <c r="X46" s="85" t="n">
        <f aca="false">SUM(X15:X44)</f>
        <v>7387.64244328317</v>
      </c>
      <c r="Y46" s="85" t="n">
        <f aca="false">SUM(Y15:Y44)</f>
        <v>7387.64244328317</v>
      </c>
      <c r="Z46" s="85"/>
      <c r="AA46" s="85" t="n">
        <f aca="false">SUM(AA15:AA44)</f>
        <v>5913.47072357566</v>
      </c>
      <c r="AB46" s="114"/>
      <c r="AC46" s="85"/>
      <c r="AD46" s="85"/>
      <c r="AE46" s="85" t="n">
        <f aca="false">SUM(AE15:AE44)</f>
        <v>3049.5</v>
      </c>
      <c r="AF46" s="104" t="n">
        <f aca="false">SUM(AF15:AF44)</f>
        <v>51</v>
      </c>
      <c r="AG46" s="105" t="n">
        <f aca="false">SUM(AG15:AG44)</f>
        <v>39</v>
      </c>
      <c r="AH46" s="85" t="n">
        <f aca="false">SUM(AH15:AH44)</f>
        <v>1875.9</v>
      </c>
      <c r="AI46" s="85"/>
      <c r="AJ46" s="85" t="n">
        <f aca="false">SUM(AJ15:AJ44)</f>
        <v>0</v>
      </c>
      <c r="AK46" s="85" t="n">
        <f aca="false">SUM(AK15:AK44)</f>
        <v>13706.3807159062</v>
      </c>
      <c r="AL46" s="85" t="n">
        <f aca="false">SUM(AL15:AL44)</f>
        <v>6196.39428459793</v>
      </c>
      <c r="AM46" s="156" t="n">
        <f aca="false">SUM(AM15:AM44)</f>
        <v>19902.7750005042</v>
      </c>
      <c r="AN46" s="85" t="n">
        <f aca="false">SUM(AN15:AN44)</f>
        <v>0</v>
      </c>
      <c r="AO46" s="85" t="n">
        <f aca="false">SUM(AO15:AO44)</f>
        <v>0</v>
      </c>
      <c r="AP46" s="142" t="n">
        <f aca="false">SUM(AP15:AP44)</f>
        <v>1572.44070173279</v>
      </c>
      <c r="AQ46" s="171"/>
      <c r="AR46" s="85" t="n">
        <f aca="false">SUM(AR15:AR44)</f>
        <v>362.570708343837</v>
      </c>
      <c r="AS46" s="103" t="n">
        <f aca="false">SUM(AS15:AS44)</f>
        <v>0</v>
      </c>
      <c r="AT46" s="157" t="n">
        <f aca="false">SUM(AT15:AT44)</f>
        <v>0</v>
      </c>
      <c r="AU46" s="103" t="n">
        <f aca="false">SUM(AU15:AU44)</f>
        <v>0</v>
      </c>
      <c r="AV46" s="108" t="n">
        <f aca="false">SUM(AV15:AV44)</f>
        <v>2.34</v>
      </c>
      <c r="AW46" s="109" t="n">
        <f aca="false">AVERAGE(AW15:AW44)</f>
        <v>84.9</v>
      </c>
      <c r="AX46" s="109" t="n">
        <f aca="false">AVERAGE(AX15:AX44)</f>
        <v>52.2666666666667</v>
      </c>
      <c r="AY46" s="481" t="s">
        <v>130</v>
      </c>
      <c r="AZ46" s="474" t="n">
        <f aca="false">SUM(AZ15:AZ44)</f>
        <v>264.063265060663</v>
      </c>
      <c r="BA46" s="144" t="n">
        <f aca="false">SUM(BA15:BA44)</f>
        <v>2457.4</v>
      </c>
      <c r="BB46" s="471"/>
    </row>
    <row r="47" customFormat="false" ht="12.95" hidden="false" customHeight="true" outlineLevel="0" collapsed="false">
      <c r="A47" s="11" t="s">
        <v>106</v>
      </c>
      <c r="B47" s="364"/>
      <c r="C47" s="100"/>
      <c r="D47" s="100" t="n">
        <f aca="false">SUM(D15:D44)</f>
        <v>73749</v>
      </c>
      <c r="E47" s="100"/>
      <c r="F47" s="156" t="n">
        <f aca="false">F46*$D$2</f>
        <v>73749</v>
      </c>
      <c r="G47" s="85" t="n">
        <f aca="false">G46*$D$2</f>
        <v>112742.14</v>
      </c>
      <c r="H47" s="157" t="n">
        <f aca="false">H46*$D$2</f>
        <v>352.7476235</v>
      </c>
      <c r="I47" s="85" t="n">
        <f aca="false">I46*$D$2</f>
        <v>113094.8876235</v>
      </c>
      <c r="J47" s="85" t="n">
        <f aca="false">J46*$D$2</f>
        <v>131.26659</v>
      </c>
      <c r="K47" s="85" t="n">
        <f aca="false">K46*$D$2</f>
        <v>113226.1542135</v>
      </c>
      <c r="L47" s="85" t="n">
        <f aca="false">L46*$D$2</f>
        <v>-12159.2814735</v>
      </c>
      <c r="M47" s="104" t="n">
        <f aca="false">M46*$D$2</f>
        <v>11726.452</v>
      </c>
      <c r="N47" s="100" t="n">
        <f aca="false">N46*$D$2</f>
        <v>30.9</v>
      </c>
      <c r="O47" s="109" t="n">
        <f aca="false">O46*$D$2</f>
        <v>2960.1059775</v>
      </c>
      <c r="P47" s="89" t="n">
        <f aca="false">P46*$D$2</f>
        <v>0</v>
      </c>
      <c r="Q47" s="109" t="n">
        <f aca="false">Q46*$D$2</f>
        <v>155.595146247825</v>
      </c>
      <c r="R47" s="109" t="n">
        <f aca="false">R46*$D$2</f>
        <v>221.56755426704</v>
      </c>
      <c r="S47" s="109" t="n">
        <f aca="false">S46*$D$2</f>
        <v>55.66443209832</v>
      </c>
      <c r="T47" s="109" t="n">
        <f aca="false">T46*$D$2</f>
        <v>60.04235363464</v>
      </c>
      <c r="U47" s="368" t="n">
        <f aca="false">U46*$D$2</f>
        <v>0</v>
      </c>
      <c r="V47" s="85" t="n">
        <f aca="false">V46*$D$2</f>
        <v>2596.59985</v>
      </c>
      <c r="W47" s="85" t="n">
        <f aca="false">W46*$D$2</f>
        <v>3095.0534</v>
      </c>
      <c r="X47" s="85" t="n">
        <f aca="false">X46*$D$2</f>
        <v>14653.3887862522</v>
      </c>
      <c r="Y47" s="85" t="n">
        <f aca="false">Y46*$D$2</f>
        <v>14653.3887862522</v>
      </c>
      <c r="Z47" s="85"/>
      <c r="AA47" s="85" t="n">
        <f aca="false">AA46*$D$2</f>
        <v>11729.3691802123</v>
      </c>
      <c r="AB47" s="114"/>
      <c r="AC47" s="85"/>
      <c r="AD47" s="85"/>
      <c r="AE47" s="85" t="n">
        <f aca="false">AE46*$D$2</f>
        <v>6048.68325</v>
      </c>
      <c r="AF47" s="104" t="n">
        <f aca="false">AF46*$D$2</f>
        <v>101.1585</v>
      </c>
      <c r="AG47" s="105" t="n">
        <f aca="false">AG46*$D$2</f>
        <v>77.3565</v>
      </c>
      <c r="AH47" s="85" t="n">
        <f aca="false">AH46*$D$2</f>
        <v>3720.84765</v>
      </c>
      <c r="AI47" s="85"/>
      <c r="AJ47" s="85" t="n">
        <f aca="false">AJ46*$D$2</f>
        <v>0</v>
      </c>
      <c r="AK47" s="85" t="n">
        <f aca="false">AK46*$D$2</f>
        <v>27186.60615</v>
      </c>
      <c r="AL47" s="85" t="n">
        <f aca="false">AL46*$D$2</f>
        <v>12290.5480635</v>
      </c>
      <c r="AM47" s="156" t="n">
        <f aca="false">AM46*$D$2</f>
        <v>39477.1542135</v>
      </c>
      <c r="AN47" s="85" t="n">
        <f aca="false">AN46*$D$2</f>
        <v>0</v>
      </c>
      <c r="AO47" s="85" t="n">
        <f aca="false">AO46*$D$2</f>
        <v>0</v>
      </c>
      <c r="AP47" s="142"/>
      <c r="AQ47" s="171" t="n">
        <f aca="false">SUM(AQ15:AQ44)</f>
        <v>483.625797754457</v>
      </c>
      <c r="AR47" s="85" t="n">
        <f aca="false">AR46*$D$2</f>
        <v>719.159</v>
      </c>
      <c r="AS47" s="144" t="n">
        <f aca="false">AS46*$D$2</f>
        <v>0</v>
      </c>
      <c r="AT47" s="225" t="n">
        <f aca="false">AT46*$D$2</f>
        <v>0</v>
      </c>
      <c r="AU47" s="144" t="n">
        <f aca="false">AU46*$D$2</f>
        <v>0</v>
      </c>
      <c r="AV47" s="108"/>
      <c r="AW47" s="109" t="n">
        <f aca="false">MAX(AW15:AW44)</f>
        <v>97</v>
      </c>
      <c r="AX47" s="109" t="n">
        <f aca="false">MAX(AX15:AX44)</f>
        <v>60</v>
      </c>
      <c r="AY47" s="481" t="s">
        <v>107</v>
      </c>
      <c r="AZ47" s="474" t="n">
        <f aca="false">AZ46*$D$2</f>
        <v>523.769486247825</v>
      </c>
      <c r="BA47" s="144" t="n">
        <f aca="false">BA46*$D$2</f>
        <v>4874.2529</v>
      </c>
      <c r="BB47" s="471"/>
      <c r="BD47" s="482"/>
    </row>
    <row r="48" customFormat="false" ht="3" hidden="false" customHeight="true" outlineLevel="0" collapsed="false">
      <c r="A48" s="117"/>
      <c r="B48" s="378"/>
      <c r="C48" s="127"/>
      <c r="D48" s="127"/>
      <c r="E48" s="127"/>
      <c r="F48" s="169"/>
      <c r="G48" s="127"/>
      <c r="H48" s="131"/>
      <c r="I48" s="127"/>
      <c r="J48" s="127"/>
      <c r="K48" s="127"/>
      <c r="L48" s="127"/>
      <c r="M48" s="167"/>
      <c r="N48" s="127"/>
      <c r="O48" s="131"/>
      <c r="P48" s="372"/>
      <c r="Q48" s="126"/>
      <c r="R48" s="126"/>
      <c r="S48" s="127"/>
      <c r="T48" s="127"/>
      <c r="U48" s="168"/>
      <c r="V48" s="127"/>
      <c r="W48" s="127"/>
      <c r="X48" s="127"/>
      <c r="Y48" s="127"/>
      <c r="Z48" s="127"/>
      <c r="AA48" s="127"/>
      <c r="AB48" s="246"/>
      <c r="AC48" s="127"/>
      <c r="AD48" s="127"/>
      <c r="AE48" s="127"/>
      <c r="AF48" s="167"/>
      <c r="AG48" s="168"/>
      <c r="AH48" s="127"/>
      <c r="AI48" s="124"/>
      <c r="AJ48" s="127"/>
      <c r="AK48" s="127"/>
      <c r="AL48" s="127"/>
      <c r="AM48" s="169"/>
      <c r="AN48" s="127"/>
      <c r="AO48" s="127"/>
      <c r="AP48" s="127"/>
      <c r="AQ48" s="251"/>
      <c r="AR48" s="127"/>
      <c r="AS48" s="253"/>
      <c r="AT48" s="256"/>
      <c r="AU48" s="253"/>
      <c r="AV48" s="170"/>
      <c r="AW48" s="127"/>
      <c r="AX48" s="127"/>
      <c r="AY48" s="169"/>
      <c r="AZ48" s="476"/>
      <c r="BA48" s="246"/>
      <c r="BB48" s="476"/>
    </row>
    <row r="49" customFormat="false" ht="12.95" hidden="false" customHeight="true" outlineLevel="0" collapsed="false">
      <c r="A49" s="11" t="s">
        <v>108</v>
      </c>
      <c r="B49" s="364"/>
      <c r="C49" s="100"/>
      <c r="D49" s="100"/>
      <c r="E49" s="100"/>
      <c r="F49" s="156" t="n">
        <f aca="false">F12+F46</f>
        <v>72230.9049659692</v>
      </c>
      <c r="G49" s="85" t="n">
        <f aca="false">G12+G46</f>
        <v>103009</v>
      </c>
      <c r="H49" s="157" t="n">
        <f aca="false">H12+H46</f>
        <v>1961.863</v>
      </c>
      <c r="I49" s="85" t="n">
        <f aca="false">I12+I46</f>
        <v>104970.863</v>
      </c>
      <c r="J49" s="85" t="n">
        <f aca="false">J12+J46</f>
        <v>1739.19196874212</v>
      </c>
      <c r="K49" s="85" t="n">
        <f aca="false">K12+K46</f>
        <v>106710.044968742</v>
      </c>
      <c r="L49" s="85" t="n">
        <f aca="false">L12+L46</f>
        <v>-5574.19731812453</v>
      </c>
      <c r="M49" s="104" t="n">
        <f aca="false">M12+M46</f>
        <v>13256.81</v>
      </c>
      <c r="N49" s="100" t="n">
        <f aca="false">N12+N46</f>
        <v>29.5991933450971</v>
      </c>
      <c r="O49" s="109" t="n">
        <f aca="false">O12+O46</f>
        <v>3623.781</v>
      </c>
      <c r="P49" s="89" t="n">
        <f aca="false">P12+P46</f>
        <v>0</v>
      </c>
      <c r="Q49" s="163"/>
      <c r="R49" s="163"/>
      <c r="S49" s="100"/>
      <c r="T49" s="100"/>
      <c r="U49" s="105"/>
      <c r="V49" s="85" t="n">
        <f aca="false">V12+V46</f>
        <v>1381.4</v>
      </c>
      <c r="W49" s="85" t="n">
        <f aca="false">W12+W46</f>
        <v>3480.39</v>
      </c>
      <c r="X49" s="85" t="n">
        <f aca="false">X12+X46</f>
        <v>14553.9105467407</v>
      </c>
      <c r="Y49" s="85" t="n">
        <f aca="false">Y12+Y46</f>
        <v>14374.6505467407</v>
      </c>
      <c r="Z49" s="85"/>
      <c r="AA49" s="85" t="n">
        <f aca="false">AA12+AA46</f>
        <v>5913.47072357566</v>
      </c>
      <c r="AB49" s="114"/>
      <c r="AC49" s="483"/>
      <c r="AD49" s="483"/>
      <c r="AE49" s="85" t="n">
        <f aca="false">AE12+AE46</f>
        <v>5703.07</v>
      </c>
      <c r="AF49" s="104" t="n">
        <f aca="false">AF12+AF46</f>
        <v>154.7</v>
      </c>
      <c r="AG49" s="105" t="n">
        <f aca="false">AG12+AG46</f>
        <v>118.3</v>
      </c>
      <c r="AH49" s="85"/>
      <c r="AI49" s="483"/>
      <c r="AJ49" s="85" t="n">
        <f aca="false">AJ12+AJ46</f>
        <v>0</v>
      </c>
      <c r="AK49" s="85" t="n">
        <f aca="false">AK12+AK46</f>
        <v>27165.7507159062</v>
      </c>
      <c r="AL49" s="85" t="n">
        <f aca="false">AL12+AL46</f>
        <v>7313.38928686665</v>
      </c>
      <c r="AM49" s="156" t="n">
        <f aca="false">AM12+AM46</f>
        <v>34479.1400027729</v>
      </c>
      <c r="AN49" s="85"/>
      <c r="AO49" s="85"/>
      <c r="AP49" s="142"/>
      <c r="AQ49" s="171"/>
      <c r="AR49" s="85" t="n">
        <f aca="false">AR12+AR46</f>
        <v>604.886312074616</v>
      </c>
      <c r="AS49" s="144" t="n">
        <f aca="false">AS12+AS46</f>
        <v>0</v>
      </c>
      <c r="AT49" s="171" t="n">
        <f aca="false">AT12+AT46</f>
        <v>0</v>
      </c>
      <c r="AU49" s="144" t="n">
        <f aca="false">AU12+AU46</f>
        <v>0</v>
      </c>
      <c r="AV49" s="108" t="s">
        <v>136</v>
      </c>
      <c r="AW49" s="109" t="n">
        <f aca="false">MIN(AW15:AW44)</f>
        <v>67</v>
      </c>
      <c r="AX49" s="109" t="n">
        <f aca="false">MIN(AX15:AX44)</f>
        <v>44</v>
      </c>
      <c r="AY49" s="481" t="s">
        <v>109</v>
      </c>
      <c r="AZ49" s="474" t="n">
        <f aca="false">AZ12+AZ46</f>
        <v>583.114915333882</v>
      </c>
      <c r="BA49" s="144" t="n">
        <f aca="false">BA12+BA46</f>
        <v>2792.936</v>
      </c>
      <c r="BB49" s="471"/>
    </row>
    <row r="50" customFormat="false" ht="12.95" hidden="false" customHeight="true" outlineLevel="0" collapsed="false">
      <c r="A50" s="11" t="s">
        <v>110</v>
      </c>
      <c r="B50" s="364"/>
      <c r="C50" s="100"/>
      <c r="D50" s="100"/>
      <c r="E50" s="100"/>
      <c r="F50" s="156" t="n">
        <f aca="false">F49*$D$2</f>
        <v>143270</v>
      </c>
      <c r="G50" s="85" t="n">
        <f aca="false">G49*$D$2</f>
        <v>204318.3515</v>
      </c>
      <c r="H50" s="157" t="n">
        <f aca="false">H49*$D$2</f>
        <v>3891.3552605</v>
      </c>
      <c r="I50" s="85" t="n">
        <f aca="false">I49*$D$2</f>
        <v>208209.7067605</v>
      </c>
      <c r="J50" s="85" t="n">
        <f aca="false">J49*$D$2</f>
        <v>3449.68727</v>
      </c>
      <c r="K50" s="85" t="n">
        <f aca="false">K49*$D$2</f>
        <v>211659.3741955</v>
      </c>
      <c r="L50" s="85" t="n">
        <f aca="false">L49*$D$2</f>
        <v>-11056.4203805</v>
      </c>
      <c r="M50" s="104" t="n">
        <f aca="false">M49*$D$2</f>
        <v>26294.882635</v>
      </c>
      <c r="N50" s="100" t="n">
        <f aca="false">N49*$D$2</f>
        <v>58.71</v>
      </c>
      <c r="O50" s="109" t="n">
        <f aca="false">O49*$D$2</f>
        <v>7187.7696135</v>
      </c>
      <c r="P50" s="89" t="n">
        <f aca="false">P49*$D$2</f>
        <v>0</v>
      </c>
      <c r="Q50" s="163"/>
      <c r="R50" s="163"/>
      <c r="S50" s="100"/>
      <c r="T50" s="100"/>
      <c r="U50" s="105"/>
      <c r="V50" s="85" t="n">
        <f aca="false">V49*$D$2</f>
        <v>2740.0069</v>
      </c>
      <c r="W50" s="85" t="n">
        <f aca="false">W49*$D$2</f>
        <v>6903.353565</v>
      </c>
      <c r="X50" s="85" t="n">
        <f aca="false">X49*$D$2</f>
        <v>28867.6815694602</v>
      </c>
      <c r="Y50" s="85" t="n">
        <f aca="false">Y49*$D$2</f>
        <v>28512.1193594602</v>
      </c>
      <c r="Z50" s="85"/>
      <c r="AA50" s="85" t="n">
        <f aca="false">AA49*$D$2</f>
        <v>11729.3691802123</v>
      </c>
      <c r="AB50" s="114"/>
      <c r="AC50" s="85"/>
      <c r="AD50" s="85"/>
      <c r="AE50" s="85" t="n">
        <f aca="false">AE49*$D$2</f>
        <v>11312.039345</v>
      </c>
      <c r="AF50" s="104" t="n">
        <f aca="false">AF49*$D$2</f>
        <v>306.84745</v>
      </c>
      <c r="AG50" s="105" t="n">
        <f aca="false">AG49*$D$2</f>
        <v>234.64805</v>
      </c>
      <c r="AH50" s="85"/>
      <c r="AI50" s="85"/>
      <c r="AJ50" s="85" t="n">
        <f aca="false">AJ49*$D$2</f>
        <v>0</v>
      </c>
      <c r="AK50" s="85" t="n">
        <f aca="false">AK49*$D$2</f>
        <v>53883.266545</v>
      </c>
      <c r="AL50" s="85" t="n">
        <f aca="false">AL49*$D$2</f>
        <v>14506.1076505</v>
      </c>
      <c r="AM50" s="156" t="n">
        <f aca="false">AM49*$D$2</f>
        <v>68389.3741955</v>
      </c>
      <c r="AN50" s="85"/>
      <c r="AO50" s="85"/>
      <c r="AP50" s="142"/>
      <c r="AQ50" s="171" t="n">
        <f aca="false">AQ12+AQ47</f>
        <v>1013.55299679003</v>
      </c>
      <c r="AR50" s="85" t="n">
        <f aca="false">AR49*$D$2</f>
        <v>1199.792</v>
      </c>
      <c r="AS50" s="103" t="n">
        <f aca="false">AS49*$D$2</f>
        <v>0</v>
      </c>
      <c r="AT50" s="157" t="n">
        <f aca="false">AT49*$D$2</f>
        <v>0</v>
      </c>
      <c r="AU50" s="103" t="n">
        <f aca="false">AU49*$D$2</f>
        <v>0</v>
      </c>
      <c r="AV50" s="108" t="n">
        <f aca="false">MAY!AV51+AV46</f>
        <v>6.03</v>
      </c>
      <c r="AW50" s="109"/>
      <c r="AX50" s="109"/>
      <c r="AY50" s="149"/>
      <c r="AZ50" s="474" t="n">
        <f aca="false">AZ49*$D$2</f>
        <v>1156.60843456476</v>
      </c>
      <c r="BA50" s="484" t="n">
        <f aca="false">BA49*$D$2</f>
        <v>5539.788556</v>
      </c>
      <c r="BB50" s="471"/>
    </row>
    <row r="51" customFormat="false" ht="3" hidden="false" customHeight="true" outlineLevel="0" collapsed="false">
      <c r="A51" s="117"/>
      <c r="B51" s="378"/>
      <c r="C51" s="127"/>
      <c r="D51" s="127"/>
      <c r="E51" s="127"/>
      <c r="F51" s="169"/>
      <c r="G51" s="127"/>
      <c r="H51" s="131"/>
      <c r="I51" s="127"/>
      <c r="J51" s="127"/>
      <c r="K51" s="127"/>
      <c r="L51" s="127"/>
      <c r="M51" s="167"/>
      <c r="N51" s="127"/>
      <c r="O51" s="131"/>
      <c r="P51" s="372"/>
      <c r="Q51" s="126"/>
      <c r="R51" s="126"/>
      <c r="S51" s="127"/>
      <c r="T51" s="127"/>
      <c r="U51" s="168"/>
      <c r="V51" s="127"/>
      <c r="W51" s="127"/>
      <c r="X51" s="127"/>
      <c r="Y51" s="127"/>
      <c r="Z51" s="127"/>
      <c r="AA51" s="127"/>
      <c r="AB51" s="246"/>
      <c r="AC51" s="127"/>
      <c r="AD51" s="127"/>
      <c r="AE51" s="127"/>
      <c r="AF51" s="167"/>
      <c r="AG51" s="168"/>
      <c r="AH51" s="127"/>
      <c r="AI51" s="127"/>
      <c r="AJ51" s="127"/>
      <c r="AK51" s="127"/>
      <c r="AL51" s="127"/>
      <c r="AM51" s="169"/>
      <c r="AN51" s="127"/>
      <c r="AO51" s="380"/>
      <c r="AP51" s="380"/>
      <c r="AQ51" s="251"/>
      <c r="AR51" s="127"/>
      <c r="AS51" s="253"/>
      <c r="AT51" s="256"/>
      <c r="AU51" s="253"/>
      <c r="AV51" s="133"/>
      <c r="AW51" s="380"/>
      <c r="AX51" s="380"/>
      <c r="AY51" s="169"/>
      <c r="AZ51" s="476"/>
      <c r="BA51" s="246"/>
      <c r="BB51" s="476"/>
    </row>
    <row r="52" customFormat="false" ht="12.95" hidden="false" customHeight="true" outlineLevel="0" collapsed="false">
      <c r="A52" s="11" t="s">
        <v>111</v>
      </c>
      <c r="B52" s="364"/>
      <c r="C52" s="100"/>
      <c r="D52" s="100"/>
      <c r="E52" s="100"/>
      <c r="F52" s="156" t="n">
        <f aca="false">F13+F46</f>
        <v>77088.4799596673</v>
      </c>
      <c r="G52" s="85" t="n">
        <f aca="false">G13+G46</f>
        <v>118238</v>
      </c>
      <c r="H52" s="157" t="n">
        <f aca="false">H13+H46</f>
        <v>2079.365</v>
      </c>
      <c r="I52" s="85" t="n">
        <f aca="false">I13+I46</f>
        <v>120316.745</v>
      </c>
      <c r="J52" s="85" t="n">
        <f aca="false">J13+J46</f>
        <v>4084.28087421225</v>
      </c>
      <c r="K52" s="85" t="n">
        <f aca="false">K13+K46</f>
        <v>124401.015874212</v>
      </c>
      <c r="L52" s="85" t="n">
        <f aca="false">L13+L46</f>
        <v>-5444.75432442652</v>
      </c>
      <c r="M52" s="104" t="n">
        <f aca="false">M13+M46</f>
        <v>14001.34</v>
      </c>
      <c r="N52" s="100" t="n">
        <f aca="false">N13+N46</f>
        <v>29.5991933450971</v>
      </c>
      <c r="O52" s="109" t="n">
        <f aca="false">O13+O46</f>
        <v>3623.781</v>
      </c>
      <c r="P52" s="89"/>
      <c r="Q52" s="109" t="n">
        <f aca="false">Q13+Q46</f>
        <v>406.993446630572</v>
      </c>
      <c r="R52" s="109" t="n">
        <f aca="false">R13+R46</f>
        <v>504.7367176</v>
      </c>
      <c r="S52" s="109" t="n">
        <f aca="false">S13+S46</f>
        <v>29.38883072</v>
      </c>
      <c r="T52" s="109" t="n">
        <f aca="false">T13+T46</f>
        <v>154.22454736</v>
      </c>
      <c r="U52" s="368" t="n">
        <f aca="false">U13+U46</f>
        <v>-45.366813481233</v>
      </c>
      <c r="V52" s="85" t="n">
        <f aca="false">V13+V46</f>
        <v>7093.89</v>
      </c>
      <c r="W52" s="85" t="n">
        <f aca="false">W13+W46</f>
        <v>3504.42</v>
      </c>
      <c r="X52" s="85" t="n">
        <f aca="false">X13+X46</f>
        <v>20469.1428399002</v>
      </c>
      <c r="Y52" s="85" t="n">
        <f aca="false">Y13+Y46</f>
        <v>20094.2595065668</v>
      </c>
      <c r="Z52" s="85"/>
      <c r="AA52" s="85"/>
      <c r="AB52" s="114"/>
      <c r="AC52" s="85"/>
      <c r="AD52" s="85"/>
      <c r="AE52" s="85"/>
      <c r="AF52" s="104" t="n">
        <f aca="false">AF13+AF46</f>
        <v>154.7</v>
      </c>
      <c r="AG52" s="105" t="n">
        <f aca="false">AG13+AG46</f>
        <v>118.3</v>
      </c>
      <c r="AH52" s="85" t="n">
        <f aca="false">AH13+AH46</f>
        <v>7481.3</v>
      </c>
      <c r="AI52" s="85" t="n">
        <f aca="false">AI44</f>
        <v>12686.6578774893</v>
      </c>
      <c r="AJ52" s="85" t="n">
        <f aca="false">AJ13+AJ46</f>
        <v>0</v>
      </c>
      <c r="AK52" s="85" t="n">
        <f aca="false">AK13+AK46</f>
        <v>37783.5007159062</v>
      </c>
      <c r="AL52" s="85" t="n">
        <f aca="false">AL13+AL46</f>
        <v>9529.03519863877</v>
      </c>
      <c r="AM52" s="156" t="n">
        <f aca="false">AM13+AM46</f>
        <v>47312.535914545</v>
      </c>
      <c r="AN52" s="85" t="n">
        <f aca="false">AN13+AN46</f>
        <v>5685.01666666667</v>
      </c>
      <c r="AO52" s="85" t="n">
        <f aca="false">AO13+AO46</f>
        <v>374.883333333333</v>
      </c>
      <c r="AP52" s="142"/>
      <c r="AQ52" s="171"/>
      <c r="AR52" s="85" t="n">
        <f aca="false">AR13+AR46</f>
        <v>604.886312074616</v>
      </c>
      <c r="AS52" s="103" t="n">
        <f aca="false">AS13+AS46</f>
        <v>0</v>
      </c>
      <c r="AT52" s="157"/>
      <c r="AV52" s="108" t="n">
        <f aca="false">AV13+AV46</f>
        <v>12.31</v>
      </c>
      <c r="AW52" s="109"/>
      <c r="AX52" s="109"/>
      <c r="AY52" s="149"/>
      <c r="AZ52" s="474" t="n">
        <f aca="false">AZ13+AZ46</f>
        <v>1079.57592217444</v>
      </c>
      <c r="BA52" s="143" t="n">
        <f aca="false">BA13+BA46</f>
        <v>2806.542</v>
      </c>
      <c r="BB52" s="471"/>
    </row>
    <row r="53" customFormat="false" ht="12.95" hidden="false" customHeight="true" outlineLevel="0" collapsed="false">
      <c r="A53" s="11" t="s">
        <v>112</v>
      </c>
      <c r="B53" s="364"/>
      <c r="C53" s="100"/>
      <c r="D53" s="100" t="n">
        <f aca="false">D13+D47</f>
        <v>152905</v>
      </c>
      <c r="E53" s="100" t="n">
        <f aca="false">E44</f>
        <v>186645</v>
      </c>
      <c r="F53" s="156" t="n">
        <f aca="false">F52*$D$2</f>
        <v>152905</v>
      </c>
      <c r="G53" s="85" t="n">
        <f aca="false">G52*$D$2</f>
        <v>234525.073</v>
      </c>
      <c r="H53" s="157" t="n">
        <f aca="false">H52*$D$2</f>
        <v>4124.4204775</v>
      </c>
      <c r="I53" s="85" t="n">
        <f aca="false">I52*$D$2</f>
        <v>238648.2637075</v>
      </c>
      <c r="J53" s="85" t="n">
        <f aca="false">J52*$D$2</f>
        <v>8101.171114</v>
      </c>
      <c r="K53" s="85" t="n">
        <f aca="false">K52*$D$2</f>
        <v>246749.4149865</v>
      </c>
      <c r="L53" s="85" t="n">
        <f aca="false">L52*$D$2</f>
        <v>-10799.6702025</v>
      </c>
      <c r="M53" s="104" t="n">
        <f aca="false">M52*$D$2</f>
        <v>27771.65789</v>
      </c>
      <c r="N53" s="100" t="n">
        <f aca="false">N52*$D$2</f>
        <v>58.71</v>
      </c>
      <c r="O53" s="109" t="n">
        <f aca="false">O52*$D$2</f>
        <v>7187.7696135</v>
      </c>
      <c r="P53" s="89"/>
      <c r="Q53" s="109" t="n">
        <f aca="false">Q52*$D$2</f>
        <v>807.27150139174</v>
      </c>
      <c r="R53" s="109" t="n">
        <f aca="false">R52*$D$2</f>
        <v>1001.1452793596</v>
      </c>
      <c r="S53" s="109" t="n">
        <f aca="false">S52*$D$2</f>
        <v>58.29274573312</v>
      </c>
      <c r="T53" s="109" t="n">
        <f aca="false">T52*$D$2</f>
        <v>305.90438968856</v>
      </c>
      <c r="U53" s="368" t="n">
        <f aca="false">U52*$D$2</f>
        <v>-89.9850745400256</v>
      </c>
      <c r="V53" s="85" t="n">
        <f aca="false">V52*$D$2</f>
        <v>14070.730815</v>
      </c>
      <c r="W53" s="85" t="n">
        <f aca="false">W52*$D$2</f>
        <v>6951.01707</v>
      </c>
      <c r="X53" s="85" t="n">
        <f aca="false">X52*$D$2</f>
        <v>40600.544822942</v>
      </c>
      <c r="Y53" s="85" t="n">
        <f aca="false">Y52*$D$2</f>
        <v>39856.9637312753</v>
      </c>
      <c r="Z53" s="85"/>
      <c r="AA53" s="85"/>
      <c r="AB53" s="114"/>
      <c r="AC53" s="85"/>
      <c r="AD53" s="85"/>
      <c r="AE53" s="85"/>
      <c r="AF53" s="369" t="n">
        <f aca="false">AF52*$D$2</f>
        <v>306.84745</v>
      </c>
      <c r="AG53" s="162" t="n">
        <f aca="false">AG52*$D$2</f>
        <v>234.64805</v>
      </c>
      <c r="AH53" s="85" t="n">
        <f aca="false">AH52*$D$2</f>
        <v>14839.15855</v>
      </c>
      <c r="AI53" s="85" t="n">
        <f aca="false">AI52*$D$2</f>
        <v>25163.9859</v>
      </c>
      <c r="AJ53" s="85" t="n">
        <f aca="false">AJ52*$D$2</f>
        <v>0</v>
      </c>
      <c r="AK53" s="85" t="n">
        <f aca="false">AK52*$D$2</f>
        <v>74943.57367</v>
      </c>
      <c r="AL53" s="85" t="n">
        <f aca="false">AL52*$D$2</f>
        <v>18900.8413165</v>
      </c>
      <c r="AM53" s="174" t="n">
        <f aca="false">AM52*$D$2</f>
        <v>93844.4149865</v>
      </c>
      <c r="AN53" s="85" t="n">
        <f aca="false">AN52*$D$2</f>
        <v>11276.2305583333</v>
      </c>
      <c r="AO53" s="85" t="n">
        <f aca="false">AO52*$D$2</f>
        <v>743.581091666667</v>
      </c>
      <c r="AP53" s="142"/>
      <c r="AQ53" s="171" t="n">
        <f aca="false">AQ13+AQ47</f>
        <v>1013.55299679003</v>
      </c>
      <c r="AR53" s="85" t="n">
        <f aca="false">AR52*$D$2</f>
        <v>1199.792</v>
      </c>
      <c r="AS53" s="103" t="n">
        <f aca="false">AS52*$D$2</f>
        <v>0</v>
      </c>
      <c r="AT53" s="157"/>
      <c r="AV53" s="108"/>
      <c r="AW53" s="109"/>
      <c r="AX53" s="109"/>
      <c r="AY53" s="149"/>
      <c r="AZ53" s="485" t="n">
        <f aca="false">AZ52*$D$2</f>
        <v>2141.33884163299</v>
      </c>
      <c r="BA53" s="486" t="n">
        <f aca="false">BA52*$D$2</f>
        <v>5566.776057</v>
      </c>
      <c r="BB53" s="471"/>
    </row>
    <row r="54" customFormat="false" ht="3" hidden="false" customHeight="true" outlineLevel="0" collapsed="false">
      <c r="A54" s="117"/>
      <c r="B54" s="378"/>
      <c r="C54" s="127"/>
      <c r="D54" s="124"/>
      <c r="E54" s="127"/>
      <c r="F54" s="153"/>
      <c r="G54" s="124"/>
      <c r="H54" s="126"/>
      <c r="I54" s="124"/>
      <c r="J54" s="124"/>
      <c r="K54" s="487"/>
      <c r="L54" s="124"/>
      <c r="M54" s="128"/>
      <c r="N54" s="124"/>
      <c r="O54" s="126"/>
      <c r="P54" s="372"/>
      <c r="Q54" s="126"/>
      <c r="R54" s="126"/>
      <c r="S54" s="124"/>
      <c r="T54" s="124"/>
      <c r="U54" s="373"/>
      <c r="V54" s="124"/>
      <c r="W54" s="124"/>
      <c r="X54" s="124"/>
      <c r="Y54" s="124"/>
      <c r="Z54" s="127"/>
      <c r="AA54" s="124"/>
      <c r="AB54" s="246"/>
      <c r="AC54" s="127"/>
      <c r="AD54" s="127"/>
      <c r="AE54" s="124"/>
      <c r="AF54" s="122"/>
      <c r="AG54" s="178"/>
      <c r="AH54" s="124"/>
      <c r="AI54" s="127"/>
      <c r="AJ54" s="488"/>
      <c r="AK54" s="124"/>
      <c r="AL54" s="124"/>
      <c r="AM54" s="124"/>
      <c r="AN54" s="378"/>
      <c r="AO54" s="124"/>
      <c r="AP54" s="124"/>
      <c r="AQ54" s="251"/>
      <c r="AR54" s="253"/>
      <c r="AS54" s="253"/>
      <c r="AT54" s="251"/>
      <c r="AU54" s="253"/>
      <c r="AV54" s="378"/>
      <c r="AW54" s="124"/>
      <c r="AX54" s="124"/>
      <c r="AY54" s="124"/>
      <c r="AZ54" s="124"/>
      <c r="BA54" s="124"/>
      <c r="BB54" s="124"/>
    </row>
    <row r="55" customFormat="false" ht="14.1" hidden="false" customHeight="true" outlineLevel="0" collapsed="false">
      <c r="A55" s="182"/>
      <c r="B55" s="185"/>
      <c r="D55" s="11"/>
      <c r="E55" s="489"/>
      <c r="I55" s="11"/>
      <c r="J55" s="11"/>
      <c r="K55" s="490"/>
      <c r="L55" s="161"/>
      <c r="M55" s="11"/>
      <c r="N55" s="11"/>
      <c r="Q55" s="491"/>
      <c r="S55" s="11"/>
      <c r="T55" s="11"/>
      <c r="V55" s="11"/>
      <c r="W55" s="11"/>
      <c r="X55" s="11"/>
      <c r="Y55" s="11"/>
      <c r="AA55" s="11"/>
      <c r="AB55" s="161"/>
      <c r="AE55" s="11"/>
      <c r="AF55" s="11"/>
      <c r="AG55" s="11"/>
      <c r="AH55" s="11"/>
      <c r="AI55" s="489"/>
      <c r="AJ55" s="492"/>
      <c r="AK55" s="11"/>
      <c r="AL55" s="11"/>
      <c r="AM55" s="11"/>
      <c r="AN55" s="10"/>
      <c r="AO55" s="10"/>
      <c r="AP55" s="14"/>
      <c r="AQ55" s="76"/>
      <c r="AR55" s="414"/>
      <c r="AX55" s="9"/>
      <c r="BA55" s="5"/>
      <c r="BB55" s="1"/>
    </row>
    <row r="56" customFormat="false" ht="11.1" hidden="false" customHeight="true" outlineLevel="0" collapsed="false">
      <c r="A56" s="11"/>
      <c r="B56" s="185"/>
      <c r="E56" s="390"/>
      <c r="F56" s="197"/>
      <c r="I56" s="12"/>
      <c r="J56" s="11"/>
      <c r="K56" s="186"/>
      <c r="L56" s="111"/>
      <c r="M56" s="11"/>
      <c r="N56" s="11"/>
      <c r="S56" s="138"/>
      <c r="T56" s="138"/>
      <c r="U56" s="99"/>
      <c r="V56" s="26"/>
      <c r="W56" s="138"/>
      <c r="X56" s="493"/>
      <c r="Y56" s="494" t="s">
        <v>140</v>
      </c>
      <c r="Z56" s="161" t="n">
        <f aca="false">Z44*D2</f>
        <v>43487.8806405397</v>
      </c>
      <c r="AA56" s="493"/>
      <c r="AB56" s="161"/>
      <c r="AC56" s="161"/>
      <c r="AD56" s="161"/>
      <c r="AE56" s="26"/>
      <c r="AF56" s="26"/>
      <c r="AG56" s="26"/>
      <c r="AH56" s="11"/>
      <c r="AI56" s="2"/>
      <c r="AJ56" s="112"/>
      <c r="AK56" s="11"/>
      <c r="AL56" s="11"/>
      <c r="AM56" s="11"/>
      <c r="AN56" s="10"/>
      <c r="AO56" s="10"/>
      <c r="AP56" s="14"/>
      <c r="AX56" s="9"/>
    </row>
    <row r="57" customFormat="false" ht="11.1" hidden="false" customHeight="true" outlineLevel="0" collapsed="false">
      <c r="B57" s="161"/>
      <c r="C57" s="161"/>
      <c r="D57" s="56"/>
      <c r="E57" s="390"/>
      <c r="F57" s="237"/>
      <c r="K57" s="391"/>
      <c r="L57" s="450"/>
      <c r="M57" s="495"/>
      <c r="N57" s="495"/>
      <c r="O57" s="496"/>
      <c r="P57" s="497"/>
      <c r="Q57" s="496"/>
      <c r="R57" s="496"/>
      <c r="S57" s="26"/>
      <c r="T57" s="26"/>
      <c r="U57" s="99"/>
      <c r="V57" s="26"/>
      <c r="W57" s="138"/>
      <c r="X57" s="96"/>
      <c r="Z57" s="161"/>
      <c r="AA57" s="96"/>
      <c r="AC57" s="161"/>
      <c r="AD57" s="161"/>
      <c r="AE57" s="161"/>
      <c r="AF57" s="161"/>
      <c r="AG57" s="161"/>
      <c r="AI57" s="26"/>
      <c r="AJ57" s="498"/>
      <c r="AN57" s="93"/>
      <c r="AO57" s="93"/>
      <c r="AP57" s="93"/>
    </row>
    <row r="58" customFormat="false" ht="11.1" hidden="false" customHeight="true" outlineLevel="0" collapsed="false">
      <c r="B58" s="56"/>
      <c r="C58" s="161"/>
      <c r="D58" s="161"/>
      <c r="E58" s="390"/>
      <c r="H58" s="111"/>
      <c r="K58" s="391"/>
      <c r="L58" s="111"/>
      <c r="O58" s="111"/>
      <c r="P58" s="8"/>
      <c r="Q58" s="111"/>
      <c r="R58" s="111"/>
      <c r="S58" s="26"/>
      <c r="T58" s="26"/>
      <c r="U58" s="99"/>
      <c r="V58" s="26"/>
      <c r="W58" s="26"/>
      <c r="X58" s="96"/>
      <c r="Y58" s="100" t="s">
        <v>141</v>
      </c>
      <c r="Z58" s="191" t="n">
        <f aca="false">Y50+Z56</f>
        <v>72000</v>
      </c>
      <c r="AA58" s="96"/>
      <c r="AB58" s="161" t="n">
        <f aca="false">Z58-AN50</f>
        <v>72000</v>
      </c>
      <c r="AC58" s="161" t="s">
        <v>142</v>
      </c>
      <c r="AD58" s="161"/>
      <c r="AE58" s="161"/>
      <c r="AF58" s="161"/>
      <c r="AG58" s="161"/>
      <c r="AI58" s="26"/>
      <c r="AJ58" s="237"/>
      <c r="AN58" s="93"/>
      <c r="AO58" s="93"/>
      <c r="AP58" s="93"/>
    </row>
    <row r="59" customFormat="false" ht="11.1" hidden="false" customHeight="true" outlineLevel="0" collapsed="false">
      <c r="B59" s="8"/>
      <c r="C59" s="161"/>
      <c r="D59" s="161"/>
      <c r="E59" s="390"/>
      <c r="F59" s="392"/>
      <c r="G59" s="56"/>
      <c r="K59" s="186"/>
      <c r="Z59" s="2"/>
      <c r="AC59" s="2"/>
      <c r="AD59" s="2"/>
      <c r="AN59" s="93"/>
      <c r="AO59" s="93"/>
      <c r="AP59" s="93"/>
    </row>
    <row r="60" customFormat="false" ht="11.1" hidden="false" customHeight="true" outlineLevel="0" collapsed="false">
      <c r="Z60" s="2"/>
    </row>
    <row r="61" customFormat="false" ht="11.1" hidden="false" customHeight="true" outlineLevel="0" collapsed="false">
      <c r="B61" s="183"/>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89"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3" topLeftCell="B14" activePane="bottomRight" state="frozen"/>
      <selection pane="topLeft" activeCell="A1" activeCellId="0" sqref="A1"/>
      <selection pane="topRight" activeCell="B1" activeCellId="0" sqref="B1"/>
      <selection pane="bottomLeft" activeCell="A14" activeCellId="0" sqref="A14"/>
      <selection pane="bottomRight" activeCell="A15" activeCellId="0" sqref="A15"/>
    </sheetView>
  </sheetViews>
  <sheetFormatPr defaultColWidth="9.328125" defaultRowHeight="11.1" zeroHeight="false" outlineLevelRow="0" outlineLevelCol="0"/>
  <cols>
    <col collapsed="false" customWidth="true" hidden="false" outlineLevel="0" max="1" min="1" style="56" width="4.66"/>
    <col collapsed="false" customWidth="true" hidden="false" outlineLevel="0" max="2" min="2" style="56" width="6.99"/>
    <col collapsed="false" customWidth="true" hidden="false" outlineLevel="0" max="3" min="3" style="161" width="6.32"/>
    <col collapsed="false" customWidth="true" hidden="false" outlineLevel="0" max="4" min="4" style="56" width="6.99"/>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111" width="5.66"/>
    <col collapsed="false" customWidth="true" hidden="false" outlineLevel="0" max="11" min="9" style="56" width="6.32"/>
    <col collapsed="false" customWidth="true" hidden="false" outlineLevel="0" max="12" min="12" style="56" width="6.82"/>
    <col collapsed="false" customWidth="true" hidden="false" outlineLevel="0" max="13" min="13" style="111" width="5.49"/>
    <col collapsed="false" customWidth="true" hidden="false" outlineLevel="0" max="14" min="14" style="111" width="4.49"/>
    <col collapsed="false" customWidth="true" hidden="false" outlineLevel="0" max="15" min="15" style="111" width="5.49"/>
    <col collapsed="false" customWidth="true" hidden="false" outlineLevel="0" max="16" min="16" style="8" width="4.82"/>
    <col collapsed="false" customWidth="true" hidden="false" outlineLevel="0" max="18" min="17" style="111" width="4.32"/>
    <col collapsed="false" customWidth="true" hidden="false" outlineLevel="0" max="20" min="19" style="56" width="4.32"/>
    <col collapsed="false" customWidth="true" hidden="false" outlineLevel="0" max="21" min="21" style="8" width="5.16"/>
    <col collapsed="false" customWidth="true" hidden="false" outlineLevel="0" max="23" min="22" style="56" width="5.49"/>
    <col collapsed="false" customWidth="true" hidden="false" outlineLevel="0" max="25" min="24" style="161" width="6.32"/>
    <col collapsed="false" customWidth="true" hidden="false" outlineLevel="0" max="26" min="26" style="56" width="5.49"/>
    <col collapsed="false" customWidth="true" hidden="false" outlineLevel="0" max="27" min="27" style="161" width="6.32"/>
    <col collapsed="false" customWidth="true" hidden="false" outlineLevel="0" max="28" min="28" style="56" width="5.49"/>
    <col collapsed="false" customWidth="true" hidden="false" outlineLevel="0" max="29" min="29" style="56" width="5.82"/>
    <col collapsed="false" customWidth="true" hidden="false" outlineLevel="0" max="30" min="30" style="191" width="5.49"/>
    <col collapsed="false" customWidth="true" hidden="false" outlineLevel="0" max="33" min="31" style="56" width="5.49"/>
    <col collapsed="false" customWidth="true" hidden="false" outlineLevel="0" max="34" min="34" style="161" width="5.82"/>
    <col collapsed="false" customWidth="true" hidden="false" outlineLevel="0" max="35" min="35" style="56" width="5.49"/>
    <col collapsed="false" customWidth="true" hidden="false" outlineLevel="0" max="36" min="36" style="189" width="6.32"/>
    <col collapsed="false" customWidth="true" hidden="false" outlineLevel="0" max="37" min="37" style="56" width="6.32"/>
    <col collapsed="false" customWidth="true" hidden="false" outlineLevel="0" max="38" min="38" style="56" width="6.82"/>
    <col collapsed="false" customWidth="true" hidden="false" outlineLevel="0" max="39" min="39" style="8" width="6.82"/>
    <col collapsed="false" customWidth="true" hidden="false" outlineLevel="0" max="41" min="40" style="56" width="5.49"/>
    <col collapsed="false" customWidth="true" hidden="false" outlineLevel="0" max="42" min="42" style="111" width="6.32"/>
    <col collapsed="false" customWidth="true" hidden="false" outlineLevel="0" max="43" min="43" style="300" width="6.32"/>
    <col collapsed="false" customWidth="true" hidden="false" outlineLevel="0" max="44" min="44" style="300" width="5.49"/>
    <col collapsed="false" customWidth="true" hidden="false" outlineLevel="0" max="45" min="45" style="300" width="5.99"/>
    <col collapsed="false" customWidth="true" hidden="false" outlineLevel="0" max="46" min="46" style="392" width="5.82"/>
    <col collapsed="false" customWidth="true" hidden="false" outlineLevel="0" max="47" min="47" style="111" width="4.99"/>
    <col collapsed="false" customWidth="true" hidden="false" outlineLevel="0" max="48" min="48" style="191" width="5.32"/>
    <col collapsed="false" customWidth="true" hidden="false" outlineLevel="0" max="49" min="49" style="191" width="3.82"/>
    <col collapsed="false" customWidth="true" hidden="false" outlineLevel="0" max="50" min="50" style="192" width="3.82"/>
    <col collapsed="false" customWidth="true" hidden="false" outlineLevel="0" max="51" min="51" style="193" width="3.82"/>
    <col collapsed="false" customWidth="true" hidden="false" outlineLevel="0" max="52" min="52" style="193" width="5.49"/>
    <col collapsed="false" customWidth="false" hidden="false" outlineLevel="0" max="54" min="53" style="56" width="9.32"/>
    <col collapsed="false" customWidth="false" hidden="false" outlineLevel="0" max="257" min="55" style="193" width="9.32"/>
  </cols>
  <sheetData>
    <row r="1" customFormat="false" ht="14.1" hidden="false" customHeight="true" outlineLevel="0" collapsed="false">
      <c r="A1" s="11"/>
      <c r="B1" s="11"/>
      <c r="C1" s="2"/>
      <c r="D1" s="11"/>
      <c r="E1" s="2"/>
      <c r="F1" s="11"/>
      <c r="G1" s="11"/>
      <c r="H1" s="4"/>
      <c r="I1" s="11"/>
      <c r="J1" s="11"/>
      <c r="K1" s="13" t="s">
        <v>0</v>
      </c>
      <c r="L1" s="11"/>
      <c r="M1" s="11"/>
      <c r="N1" s="11"/>
      <c r="O1" s="11"/>
      <c r="P1" s="5"/>
      <c r="Q1" s="11"/>
      <c r="R1" s="11"/>
      <c r="S1" s="11"/>
      <c r="T1" s="11"/>
      <c r="U1" s="5"/>
      <c r="V1" s="11"/>
      <c r="W1" s="11"/>
      <c r="X1" s="2"/>
      <c r="Y1" s="2"/>
      <c r="Z1" s="11"/>
      <c r="AA1" s="2"/>
      <c r="AB1" s="11"/>
      <c r="AC1" s="11"/>
      <c r="AD1" s="9"/>
      <c r="AE1" s="11"/>
      <c r="AF1" s="11"/>
      <c r="AG1" s="11"/>
      <c r="AH1" s="2"/>
      <c r="AI1" s="11"/>
      <c r="AJ1" s="14"/>
      <c r="AK1" s="11"/>
      <c r="AL1" s="11"/>
      <c r="AM1" s="5"/>
      <c r="AN1" s="14"/>
      <c r="AO1" s="14"/>
      <c r="AP1" s="354"/>
      <c r="AS1" s="6"/>
      <c r="AT1" s="94"/>
      <c r="AU1" s="4"/>
      <c r="AV1" s="3"/>
      <c r="AW1" s="9"/>
      <c r="AX1" s="10"/>
      <c r="AY1" s="0"/>
      <c r="AZ1" s="0"/>
      <c r="BA1" s="1"/>
      <c r="BB1" s="1"/>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row>
    <row r="2" customFormat="false" ht="14.1" hidden="false" customHeight="true" outlineLevel="0" collapsed="false">
      <c r="A2" s="14" t="s">
        <v>1</v>
      </c>
      <c r="B2" s="11"/>
      <c r="C2" s="2"/>
      <c r="D2" s="15" t="n">
        <v>1.9835</v>
      </c>
      <c r="E2" s="2"/>
      <c r="F2" s="11"/>
      <c r="G2" s="185"/>
      <c r="H2" s="4"/>
      <c r="I2" s="11"/>
      <c r="J2" s="11"/>
      <c r="K2" s="457" t="s">
        <v>143</v>
      </c>
      <c r="L2" s="457"/>
      <c r="M2" s="457"/>
      <c r="N2" s="457"/>
      <c r="O2" s="457"/>
      <c r="P2" s="457"/>
      <c r="Q2" s="457"/>
      <c r="R2" s="457"/>
      <c r="S2" s="457"/>
      <c r="T2" s="457"/>
      <c r="U2" s="6"/>
      <c r="V2" s="357"/>
      <c r="W2" s="357"/>
      <c r="X2" s="358"/>
      <c r="Y2" s="358"/>
      <c r="Z2" s="357"/>
      <c r="AA2" s="358"/>
      <c r="AB2" s="357"/>
      <c r="AC2" s="357"/>
      <c r="AD2" s="10"/>
      <c r="AE2" s="357"/>
      <c r="AF2" s="357"/>
      <c r="AG2" s="357"/>
      <c r="AH2" s="358"/>
      <c r="AI2" s="11"/>
      <c r="AJ2" s="14"/>
      <c r="AK2" s="11"/>
      <c r="AL2" s="11"/>
      <c r="AM2" s="5"/>
      <c r="AN2" s="14"/>
      <c r="AO2" s="14"/>
      <c r="AP2" s="354"/>
      <c r="AS2" s="6"/>
      <c r="AT2" s="94"/>
      <c r="AU2" s="4"/>
      <c r="AV2" s="3"/>
      <c r="AW2" s="9"/>
      <c r="AX2" s="10"/>
      <c r="AY2" s="0"/>
      <c r="AZ2" s="0"/>
      <c r="BA2" s="1"/>
      <c r="BB2" s="1"/>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row>
    <row r="3" customFormat="false" ht="13.5" hidden="false" customHeight="true" outlineLevel="0" collapsed="false">
      <c r="A3" s="16"/>
      <c r="B3" s="16"/>
      <c r="C3" s="17"/>
      <c r="D3" s="18"/>
      <c r="E3" s="17"/>
      <c r="F3" s="16"/>
      <c r="G3" s="16"/>
      <c r="H3" s="22"/>
      <c r="I3" s="16"/>
      <c r="J3" s="16"/>
      <c r="K3" s="16"/>
      <c r="L3" s="16"/>
      <c r="M3" s="16"/>
      <c r="N3" s="16"/>
      <c r="O3" s="16"/>
      <c r="P3" s="20"/>
      <c r="Q3" s="16"/>
      <c r="R3" s="16"/>
      <c r="S3" s="16"/>
      <c r="T3" s="16"/>
      <c r="U3" s="20"/>
      <c r="V3" s="16"/>
      <c r="W3" s="16"/>
      <c r="X3" s="17"/>
      <c r="Y3" s="17"/>
      <c r="Z3" s="16"/>
      <c r="AA3" s="17"/>
      <c r="AB3" s="16"/>
      <c r="AC3" s="16"/>
      <c r="AD3" s="28"/>
      <c r="AE3" s="16"/>
      <c r="AF3" s="16"/>
      <c r="AG3" s="16"/>
      <c r="AH3" s="17"/>
      <c r="AI3" s="16"/>
      <c r="AJ3" s="360"/>
      <c r="AK3" s="16"/>
      <c r="AL3" s="16"/>
      <c r="AM3" s="20"/>
      <c r="AN3" s="360"/>
      <c r="AO3" s="360"/>
      <c r="AP3" s="359"/>
      <c r="AS3" s="6"/>
      <c r="AT3" s="94"/>
      <c r="AU3" s="4"/>
      <c r="AV3" s="27"/>
      <c r="AW3" s="28"/>
      <c r="AX3" s="29"/>
      <c r="AY3" s="0"/>
      <c r="AZ3" s="0"/>
      <c r="BA3" s="23"/>
      <c r="BB3" s="1"/>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c r="IT3" s="0"/>
      <c r="IU3" s="0"/>
      <c r="IV3" s="0"/>
      <c r="IW3" s="0"/>
    </row>
    <row r="4" s="1" customFormat="true" ht="14.1" hidden="false" customHeight="true" outlineLevel="0" collapsed="false">
      <c r="A4" s="11"/>
      <c r="B4" s="499"/>
      <c r="C4" s="500"/>
      <c r="D4" s="500" t="s">
        <v>3</v>
      </c>
      <c r="E4" s="500"/>
      <c r="F4" s="501"/>
      <c r="H4" s="502"/>
      <c r="I4" s="502" t="s">
        <v>144</v>
      </c>
      <c r="J4" s="502"/>
      <c r="K4" s="502"/>
      <c r="L4" s="503"/>
      <c r="N4" s="502"/>
      <c r="O4" s="502"/>
      <c r="P4" s="502"/>
      <c r="Q4" s="502"/>
      <c r="R4" s="502"/>
      <c r="S4" s="502"/>
      <c r="T4" s="502"/>
      <c r="U4" s="502"/>
      <c r="V4" s="502"/>
      <c r="W4" s="502"/>
      <c r="X4" s="502"/>
      <c r="Y4" s="502"/>
      <c r="Z4" s="502"/>
      <c r="AA4" s="502" t="s">
        <v>5</v>
      </c>
      <c r="AB4" s="502"/>
      <c r="AC4" s="502"/>
      <c r="AD4" s="502"/>
      <c r="AE4" s="502"/>
      <c r="AF4" s="502"/>
      <c r="AG4" s="502"/>
      <c r="AH4" s="502"/>
      <c r="AI4" s="502"/>
      <c r="AJ4" s="502"/>
      <c r="AK4" s="502"/>
      <c r="AL4" s="502"/>
      <c r="AM4" s="504"/>
      <c r="AN4" s="505"/>
      <c r="AO4" s="506"/>
      <c r="AP4" s="506"/>
      <c r="AQ4" s="506" t="s">
        <v>6</v>
      </c>
      <c r="AR4" s="506"/>
      <c r="AS4" s="506"/>
      <c r="AT4" s="506"/>
      <c r="AU4" s="507"/>
      <c r="AV4" s="508"/>
      <c r="AW4" s="509" t="s">
        <v>7</v>
      </c>
      <c r="AX4" s="509"/>
      <c r="AY4" s="510"/>
      <c r="AZ4" s="338"/>
      <c r="BA4" s="461"/>
      <c r="BB4" s="462"/>
    </row>
    <row r="5" customFormat="false" ht="12.95" hidden="false" customHeight="true" outlineLevel="0" collapsed="false">
      <c r="A5" s="333" t="s">
        <v>8</v>
      </c>
      <c r="B5" s="412" t="s">
        <v>9</v>
      </c>
      <c r="C5" s="413" t="s">
        <v>9</v>
      </c>
      <c r="D5" s="333" t="s">
        <v>10</v>
      </c>
      <c r="E5" s="413" t="s">
        <v>11</v>
      </c>
      <c r="F5" s="333" t="s">
        <v>12</v>
      </c>
      <c r="G5" s="412" t="s">
        <v>13</v>
      </c>
      <c r="H5" s="414" t="s">
        <v>14</v>
      </c>
      <c r="I5" s="333" t="s">
        <v>15</v>
      </c>
      <c r="J5" s="333" t="s">
        <v>16</v>
      </c>
      <c r="K5" s="333" t="s">
        <v>17</v>
      </c>
      <c r="L5" s="333" t="s">
        <v>16</v>
      </c>
      <c r="M5" s="463" t="s">
        <v>18</v>
      </c>
      <c r="N5" s="463"/>
      <c r="O5" s="463"/>
      <c r="P5" s="463"/>
      <c r="Q5" s="463"/>
      <c r="R5" s="463"/>
      <c r="S5" s="463"/>
      <c r="T5" s="463"/>
      <c r="U5" s="463"/>
      <c r="V5" s="333" t="s">
        <v>19</v>
      </c>
      <c r="W5" s="333" t="s">
        <v>20</v>
      </c>
      <c r="X5" s="58" t="s">
        <v>17</v>
      </c>
      <c r="Y5" s="58" t="s">
        <v>17</v>
      </c>
      <c r="Z5" s="64" t="s">
        <v>21</v>
      </c>
      <c r="AA5" s="58" t="s">
        <v>21</v>
      </c>
      <c r="AB5" s="64" t="s">
        <v>21</v>
      </c>
      <c r="AC5" s="413" t="s">
        <v>22</v>
      </c>
      <c r="AD5" s="418" t="s">
        <v>21</v>
      </c>
      <c r="AE5" s="333" t="s">
        <v>23</v>
      </c>
      <c r="AF5" s="416" t="s">
        <v>145</v>
      </c>
      <c r="AG5" s="417"/>
      <c r="AH5" s="418" t="s">
        <v>25</v>
      </c>
      <c r="AI5" s="413" t="s">
        <v>133</v>
      </c>
      <c r="AJ5" s="413" t="s">
        <v>27</v>
      </c>
      <c r="AK5" s="333" t="s">
        <v>15</v>
      </c>
      <c r="AL5" s="333" t="s">
        <v>16</v>
      </c>
      <c r="AM5" s="333" t="s">
        <v>17</v>
      </c>
      <c r="AN5" s="464" t="s">
        <v>28</v>
      </c>
      <c r="AO5" s="64" t="s">
        <v>21</v>
      </c>
      <c r="AP5" s="70" t="s">
        <v>29</v>
      </c>
      <c r="AQ5" s="70" t="s">
        <v>29</v>
      </c>
      <c r="AR5" s="65" t="s">
        <v>30</v>
      </c>
      <c r="AS5" s="71" t="s">
        <v>31</v>
      </c>
      <c r="AT5" s="414" t="s">
        <v>32</v>
      </c>
      <c r="AU5" s="72" t="s">
        <v>33</v>
      </c>
      <c r="AV5" s="419" t="s">
        <v>34</v>
      </c>
      <c r="AW5" s="418" t="s">
        <v>35</v>
      </c>
      <c r="AX5" s="418" t="s">
        <v>36</v>
      </c>
      <c r="AY5" s="264"/>
      <c r="AZ5" s="305" t="s">
        <v>17</v>
      </c>
      <c r="BA5" s="76" t="s">
        <v>37</v>
      </c>
      <c r="BB5" s="77" t="s">
        <v>37</v>
      </c>
    </row>
    <row r="6" customFormat="false" ht="12.95" hidden="false" customHeight="true" outlineLevel="0" collapsed="false">
      <c r="A6" s="420" t="s">
        <v>146</v>
      </c>
      <c r="B6" s="412" t="s">
        <v>39</v>
      </c>
      <c r="C6" s="413"/>
      <c r="D6" s="333" t="s">
        <v>40</v>
      </c>
      <c r="E6" s="413" t="s">
        <v>41</v>
      </c>
      <c r="F6" s="333" t="s">
        <v>42</v>
      </c>
      <c r="G6" s="412" t="s">
        <v>43</v>
      </c>
      <c r="H6" s="414" t="s">
        <v>44</v>
      </c>
      <c r="I6" s="333" t="s">
        <v>45</v>
      </c>
      <c r="J6" s="333" t="s">
        <v>45</v>
      </c>
      <c r="K6" s="333" t="s">
        <v>45</v>
      </c>
      <c r="L6" s="333" t="s">
        <v>46</v>
      </c>
      <c r="M6" s="421" t="s">
        <v>47</v>
      </c>
      <c r="N6" s="76" t="s">
        <v>48</v>
      </c>
      <c r="O6" s="333" t="s">
        <v>49</v>
      </c>
      <c r="P6" s="76" t="s">
        <v>135</v>
      </c>
      <c r="Q6" s="61" t="s">
        <v>51</v>
      </c>
      <c r="R6" s="61" t="s">
        <v>52</v>
      </c>
      <c r="S6" s="61"/>
      <c r="T6" s="61" t="s">
        <v>49</v>
      </c>
      <c r="U6" s="422" t="s">
        <v>53</v>
      </c>
      <c r="V6" s="333" t="s">
        <v>54</v>
      </c>
      <c r="W6" s="333" t="s">
        <v>55</v>
      </c>
      <c r="X6" s="58" t="s">
        <v>21</v>
      </c>
      <c r="Y6" s="58" t="s">
        <v>21</v>
      </c>
      <c r="Z6" s="64" t="s">
        <v>56</v>
      </c>
      <c r="AA6" s="58" t="s">
        <v>56</v>
      </c>
      <c r="AB6" s="64" t="s">
        <v>57</v>
      </c>
      <c r="AC6" s="413" t="s">
        <v>58</v>
      </c>
      <c r="AD6" s="418" t="s">
        <v>59</v>
      </c>
      <c r="AE6" s="333" t="s">
        <v>60</v>
      </c>
      <c r="AF6" s="79" t="s">
        <v>61</v>
      </c>
      <c r="AG6" s="82" t="s">
        <v>62</v>
      </c>
      <c r="AH6" s="418" t="s">
        <v>63</v>
      </c>
      <c r="AI6" s="413" t="s">
        <v>64</v>
      </c>
      <c r="AJ6" s="413"/>
      <c r="AK6" s="333" t="s">
        <v>65</v>
      </c>
      <c r="AL6" s="333" t="s">
        <v>65</v>
      </c>
      <c r="AM6" s="333" t="s">
        <v>65</v>
      </c>
      <c r="AN6" s="464" t="s">
        <v>66</v>
      </c>
      <c r="AO6" s="64" t="s">
        <v>67</v>
      </c>
      <c r="AP6" s="70" t="s">
        <v>68</v>
      </c>
      <c r="AQ6" s="70" t="s">
        <v>68</v>
      </c>
      <c r="AR6" s="65" t="s">
        <v>69</v>
      </c>
      <c r="AS6" s="71" t="s">
        <v>70</v>
      </c>
      <c r="AT6" s="414" t="s">
        <v>71</v>
      </c>
      <c r="AU6" s="72" t="s">
        <v>72</v>
      </c>
      <c r="AV6" s="423"/>
      <c r="AW6" s="418" t="s">
        <v>73</v>
      </c>
      <c r="AX6" s="418" t="s">
        <v>73</v>
      </c>
      <c r="AY6" s="264"/>
      <c r="AZ6" s="305" t="s">
        <v>74</v>
      </c>
      <c r="BA6" s="76" t="s">
        <v>75</v>
      </c>
      <c r="BB6" s="77" t="s">
        <v>76</v>
      </c>
    </row>
    <row r="7" customFormat="false" ht="12.95" hidden="false" customHeight="true" outlineLevel="0" collapsed="false">
      <c r="A7" s="333"/>
      <c r="B7" s="412"/>
      <c r="C7" s="413"/>
      <c r="D7" s="333"/>
      <c r="E7" s="413"/>
      <c r="F7" s="333"/>
      <c r="G7" s="412"/>
      <c r="H7" s="414"/>
      <c r="I7" s="333"/>
      <c r="J7" s="333"/>
      <c r="K7" s="333"/>
      <c r="L7" s="333"/>
      <c r="M7" s="421"/>
      <c r="N7" s="76" t="s">
        <v>77</v>
      </c>
      <c r="O7" s="333" t="s">
        <v>78</v>
      </c>
      <c r="P7" s="76"/>
      <c r="Q7" s="61" t="s">
        <v>79</v>
      </c>
      <c r="R7" s="61" t="s">
        <v>79</v>
      </c>
      <c r="S7" s="61" t="s">
        <v>62</v>
      </c>
      <c r="T7" s="61" t="s">
        <v>62</v>
      </c>
      <c r="U7" s="422" t="s">
        <v>80</v>
      </c>
      <c r="V7" s="333"/>
      <c r="W7" s="333"/>
      <c r="X7" s="68" t="s">
        <v>81</v>
      </c>
      <c r="Y7" s="60" t="s">
        <v>82</v>
      </c>
      <c r="Z7" s="64" t="s">
        <v>83</v>
      </c>
      <c r="AA7" s="58" t="s">
        <v>84</v>
      </c>
      <c r="AB7" s="64" t="s">
        <v>85</v>
      </c>
      <c r="AC7" s="413"/>
      <c r="AE7" s="333"/>
      <c r="AF7" s="511" t="n">
        <v>1.7</v>
      </c>
      <c r="AG7" s="512" t="n">
        <v>1.3</v>
      </c>
      <c r="AH7" s="418"/>
      <c r="AI7" s="413"/>
      <c r="AJ7" s="413"/>
      <c r="AK7" s="333"/>
      <c r="AL7" s="333"/>
      <c r="AM7" s="333"/>
      <c r="AN7" s="464"/>
      <c r="AO7" s="64" t="s">
        <v>42</v>
      </c>
      <c r="AP7" s="70" t="s">
        <v>86</v>
      </c>
      <c r="AQ7" s="70" t="s">
        <v>87</v>
      </c>
      <c r="AR7" s="65" t="s">
        <v>88</v>
      </c>
      <c r="AS7" s="71" t="s">
        <v>89</v>
      </c>
      <c r="AT7" s="414" t="s">
        <v>90</v>
      </c>
      <c r="AU7" s="72" t="s">
        <v>81</v>
      </c>
      <c r="AV7" s="423"/>
      <c r="AW7" s="418"/>
      <c r="AX7" s="418"/>
      <c r="AY7" s="264"/>
      <c r="AZ7" s="305" t="s">
        <v>91</v>
      </c>
      <c r="BA7" s="8"/>
      <c r="BB7" s="86"/>
    </row>
    <row r="8" customFormat="false" ht="12.95" hidden="false" customHeight="true" outlineLevel="0" collapsed="false">
      <c r="A8" s="333"/>
      <c r="B8" s="412"/>
      <c r="C8" s="413"/>
      <c r="D8" s="333"/>
      <c r="E8" s="413"/>
      <c r="F8" s="333"/>
      <c r="G8" s="412"/>
      <c r="H8" s="414"/>
      <c r="I8" s="333"/>
      <c r="J8" s="333"/>
      <c r="K8" s="333"/>
      <c r="L8" s="333"/>
      <c r="M8" s="421"/>
      <c r="N8" s="61"/>
      <c r="O8" s="90" t="n">
        <v>24517</v>
      </c>
      <c r="P8" s="76"/>
      <c r="Q8" s="61" t="s">
        <v>62</v>
      </c>
      <c r="R8" s="61" t="s">
        <v>62</v>
      </c>
      <c r="S8" s="61"/>
      <c r="T8" s="61"/>
      <c r="U8" s="422"/>
      <c r="V8" s="333"/>
      <c r="W8" s="333"/>
      <c r="X8" s="68" t="s">
        <v>92</v>
      </c>
      <c r="Y8" s="60" t="s">
        <v>81</v>
      </c>
      <c r="Z8" s="64"/>
      <c r="AA8" s="60" t="s">
        <v>93</v>
      </c>
      <c r="AB8" s="64" t="s">
        <v>94</v>
      </c>
      <c r="AC8" s="413"/>
      <c r="AD8" s="192" t="n">
        <v>5194.66027999999</v>
      </c>
      <c r="AE8" s="333"/>
      <c r="AF8" s="425"/>
      <c r="AG8" s="426"/>
      <c r="AH8" s="418"/>
      <c r="AI8" s="413"/>
      <c r="AJ8" s="413"/>
      <c r="AK8" s="333"/>
      <c r="AL8" s="333"/>
      <c r="AM8" s="333"/>
      <c r="AN8" s="464"/>
      <c r="AO8" s="64"/>
      <c r="AP8" s="70"/>
      <c r="AQ8" s="70"/>
      <c r="AR8" s="65"/>
      <c r="AS8" s="184" t="n">
        <v>1535.7</v>
      </c>
      <c r="AT8" s="201" t="n">
        <v>400</v>
      </c>
      <c r="AU8" s="72"/>
      <c r="AV8" s="423"/>
      <c r="AW8" s="418"/>
      <c r="AX8" s="418"/>
      <c r="AY8" s="264"/>
      <c r="AZ8" s="305"/>
      <c r="BA8" s="8"/>
      <c r="BB8" s="86"/>
    </row>
    <row r="9" customFormat="false" ht="12.95" hidden="false" customHeight="true" outlineLevel="0" collapsed="false">
      <c r="A9" s="333"/>
      <c r="B9" s="412"/>
      <c r="C9" s="413"/>
      <c r="D9" s="333"/>
      <c r="E9" s="413"/>
      <c r="F9" s="333"/>
      <c r="G9" s="412"/>
      <c r="H9" s="414"/>
      <c r="I9" s="333"/>
      <c r="J9" s="333"/>
      <c r="K9" s="333"/>
      <c r="L9" s="333"/>
      <c r="M9" s="421"/>
      <c r="N9" s="76"/>
      <c r="O9" s="333"/>
      <c r="P9" s="76"/>
      <c r="Q9" s="61"/>
      <c r="R9" s="87" t="n">
        <v>4.2</v>
      </c>
      <c r="S9" s="61"/>
      <c r="T9" s="61"/>
      <c r="U9" s="422"/>
      <c r="V9" s="333"/>
      <c r="W9" s="333"/>
      <c r="X9" s="68"/>
      <c r="Y9" s="60" t="s">
        <v>92</v>
      </c>
      <c r="Z9" s="64"/>
      <c r="AA9" s="60" t="s">
        <v>92</v>
      </c>
      <c r="AB9" s="64" t="s">
        <v>95</v>
      </c>
      <c r="AC9" s="413"/>
      <c r="AD9" s="418"/>
      <c r="AE9" s="333"/>
      <c r="AF9" s="425"/>
      <c r="AG9" s="426"/>
      <c r="AH9" s="418"/>
      <c r="AI9" s="413"/>
      <c r="AJ9" s="413"/>
      <c r="AK9" s="333"/>
      <c r="AL9" s="333"/>
      <c r="AM9" s="333"/>
      <c r="AN9" s="464"/>
      <c r="AO9" s="64"/>
      <c r="AP9" s="70"/>
      <c r="AQ9" s="70"/>
      <c r="AR9" s="65"/>
      <c r="AS9" s="71"/>
      <c r="AT9" s="201" t="n">
        <f aca="false">AT8/D2</f>
        <v>201.663725737333</v>
      </c>
      <c r="AU9" s="72"/>
      <c r="AV9" s="423"/>
      <c r="AW9" s="418"/>
      <c r="AX9" s="418"/>
      <c r="AY9" s="264"/>
      <c r="AZ9" s="305"/>
      <c r="BA9" s="8"/>
      <c r="BB9" s="77" t="s">
        <v>96</v>
      </c>
    </row>
    <row r="10" customFormat="false" ht="12.95" hidden="false" customHeight="true" outlineLevel="0" collapsed="false">
      <c r="A10" s="333"/>
      <c r="B10" s="412"/>
      <c r="C10" s="413" t="s">
        <v>10</v>
      </c>
      <c r="D10" s="333"/>
      <c r="E10" s="413" t="s">
        <v>98</v>
      </c>
      <c r="F10" s="333"/>
      <c r="G10" s="412" t="s">
        <v>42</v>
      </c>
      <c r="H10" s="414" t="s">
        <v>42</v>
      </c>
      <c r="I10" s="414" t="s">
        <v>42</v>
      </c>
      <c r="J10" s="414" t="s">
        <v>42</v>
      </c>
      <c r="K10" s="414" t="s">
        <v>42</v>
      </c>
      <c r="L10" s="414" t="s">
        <v>42</v>
      </c>
      <c r="M10" s="428" t="s">
        <v>42</v>
      </c>
      <c r="N10" s="414" t="s">
        <v>42</v>
      </c>
      <c r="O10" s="414" t="s">
        <v>42</v>
      </c>
      <c r="P10" s="414" t="s">
        <v>42</v>
      </c>
      <c r="Q10" s="61" t="s">
        <v>42</v>
      </c>
      <c r="R10" s="61" t="s">
        <v>42</v>
      </c>
      <c r="S10" s="61" t="s">
        <v>42</v>
      </c>
      <c r="T10" s="61" t="s">
        <v>42</v>
      </c>
      <c r="U10" s="427" t="s">
        <v>42</v>
      </c>
      <c r="V10" s="414" t="s">
        <v>42</v>
      </c>
      <c r="W10" s="414" t="s">
        <v>42</v>
      </c>
      <c r="X10" s="60" t="n">
        <v>153400</v>
      </c>
      <c r="Y10" s="60" t="n">
        <v>150400</v>
      </c>
      <c r="Z10" s="61" t="s">
        <v>42</v>
      </c>
      <c r="AA10" s="60"/>
      <c r="AB10" s="60" t="n">
        <v>72000</v>
      </c>
      <c r="AC10" s="414" t="s">
        <v>42</v>
      </c>
      <c r="AD10" s="418" t="s">
        <v>42</v>
      </c>
      <c r="AE10" s="414" t="s">
        <v>42</v>
      </c>
      <c r="AF10" s="428" t="s">
        <v>42</v>
      </c>
      <c r="AG10" s="427" t="s">
        <v>42</v>
      </c>
      <c r="AH10" s="414" t="s">
        <v>42</v>
      </c>
      <c r="AI10" s="414" t="s">
        <v>42</v>
      </c>
      <c r="AJ10" s="414" t="s">
        <v>42</v>
      </c>
      <c r="AK10" s="414" t="s">
        <v>42</v>
      </c>
      <c r="AL10" s="414" t="s">
        <v>42</v>
      </c>
      <c r="AM10" s="414" t="s">
        <v>42</v>
      </c>
      <c r="AN10" s="464" t="s">
        <v>42</v>
      </c>
      <c r="AO10" s="64" t="s">
        <v>42</v>
      </c>
      <c r="AP10" s="64" t="s">
        <v>42</v>
      </c>
      <c r="AQ10" s="70" t="s">
        <v>99</v>
      </c>
      <c r="AR10" s="65" t="s">
        <v>42</v>
      </c>
      <c r="AS10" s="64" t="s">
        <v>42</v>
      </c>
      <c r="AT10" s="64" t="s">
        <v>42</v>
      </c>
      <c r="AU10" s="64" t="s">
        <v>42</v>
      </c>
      <c r="AV10" s="423"/>
      <c r="AW10" s="418"/>
      <c r="AX10" s="418"/>
      <c r="AY10" s="264"/>
      <c r="AZ10" s="305" t="s">
        <v>100</v>
      </c>
      <c r="BA10" s="76" t="s">
        <v>42</v>
      </c>
      <c r="BB10" s="77" t="s">
        <v>98</v>
      </c>
      <c r="BD10" s="513"/>
    </row>
    <row r="11" customFormat="false" ht="12.95" hidden="false" customHeight="true" outlineLevel="0" collapsed="false">
      <c r="A11" s="466"/>
      <c r="B11" s="333"/>
      <c r="C11" s="413"/>
      <c r="D11" s="333"/>
      <c r="E11" s="413"/>
      <c r="F11" s="466"/>
      <c r="G11" s="333"/>
      <c r="H11" s="414"/>
      <c r="I11" s="333"/>
      <c r="J11" s="333"/>
      <c r="K11" s="333"/>
      <c r="L11" s="424"/>
      <c r="M11" s="333"/>
      <c r="N11" s="76" t="n">
        <v>1.03</v>
      </c>
      <c r="O11" s="430" t="n">
        <v>1.05</v>
      </c>
      <c r="P11" s="76" t="n">
        <v>1.02</v>
      </c>
      <c r="Q11" s="88" t="n">
        <v>1.02</v>
      </c>
      <c r="R11" s="89" t="n">
        <v>1.04</v>
      </c>
      <c r="S11" s="61"/>
      <c r="T11" s="88" t="n">
        <v>1.04</v>
      </c>
      <c r="U11" s="422"/>
      <c r="V11" s="333"/>
      <c r="W11" s="333"/>
      <c r="X11" s="61" t="s">
        <v>42</v>
      </c>
      <c r="Y11" s="61" t="s">
        <v>42</v>
      </c>
      <c r="Z11" s="61" t="s">
        <v>42</v>
      </c>
      <c r="AA11" s="60" t="s">
        <v>42</v>
      </c>
      <c r="AB11" s="90" t="s">
        <v>101</v>
      </c>
      <c r="AC11" s="413"/>
      <c r="AD11" s="225"/>
      <c r="AE11" s="333"/>
      <c r="AF11" s="425"/>
      <c r="AG11" s="426"/>
      <c r="AH11" s="418"/>
      <c r="AI11" s="413"/>
      <c r="AJ11" s="413"/>
      <c r="AK11" s="333"/>
      <c r="AL11" s="333"/>
      <c r="AM11" s="333"/>
      <c r="AN11" s="464"/>
      <c r="AO11" s="64"/>
      <c r="AP11" s="70"/>
      <c r="AQ11" s="70"/>
      <c r="AR11" s="65"/>
      <c r="AS11" s="93"/>
      <c r="AT11" s="335"/>
      <c r="AU11" s="514"/>
      <c r="AV11" s="515"/>
      <c r="AW11" s="418"/>
      <c r="AX11" s="418"/>
      <c r="AY11" s="264"/>
      <c r="AZ11" s="305" t="s">
        <v>42</v>
      </c>
      <c r="BA11" s="8"/>
      <c r="BB11" s="86"/>
    </row>
    <row r="12" s="243" customFormat="true" ht="12.95" hidden="false" customHeight="true" outlineLevel="0" collapsed="false">
      <c r="A12" s="516" t="s">
        <v>102</v>
      </c>
      <c r="B12" s="143"/>
      <c r="C12" s="114"/>
      <c r="D12" s="114"/>
      <c r="E12" s="114"/>
      <c r="F12" s="224" t="n">
        <f aca="false">JUN!F49</f>
        <v>72230.9049659692</v>
      </c>
      <c r="G12" s="114" t="n">
        <f aca="false">JUN!G49</f>
        <v>103009</v>
      </c>
      <c r="H12" s="114" t="n">
        <f aca="false">JUN!H49</f>
        <v>1961.863</v>
      </c>
      <c r="I12" s="114" t="n">
        <f aca="false">JUN!I49</f>
        <v>104970.863</v>
      </c>
      <c r="J12" s="114" t="n">
        <f aca="false">JUN!J49</f>
        <v>1739.19196874212</v>
      </c>
      <c r="K12" s="114" t="n">
        <f aca="false">JUN!K49</f>
        <v>106710.044968742</v>
      </c>
      <c r="L12" s="228" t="n">
        <f aca="false">JUN!L49</f>
        <v>-5574.19731812453</v>
      </c>
      <c r="M12" s="114" t="n">
        <f aca="false">JUN!M49</f>
        <v>13256.81</v>
      </c>
      <c r="N12" s="114" t="n">
        <f aca="false">JUN!N49</f>
        <v>29.5991933450971</v>
      </c>
      <c r="O12" s="114" t="n">
        <f aca="false">JUN!O49</f>
        <v>3623.781</v>
      </c>
      <c r="P12" s="346" t="n">
        <f aca="false">JUN!P49</f>
        <v>0</v>
      </c>
      <c r="Q12" s="114"/>
      <c r="R12" s="114"/>
      <c r="S12" s="114"/>
      <c r="T12" s="114"/>
      <c r="U12" s="227"/>
      <c r="V12" s="114" t="n">
        <f aca="false">JUN!V49</f>
        <v>1381.4</v>
      </c>
      <c r="W12" s="114" t="n">
        <f aca="false">JUN!W49</f>
        <v>3480.39</v>
      </c>
      <c r="X12" s="114" t="n">
        <f aca="false">JUN!X49</f>
        <v>14553.9105467407</v>
      </c>
      <c r="Y12" s="114" t="n">
        <f aca="false">JUN!Y49</f>
        <v>14374.6505467407</v>
      </c>
      <c r="Z12" s="114" t="n">
        <f aca="false">JUN!Z44</f>
        <v>21924.8200859792</v>
      </c>
      <c r="AA12" s="114" t="n">
        <v>375.594650529493</v>
      </c>
      <c r="AB12" s="114" t="n">
        <f aca="false">JUN!AB44</f>
        <v>0</v>
      </c>
      <c r="AC12" s="114" t="n">
        <f aca="false">JUN!AC44</f>
        <v>1213.61112226906</v>
      </c>
      <c r="AD12" s="225" t="n">
        <f aca="false">AD8/D2</f>
        <v>2618.93636501134</v>
      </c>
      <c r="AE12" s="114" t="n">
        <f aca="false">JUN!AE49</f>
        <v>5703.07</v>
      </c>
      <c r="AF12" s="226" t="n">
        <f aca="false">JUN!AF49</f>
        <v>154.7</v>
      </c>
      <c r="AG12" s="228" t="n">
        <f aca="false">JUN!AG49</f>
        <v>118.3</v>
      </c>
      <c r="AH12" s="114"/>
      <c r="AI12" s="114"/>
      <c r="AJ12" s="114" t="n">
        <f aca="false">JUN!AJ49</f>
        <v>0</v>
      </c>
      <c r="AK12" s="114" t="n">
        <f aca="false">JUN!AK49</f>
        <v>27165.7507159062</v>
      </c>
      <c r="AL12" s="114" t="n">
        <f aca="false">JUN!AL49</f>
        <v>7313.38928686665</v>
      </c>
      <c r="AM12" s="224" t="n">
        <f aca="false">JUN!AM49</f>
        <v>34479.1400027729</v>
      </c>
      <c r="AN12" s="225"/>
      <c r="AO12" s="225"/>
      <c r="AP12" s="144"/>
      <c r="AQ12" s="114" t="n">
        <f aca="false">JUN!AQ50</f>
        <v>1013.55299679003</v>
      </c>
      <c r="AR12" s="114" t="n">
        <f aca="false">JUN!AR49</f>
        <v>604.886312074616</v>
      </c>
      <c r="AS12" s="114" t="n">
        <f aca="false">JUN!AS49</f>
        <v>0</v>
      </c>
      <c r="AT12" s="114" t="n">
        <f aca="false">JUN!AT49</f>
        <v>0</v>
      </c>
      <c r="AU12" s="224"/>
      <c r="AV12" s="171"/>
      <c r="AW12" s="225"/>
      <c r="AX12" s="225"/>
      <c r="AY12" s="264"/>
      <c r="AZ12" s="432" t="n">
        <f aca="false">JUN!AZ49</f>
        <v>583.114915333882</v>
      </c>
      <c r="BA12" s="495" t="n">
        <f aca="false">JUN!BA49</f>
        <v>2792.936</v>
      </c>
      <c r="BB12" s="471"/>
    </row>
    <row r="13" customFormat="false" ht="12.95" hidden="false" customHeight="true" outlineLevel="0" collapsed="false">
      <c r="A13" s="517" t="s">
        <v>103</v>
      </c>
      <c r="B13" s="346" t="n">
        <f aca="false">JUN!B44</f>
        <v>6914.1</v>
      </c>
      <c r="C13" s="114" t="n">
        <f aca="false">JUN!C44</f>
        <v>338645</v>
      </c>
      <c r="D13" s="114" t="n">
        <f aca="false">JUN!D53</f>
        <v>152905</v>
      </c>
      <c r="E13" s="114" t="n">
        <f aca="false">JUN!E53</f>
        <v>186645</v>
      </c>
      <c r="F13" s="224" t="n">
        <f aca="false">JUN!F52</f>
        <v>77088.4799596673</v>
      </c>
      <c r="G13" s="114" t="n">
        <f aca="false">JUN!G52</f>
        <v>118238</v>
      </c>
      <c r="H13" s="114" t="n">
        <f aca="false">JUN!H52</f>
        <v>2079.365</v>
      </c>
      <c r="I13" s="114" t="n">
        <f aca="false">JUN!I52</f>
        <v>120316.745</v>
      </c>
      <c r="J13" s="114" t="n">
        <f aca="false">JUN!J52</f>
        <v>4084.28087421225</v>
      </c>
      <c r="K13" s="114" t="n">
        <f aca="false">JUN!K52</f>
        <v>124401.015874212</v>
      </c>
      <c r="L13" s="228" t="n">
        <f aca="false">JUN!L52</f>
        <v>-5444.75432442652</v>
      </c>
      <c r="M13" s="114" t="n">
        <f aca="false">JUN!M52</f>
        <v>14001.34</v>
      </c>
      <c r="N13" s="114" t="n">
        <f aca="false">JUN!N52</f>
        <v>29.5991933450971</v>
      </c>
      <c r="O13" s="114" t="n">
        <f aca="false">JUN!O52</f>
        <v>3623.781</v>
      </c>
      <c r="P13" s="114" t="n">
        <f aca="false">JUN!P52</f>
        <v>0</v>
      </c>
      <c r="Q13" s="114" t="n">
        <f aca="false">JUN!Q52</f>
        <v>406.993446630572</v>
      </c>
      <c r="R13" s="114" t="n">
        <f aca="false">JUN!R52</f>
        <v>504.7367176</v>
      </c>
      <c r="S13" s="114" t="n">
        <f aca="false">JUN!S52</f>
        <v>29.38883072</v>
      </c>
      <c r="T13" s="114" t="n">
        <f aca="false">JUN!T52</f>
        <v>154.22454736</v>
      </c>
      <c r="U13" s="327" t="n">
        <f aca="false">JUN!U52</f>
        <v>-45.366813481233</v>
      </c>
      <c r="V13" s="114" t="n">
        <f aca="false">JUN!V52</f>
        <v>7093.89</v>
      </c>
      <c r="W13" s="114" t="n">
        <f aca="false">JUN!W52</f>
        <v>3504.42</v>
      </c>
      <c r="X13" s="114" t="n">
        <f aca="false">JUN!X52</f>
        <v>20469.1428399002</v>
      </c>
      <c r="Y13" s="114" t="n">
        <f aca="false">JUN!Y52</f>
        <v>20094.2595065668</v>
      </c>
      <c r="Z13" s="114"/>
      <c r="AA13" s="114"/>
      <c r="AB13" s="114"/>
      <c r="AC13" s="114"/>
      <c r="AD13" s="225"/>
      <c r="AE13" s="114" t="n">
        <f aca="false">JUN!AE50</f>
        <v>11312.039345</v>
      </c>
      <c r="AF13" s="277" t="n">
        <f aca="false">AF12</f>
        <v>154.7</v>
      </c>
      <c r="AG13" s="278" t="n">
        <f aca="false">AG12</f>
        <v>118.3</v>
      </c>
      <c r="AH13" s="114" t="n">
        <f aca="false">JUN!AH52</f>
        <v>7481.3</v>
      </c>
      <c r="AI13" s="114" t="n">
        <f aca="false">JUN!AI52</f>
        <v>12686.6578774893</v>
      </c>
      <c r="AJ13" s="114" t="n">
        <f aca="false">JUN!AJ52</f>
        <v>0</v>
      </c>
      <c r="AK13" s="114" t="n">
        <f aca="false">JUN!AK52</f>
        <v>37783.5007159062</v>
      </c>
      <c r="AL13" s="114" t="n">
        <f aca="false">JUN!AL52</f>
        <v>9529.03519863877</v>
      </c>
      <c r="AM13" s="224" t="n">
        <f aca="false">JUN!AM52</f>
        <v>47312.535914545</v>
      </c>
      <c r="AN13" s="114" t="n">
        <f aca="false">JUN!AN52</f>
        <v>5685.01666666667</v>
      </c>
      <c r="AO13" s="114" t="n">
        <f aca="false">JUN!AO52</f>
        <v>374.883333333333</v>
      </c>
      <c r="AP13" s="144"/>
      <c r="AQ13" s="114" t="n">
        <f aca="false">JUN!AQ53</f>
        <v>1013.55299679003</v>
      </c>
      <c r="AR13" s="114" t="n">
        <f aca="false">JUN!AR52</f>
        <v>604.886312074616</v>
      </c>
      <c r="AS13" s="114" t="n">
        <f aca="false">JUN!AS52</f>
        <v>0</v>
      </c>
      <c r="AT13" s="171" t="n">
        <v>0</v>
      </c>
      <c r="AU13" s="518"/>
      <c r="AV13" s="346" t="n">
        <f aca="false">JUN!AV52</f>
        <v>12.31</v>
      </c>
      <c r="AW13" s="225"/>
      <c r="AX13" s="225"/>
      <c r="AY13" s="312"/>
      <c r="AZ13" s="348" t="n">
        <f aca="false">JUN!AZ52</f>
        <v>1079.57592217444</v>
      </c>
      <c r="BA13" s="495" t="n">
        <f aca="false">JUN!BA52</f>
        <v>2806.542</v>
      </c>
      <c r="BB13" s="97"/>
    </row>
    <row r="14" customFormat="false" ht="3" hidden="false" customHeight="true" outlineLevel="0" collapsed="false">
      <c r="A14" s="244"/>
      <c r="B14" s="245"/>
      <c r="C14" s="246"/>
      <c r="D14" s="247"/>
      <c r="E14" s="246"/>
      <c r="F14" s="248"/>
      <c r="G14" s="247"/>
      <c r="H14" s="253"/>
      <c r="I14" s="247"/>
      <c r="J14" s="247"/>
      <c r="K14" s="247"/>
      <c r="L14" s="254"/>
      <c r="M14" s="247"/>
      <c r="N14" s="247"/>
      <c r="O14" s="247"/>
      <c r="P14" s="251"/>
      <c r="Q14" s="247"/>
      <c r="R14" s="247"/>
      <c r="S14" s="247"/>
      <c r="T14" s="247"/>
      <c r="U14" s="252"/>
      <c r="V14" s="247"/>
      <c r="W14" s="247"/>
      <c r="X14" s="247"/>
      <c r="Y14" s="247"/>
      <c r="Z14" s="246"/>
      <c r="AA14" s="247"/>
      <c r="AB14" s="246"/>
      <c r="AC14" s="246"/>
      <c r="AD14" s="256"/>
      <c r="AE14" s="247"/>
      <c r="AF14" s="250"/>
      <c r="AG14" s="254"/>
      <c r="AH14" s="247"/>
      <c r="AI14" s="246"/>
      <c r="AJ14" s="246"/>
      <c r="AK14" s="247"/>
      <c r="AL14" s="247"/>
      <c r="AM14" s="248"/>
      <c r="AN14" s="256"/>
      <c r="AO14" s="256"/>
      <c r="AP14" s="253"/>
      <c r="AQ14" s="251"/>
      <c r="AR14" s="251"/>
      <c r="AS14" s="251"/>
      <c r="AT14" s="251"/>
      <c r="AU14" s="253"/>
      <c r="AV14" s="519"/>
      <c r="AW14" s="256"/>
      <c r="AX14" s="256"/>
      <c r="AY14" s="256"/>
      <c r="AZ14" s="256"/>
      <c r="BA14" s="256"/>
      <c r="BB14" s="256"/>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E14" s="0"/>
      <c r="FF14" s="0"/>
      <c r="FG14" s="0"/>
      <c r="FH14" s="0"/>
      <c r="FI14" s="0"/>
      <c r="FJ14" s="0"/>
      <c r="FK14" s="0"/>
      <c r="FL14" s="0"/>
      <c r="FM14" s="0"/>
      <c r="FN14" s="0"/>
      <c r="FO14" s="0"/>
      <c r="FP14" s="0"/>
      <c r="FQ14" s="0"/>
      <c r="FR14" s="0"/>
      <c r="FS14" s="0"/>
      <c r="FT14" s="0"/>
      <c r="FU14" s="0"/>
      <c r="FV14" s="0"/>
      <c r="FW14" s="0"/>
      <c r="FX14" s="0"/>
      <c r="FY14" s="0"/>
      <c r="FZ14" s="0"/>
      <c r="GA14" s="0"/>
      <c r="GB14" s="0"/>
      <c r="GC14" s="0"/>
      <c r="GD14" s="0"/>
      <c r="GE14" s="0"/>
      <c r="GF14" s="0"/>
      <c r="GG14" s="0"/>
      <c r="GH14" s="0"/>
      <c r="GI14" s="0"/>
      <c r="GJ14" s="0"/>
      <c r="GK14" s="0"/>
      <c r="GL14" s="0"/>
      <c r="GM14" s="0"/>
      <c r="GN14" s="0"/>
      <c r="GO14" s="0"/>
      <c r="GP14" s="0"/>
      <c r="GQ14" s="0"/>
      <c r="GR14" s="0"/>
      <c r="GS14" s="0"/>
      <c r="GT14" s="0"/>
      <c r="GU14" s="0"/>
      <c r="GV14" s="0"/>
      <c r="GW14" s="0"/>
      <c r="GX14" s="0"/>
      <c r="GY14" s="0"/>
      <c r="GZ14" s="0"/>
      <c r="HA14" s="0"/>
      <c r="HB14" s="0"/>
      <c r="HC14" s="0"/>
      <c r="HD14" s="0"/>
      <c r="HE14" s="0"/>
      <c r="HF14" s="0"/>
      <c r="HG14" s="0"/>
      <c r="HH14" s="0"/>
      <c r="HI14" s="0"/>
      <c r="HJ14" s="0"/>
      <c r="HK14" s="0"/>
      <c r="HL14" s="0"/>
      <c r="HM14" s="0"/>
      <c r="HN14" s="0"/>
      <c r="HO14" s="0"/>
      <c r="HP14" s="0"/>
      <c r="HQ14" s="0"/>
      <c r="HR14" s="0"/>
      <c r="HS14" s="0"/>
      <c r="HT14" s="0"/>
      <c r="HU14" s="0"/>
      <c r="HV14" s="0"/>
      <c r="HW14" s="0"/>
      <c r="HX14" s="0"/>
      <c r="HY14" s="0"/>
      <c r="HZ14" s="0"/>
      <c r="IA14" s="0"/>
      <c r="IB14" s="0"/>
      <c r="IC14" s="0"/>
      <c r="ID14" s="0"/>
      <c r="IE14" s="0"/>
      <c r="IF14" s="0"/>
      <c r="IG14" s="0"/>
      <c r="IH14" s="0"/>
      <c r="II14" s="0"/>
      <c r="IJ14" s="0"/>
      <c r="IK14" s="0"/>
      <c r="IL14" s="0"/>
      <c r="IM14" s="0"/>
      <c r="IN14" s="0"/>
      <c r="IO14" s="0"/>
      <c r="IP14" s="0"/>
      <c r="IQ14" s="0"/>
      <c r="IR14" s="0"/>
      <c r="IS14" s="0"/>
      <c r="IT14" s="0"/>
      <c r="IU14" s="0"/>
      <c r="IV14" s="0"/>
      <c r="IW14" s="0"/>
    </row>
    <row r="15" customFormat="false" ht="12.95" hidden="false" customHeight="true" outlineLevel="0" collapsed="false">
      <c r="A15" s="192" t="n">
        <v>1</v>
      </c>
      <c r="B15" s="113" t="n">
        <v>6913.98</v>
      </c>
      <c r="C15" s="114" t="n">
        <v>338148</v>
      </c>
      <c r="D15" s="109" t="n">
        <f aca="false">C15-C13</f>
        <v>-497</v>
      </c>
      <c r="E15" s="114" t="n">
        <f aca="false">C15-152000</f>
        <v>186148</v>
      </c>
      <c r="F15" s="259" t="n">
        <f aca="false">D15/$D$2</f>
        <v>-250.567179228636</v>
      </c>
      <c r="G15" s="143" t="n">
        <v>577</v>
      </c>
      <c r="H15" s="144" t="n">
        <v>0.138</v>
      </c>
      <c r="I15" s="143" t="n">
        <f aca="false">G15+H15</f>
        <v>577.138</v>
      </c>
      <c r="J15" s="144" t="n">
        <f aca="false">IF(L15&gt;0,L15,0)</f>
        <v>0</v>
      </c>
      <c r="K15" s="143" t="n">
        <f aca="false">I15+J15</f>
        <v>577.138</v>
      </c>
      <c r="L15" s="262" t="n">
        <f aca="false">F15-(I15-AK15)</f>
        <v>-124.605179228636</v>
      </c>
      <c r="M15" s="143" t="n">
        <v>277</v>
      </c>
      <c r="N15" s="171" t="n">
        <f aca="false">1/$D$2*1.03</f>
        <v>0.519284093773632</v>
      </c>
      <c r="O15" s="143" t="n">
        <f aca="false">41.5*1.05</f>
        <v>43.575</v>
      </c>
      <c r="P15" s="171" t="n">
        <v>0</v>
      </c>
      <c r="Q15" s="520" t="n">
        <f aca="false">1505100/325851/1.9835*1.02</f>
        <v>2.37527700605035</v>
      </c>
      <c r="R15" s="139" t="n">
        <v>4.2</v>
      </c>
      <c r="S15" s="139" t="n">
        <f aca="false">((7.4*1.04)-T15)-4.2</f>
        <v>2.09407792</v>
      </c>
      <c r="T15" s="139" t="n">
        <f aca="false">(1.2717*1.06)*1.04</f>
        <v>1.40192208</v>
      </c>
      <c r="U15" s="365" t="n">
        <v>0</v>
      </c>
      <c r="V15" s="143" t="n">
        <v>97.7</v>
      </c>
      <c r="W15" s="143" t="n">
        <v>65.2</v>
      </c>
      <c r="X15" s="143" t="n">
        <f aca="false">M15-N15-O15-P15-Q15-R15-S15-T15-U15+V15+W15-AT15+AR15</f>
        <v>413.139286961196</v>
      </c>
      <c r="Y15" s="143" t="n">
        <f aca="false">X15-AO15</f>
        <v>413.139286961196</v>
      </c>
      <c r="Z15" s="114" t="n">
        <f aca="false">Z12</f>
        <v>21924.8200859792</v>
      </c>
      <c r="AA15" s="143" t="n">
        <f aca="false">(-AP15)</f>
        <v>-155.723436032754</v>
      </c>
      <c r="AB15" s="114"/>
      <c r="AC15" s="114" t="n">
        <f aca="false">AC12-(JUN!AQ44/1.9835)+AS15</f>
        <v>1203.14063574772</v>
      </c>
      <c r="AD15" s="225" t="n">
        <f aca="false">AD12</f>
        <v>2618.93636501134</v>
      </c>
      <c r="AE15" s="143" t="n">
        <v>187</v>
      </c>
      <c r="AF15" s="261" t="n">
        <v>1.7</v>
      </c>
      <c r="AG15" s="262" t="n">
        <v>1.3</v>
      </c>
      <c r="AH15" s="143" t="n">
        <v>76.2</v>
      </c>
      <c r="AI15" s="114" t="n">
        <f aca="false">AI13-AH15</f>
        <v>12610.4578774893</v>
      </c>
      <c r="AJ15" s="114"/>
      <c r="AK15" s="142" t="n">
        <f aca="false">N15+O15+P15+Q15+R15+S15+T15+U15+X15+AE15+AH15-AR15</f>
        <v>703.1</v>
      </c>
      <c r="AL15" s="143" t="n">
        <f aca="false">IF(L15&lt;0,L15*-1,0)</f>
        <v>124.605179228636</v>
      </c>
      <c r="AM15" s="259" t="n">
        <f aca="false">AK15+AL15</f>
        <v>827.705179228636</v>
      </c>
      <c r="AN15" s="225"/>
      <c r="AO15" s="225"/>
      <c r="AP15" s="157" t="n">
        <f aca="false">I15-Q15-R15-X15-AF15</f>
        <v>155.723436032754</v>
      </c>
      <c r="AQ15" s="171" t="n">
        <f aca="false">72.188*(Z15*1.9835+AC15*1.9835)/E15</f>
        <v>17.7900095455684</v>
      </c>
      <c r="AR15" s="144" t="n">
        <f aca="false">1685.083/1.9835/31</f>
        <v>27.4048480610195</v>
      </c>
      <c r="AS15" s="158"/>
      <c r="AT15" s="5"/>
      <c r="AU15" s="4"/>
      <c r="AV15" s="330" t="n">
        <v>0</v>
      </c>
      <c r="AW15" s="521" t="n">
        <v>95</v>
      </c>
      <c r="AX15" s="521" t="n">
        <v>64</v>
      </c>
      <c r="AY15" s="149"/>
      <c r="AZ15" s="263" t="n">
        <f aca="false">SUM(N15,P15:U15)</f>
        <v>10.590561099824</v>
      </c>
      <c r="BA15" s="1" t="n">
        <v>27.2</v>
      </c>
      <c r="BB15" s="471" t="n">
        <v>23402</v>
      </c>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row>
    <row r="16" customFormat="false" ht="12.95" hidden="false" customHeight="true" outlineLevel="0" collapsed="false">
      <c r="A16" s="192" t="n">
        <f aca="false">A15+1</f>
        <v>2</v>
      </c>
      <c r="B16" s="113" t="n">
        <v>6913.85</v>
      </c>
      <c r="C16" s="114" t="n">
        <v>337614</v>
      </c>
      <c r="D16" s="225" t="n">
        <f aca="false">C16-C15</f>
        <v>-534</v>
      </c>
      <c r="E16" s="114" t="n">
        <f aca="false">C16-152000</f>
        <v>185614</v>
      </c>
      <c r="F16" s="259" t="n">
        <f aca="false">D16/$D$2</f>
        <v>-269.221073859339</v>
      </c>
      <c r="G16" s="143" t="n">
        <v>544</v>
      </c>
      <c r="H16" s="144" t="n">
        <v>0.141</v>
      </c>
      <c r="I16" s="143" t="n">
        <f aca="false">G16+H16</f>
        <v>544.141</v>
      </c>
      <c r="J16" s="144" t="n">
        <f aca="false">IF(L16&gt;0,L16,0)</f>
        <v>0</v>
      </c>
      <c r="K16" s="143" t="n">
        <f aca="false">I16+J16</f>
        <v>544.141</v>
      </c>
      <c r="L16" s="143" t="n">
        <f aca="false">F16-(I16-AK16)</f>
        <v>-79.4620738593394</v>
      </c>
      <c r="M16" s="261" t="n">
        <v>282</v>
      </c>
      <c r="N16" s="171" t="n">
        <f aca="false">1/$D$2*1.03</f>
        <v>0.519284093773632</v>
      </c>
      <c r="O16" s="143" t="n">
        <f aca="false">45.1*1.05</f>
        <v>47.355</v>
      </c>
      <c r="P16" s="171" t="n">
        <v>0</v>
      </c>
      <c r="Q16" s="520" t="n">
        <f aca="false">2432300/325851/1.9835*1.03</f>
        <v>3.8761725490657</v>
      </c>
      <c r="R16" s="139" t="n">
        <v>4.2</v>
      </c>
      <c r="S16" s="139" t="n">
        <f aca="false">((7.6*1.04)-T16)-4.2</f>
        <v>2.30207792</v>
      </c>
      <c r="T16" s="139" t="n">
        <f aca="false">(1.2717*1.06)*1.04</f>
        <v>1.40192208</v>
      </c>
      <c r="U16" s="365" t="n">
        <v>0</v>
      </c>
      <c r="V16" s="143" t="n">
        <v>97.1</v>
      </c>
      <c r="W16" s="143" t="n">
        <v>68</v>
      </c>
      <c r="X16" s="143" t="n">
        <f aca="false">M16-N16-O16-P16-Q16-R16-S16-T16-U16+V16+W16-AT16+AR16</f>
        <v>414.85039141818</v>
      </c>
      <c r="Y16" s="143" t="n">
        <f aca="false">X16-AO16</f>
        <v>414.85039141818</v>
      </c>
      <c r="Z16" s="114" t="n">
        <f aca="false">Z15</f>
        <v>21924.8200859792</v>
      </c>
      <c r="AA16" s="143" t="n">
        <f aca="false">(-AP16)</f>
        <v>-119.514436032754</v>
      </c>
      <c r="AB16" s="114"/>
      <c r="AC16" s="114" t="n">
        <f aca="false">AC15-(AQ15/1.9835)+AS16</f>
        <v>1194.17163673306</v>
      </c>
      <c r="AD16" s="225" t="n">
        <f aca="false">AD15</f>
        <v>2618.93636501134</v>
      </c>
      <c r="AE16" s="143" t="n">
        <v>211</v>
      </c>
      <c r="AF16" s="261" t="n">
        <v>1.7</v>
      </c>
      <c r="AG16" s="262" t="n">
        <v>1.3</v>
      </c>
      <c r="AH16" s="143" t="n">
        <v>75.8</v>
      </c>
      <c r="AI16" s="114" t="n">
        <f aca="false">AI15-AH16</f>
        <v>12534.6578774893</v>
      </c>
      <c r="AJ16" s="114"/>
      <c r="AK16" s="142" t="n">
        <f aca="false">N16+O16+P16+Q16+R16+S16+T16+U16+X16+AE16+AH16-AR16</f>
        <v>733.9</v>
      </c>
      <c r="AL16" s="143" t="n">
        <f aca="false">IF(L16&lt;0,L16*-1,0)</f>
        <v>79.4620738593394</v>
      </c>
      <c r="AM16" s="143" t="n">
        <f aca="false">AK16+AL16</f>
        <v>813.36207385934</v>
      </c>
      <c r="AN16" s="230"/>
      <c r="AO16" s="225"/>
      <c r="AP16" s="157" t="n">
        <f aca="false">I16-Q16-R16-X16-AF16</f>
        <v>119.514436032754</v>
      </c>
      <c r="AQ16" s="171" t="n">
        <f aca="false">52.456*(Z16*1.9835+AC16*1.9835)/E16</f>
        <v>12.9594191032001</v>
      </c>
      <c r="AR16" s="144" t="n">
        <f aca="false">1685.083/1.9835/31</f>
        <v>27.4048480610195</v>
      </c>
      <c r="AS16" s="158"/>
      <c r="AT16" s="5"/>
      <c r="AU16" s="4"/>
      <c r="AV16" s="330" t="n">
        <v>0.03</v>
      </c>
      <c r="AW16" s="225" t="n">
        <v>92</v>
      </c>
      <c r="AX16" s="225" t="n">
        <v>61</v>
      </c>
      <c r="AY16" s="149"/>
      <c r="AZ16" s="263" t="n">
        <f aca="false">SUM(N16,P16:U16)</f>
        <v>12.2994566428393</v>
      </c>
      <c r="BA16" s="1" t="n">
        <v>27.4</v>
      </c>
      <c r="BB16" s="471" t="n">
        <v>23388</v>
      </c>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row>
    <row r="17" customFormat="false" ht="12.95" hidden="false" customHeight="true" outlineLevel="0" collapsed="false">
      <c r="A17" s="192" t="n">
        <f aca="false">A16+1</f>
        <v>3</v>
      </c>
      <c r="B17" s="113" t="n">
        <v>6913.75</v>
      </c>
      <c r="C17" s="114" t="n">
        <v>337203</v>
      </c>
      <c r="D17" s="225" t="n">
        <f aca="false">C17-C16</f>
        <v>-411</v>
      </c>
      <c r="E17" s="114" t="n">
        <f aca="false">C17-152000</f>
        <v>185203</v>
      </c>
      <c r="F17" s="259" t="n">
        <f aca="false">D17/$D$2</f>
        <v>-207.20947819511</v>
      </c>
      <c r="G17" s="143" t="n">
        <v>616</v>
      </c>
      <c r="H17" s="144" t="n">
        <v>0.147</v>
      </c>
      <c r="I17" s="143" t="n">
        <f aca="false">G17+H17</f>
        <v>616.147</v>
      </c>
      <c r="J17" s="144" t="n">
        <f aca="false">IF(L17&gt;0,L17,0)</f>
        <v>0</v>
      </c>
      <c r="K17" s="143" t="n">
        <f aca="false">I17+J17</f>
        <v>616.147</v>
      </c>
      <c r="L17" s="143" t="n">
        <f aca="false">F17-(I17-AK17)</f>
        <v>-85.5564781951095</v>
      </c>
      <c r="M17" s="261" t="n">
        <v>287</v>
      </c>
      <c r="N17" s="171" t="n">
        <f aca="false">1/$D$2*1.03</f>
        <v>0.519284093773632</v>
      </c>
      <c r="O17" s="143" t="n">
        <f aca="false">46.7*1.05</f>
        <v>49.035</v>
      </c>
      <c r="P17" s="171" t="n">
        <v>0</v>
      </c>
      <c r="Q17" s="520" t="n">
        <f aca="false">1814500/325851/1.9835*1.04</f>
        <v>2.91970550623142</v>
      </c>
      <c r="R17" s="139" t="n">
        <v>4.2</v>
      </c>
      <c r="S17" s="139" t="n">
        <f aca="false">((6.2*1.04)-T17)-4.2</f>
        <v>1.06743984</v>
      </c>
      <c r="T17" s="139" t="n">
        <f aca="false">(1.0709*1.06)*1.04</f>
        <v>1.18056016</v>
      </c>
      <c r="U17" s="365" t="n">
        <v>0</v>
      </c>
      <c r="V17" s="143" t="n">
        <v>96.9</v>
      </c>
      <c r="W17" s="143" t="n">
        <v>68.2</v>
      </c>
      <c r="X17" s="143" t="n">
        <f aca="false">M17-N17-O17-P17-Q17-R17-S17-T17-U17+V17+W17-AT17+AR17</f>
        <v>420.582858461014</v>
      </c>
      <c r="Y17" s="143" t="n">
        <f aca="false">X17-AO17</f>
        <v>420.582858461014</v>
      </c>
      <c r="Z17" s="114" t="n">
        <f aca="false">Z16</f>
        <v>21924.8200859792</v>
      </c>
      <c r="AA17" s="143" t="n">
        <f aca="false">(-AP17)</f>
        <v>-186.744436032754</v>
      </c>
      <c r="AB17" s="114"/>
      <c r="AC17" s="114" t="n">
        <f aca="false">AC16-(AQ16/1.9835)+AS17</f>
        <v>1187.63802488371</v>
      </c>
      <c r="AD17" s="225" t="n">
        <f aca="false">AD16</f>
        <v>2618.93636501134</v>
      </c>
      <c r="AE17" s="143" t="n">
        <v>208</v>
      </c>
      <c r="AF17" s="261" t="n">
        <v>1.7</v>
      </c>
      <c r="AG17" s="262" t="n">
        <v>1.3</v>
      </c>
      <c r="AH17" s="143" t="n">
        <v>77.7</v>
      </c>
      <c r="AI17" s="114" t="n">
        <f aca="false">AI16-AH17</f>
        <v>12456.9578774893</v>
      </c>
      <c r="AJ17" s="114"/>
      <c r="AK17" s="142" t="n">
        <f aca="false">N17+O17+P17+Q17+R17+S17+T17+U17+X17+AE17+AH17-AR17</f>
        <v>737.8</v>
      </c>
      <c r="AL17" s="143" t="n">
        <f aca="false">IF(L17&lt;0,L17*-1,0)</f>
        <v>85.5564781951095</v>
      </c>
      <c r="AM17" s="143" t="n">
        <f aca="false">AK17+AL17</f>
        <v>823.35647819511</v>
      </c>
      <c r="AN17" s="230"/>
      <c r="AO17" s="225"/>
      <c r="AP17" s="157" t="n">
        <f aca="false">I17-Q17-R17-X17-AF17</f>
        <v>186.744436032754</v>
      </c>
      <c r="AQ17" s="171" t="n">
        <f aca="false">65.691*(Z17*1.9835+AC17*1.9835)/E17</f>
        <v>16.2605861865431</v>
      </c>
      <c r="AR17" s="144" t="n">
        <f aca="false">1685.083/1.9835/31</f>
        <v>27.4048480610195</v>
      </c>
      <c r="AS17" s="158"/>
      <c r="AT17" s="5"/>
      <c r="AU17" s="4"/>
      <c r="AV17" s="330" t="n">
        <v>0</v>
      </c>
      <c r="AW17" s="225" t="n">
        <v>90</v>
      </c>
      <c r="AX17" s="225" t="n">
        <v>59</v>
      </c>
      <c r="AY17" s="149"/>
      <c r="AZ17" s="263" t="n">
        <f aca="false">SUM(N17,P17:U17)</f>
        <v>9.88698960000506</v>
      </c>
      <c r="BA17" s="1" t="n">
        <v>27.4</v>
      </c>
      <c r="BB17" s="471" t="n">
        <v>23394</v>
      </c>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row>
    <row r="18" customFormat="false" ht="12.95" hidden="false" customHeight="true" outlineLevel="0" collapsed="false">
      <c r="A18" s="192" t="n">
        <f aca="false">A17+1</f>
        <v>4</v>
      </c>
      <c r="B18" s="113" t="n">
        <v>6913.67</v>
      </c>
      <c r="C18" s="114" t="n">
        <v>336875</v>
      </c>
      <c r="D18" s="225" t="n">
        <f aca="false">C18-C17</f>
        <v>-328</v>
      </c>
      <c r="E18" s="114" t="n">
        <f aca="false">C18-152000</f>
        <v>184875</v>
      </c>
      <c r="F18" s="259" t="n">
        <f aca="false">D18/$D$2</f>
        <v>-165.364255104613</v>
      </c>
      <c r="G18" s="143" t="n">
        <v>716</v>
      </c>
      <c r="H18" s="144" t="n">
        <v>0.146</v>
      </c>
      <c r="I18" s="143" t="n">
        <f aca="false">G18+H18</f>
        <v>716.146</v>
      </c>
      <c r="J18" s="144" t="n">
        <f aca="false">IF(L18&gt;0,L18,0)</f>
        <v>0</v>
      </c>
      <c r="K18" s="143" t="n">
        <f aca="false">I18+J18</f>
        <v>716.146</v>
      </c>
      <c r="L18" s="143" t="n">
        <f aca="false">F18-(I18-AK18)</f>
        <v>-223.610255104613</v>
      </c>
      <c r="M18" s="261" t="n">
        <v>255</v>
      </c>
      <c r="N18" s="171" t="n">
        <f aca="false">1/$D$2*1.03</f>
        <v>0.519284093773632</v>
      </c>
      <c r="O18" s="143" t="n">
        <f aca="false">45.6*1.05</f>
        <v>47.88</v>
      </c>
      <c r="P18" s="171" t="n">
        <v>0</v>
      </c>
      <c r="Q18" s="520" t="n">
        <f aca="false">1729900/325851/1.9835*1.05</f>
        <v>2.81034110000171</v>
      </c>
      <c r="R18" s="139" t="n">
        <f aca="false">((5.1)*1.04)-T18</f>
        <v>4.12343984</v>
      </c>
      <c r="S18" s="139" t="n">
        <v>0</v>
      </c>
      <c r="T18" s="139" t="n">
        <f aca="false">(1.0709*1.06)*1.04</f>
        <v>1.18056016</v>
      </c>
      <c r="U18" s="365" t="n">
        <v>0</v>
      </c>
      <c r="V18" s="143" t="n">
        <v>97.1</v>
      </c>
      <c r="W18" s="143" t="n">
        <v>68.6</v>
      </c>
      <c r="X18" s="143" t="n">
        <f aca="false">M18-N18-O18-P18-Q18-R18-S18-T18-U18+V18+W18-AT18+AR18</f>
        <v>391.591222867244</v>
      </c>
      <c r="Y18" s="143" t="n">
        <f aca="false">X18-AO18</f>
        <v>391.591222867244</v>
      </c>
      <c r="Z18" s="114" t="n">
        <f aca="false">Z17</f>
        <v>21924.8200859792</v>
      </c>
      <c r="AA18" s="143" t="n">
        <f aca="false">(-AP18)</f>
        <v>-315.920996192754</v>
      </c>
      <c r="AB18" s="114"/>
      <c r="AC18" s="114" t="n">
        <f aca="false">AC17-(AQ17/1.9835)+AS18</f>
        <v>1179.44009890108</v>
      </c>
      <c r="AD18" s="225" t="n">
        <f aca="false">AD17</f>
        <v>2618.93636501134</v>
      </c>
      <c r="AE18" s="143" t="n">
        <v>159</v>
      </c>
      <c r="AF18" s="261" t="n">
        <v>1.7</v>
      </c>
      <c r="AG18" s="262" t="n">
        <v>1.3</v>
      </c>
      <c r="AH18" s="143" t="n">
        <v>78.2</v>
      </c>
      <c r="AI18" s="114" t="n">
        <f aca="false">AI17-AH18</f>
        <v>12378.7578774893</v>
      </c>
      <c r="AJ18" s="114"/>
      <c r="AK18" s="142" t="n">
        <f aca="false">N18+O18+P18+Q18+R18+S18+T18+U18+X18+AE18+AH18-AR18</f>
        <v>657.9</v>
      </c>
      <c r="AL18" s="143" t="n">
        <f aca="false">IF(L18&lt;0,L18*-1,0)</f>
        <v>223.610255104613</v>
      </c>
      <c r="AM18" s="143" t="n">
        <f aca="false">AK18+AL18</f>
        <v>881.510255104613</v>
      </c>
      <c r="AN18" s="230"/>
      <c r="AO18" s="225"/>
      <c r="AP18" s="157" t="n">
        <f aca="false">I18-Q18-R18-X18-AF18</f>
        <v>315.920996192754</v>
      </c>
      <c r="AQ18" s="171" t="n">
        <f aca="false">47.403*(Z18*1.9835+AC18*1.9835)/E18</f>
        <v>11.7503800164235</v>
      </c>
      <c r="AR18" s="144" t="n">
        <f aca="false">1685.083/1.9835/31</f>
        <v>27.4048480610195</v>
      </c>
      <c r="AS18" s="158"/>
      <c r="AT18" s="5"/>
      <c r="AU18" s="4"/>
      <c r="AV18" s="330" t="n">
        <v>0.06</v>
      </c>
      <c r="AW18" s="225" t="n">
        <v>91</v>
      </c>
      <c r="AX18" s="225" t="n">
        <v>56</v>
      </c>
      <c r="AY18" s="149"/>
      <c r="AZ18" s="263" t="n">
        <f aca="false">SUM(N18,P18:U18)</f>
        <v>8.63362519377534</v>
      </c>
      <c r="BA18" s="1" t="n">
        <v>27.4</v>
      </c>
      <c r="BB18" s="471" t="n">
        <v>23333</v>
      </c>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row>
    <row r="19" customFormat="false" ht="12.95" hidden="false" customHeight="true" outlineLevel="0" collapsed="false">
      <c r="A19" s="192" t="n">
        <f aca="false">A18+1</f>
        <v>5</v>
      </c>
      <c r="B19" s="113" t="n">
        <v>6913.71</v>
      </c>
      <c r="C19" s="114" t="n">
        <v>337039</v>
      </c>
      <c r="D19" s="225" t="n">
        <f aca="false">C19-C18</f>
        <v>164</v>
      </c>
      <c r="E19" s="114" t="n">
        <f aca="false">C19-152000</f>
        <v>185039</v>
      </c>
      <c r="F19" s="259" t="n">
        <f aca="false">D19/$D$2</f>
        <v>82.6821275523065</v>
      </c>
      <c r="G19" s="143" t="n">
        <v>694</v>
      </c>
      <c r="H19" s="144" t="n">
        <v>0.13</v>
      </c>
      <c r="I19" s="143" t="n">
        <f aca="false">G19+H19</f>
        <v>694.13</v>
      </c>
      <c r="J19" s="144" t="n">
        <f aca="false">IF(L19&gt;0,L19,0)</f>
        <v>36.8521275523066</v>
      </c>
      <c r="K19" s="143" t="n">
        <f aca="false">I19+J19</f>
        <v>730.982127552307</v>
      </c>
      <c r="L19" s="143" t="n">
        <f aca="false">F19-(I19-AK19)</f>
        <v>36.8521275523066</v>
      </c>
      <c r="M19" s="261" t="n">
        <v>265</v>
      </c>
      <c r="N19" s="171" t="n">
        <f aca="false">1/$D$2*1.03</f>
        <v>0.519284093773632</v>
      </c>
      <c r="O19" s="143" t="n">
        <f aca="false">53.9*1.05</f>
        <v>56.595</v>
      </c>
      <c r="P19" s="171" t="n">
        <v>0</v>
      </c>
      <c r="Q19" s="520" t="n">
        <f aca="false">1658100/325851/1.9835*1.06</f>
        <v>2.71935133745006</v>
      </c>
      <c r="R19" s="139" t="n">
        <f aca="false">((5)*1.04)-T19</f>
        <v>4.01943984</v>
      </c>
      <c r="S19" s="139" t="n">
        <v>0</v>
      </c>
      <c r="T19" s="139" t="n">
        <f aca="false">(1.0709*1.06)*1.04</f>
        <v>1.18056016</v>
      </c>
      <c r="U19" s="365" t="n">
        <v>0</v>
      </c>
      <c r="V19" s="143" t="n">
        <v>98.7</v>
      </c>
      <c r="W19" s="143" t="n">
        <v>66.9</v>
      </c>
      <c r="X19" s="143" t="n">
        <f aca="false">M19-N19-O19-P19-Q19-R19-S19-T19-U19+V19+W19-AT19+AR19</f>
        <v>392.971212629796</v>
      </c>
      <c r="Y19" s="143" t="n">
        <f aca="false">X19-AO19</f>
        <v>392.971212629796</v>
      </c>
      <c r="Z19" s="114" t="n">
        <f aca="false">Z18</f>
        <v>21924.8200859792</v>
      </c>
      <c r="AA19" s="143" t="n">
        <f aca="false">(-AP19)</f>
        <v>-292.719996192754</v>
      </c>
      <c r="AB19" s="114"/>
      <c r="AC19" s="114" t="n">
        <f aca="false">AC18-(AQ18/1.9835)+AS19</f>
        <v>1173.51603536872</v>
      </c>
      <c r="AD19" s="225" t="n">
        <f aca="false">AD18</f>
        <v>2618.93636501134</v>
      </c>
      <c r="AE19" s="143" t="n">
        <v>140</v>
      </c>
      <c r="AF19" s="261" t="n">
        <v>1.7</v>
      </c>
      <c r="AG19" s="262" t="n">
        <v>1.3</v>
      </c>
      <c r="AH19" s="143" t="n">
        <v>77.7</v>
      </c>
      <c r="AI19" s="114" t="n">
        <f aca="false">AI18-AH19</f>
        <v>12301.0578774893</v>
      </c>
      <c r="AJ19" s="114"/>
      <c r="AK19" s="142" t="n">
        <f aca="false">N19+O19+P19+Q19+R19+S19+T19+U19+X19+AE19+AH19-AR19</f>
        <v>648.3</v>
      </c>
      <c r="AL19" s="143" t="n">
        <f aca="false">IF(L19&lt;0,L19*-1,0)</f>
        <v>0</v>
      </c>
      <c r="AM19" s="143" t="n">
        <f aca="false">AK19+AL19</f>
        <v>648.3</v>
      </c>
      <c r="AN19" s="230"/>
      <c r="AO19" s="225"/>
      <c r="AP19" s="157" t="n">
        <f aca="false">I19-Q19-R19-X19-AF19</f>
        <v>292.719996192754</v>
      </c>
      <c r="AQ19" s="171" t="n">
        <f aca="false">39.463*(Z19*1.9835+AC19*1.9835)/E19</f>
        <v>9.77101604354012</v>
      </c>
      <c r="AR19" s="144" t="n">
        <f aca="false">1685.083/1.9835/31</f>
        <v>27.4048480610195</v>
      </c>
      <c r="AS19" s="158"/>
      <c r="AT19" s="5"/>
      <c r="AU19" s="4"/>
      <c r="AV19" s="330" t="n">
        <v>0.04</v>
      </c>
      <c r="AW19" s="225" t="n">
        <v>83</v>
      </c>
      <c r="AX19" s="225" t="n">
        <v>57</v>
      </c>
      <c r="AY19" s="149"/>
      <c r="AZ19" s="263" t="n">
        <f aca="false">SUM(N19,P19:U19)</f>
        <v>8.43863543122369</v>
      </c>
      <c r="BA19" s="1" t="n">
        <v>27.4</v>
      </c>
      <c r="BB19" s="471" t="n">
        <v>23316</v>
      </c>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row>
    <row r="20" customFormat="false" ht="12.95" hidden="false" customHeight="true" outlineLevel="0" collapsed="false">
      <c r="A20" s="192" t="n">
        <f aca="false">A19+1</f>
        <v>6</v>
      </c>
      <c r="B20" s="113" t="n">
        <v>6913.58</v>
      </c>
      <c r="C20" s="114" t="n">
        <v>336505</v>
      </c>
      <c r="D20" s="225" t="n">
        <f aca="false">C20-C19</f>
        <v>-534</v>
      </c>
      <c r="E20" s="114" t="n">
        <f aca="false">C20-152000</f>
        <v>184505</v>
      </c>
      <c r="F20" s="259" t="n">
        <f aca="false">D20/$D$2</f>
        <v>-269.221073859339</v>
      </c>
      <c r="G20" s="143" t="n">
        <v>525</v>
      </c>
      <c r="H20" s="144" t="n">
        <v>0.103</v>
      </c>
      <c r="I20" s="143" t="n">
        <f aca="false">G20+H20</f>
        <v>525.103</v>
      </c>
      <c r="J20" s="144" t="n">
        <f aca="false">IF(L20&gt;0,L20,0)</f>
        <v>0</v>
      </c>
      <c r="K20" s="143" t="n">
        <f aca="false">I20+J20</f>
        <v>525.103</v>
      </c>
      <c r="L20" s="143" t="n">
        <f aca="false">F20-(I20-AK20)</f>
        <v>-97.6240738593394</v>
      </c>
      <c r="M20" s="261" t="n">
        <v>275</v>
      </c>
      <c r="N20" s="171" t="n">
        <f aca="false">1/$D$2*1.03</f>
        <v>0.519284093773632</v>
      </c>
      <c r="O20" s="143" t="n">
        <f aca="false">58.3*1.05</f>
        <v>61.215</v>
      </c>
      <c r="P20" s="171" t="n">
        <v>0</v>
      </c>
      <c r="Q20" s="520" t="n">
        <f aca="false">1948200/325851/1.9835*1.07</f>
        <v>3.22526982743014</v>
      </c>
      <c r="R20" s="139" t="n">
        <f aca="false">((5)*1.04)-T20</f>
        <v>4.01943984</v>
      </c>
      <c r="S20" s="139" t="n">
        <v>0</v>
      </c>
      <c r="T20" s="139" t="n">
        <f aca="false">(1.0709*1.06)*1.04</f>
        <v>1.18056016</v>
      </c>
      <c r="U20" s="365" t="n">
        <v>0</v>
      </c>
      <c r="V20" s="143" t="n">
        <v>102</v>
      </c>
      <c r="W20" s="143" t="n">
        <v>69.5</v>
      </c>
      <c r="X20" s="143" t="n">
        <f aca="false">M20-N20-O20-P20-Q20-R20-S20-T20-U20+V20+W20-AT20+AR20</f>
        <v>403.745294139816</v>
      </c>
      <c r="Y20" s="143" t="n">
        <f aca="false">X20-AO20</f>
        <v>403.745294139816</v>
      </c>
      <c r="Z20" s="114" t="n">
        <f aca="false">Z19</f>
        <v>21924.8200859792</v>
      </c>
      <c r="AA20" s="143" t="n">
        <f aca="false">(-AP20)</f>
        <v>-112.412996192754</v>
      </c>
      <c r="AB20" s="114"/>
      <c r="AC20" s="114" t="n">
        <f aca="false">AC19-(AQ19/1.9835)+AS20</f>
        <v>1168.58988661978</v>
      </c>
      <c r="AD20" s="225" t="n">
        <f aca="false">AD19</f>
        <v>2618.93636501134</v>
      </c>
      <c r="AE20" s="143" t="n">
        <v>172</v>
      </c>
      <c r="AF20" s="261" t="n">
        <v>1.7</v>
      </c>
      <c r="AG20" s="262" t="n">
        <v>1.3</v>
      </c>
      <c r="AH20" s="143" t="n">
        <v>78.2</v>
      </c>
      <c r="AI20" s="114" t="n">
        <f aca="false">AI19-AH20</f>
        <v>12222.8578774893</v>
      </c>
      <c r="AJ20" s="114"/>
      <c r="AK20" s="142" t="n">
        <f aca="false">N20+O20+P20+Q20+R20+S20+T20+U20+X20+AE20+AH20-AR20</f>
        <v>696.7</v>
      </c>
      <c r="AL20" s="143" t="n">
        <f aca="false">IF(L20&lt;0,L20*-1,0)</f>
        <v>97.6240738593394</v>
      </c>
      <c r="AM20" s="143" t="n">
        <f aca="false">AK20+AL20</f>
        <v>794.32407385934</v>
      </c>
      <c r="AN20" s="230"/>
      <c r="AO20" s="225"/>
      <c r="AP20" s="157" t="n">
        <f aca="false">I20-Q20-R20-X20-AF20</f>
        <v>112.412996192754</v>
      </c>
      <c r="AQ20" s="171" t="n">
        <f aca="false">68.578*(Z20*1.9835+AC20*1.9835)/E20</f>
        <v>17.0253851676736</v>
      </c>
      <c r="AR20" s="144" t="n">
        <f aca="false">1685.083/1.9835/31</f>
        <v>27.4048480610195</v>
      </c>
      <c r="AS20" s="158"/>
      <c r="AT20" s="5"/>
      <c r="AU20" s="4"/>
      <c r="AV20" s="330" t="n">
        <v>0</v>
      </c>
      <c r="AW20" s="225" t="n">
        <v>86</v>
      </c>
      <c r="AX20" s="225" t="n">
        <v>57</v>
      </c>
      <c r="AY20" s="149"/>
      <c r="AZ20" s="263" t="n">
        <f aca="false">SUM(N20,P20:U20)</f>
        <v>8.94455392120377</v>
      </c>
      <c r="BA20" s="1" t="n">
        <v>27.4</v>
      </c>
      <c r="BB20" s="471" t="n">
        <v>23281</v>
      </c>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row>
    <row r="21" customFormat="false" ht="12.95" hidden="false" customHeight="true" outlineLevel="0" collapsed="false">
      <c r="A21" s="192" t="n">
        <f aca="false">A20+1</f>
        <v>7</v>
      </c>
      <c r="B21" s="113" t="n">
        <v>6913.56</v>
      </c>
      <c r="C21" s="114" t="n">
        <v>336422</v>
      </c>
      <c r="D21" s="225" t="n">
        <f aca="false">C21-C20</f>
        <v>-83</v>
      </c>
      <c r="E21" s="114" t="n">
        <f aca="false">C21-152000</f>
        <v>184422</v>
      </c>
      <c r="F21" s="259" t="n">
        <f aca="false">D21/$D$2</f>
        <v>-41.8452230904966</v>
      </c>
      <c r="G21" s="143" t="n">
        <v>522</v>
      </c>
      <c r="H21" s="144" t="n">
        <v>0.111</v>
      </c>
      <c r="I21" s="143" t="n">
        <f aca="false">G21+H21</f>
        <v>522.111</v>
      </c>
      <c r="J21" s="144" t="n">
        <f aca="false">IF(L21&gt;0,L21,0)</f>
        <v>139.743776909503</v>
      </c>
      <c r="K21" s="143" t="n">
        <f aca="false">I21+J21</f>
        <v>661.854776909503</v>
      </c>
      <c r="L21" s="143" t="n">
        <f aca="false">F21-(I21-AK21)</f>
        <v>139.743776909503</v>
      </c>
      <c r="M21" s="261" t="n">
        <v>289</v>
      </c>
      <c r="N21" s="171" t="n">
        <f aca="false">1/$D$2*1.03</f>
        <v>0.519284093773632</v>
      </c>
      <c r="O21" s="143" t="n">
        <f aca="false">70.6*1.05</f>
        <v>74.13</v>
      </c>
      <c r="P21" s="171" t="n">
        <v>0</v>
      </c>
      <c r="Q21" s="520" t="n">
        <f aca="false">1281700/325851/1.9835*1.08</f>
        <v>2.14170118443509</v>
      </c>
      <c r="R21" s="139" t="n">
        <v>4.2</v>
      </c>
      <c r="S21" s="139" t="n">
        <f aca="false">((7.3*1.04)-T21)-4.2</f>
        <v>2.21143984</v>
      </c>
      <c r="T21" s="139" t="n">
        <f aca="false">(1.0709*1.06)*1.04</f>
        <v>1.18056016</v>
      </c>
      <c r="U21" s="365" t="n">
        <v>0</v>
      </c>
      <c r="V21" s="143" t="n">
        <v>108</v>
      </c>
      <c r="W21" s="143" t="n">
        <v>70.3</v>
      </c>
      <c r="X21" s="143" t="n">
        <f aca="false">M21-N21-O21-P21-Q21-R21-S21-T21-U21+V21+W21-AT21+AR21</f>
        <v>410.321862782811</v>
      </c>
      <c r="Y21" s="143" t="n">
        <f aca="false">X21-AO21</f>
        <v>410.321862782811</v>
      </c>
      <c r="Z21" s="114" t="n">
        <f aca="false">Z20</f>
        <v>21924.8200859792</v>
      </c>
      <c r="AA21" s="143" t="n">
        <f aca="false">(-AP21)</f>
        <v>-103.747436032754</v>
      </c>
      <c r="AB21" s="114"/>
      <c r="AC21" s="114" t="n">
        <f aca="false">AC20-(AQ20/1.9835)+AS21</f>
        <v>1160.00638010721</v>
      </c>
      <c r="AD21" s="225" t="n">
        <f aca="false">AD20</f>
        <v>2618.93636501134</v>
      </c>
      <c r="AE21" s="143" t="n">
        <v>158</v>
      </c>
      <c r="AF21" s="261" t="n">
        <v>1.7</v>
      </c>
      <c r="AG21" s="262" t="n">
        <v>1.3</v>
      </c>
      <c r="AH21" s="143" t="n">
        <v>78.4</v>
      </c>
      <c r="AI21" s="114" t="n">
        <f aca="false">AI20-AH21</f>
        <v>12144.4578774893</v>
      </c>
      <c r="AJ21" s="114"/>
      <c r="AK21" s="142" t="n">
        <f aca="false">N21+O21+P21+Q21+R21+S21+T21+U21+X21+AE21+AH21-AR21</f>
        <v>703.7</v>
      </c>
      <c r="AL21" s="143" t="n">
        <f aca="false">IF(L21&lt;0,L21*-1,0)</f>
        <v>0</v>
      </c>
      <c r="AM21" s="143" t="n">
        <f aca="false">AK21+AL21</f>
        <v>703.7</v>
      </c>
      <c r="AN21" s="230"/>
      <c r="AO21" s="225"/>
      <c r="AP21" s="157" t="n">
        <f aca="false">I21-Q21-R21-X21-AF21</f>
        <v>103.747436032754</v>
      </c>
      <c r="AQ21" s="171" t="n">
        <f aca="false">0*(Z21*1.9835+AC21*1.9835)/E21</f>
        <v>0</v>
      </c>
      <c r="AR21" s="144" t="n">
        <f aca="false">1685.083/1.9835/31</f>
        <v>27.4048480610195</v>
      </c>
      <c r="AS21" s="158"/>
      <c r="AT21" s="5"/>
      <c r="AU21" s="4"/>
      <c r="AV21" s="330" t="n">
        <v>0.09</v>
      </c>
      <c r="AW21" s="521" t="n">
        <v>75</v>
      </c>
      <c r="AX21" s="521" t="n">
        <v>55</v>
      </c>
      <c r="AY21" s="149"/>
      <c r="AZ21" s="263" t="n">
        <f aca="false">SUM(N21,P21:U21)</f>
        <v>10.2529852782087</v>
      </c>
      <c r="BA21" s="1" t="n">
        <v>27.5</v>
      </c>
      <c r="BB21" s="471" t="n">
        <v>23268</v>
      </c>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row>
    <row r="22" customFormat="false" ht="12.95" hidden="false" customHeight="true" outlineLevel="0" collapsed="false">
      <c r="A22" s="192" t="n">
        <f aca="false">A21+1</f>
        <v>8</v>
      </c>
      <c r="B22" s="113" t="n">
        <v>6913.58</v>
      </c>
      <c r="C22" s="114" t="n">
        <v>336505</v>
      </c>
      <c r="D22" s="225" t="n">
        <f aca="false">C22-C21</f>
        <v>83</v>
      </c>
      <c r="E22" s="114" t="n">
        <f aca="false">C22-152000</f>
        <v>184505</v>
      </c>
      <c r="F22" s="259" t="n">
        <f aca="false">D22/$D$2</f>
        <v>41.8452230904966</v>
      </c>
      <c r="G22" s="143" t="n">
        <v>692</v>
      </c>
      <c r="H22" s="144" t="n">
        <v>0.084</v>
      </c>
      <c r="I22" s="143" t="n">
        <f aca="false">G22+H22</f>
        <v>692.084</v>
      </c>
      <c r="J22" s="144" t="n">
        <f aca="false">IF(L22&gt;0,L22,0)</f>
        <v>0</v>
      </c>
      <c r="K22" s="143" t="n">
        <f aca="false">I22+J22</f>
        <v>692.084</v>
      </c>
      <c r="L22" s="143" t="n">
        <f aca="false">F22-(I22-AK22)</f>
        <v>-2.4387769095034</v>
      </c>
      <c r="M22" s="261" t="n">
        <v>252</v>
      </c>
      <c r="N22" s="171" t="n">
        <f aca="false">1/$D$2*1.03</f>
        <v>0.519284093773632</v>
      </c>
      <c r="O22" s="143" t="n">
        <f aca="false">74.5*1.05</f>
        <v>78.225</v>
      </c>
      <c r="P22" s="171" t="n">
        <v>0</v>
      </c>
      <c r="Q22" s="520" t="n">
        <f aca="false">1359800/325851/1.9835*1.09</f>
        <v>2.29324403132729</v>
      </c>
      <c r="R22" s="139" t="n">
        <v>4.2</v>
      </c>
      <c r="S22" s="139" t="n">
        <f aca="false">((5.7*1.04)-T22)-4.2</f>
        <v>0.547439840000001</v>
      </c>
      <c r="T22" s="139" t="n">
        <f aca="false">(1.0709*1.06)*1.04</f>
        <v>1.18056016</v>
      </c>
      <c r="U22" s="365" t="n">
        <v>0</v>
      </c>
      <c r="V22" s="143" t="n">
        <v>106</v>
      </c>
      <c r="W22" s="143" t="n">
        <v>70.5</v>
      </c>
      <c r="X22" s="143" t="n">
        <f aca="false">M22-N22-O22-P22-Q22-R22-S22-T22-U22+V22+W22-AT22+AR22</f>
        <v>368.939319935919</v>
      </c>
      <c r="Y22" s="143" t="n">
        <f aca="false">X22-AO22</f>
        <v>368.939319935919</v>
      </c>
      <c r="Z22" s="114" t="n">
        <f aca="false">Z21</f>
        <v>21924.8200859792</v>
      </c>
      <c r="AA22" s="143" t="n">
        <f aca="false">(-AP22)</f>
        <v>-314.951436032754</v>
      </c>
      <c r="AB22" s="114"/>
      <c r="AC22" s="114" t="n">
        <f aca="false">AC21-(AQ21/1.9835)+AS22</f>
        <v>1160.00638010721</v>
      </c>
      <c r="AD22" s="225" t="n">
        <f aca="false">AD21</f>
        <v>2618.93636501134</v>
      </c>
      <c r="AE22" s="143" t="n">
        <v>141</v>
      </c>
      <c r="AF22" s="261" t="n">
        <v>1.7</v>
      </c>
      <c r="AG22" s="262" t="n">
        <v>1.3</v>
      </c>
      <c r="AH22" s="143" t="n">
        <v>78.3</v>
      </c>
      <c r="AI22" s="114" t="n">
        <f aca="false">AI21-AH22</f>
        <v>12066.1578774893</v>
      </c>
      <c r="AJ22" s="114"/>
      <c r="AK22" s="142" t="n">
        <f aca="false">N22+O22+P22+Q22+R22+S22+T22+U22+X22+AE22+AH22-AR22</f>
        <v>647.8</v>
      </c>
      <c r="AL22" s="143" t="n">
        <f aca="false">IF(L22&lt;0,L22*-1,0)</f>
        <v>2.4387769095034</v>
      </c>
      <c r="AM22" s="143" t="n">
        <f aca="false">AK22+AL22</f>
        <v>650.238776909503</v>
      </c>
      <c r="AN22" s="230"/>
      <c r="AO22" s="225"/>
      <c r="AP22" s="157" t="n">
        <f aca="false">I22-Q22-R22-X22-AF22</f>
        <v>314.951436032754</v>
      </c>
      <c r="AQ22" s="171" t="n">
        <f aca="false">38.741*(Z22*1.9835+AC22*1.9835)/E22</f>
        <v>9.61438492951564</v>
      </c>
      <c r="AR22" s="144" t="n">
        <f aca="false">1685.083/1.9835/31</f>
        <v>27.4048480610195</v>
      </c>
      <c r="AS22" s="158"/>
      <c r="AT22" s="5"/>
      <c r="AU22" s="4"/>
      <c r="AV22" s="330" t="n">
        <v>0.01</v>
      </c>
      <c r="AW22" s="225" t="n">
        <v>81</v>
      </c>
      <c r="AX22" s="225" t="n">
        <v>51</v>
      </c>
      <c r="AY22" s="149"/>
      <c r="AZ22" s="263" t="n">
        <f aca="false">SUM(N22,P22:U22)</f>
        <v>8.74052812510092</v>
      </c>
      <c r="BA22" s="1" t="n">
        <v>27.6</v>
      </c>
      <c r="BB22" s="471" t="n">
        <v>23273</v>
      </c>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row>
    <row r="23" customFormat="false" ht="12.95" hidden="false" customHeight="true" outlineLevel="0" collapsed="false">
      <c r="A23" s="192" t="n">
        <f aca="false">A22+1</f>
        <v>9</v>
      </c>
      <c r="B23" s="113" t="n">
        <v>6913.53</v>
      </c>
      <c r="C23" s="114" t="n">
        <v>336299</v>
      </c>
      <c r="D23" s="225" t="n">
        <f aca="false">C23-C22</f>
        <v>-206</v>
      </c>
      <c r="E23" s="114" t="n">
        <f aca="false">C23-152000</f>
        <v>184299</v>
      </c>
      <c r="F23" s="259" t="n">
        <f aca="false">D23/$D$2</f>
        <v>-103.856818754727</v>
      </c>
      <c r="G23" s="143" t="n">
        <v>646</v>
      </c>
      <c r="H23" s="144" t="n">
        <v>0.019</v>
      </c>
      <c r="I23" s="143" t="n">
        <f aca="false">G23+H23</f>
        <v>646.019</v>
      </c>
      <c r="J23" s="144" t="n">
        <f aca="false">IF(L23&gt;0,L23,0)</f>
        <v>0</v>
      </c>
      <c r="K23" s="143" t="n">
        <f aca="false">I23+J23</f>
        <v>646.019</v>
      </c>
      <c r="L23" s="143" t="n">
        <f aca="false">F23-(I23-AK23)</f>
        <v>-98.3758187547264</v>
      </c>
      <c r="M23" s="261" t="n">
        <v>249</v>
      </c>
      <c r="N23" s="171" t="n">
        <f aca="false">1/$D$2*1.03</f>
        <v>0.519284093773632</v>
      </c>
      <c r="O23" s="143" t="n">
        <f aca="false">67.3*1.05</f>
        <v>70.665</v>
      </c>
      <c r="P23" s="171" t="n">
        <v>0</v>
      </c>
      <c r="Q23" s="520" t="n">
        <f aca="false">1319000/325851/1.9835*1.1</f>
        <v>2.24484426679906</v>
      </c>
      <c r="R23" s="139" t="n">
        <v>4.2</v>
      </c>
      <c r="S23" s="139" t="n">
        <f aca="false">((5.9*1.04)-T23)-4.2</f>
        <v>0.755439840000001</v>
      </c>
      <c r="T23" s="139" t="n">
        <f aca="false">(1.0709*1.06)*1.04</f>
        <v>1.18056016</v>
      </c>
      <c r="U23" s="365" t="n">
        <v>0</v>
      </c>
      <c r="V23" s="143" t="n">
        <v>102</v>
      </c>
      <c r="W23" s="143" t="n">
        <v>70.9</v>
      </c>
      <c r="X23" s="143" t="n">
        <f aca="false">M23-N23-O23-P23-Q23-R23-S23-T23-U23+V23+W23-AT23+AR23</f>
        <v>369.739719700447</v>
      </c>
      <c r="Y23" s="143" t="n">
        <f aca="false">X23-AO23</f>
        <v>369.739719700447</v>
      </c>
      <c r="Z23" s="114" t="n">
        <f aca="false">Z22</f>
        <v>21924.8200859792</v>
      </c>
      <c r="AA23" s="143" t="n">
        <f aca="false">(-AP23)</f>
        <v>-268.134436032754</v>
      </c>
      <c r="AB23" s="114"/>
      <c r="AC23" s="114" t="n">
        <f aca="false">AC22-(AQ22/1.9835)+AS23</f>
        <v>1155.15919839331</v>
      </c>
      <c r="AD23" s="225" t="n">
        <f aca="false">AD22</f>
        <v>2618.93636501134</v>
      </c>
      <c r="AE23" s="143" t="n">
        <v>151</v>
      </c>
      <c r="AF23" s="261" t="n">
        <v>1.7</v>
      </c>
      <c r="AG23" s="262" t="n">
        <v>1.3</v>
      </c>
      <c r="AH23" s="143" t="n">
        <v>78.6</v>
      </c>
      <c r="AI23" s="114" t="n">
        <f aca="false">AI22-AH23</f>
        <v>11987.5578774893</v>
      </c>
      <c r="AJ23" s="114"/>
      <c r="AK23" s="142" t="n">
        <f aca="false">N23+O23+P23+Q23+R23+S23+T23+U23+X23+AE23+AH23-AR23</f>
        <v>651.5</v>
      </c>
      <c r="AL23" s="143" t="n">
        <f aca="false">IF(L23&lt;0,L23*-1,0)</f>
        <v>98.3758187547264</v>
      </c>
      <c r="AM23" s="143" t="n">
        <f aca="false">AK23+AL23</f>
        <v>749.875818754727</v>
      </c>
      <c r="AN23" s="230"/>
      <c r="AO23" s="225"/>
      <c r="AP23" s="157" t="n">
        <f aca="false">I23-Q23-R23-X23-AF23</f>
        <v>268.134436032754</v>
      </c>
      <c r="AQ23" s="171" t="n">
        <f aca="false">43.072*(Z23*1.9835+AC23*1.9835)/E23</f>
        <v>10.6989135652138</v>
      </c>
      <c r="AR23" s="144" t="n">
        <f aca="false">1685.083/1.9835/31</f>
        <v>27.4048480610195</v>
      </c>
      <c r="AS23" s="158"/>
      <c r="AT23" s="5"/>
      <c r="AU23" s="4"/>
      <c r="AV23" s="330" t="n">
        <v>0.133333333333333</v>
      </c>
      <c r="AW23" s="231" t="n">
        <v>79</v>
      </c>
      <c r="AX23" s="225" t="n">
        <v>51</v>
      </c>
      <c r="AY23" s="149"/>
      <c r="AZ23" s="263" t="n">
        <f aca="false">SUM(N23,P23:U23)</f>
        <v>8.9001283605727</v>
      </c>
      <c r="BA23" s="1" t="n">
        <v>27.7</v>
      </c>
      <c r="BB23" s="471" t="n">
        <v>23247</v>
      </c>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row>
    <row r="24" customFormat="false" ht="12.95" hidden="false" customHeight="true" outlineLevel="0" collapsed="false">
      <c r="A24" s="192" t="n">
        <f aca="false">A23+1</f>
        <v>10</v>
      </c>
      <c r="B24" s="113" t="n">
        <v>6913.45</v>
      </c>
      <c r="C24" s="114" t="n">
        <v>335970</v>
      </c>
      <c r="D24" s="225" t="n">
        <f aca="false">C24-C23</f>
        <v>-329</v>
      </c>
      <c r="E24" s="114" t="n">
        <f aca="false">C24-152000</f>
        <v>183970</v>
      </c>
      <c r="F24" s="259" t="n">
        <f aca="false">D24/$D$2</f>
        <v>-165.868414418956</v>
      </c>
      <c r="G24" s="143" t="n">
        <v>544</v>
      </c>
      <c r="H24" s="144" t="n">
        <v>0</v>
      </c>
      <c r="I24" s="143" t="n">
        <f aca="false">G24+H24</f>
        <v>544</v>
      </c>
      <c r="J24" s="144" t="n">
        <f aca="false">IF(L24&gt;0,L24,0)</f>
        <v>0</v>
      </c>
      <c r="K24" s="143" t="n">
        <f aca="false">I24+J24</f>
        <v>544</v>
      </c>
      <c r="L24" s="143" t="n">
        <f aca="false">F24-(I24-AK24)</f>
        <v>-60.7684144189562</v>
      </c>
      <c r="M24" s="261" t="n">
        <v>238</v>
      </c>
      <c r="N24" s="171" t="n">
        <f aca="false">1/$D$2*1.03</f>
        <v>0.519284093773632</v>
      </c>
      <c r="O24" s="143" t="n">
        <f aca="false">68*1.05</f>
        <v>71.4</v>
      </c>
      <c r="P24" s="171" t="n">
        <v>0</v>
      </c>
      <c r="Q24" s="520" t="n">
        <f aca="false">1378300/325851/1.9835*1.11</f>
        <v>2.36709382228365</v>
      </c>
      <c r="R24" s="139" t="n">
        <v>4.2</v>
      </c>
      <c r="S24" s="139" t="n">
        <f aca="false">((6.3*1.04)-T24)-4.2</f>
        <v>1.33051616</v>
      </c>
      <c r="T24" s="139" t="n">
        <f aca="false">(0.9266*1.06)*1.04</f>
        <v>1.02148384</v>
      </c>
      <c r="U24" s="365" t="n">
        <v>0</v>
      </c>
      <c r="V24" s="143" t="n">
        <v>99.3</v>
      </c>
      <c r="W24" s="143" t="n">
        <v>74.1</v>
      </c>
      <c r="X24" s="143" t="n">
        <f aca="false">M24-N24-O24-P24-Q24-R24-S24-T24-U24+V24+W24-AT24+AR24</f>
        <v>357.966470144962</v>
      </c>
      <c r="Y24" s="143" t="n">
        <f aca="false">X24-AO24</f>
        <v>357.966470144962</v>
      </c>
      <c r="Z24" s="114" t="n">
        <f aca="false">Z23</f>
        <v>21924.8200859792</v>
      </c>
      <c r="AA24" s="143" t="n">
        <f aca="false">(-AP24)</f>
        <v>-177.766436032754</v>
      </c>
      <c r="AB24" s="114"/>
      <c r="AC24" s="114" t="n">
        <f aca="false">AC23-(AQ23/1.9835)+AS24</f>
        <v>1149.76524146606</v>
      </c>
      <c r="AD24" s="225" t="n">
        <f aca="false">AD23</f>
        <v>2618.93636501134</v>
      </c>
      <c r="AE24" s="143" t="n">
        <v>159</v>
      </c>
      <c r="AF24" s="261" t="n">
        <v>1.7</v>
      </c>
      <c r="AG24" s="262" t="n">
        <v>1.3</v>
      </c>
      <c r="AH24" s="143" t="n">
        <v>78.7</v>
      </c>
      <c r="AI24" s="114" t="n">
        <f aca="false">AI23-AH24</f>
        <v>11908.8578774893</v>
      </c>
      <c r="AJ24" s="114"/>
      <c r="AK24" s="142" t="n">
        <f aca="false">N24+O24+P24+Q24+R24+S24+T24+U24+X24+AE24+AH24-AR24</f>
        <v>649.1</v>
      </c>
      <c r="AL24" s="143" t="n">
        <f aca="false">IF(L24&lt;0,L24*-1,0)</f>
        <v>60.7684144189562</v>
      </c>
      <c r="AM24" s="143" t="n">
        <f aca="false">AK24+AL24</f>
        <v>709.868414418956</v>
      </c>
      <c r="AN24" s="230"/>
      <c r="AO24" s="225"/>
      <c r="AP24" s="157" t="n">
        <f aca="false">I24-Q24-R24-X24-AF24</f>
        <v>177.766436032754</v>
      </c>
      <c r="AQ24" s="171" t="n">
        <f aca="false">39.873*(Z24*1.9835+AC24*1.9835)/E24</f>
        <v>9.91968803609224</v>
      </c>
      <c r="AR24" s="144" t="n">
        <f aca="false">1685.083/1.9835/31</f>
        <v>27.4048480610195</v>
      </c>
      <c r="AS24" s="158"/>
      <c r="AT24" s="5"/>
      <c r="AU24" s="4"/>
      <c r="AV24" s="330" t="n">
        <v>0.266666666666667</v>
      </c>
      <c r="AW24" s="225" t="n">
        <v>81</v>
      </c>
      <c r="AX24" s="225" t="n">
        <v>48</v>
      </c>
      <c r="AY24" s="149"/>
      <c r="AZ24" s="263" t="n">
        <f aca="false">SUM(N24,P24:U24)</f>
        <v>9.43837791605729</v>
      </c>
      <c r="BA24" s="1" t="n">
        <v>27.9</v>
      </c>
      <c r="BB24" s="471" t="n">
        <v>23333</v>
      </c>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row>
    <row r="25" customFormat="false" ht="12.95" hidden="false" customHeight="true" outlineLevel="0" collapsed="false">
      <c r="A25" s="192" t="n">
        <f aca="false">A24+1</f>
        <v>11</v>
      </c>
      <c r="B25" s="113" t="n">
        <v>6913.37</v>
      </c>
      <c r="C25" s="114" t="n">
        <v>335642</v>
      </c>
      <c r="D25" s="225" t="n">
        <f aca="false">C25-C24</f>
        <v>-328</v>
      </c>
      <c r="E25" s="114" t="n">
        <f aca="false">C25-152000</f>
        <v>183642</v>
      </c>
      <c r="F25" s="259" t="n">
        <f aca="false">D25/$D$2</f>
        <v>-165.364255104613</v>
      </c>
      <c r="G25" s="143" t="n">
        <v>472</v>
      </c>
      <c r="H25" s="144" t="n">
        <v>0</v>
      </c>
      <c r="I25" s="143" t="n">
        <f aca="false">G25+H25</f>
        <v>472</v>
      </c>
      <c r="J25" s="144" t="n">
        <f aca="false">IF(L25&gt;0,L25,0)</f>
        <v>31.235744895387</v>
      </c>
      <c r="K25" s="143" t="n">
        <f aca="false">I25+J25</f>
        <v>503.235744895387</v>
      </c>
      <c r="L25" s="143" t="n">
        <f aca="false">F25-(I25-AK25)</f>
        <v>31.235744895387</v>
      </c>
      <c r="M25" s="261" t="n">
        <v>250</v>
      </c>
      <c r="N25" s="171" t="n">
        <f aca="false">1/$D$2*1.03</f>
        <v>0.519284093773632</v>
      </c>
      <c r="O25" s="143" t="n">
        <f aca="false">74.9*1.05</f>
        <v>78.645</v>
      </c>
      <c r="P25" s="171" t="n">
        <v>0</v>
      </c>
      <c r="Q25" s="520" t="n">
        <f aca="false">1554000/325851/1.9835*1.12</f>
        <v>2.6928847952846</v>
      </c>
      <c r="R25" s="139" t="n">
        <f aca="false">((3.9)*1.04)-T25</f>
        <v>3.03451616</v>
      </c>
      <c r="S25" s="139" t="n">
        <v>0</v>
      </c>
      <c r="T25" s="139" t="n">
        <f aca="false">(0.9266*1.06)*1.04</f>
        <v>1.02148384</v>
      </c>
      <c r="U25" s="365" t="n">
        <v>0</v>
      </c>
      <c r="V25" s="143" t="n">
        <v>99.2</v>
      </c>
      <c r="W25" s="143" t="n">
        <v>75.3</v>
      </c>
      <c r="X25" s="143" t="n">
        <f aca="false">M25-N25-O25-P25-Q25-R25-S25-T25-U25+V25+W25-AT25+AR25</f>
        <v>365.991679171961</v>
      </c>
      <c r="Y25" s="143" t="n">
        <f aca="false">X25-AO25</f>
        <v>365.991679171961</v>
      </c>
      <c r="Z25" s="114" t="n">
        <f aca="false">Z24</f>
        <v>21924.8200859792</v>
      </c>
      <c r="AA25" s="143" t="n">
        <f aca="false">(-AP25)</f>
        <v>-98.580919872754</v>
      </c>
      <c r="AB25" s="114"/>
      <c r="AC25" s="114" t="n">
        <f aca="false">AC24-(AQ24/1.9835)+AS25</f>
        <v>1144.76413834728</v>
      </c>
      <c r="AD25" s="225" t="n">
        <f aca="false">AD24</f>
        <v>2618.93636501134</v>
      </c>
      <c r="AE25" s="143" t="n">
        <v>165</v>
      </c>
      <c r="AF25" s="261" t="n">
        <v>1.7</v>
      </c>
      <c r="AG25" s="262" t="n">
        <v>1.3</v>
      </c>
      <c r="AH25" s="143" t="n">
        <v>79.1</v>
      </c>
      <c r="AI25" s="114" t="n">
        <f aca="false">AI24-AH25</f>
        <v>11829.7578774893</v>
      </c>
      <c r="AJ25" s="114"/>
      <c r="AK25" s="142" t="n">
        <f aca="false">N25+O25+P25+Q25+R25+S25+T25+U25+X25+AE25+AH25-AR25</f>
        <v>668.6</v>
      </c>
      <c r="AL25" s="143" t="n">
        <f aca="false">IF(L25&lt;0,L25*-1,0)</f>
        <v>0</v>
      </c>
      <c r="AM25" s="143" t="n">
        <f aca="false">AK25+AL25</f>
        <v>668.6</v>
      </c>
      <c r="AN25" s="230"/>
      <c r="AO25" s="225"/>
      <c r="AP25" s="157" t="n">
        <f aca="false">I25-Q25-R25-X25-AF25</f>
        <v>98.580919872754</v>
      </c>
      <c r="AQ25" s="171" t="n">
        <f aca="false">36.769*(Z25*1.9835+AC25*1.9835)/E25</f>
        <v>9.16182046176714</v>
      </c>
      <c r="AR25" s="144" t="n">
        <f aca="false">1685.083/1.9835/31</f>
        <v>27.4048480610195</v>
      </c>
      <c r="AS25" s="158"/>
      <c r="AT25" s="5"/>
      <c r="AU25" s="4"/>
      <c r="AV25" s="330" t="n">
        <v>0.266666666666667</v>
      </c>
      <c r="AW25" s="225" t="n">
        <v>84</v>
      </c>
      <c r="AX25" s="225" t="n">
        <v>51</v>
      </c>
      <c r="AY25" s="149"/>
      <c r="AZ25" s="263" t="n">
        <f aca="false">SUM(N25,P25:U25)</f>
        <v>7.26816888905824</v>
      </c>
      <c r="BA25" s="1" t="n">
        <v>28.1</v>
      </c>
      <c r="BB25" s="471" t="n">
        <v>23305</v>
      </c>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12.95" hidden="false" customHeight="true" outlineLevel="0" collapsed="false">
      <c r="A26" s="192" t="n">
        <f aca="false">A25+1</f>
        <v>12</v>
      </c>
      <c r="B26" s="113" t="n">
        <v>6913.22</v>
      </c>
      <c r="C26" s="114" t="n">
        <v>335025</v>
      </c>
      <c r="D26" s="225" t="n">
        <f aca="false">C26-C25</f>
        <v>-617</v>
      </c>
      <c r="E26" s="114" t="n">
        <f aca="false">C26-152000</f>
        <v>183025</v>
      </c>
      <c r="F26" s="259" t="n">
        <f aca="false">D26/$D$2</f>
        <v>-311.066296949836</v>
      </c>
      <c r="G26" s="143" t="n">
        <v>430</v>
      </c>
      <c r="H26" s="144" t="n">
        <v>0</v>
      </c>
      <c r="I26" s="143" t="n">
        <f aca="false">G26+H26</f>
        <v>430</v>
      </c>
      <c r="J26" s="144" t="n">
        <f aca="false">IF(L26&gt;0,L26,0)</f>
        <v>0</v>
      </c>
      <c r="K26" s="143" t="n">
        <f aca="false">I26+J26</f>
        <v>430</v>
      </c>
      <c r="L26" s="143" t="n">
        <f aca="false">F26-(I26-AK26)</f>
        <v>-92.7662969498361</v>
      </c>
      <c r="M26" s="261" t="n">
        <v>243</v>
      </c>
      <c r="N26" s="171" t="n">
        <f aca="false">1/$D$2*1.03</f>
        <v>0.519284093773632</v>
      </c>
      <c r="O26" s="143" t="n">
        <f aca="false">69.5*1.05</f>
        <v>72.975</v>
      </c>
      <c r="P26" s="171" t="n">
        <v>0</v>
      </c>
      <c r="Q26" s="520" t="n">
        <f aca="false">1434000/325851/1.9835*1.13</f>
        <v>2.50712698794303</v>
      </c>
      <c r="R26" s="139" t="n">
        <f aca="false">((2.4)*1.04)-T26</f>
        <v>1.47451616</v>
      </c>
      <c r="S26" s="139" t="n">
        <v>0</v>
      </c>
      <c r="T26" s="139" t="n">
        <f aca="false">(0.9266*1.06)*1.04</f>
        <v>1.02148384</v>
      </c>
      <c r="U26" s="365" t="n">
        <v>0</v>
      </c>
      <c r="V26" s="143" t="n">
        <v>99.2</v>
      </c>
      <c r="W26" s="143" t="n">
        <v>75.7</v>
      </c>
      <c r="X26" s="143" t="n">
        <f aca="false">M26-N26-O26-P26-Q26-R26-S26-T26-U26+V26+W26-AT26+AR26</f>
        <v>366.807436979303</v>
      </c>
      <c r="Y26" s="143" t="n">
        <f aca="false">X26-AO26</f>
        <v>366.807436979303</v>
      </c>
      <c r="Z26" s="114" t="n">
        <f aca="false">Z25</f>
        <v>21924.8200859792</v>
      </c>
      <c r="AA26" s="143" t="n">
        <f aca="false">(-AP26)</f>
        <v>-57.5109198727541</v>
      </c>
      <c r="AB26" s="114"/>
      <c r="AC26" s="114" t="n">
        <f aca="false">AC25-(AQ25/1.9835)+AS26</f>
        <v>1140.14512122514</v>
      </c>
      <c r="AD26" s="225" t="n">
        <f aca="false">AD25</f>
        <v>2618.93636501134</v>
      </c>
      <c r="AE26" s="143" t="n">
        <v>151</v>
      </c>
      <c r="AF26" s="261" t="n">
        <v>1.7</v>
      </c>
      <c r="AG26" s="262" t="n">
        <v>1.3</v>
      </c>
      <c r="AH26" s="143" t="n">
        <v>79.4</v>
      </c>
      <c r="AI26" s="114" t="n">
        <f aca="false">AI25-AH26</f>
        <v>11750.3578774893</v>
      </c>
      <c r="AJ26" s="114"/>
      <c r="AK26" s="142" t="n">
        <f aca="false">N26+O26+P26+Q26+R26+S26+T26+U26+X26+AE26+AH26-AR26</f>
        <v>648.3</v>
      </c>
      <c r="AL26" s="143" t="n">
        <f aca="false">IF(L26&lt;0,L26*-1,0)</f>
        <v>92.7662969498361</v>
      </c>
      <c r="AM26" s="143" t="n">
        <f aca="false">AK26+AL26</f>
        <v>741.066296949836</v>
      </c>
      <c r="AN26" s="230"/>
      <c r="AO26" s="225"/>
      <c r="AP26" s="157" t="n">
        <f aca="false">I26-Q26-R26-X26-AF26</f>
        <v>57.5109198727541</v>
      </c>
      <c r="AQ26" s="171" t="n">
        <f aca="false">14.326*(Z26*1.9835+AC26*1.9835)/E26</f>
        <v>3.58096057755009</v>
      </c>
      <c r="AR26" s="144" t="n">
        <f aca="false">1685.083/1.9835/31</f>
        <v>27.4048480610195</v>
      </c>
      <c r="AS26" s="158"/>
      <c r="AT26" s="5"/>
      <c r="AU26" s="4"/>
      <c r="AV26" s="330" t="n">
        <v>0.07</v>
      </c>
      <c r="AW26" s="225" t="n">
        <v>87</v>
      </c>
      <c r="AX26" s="225" t="n">
        <v>55</v>
      </c>
      <c r="AY26" s="149"/>
      <c r="AZ26" s="263" t="n">
        <f aca="false">SUM(N26,P26:U26)</f>
        <v>5.52241108171666</v>
      </c>
      <c r="BA26" s="1" t="n">
        <v>28.1</v>
      </c>
      <c r="BB26" s="471" t="n">
        <v>23260</v>
      </c>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2.95" hidden="false" customHeight="true" outlineLevel="0" collapsed="false">
      <c r="A27" s="192" t="n">
        <f aca="false">A26+1</f>
        <v>13</v>
      </c>
      <c r="B27" s="113" t="n">
        <v>6913.28</v>
      </c>
      <c r="C27" s="114" t="n">
        <v>335272</v>
      </c>
      <c r="D27" s="225" t="n">
        <f aca="false">C27-C26</f>
        <v>247</v>
      </c>
      <c r="E27" s="114" t="n">
        <f aca="false">C27-152000</f>
        <v>183272</v>
      </c>
      <c r="F27" s="259" t="n">
        <f aca="false">D27/$D$2</f>
        <v>124.527350642803</v>
      </c>
      <c r="G27" s="143" t="n">
        <v>710</v>
      </c>
      <c r="H27" s="144" t="n">
        <v>0.047</v>
      </c>
      <c r="I27" s="143" t="n">
        <f aca="false">G27+H27</f>
        <v>710.047</v>
      </c>
      <c r="J27" s="144" t="n">
        <f aca="false">IF(L27&gt;0,L27,0)</f>
        <v>50.6803506428031</v>
      </c>
      <c r="K27" s="143" t="n">
        <f aca="false">I27+J27</f>
        <v>760.727350642803</v>
      </c>
      <c r="L27" s="143" t="n">
        <f aca="false">F27-(I27-AK27)</f>
        <v>50.6803506428031</v>
      </c>
      <c r="M27" s="261" t="n">
        <v>227</v>
      </c>
      <c r="N27" s="171" t="n">
        <f aca="false">1/$D$2*1.03</f>
        <v>0.519284093773632</v>
      </c>
      <c r="O27" s="143" t="n">
        <f aca="false">66.6*1.05</f>
        <v>69.93</v>
      </c>
      <c r="P27" s="171" t="n">
        <v>0</v>
      </c>
      <c r="Q27" s="520" t="n">
        <f aca="false">1200500/325851/1.9835*1.14</f>
        <v>2.11746262196788</v>
      </c>
      <c r="R27" s="139" t="n">
        <f aca="false">((3.8)*1.04)-T27</f>
        <v>2.93051616</v>
      </c>
      <c r="S27" s="139" t="n">
        <v>0</v>
      </c>
      <c r="T27" s="139" t="n">
        <f aca="false">(0.9266*1.06)*1.04</f>
        <v>1.02148384</v>
      </c>
      <c r="U27" s="365" t="n">
        <v>0</v>
      </c>
      <c r="V27" s="143" t="n">
        <v>101</v>
      </c>
      <c r="W27" s="143" t="n">
        <v>73.9</v>
      </c>
      <c r="X27" s="143" t="n">
        <f aca="false">M27-N27-O27-P27-Q27-R27-S27-T27-U27+V27+W27-AT27+AR27</f>
        <v>352.786101345278</v>
      </c>
      <c r="Y27" s="143" t="n">
        <f aca="false">X27-AO27</f>
        <v>352.786101345278</v>
      </c>
      <c r="Z27" s="114" t="n">
        <f aca="false">Z26</f>
        <v>21924.8200859792</v>
      </c>
      <c r="AA27" s="143" t="n">
        <f aca="false">(-AP27)</f>
        <v>-350.512919872754</v>
      </c>
      <c r="AB27" s="114"/>
      <c r="AC27" s="114" t="n">
        <f aca="false">AC26-(AQ26/1.9835)+AS27</f>
        <v>1138.33974659567</v>
      </c>
      <c r="AD27" s="225" t="n">
        <f aca="false">AD26</f>
        <v>2618.93636501134</v>
      </c>
      <c r="AE27" s="143" t="n">
        <v>155</v>
      </c>
      <c r="AF27" s="261" t="n">
        <v>1.7</v>
      </c>
      <c r="AG27" s="262" t="n">
        <v>1.3</v>
      </c>
      <c r="AH27" s="143" t="n">
        <v>79.3</v>
      </c>
      <c r="AI27" s="114" t="n">
        <f aca="false">AI26-AH27</f>
        <v>11671.0578774893</v>
      </c>
      <c r="AJ27" s="114"/>
      <c r="AK27" s="142" t="n">
        <f aca="false">N27+O27+P27+Q27+R27+S27+T27+U27+X27+AE27+AH27-AR27</f>
        <v>636.2</v>
      </c>
      <c r="AL27" s="143" t="n">
        <f aca="false">IF(L27&lt;0,L27*-1,0)</f>
        <v>0</v>
      </c>
      <c r="AM27" s="143" t="n">
        <f aca="false">AK27+AL27</f>
        <v>636.2</v>
      </c>
      <c r="AN27" s="230"/>
      <c r="AO27" s="225"/>
      <c r="AP27" s="157" t="n">
        <f aca="false">I27-Q27-R27-X27-AF27</f>
        <v>350.512919872754</v>
      </c>
      <c r="AQ27" s="171" t="n">
        <f aca="false">0*(Z27*1.9835+AC27*1.9835)/E27</f>
        <v>0</v>
      </c>
      <c r="AR27" s="144" t="n">
        <f aca="false">1685.083/1.9835/31</f>
        <v>27.4048480610195</v>
      </c>
      <c r="AS27" s="158"/>
      <c r="AT27" s="5"/>
      <c r="AU27" s="4"/>
      <c r="AV27" s="330" t="n">
        <v>0.06</v>
      </c>
      <c r="AW27" s="225" t="n">
        <v>85</v>
      </c>
      <c r="AX27" s="225" t="n">
        <v>53</v>
      </c>
      <c r="AY27" s="149"/>
      <c r="AZ27" s="263" t="n">
        <f aca="false">SUM(N27,P27:U27)</f>
        <v>6.58874671574151</v>
      </c>
      <c r="BA27" s="1" t="n">
        <v>28.1</v>
      </c>
      <c r="BB27" s="471" t="n">
        <v>23255</v>
      </c>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2.95" hidden="false" customHeight="true" outlineLevel="0" collapsed="false">
      <c r="A28" s="192" t="n">
        <f aca="false">A27+1</f>
        <v>14</v>
      </c>
      <c r="B28" s="113" t="n">
        <v>6913.25</v>
      </c>
      <c r="C28" s="114" t="n">
        <v>335149</v>
      </c>
      <c r="D28" s="225" t="n">
        <f aca="false">C28-C27</f>
        <v>-123</v>
      </c>
      <c r="E28" s="114" t="n">
        <f aca="false">C28-152000</f>
        <v>183149</v>
      </c>
      <c r="F28" s="259" t="n">
        <f aca="false">D28/$D$2</f>
        <v>-62.0115956642299</v>
      </c>
      <c r="G28" s="143" t="n">
        <v>615</v>
      </c>
      <c r="H28" s="144" t="n">
        <v>0</v>
      </c>
      <c r="I28" s="143" t="n">
        <f aca="false">G28+H28</f>
        <v>615</v>
      </c>
      <c r="J28" s="144" t="n">
        <f aca="false">IF(L28&gt;0,L28,0)</f>
        <v>0</v>
      </c>
      <c r="K28" s="143" t="n">
        <f aca="false">I28+J28</f>
        <v>615</v>
      </c>
      <c r="L28" s="143" t="n">
        <f aca="false">F28-(I28-AK28)</f>
        <v>-22.9115956642298</v>
      </c>
      <c r="M28" s="261" t="n">
        <v>221</v>
      </c>
      <c r="N28" s="171" t="n">
        <f aca="false">1/$D$2*1.03</f>
        <v>0.519284093773632</v>
      </c>
      <c r="O28" s="143" t="n">
        <f aca="false">63.2*1.05</f>
        <v>66.36</v>
      </c>
      <c r="P28" s="171" t="n">
        <v>0</v>
      </c>
      <c r="Q28" s="520" t="n">
        <f aca="false">1445500/325851/1.9835*1.15</f>
        <v>2.57196274437022</v>
      </c>
      <c r="R28" s="139" t="n">
        <v>4.2</v>
      </c>
      <c r="S28" s="139" t="n">
        <f aca="false">((10.1*1.04)-T28)-4.2</f>
        <v>5.28251616</v>
      </c>
      <c r="T28" s="139" t="n">
        <f aca="false">(0.9266*1.06)*1.04</f>
        <v>1.02148384</v>
      </c>
      <c r="U28" s="365" t="n">
        <v>0</v>
      </c>
      <c r="V28" s="143" t="n">
        <v>99.4</v>
      </c>
      <c r="W28" s="143" t="n">
        <v>72.6</v>
      </c>
      <c r="X28" s="143" t="n">
        <f aca="false">M28-N28-O28-P28-Q28-R28-S28-T28-U28+V28+W28-AT28+AR28</f>
        <v>340.449601222876</v>
      </c>
      <c r="Y28" s="143" t="n">
        <f aca="false">X28-AO28</f>
        <v>340.449601222876</v>
      </c>
      <c r="Z28" s="114" t="n">
        <f aca="false">Z27</f>
        <v>21924.8200859792</v>
      </c>
      <c r="AA28" s="143" t="n">
        <f aca="false">(-AP28)</f>
        <v>-266.078436032754</v>
      </c>
      <c r="AB28" s="114"/>
      <c r="AC28" s="114" t="n">
        <f aca="false">AC27-(AQ27/1.9835)+AS28</f>
        <v>1138.33974659567</v>
      </c>
      <c r="AD28" s="225" t="n">
        <f aca="false">AD27</f>
        <v>2618.93636501134</v>
      </c>
      <c r="AE28" s="143" t="n">
        <v>182</v>
      </c>
      <c r="AF28" s="261" t="n">
        <v>1.7</v>
      </c>
      <c r="AG28" s="262" t="n">
        <v>1.3</v>
      </c>
      <c r="AH28" s="143" t="n">
        <v>79.1</v>
      </c>
      <c r="AI28" s="114" t="n">
        <f aca="false">AI27-AH28</f>
        <v>11591.9578774893</v>
      </c>
      <c r="AJ28" s="114"/>
      <c r="AK28" s="142" t="n">
        <f aca="false">N28+O28+P28+Q28+R28+S28+T28+U28+X28+AE28+AH28-AR28</f>
        <v>654.1</v>
      </c>
      <c r="AL28" s="143" t="n">
        <f aca="false">IF(L28&lt;0,L28*-1,0)</f>
        <v>22.9115956642298</v>
      </c>
      <c r="AM28" s="143" t="n">
        <f aca="false">AK28+AL28</f>
        <v>677.01159566423</v>
      </c>
      <c r="AN28" s="230"/>
      <c r="AO28" s="225"/>
      <c r="AP28" s="157" t="n">
        <f aca="false">I28-Q28-R28-X28-AF28</f>
        <v>266.078436032754</v>
      </c>
      <c r="AQ28" s="171" t="n">
        <f aca="false">48.229*(Z28*1.9835+AC28*1.9835)/E28</f>
        <v>12.0463289692746</v>
      </c>
      <c r="AR28" s="144" t="n">
        <f aca="false">1685.083/1.9835/31</f>
        <v>27.4048480610195</v>
      </c>
      <c r="AS28" s="158"/>
      <c r="AT28" s="5"/>
      <c r="AU28" s="4"/>
      <c r="AV28" s="330" t="n">
        <v>0.33</v>
      </c>
      <c r="AW28" s="225" t="n">
        <v>81</v>
      </c>
      <c r="AX28" s="225" t="n">
        <v>55</v>
      </c>
      <c r="AY28" s="149"/>
      <c r="AZ28" s="263" t="n">
        <f aca="false">SUM(N28,P28:U28)</f>
        <v>13.5952468381439</v>
      </c>
      <c r="BA28" s="1" t="n">
        <v>28.1</v>
      </c>
      <c r="BB28" s="471" t="n">
        <v>23178</v>
      </c>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2.95" hidden="false" customHeight="true" outlineLevel="0" collapsed="false">
      <c r="A29" s="192" t="n">
        <f aca="false">A28+1</f>
        <v>15</v>
      </c>
      <c r="B29" s="113" t="n">
        <v>6913.29</v>
      </c>
      <c r="C29" s="114" t="n">
        <v>335313</v>
      </c>
      <c r="D29" s="225" t="n">
        <f aca="false">C29-C28</f>
        <v>164</v>
      </c>
      <c r="E29" s="114" t="n">
        <f aca="false">C29-152000</f>
        <v>183313</v>
      </c>
      <c r="F29" s="259" t="n">
        <f aca="false">D29/$D$2</f>
        <v>82.6821275523065</v>
      </c>
      <c r="G29" s="143" t="n">
        <v>837</v>
      </c>
      <c r="H29" s="144" t="n">
        <v>0.002</v>
      </c>
      <c r="I29" s="143" t="n">
        <f aca="false">G29+H29</f>
        <v>837.002</v>
      </c>
      <c r="J29" s="144" t="n">
        <f aca="false">IF(L29&gt;0,L29,0)</f>
        <v>0</v>
      </c>
      <c r="K29" s="143" t="n">
        <f aca="false">I29+J29</f>
        <v>837.002</v>
      </c>
      <c r="L29" s="143" t="n">
        <f aca="false">F29-(I29-AK29)</f>
        <v>-99.7198724476933</v>
      </c>
      <c r="M29" s="261" t="n">
        <v>210</v>
      </c>
      <c r="N29" s="171" t="n">
        <f aca="false">1/$D$2*1.03</f>
        <v>0.519284093773632</v>
      </c>
      <c r="O29" s="143" t="n">
        <f aca="false">54.7*1.05</f>
        <v>57.435</v>
      </c>
      <c r="P29" s="171" t="n">
        <v>0.356</v>
      </c>
      <c r="Q29" s="520" t="n">
        <f aca="false">1174500/325851/1.9835*1.16</f>
        <v>2.1079472920066</v>
      </c>
      <c r="R29" s="139" t="n">
        <v>4.2</v>
      </c>
      <c r="S29" s="139" t="n">
        <f aca="false">((6.9*1.04)-T29)-4.2</f>
        <v>1.95451616</v>
      </c>
      <c r="T29" s="139" t="n">
        <f aca="false">(0.9266*1.06)*1.04</f>
        <v>1.02148384</v>
      </c>
      <c r="U29" s="365" t="n">
        <v>0</v>
      </c>
      <c r="V29" s="143" t="n">
        <v>101</v>
      </c>
      <c r="W29" s="143" t="n">
        <v>72.5</v>
      </c>
      <c r="X29" s="143" t="n">
        <f aca="false">M29-N29-O29-P29-Q29-R29-S29-T29-U29+V29+W29-AT29+AR29</f>
        <v>343.310616675239</v>
      </c>
      <c r="Y29" s="143" t="n">
        <f aca="false">X29-AO29</f>
        <v>343.310616675239</v>
      </c>
      <c r="Z29" s="114" t="n">
        <f aca="false">Z28</f>
        <v>21924.8200859792</v>
      </c>
      <c r="AA29" s="143" t="n">
        <f aca="false">(-AP29)</f>
        <v>-451.689383324761</v>
      </c>
      <c r="AB29" s="114"/>
      <c r="AC29" s="114" t="n">
        <f aca="false">AC28-(AQ28/1.9835)+AS29</f>
        <v>1132.26647764217</v>
      </c>
      <c r="AD29" s="225" t="n">
        <f aca="false">AD28</f>
        <v>2618.93636501134</v>
      </c>
      <c r="AE29" s="143" t="n">
        <v>192</v>
      </c>
      <c r="AF29" s="261" t="n">
        <v>1.7</v>
      </c>
      <c r="AG29" s="262" t="n">
        <v>1.3</v>
      </c>
      <c r="AH29" s="143" t="n">
        <v>79.1</v>
      </c>
      <c r="AI29" s="114" t="n">
        <f aca="false">AI28-AH29</f>
        <v>11512.8578774893</v>
      </c>
      <c r="AJ29" s="114"/>
      <c r="AK29" s="142" t="n">
        <f aca="false">N29+O29+P29+Q29+R29+S29+T29+U29+X29+AE29+AH29-AR29</f>
        <v>654.6</v>
      </c>
      <c r="AL29" s="143" t="n">
        <f aca="false">IF(L29&lt;0,L29*-1,0)</f>
        <v>99.7198724476933</v>
      </c>
      <c r="AM29" s="143" t="n">
        <f aca="false">AK29+AL29</f>
        <v>754.319872447694</v>
      </c>
      <c r="AN29" s="230"/>
      <c r="AO29" s="225"/>
      <c r="AP29" s="157" t="n">
        <f aca="false">795-X29</f>
        <v>451.689383324761</v>
      </c>
      <c r="AQ29" s="171" t="n">
        <f aca="false">58.018*(Z29*1.9835+AC29*1.9835)/E29</f>
        <v>14.4745850905297</v>
      </c>
      <c r="AR29" s="144" t="n">
        <f aca="false">1685.083/1.9835/31</f>
        <v>27.4048480610195</v>
      </c>
      <c r="AS29" s="158"/>
      <c r="AT29" s="5"/>
      <c r="AU29" s="4"/>
      <c r="AV29" s="330" t="n">
        <v>0</v>
      </c>
      <c r="AW29" s="231" t="n">
        <v>76.6</v>
      </c>
      <c r="AX29" s="225" t="n">
        <v>50</v>
      </c>
      <c r="AY29" s="149"/>
      <c r="AZ29" s="263" t="n">
        <f aca="false">SUM(N29,P29:U29)</f>
        <v>10.1592313857802</v>
      </c>
      <c r="BA29" s="1" t="n">
        <v>72.2</v>
      </c>
      <c r="BB29" s="471" t="n">
        <v>23284</v>
      </c>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2.75" hidden="false" customHeight="true" outlineLevel="0" collapsed="false">
      <c r="A30" s="192" t="n">
        <f aca="false">A29+1</f>
        <v>16</v>
      </c>
      <c r="B30" s="113" t="n">
        <v>6913.29</v>
      </c>
      <c r="C30" s="114" t="n">
        <v>335313</v>
      </c>
      <c r="D30" s="225" t="n">
        <f aca="false">C30-C29</f>
        <v>0</v>
      </c>
      <c r="E30" s="114" t="n">
        <f aca="false">C30-152000</f>
        <v>183313</v>
      </c>
      <c r="F30" s="259" t="n">
        <f aca="false">D30/$D$2</f>
        <v>0</v>
      </c>
      <c r="G30" s="143" t="n">
        <v>701</v>
      </c>
      <c r="H30" s="144" t="n">
        <v>0</v>
      </c>
      <c r="I30" s="143" t="n">
        <f aca="false">G30+H30</f>
        <v>701</v>
      </c>
      <c r="J30" s="144" t="n">
        <f aca="false">IF(L30&gt;0,L30,0)</f>
        <v>0</v>
      </c>
      <c r="K30" s="143" t="n">
        <f aca="false">I30+J30</f>
        <v>701</v>
      </c>
      <c r="L30" s="143" t="n">
        <f aca="false">F30-(I30-AK30)</f>
        <v>-41.0999999999999</v>
      </c>
      <c r="M30" s="261" t="n">
        <v>204</v>
      </c>
      <c r="N30" s="171" t="n">
        <f aca="false">1/$D$2*1.03</f>
        <v>0.519284093773632</v>
      </c>
      <c r="O30" s="143" t="n">
        <f aca="false">60.7*1.05</f>
        <v>63.735</v>
      </c>
      <c r="P30" s="171" t="n">
        <v>0.906</v>
      </c>
      <c r="Q30" s="520" t="n">
        <f aca="false">1647300/325851/1.9835*1.17</f>
        <v>2.98199765250312</v>
      </c>
      <c r="R30" s="139" t="n">
        <v>4.2</v>
      </c>
      <c r="S30" s="139" t="n">
        <f aca="false">((6.6*1.04)-T30)-4.2</f>
        <v>1.64251616</v>
      </c>
      <c r="T30" s="139" t="n">
        <f aca="false">(0.9266*1.06)*1.04</f>
        <v>1.02148384</v>
      </c>
      <c r="U30" s="365" t="n">
        <v>0</v>
      </c>
      <c r="V30" s="143" t="n">
        <v>99.8</v>
      </c>
      <c r="W30" s="143" t="n">
        <v>73</v>
      </c>
      <c r="X30" s="143" t="n">
        <f aca="false">M30-N30-O30-P30-Q30-R30-S30-T30-U30+V30+W30-AT30+AR30</f>
        <v>329.198566314743</v>
      </c>
      <c r="Y30" s="143" t="n">
        <f aca="false">X30-AO30</f>
        <v>329.198566314743</v>
      </c>
      <c r="Z30" s="114" t="n">
        <f aca="false">Z29</f>
        <v>21924.8200859792</v>
      </c>
      <c r="AA30" s="143" t="n">
        <f aca="false">(-AP30)</f>
        <v>-362.919436032754</v>
      </c>
      <c r="AB30" s="114"/>
      <c r="AC30" s="114" t="n">
        <f aca="false">AC29-(AQ29/1.9835)+AS30</f>
        <v>1124.96898074752</v>
      </c>
      <c r="AD30" s="225" t="n">
        <f aca="false">AD29</f>
        <v>2618.93636501134</v>
      </c>
      <c r="AE30" s="143" t="n">
        <v>204</v>
      </c>
      <c r="AF30" s="261" t="n">
        <v>1.7</v>
      </c>
      <c r="AG30" s="262" t="n">
        <v>1.3</v>
      </c>
      <c r="AH30" s="143" t="n">
        <v>79.1</v>
      </c>
      <c r="AI30" s="114" t="n">
        <f aca="false">AI29-AH30</f>
        <v>11433.7578774893</v>
      </c>
      <c r="AJ30" s="114"/>
      <c r="AK30" s="142" t="n">
        <f aca="false">N30+O30+P30+Q30+R30+S30+T30+U30+X30+AE30+AH30-AR30</f>
        <v>659.9</v>
      </c>
      <c r="AL30" s="143" t="n">
        <f aca="false">IF(L30&lt;0,L30*-1,0)</f>
        <v>41.0999999999999</v>
      </c>
      <c r="AM30" s="143" t="n">
        <f aca="false">AK30+AL30</f>
        <v>701</v>
      </c>
      <c r="AN30" s="230"/>
      <c r="AO30" s="225"/>
      <c r="AP30" s="157" t="n">
        <f aca="false">I30-Q30-R30-X30-AF30</f>
        <v>362.919436032754</v>
      </c>
      <c r="AQ30" s="171" t="n">
        <f aca="false">64.942*(Z30*1.9835+AC30*1.9835)/E30</f>
        <v>16.196887089387</v>
      </c>
      <c r="AR30" s="144" t="n">
        <f aca="false">1685.083/1.9835/31</f>
        <v>27.4048480610195</v>
      </c>
      <c r="AS30" s="158"/>
      <c r="AT30" s="5"/>
      <c r="AU30" s="4"/>
      <c r="AV30" s="330" t="n">
        <v>0</v>
      </c>
      <c r="AW30" s="231" t="n">
        <v>86</v>
      </c>
      <c r="AX30" s="225" t="n">
        <v>53</v>
      </c>
      <c r="AY30" s="149"/>
      <c r="AZ30" s="263" t="n">
        <f aca="false">SUM(N30,P30:U30)</f>
        <v>11.2712817462767</v>
      </c>
      <c r="BA30" s="1" t="n">
        <v>105</v>
      </c>
      <c r="BB30" s="471" t="n">
        <v>23018</v>
      </c>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row>
    <row r="31" customFormat="false" ht="12.95" hidden="false" customHeight="true" outlineLevel="0" collapsed="false">
      <c r="A31" s="192" t="n">
        <f aca="false">A30+1</f>
        <v>17</v>
      </c>
      <c r="B31" s="113" t="n">
        <v>6913.23</v>
      </c>
      <c r="C31" s="114" t="n">
        <v>335066</v>
      </c>
      <c r="D31" s="225" t="n">
        <f aca="false">C31-C30</f>
        <v>-247</v>
      </c>
      <c r="E31" s="114" t="n">
        <f aca="false">C31-152000</f>
        <v>183066</v>
      </c>
      <c r="F31" s="259" t="n">
        <f aca="false">D31/$D$2</f>
        <v>-124.527350642803</v>
      </c>
      <c r="G31" s="143" t="n">
        <v>558</v>
      </c>
      <c r="H31" s="144" t="n">
        <v>0</v>
      </c>
      <c r="I31" s="143" t="n">
        <f aca="false">G31+H31</f>
        <v>558</v>
      </c>
      <c r="J31" s="144" t="n">
        <f aca="false">IF(L31&gt;0,L31,0)</f>
        <v>0</v>
      </c>
      <c r="K31" s="143" t="n">
        <f aca="false">I31+J31</f>
        <v>558</v>
      </c>
      <c r="L31" s="143" t="n">
        <f aca="false">F31-(I31-AK31)</f>
        <v>-12.7273506428031</v>
      </c>
      <c r="M31" s="261" t="n">
        <v>216</v>
      </c>
      <c r="N31" s="171" t="n">
        <f aca="false">1/$D$2*1.03</f>
        <v>0.519284093773632</v>
      </c>
      <c r="O31" s="143" t="n">
        <f aca="false">49*1.05</f>
        <v>51.45</v>
      </c>
      <c r="P31" s="171" t="n">
        <v>1.2</v>
      </c>
      <c r="Q31" s="520" t="n">
        <f aca="false">1565800/325851/1.9835*1.18</f>
        <v>2.85868980666186</v>
      </c>
      <c r="R31" s="139" t="n">
        <f aca="false">((5.1)*1.04)-T31</f>
        <v>4.11296704</v>
      </c>
      <c r="S31" s="139" t="n">
        <v>0</v>
      </c>
      <c r="T31" s="139" t="n">
        <f aca="false">(1.0804*1.06)*1.04</f>
        <v>1.19103296</v>
      </c>
      <c r="U31" s="365" t="n">
        <v>0</v>
      </c>
      <c r="V31" s="143" t="n">
        <v>98.3</v>
      </c>
      <c r="W31" s="143" t="n">
        <v>72.4</v>
      </c>
      <c r="X31" s="143" t="n">
        <f aca="false">M31-N31-O31-P31-Q31-R31-S31-T31-U31+V31+W31-AT31+AR31</f>
        <v>352.772874160584</v>
      </c>
      <c r="Y31" s="143" t="n">
        <f aca="false">X31-AO31</f>
        <v>352.772874160584</v>
      </c>
      <c r="Z31" s="114" t="n">
        <f aca="false">Z30</f>
        <v>21924.8200859792</v>
      </c>
      <c r="AA31" s="143" t="n">
        <f aca="false">(-AP31)</f>
        <v>-196.555468992754</v>
      </c>
      <c r="AB31" s="114"/>
      <c r="AC31" s="114" t="n">
        <f aca="false">AC30-(AQ30/1.9835)+AS31</f>
        <v>1116.80316925804</v>
      </c>
      <c r="AD31" s="225" t="n">
        <f aca="false">AD30</f>
        <v>2618.93636501134</v>
      </c>
      <c r="AE31" s="143" t="n">
        <v>204</v>
      </c>
      <c r="AF31" s="261" t="n">
        <v>1.7</v>
      </c>
      <c r="AG31" s="262" t="n">
        <v>1.3</v>
      </c>
      <c r="AH31" s="143" t="n">
        <v>79.1</v>
      </c>
      <c r="AI31" s="114" t="n">
        <f aca="false">AI30-AH31</f>
        <v>11354.6578774893</v>
      </c>
      <c r="AJ31" s="114"/>
      <c r="AK31" s="142" t="n">
        <f aca="false">N31+O31+P31+Q31+R31+S31+T31+U31+X31+AE31+AH31-AR31</f>
        <v>669.8</v>
      </c>
      <c r="AL31" s="143" t="n">
        <f aca="false">IF(L31&lt;0,L31*-1,0)</f>
        <v>12.7273506428031</v>
      </c>
      <c r="AM31" s="143" t="n">
        <f aca="false">AK31+AL31</f>
        <v>682.527350642803</v>
      </c>
      <c r="AN31" s="230"/>
      <c r="AO31" s="225"/>
      <c r="AP31" s="157" t="n">
        <f aca="false">I31-Q31-R31-X31-AF31</f>
        <v>196.555468992754</v>
      </c>
      <c r="AQ31" s="171" t="n">
        <f aca="false">69.001*(Z31*1.9835+AC31*1.9835)/E31</f>
        <v>17.2263381742452</v>
      </c>
      <c r="AR31" s="144" t="n">
        <f aca="false">1685.083/1.9835/31</f>
        <v>27.4048480610195</v>
      </c>
      <c r="AS31" s="158"/>
      <c r="AT31" s="5"/>
      <c r="AU31" s="4"/>
      <c r="AV31" s="330" t="n">
        <v>0</v>
      </c>
      <c r="AW31" s="231" t="n">
        <v>87</v>
      </c>
      <c r="AX31" s="225" t="n">
        <v>54</v>
      </c>
      <c r="AY31" s="149"/>
      <c r="AZ31" s="263" t="n">
        <f aca="false">SUM(N31,P31:U31)</f>
        <v>9.88197390043549</v>
      </c>
      <c r="BA31" s="1" t="n">
        <v>36.8</v>
      </c>
      <c r="BB31" s="471" t="n">
        <v>22845</v>
      </c>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2.95" hidden="false" customHeight="true" outlineLevel="0" collapsed="false">
      <c r="A32" s="192" t="n">
        <f aca="false">A31+1</f>
        <v>18</v>
      </c>
      <c r="B32" s="113" t="n">
        <v>6913.07</v>
      </c>
      <c r="C32" s="114" t="n">
        <v>334409</v>
      </c>
      <c r="D32" s="225" t="n">
        <f aca="false">C32-C31</f>
        <v>-657</v>
      </c>
      <c r="E32" s="114" t="n">
        <f aca="false">C32-152000</f>
        <v>182409</v>
      </c>
      <c r="F32" s="259" t="n">
        <f aca="false">D32/$D$2</f>
        <v>-331.232669523569</v>
      </c>
      <c r="G32" s="143" t="n">
        <v>424</v>
      </c>
      <c r="H32" s="144" t="n">
        <v>0</v>
      </c>
      <c r="I32" s="143" t="n">
        <f aca="false">G32+H32</f>
        <v>424</v>
      </c>
      <c r="J32" s="144" t="n">
        <f aca="false">IF(L32&gt;0,L32,0)</f>
        <v>0</v>
      </c>
      <c r="K32" s="143" t="n">
        <f aca="false">I32+J32</f>
        <v>424</v>
      </c>
      <c r="L32" s="143" t="n">
        <f aca="false">F32-(I32-AK32)</f>
        <v>-87.1326695235694</v>
      </c>
      <c r="M32" s="261" t="n">
        <v>212</v>
      </c>
      <c r="N32" s="171" t="n">
        <f aca="false">1/$D$2*1.03</f>
        <v>0.519284093773632</v>
      </c>
      <c r="O32" s="143" t="n">
        <f aca="false">45.3*1.05</f>
        <v>47.565</v>
      </c>
      <c r="P32" s="171" t="n">
        <v>1.09</v>
      </c>
      <c r="Q32" s="520" t="n">
        <f aca="false">1601900/325851/1.9835*1.19</f>
        <v>2.94938250525374</v>
      </c>
      <c r="R32" s="139" t="n">
        <f aca="false">((4.9)*1.04)-T32</f>
        <v>3.90496704</v>
      </c>
      <c r="S32" s="139" t="n">
        <v>0</v>
      </c>
      <c r="T32" s="139" t="n">
        <f aca="false">(1.0804*1.06)*1.04</f>
        <v>1.19103296</v>
      </c>
      <c r="U32" s="365" t="n">
        <v>0</v>
      </c>
      <c r="V32" s="143" t="n">
        <v>97.4</v>
      </c>
      <c r="W32" s="143" t="n">
        <v>71.6</v>
      </c>
      <c r="X32" s="143" t="n">
        <f aca="false">M32-N32-O32-P32-Q32-R32-S32-T32-U32+V32+W32-AT32+AR32</f>
        <v>351.185181461992</v>
      </c>
      <c r="Y32" s="143" t="n">
        <f aca="false">X32-AO32</f>
        <v>351.185181461992</v>
      </c>
      <c r="Z32" s="114" t="n">
        <f aca="false">Z31</f>
        <v>21924.8200859792</v>
      </c>
      <c r="AA32" s="143" t="n">
        <f aca="false">(-AP32)</f>
        <v>-64.2604689927542</v>
      </c>
      <c r="AB32" s="114"/>
      <c r="AC32" s="114" t="n">
        <f aca="false">AC31-(AQ31/1.9835)+AS32</f>
        <v>1108.11835041547</v>
      </c>
      <c r="AD32" s="225" t="n">
        <f aca="false">AD31</f>
        <v>2618.93636501134</v>
      </c>
      <c r="AE32" s="143" t="n">
        <v>208</v>
      </c>
      <c r="AF32" s="261" t="n">
        <v>1.7</v>
      </c>
      <c r="AG32" s="262" t="n">
        <v>1.3</v>
      </c>
      <c r="AH32" s="143" t="n">
        <v>79.1</v>
      </c>
      <c r="AI32" s="114" t="n">
        <f aca="false">AI31-AH32</f>
        <v>11275.5578774893</v>
      </c>
      <c r="AJ32" s="114"/>
      <c r="AK32" s="142" t="n">
        <f aca="false">N32+O32+P32+Q32+R32+S32+T32+U32+X32+AE32+AH32-AR32</f>
        <v>668.1</v>
      </c>
      <c r="AL32" s="143" t="n">
        <f aca="false">IF(L32&lt;0,L32*-1,0)</f>
        <v>87.1326695235694</v>
      </c>
      <c r="AM32" s="143" t="n">
        <f aca="false">AK32+AL32</f>
        <v>755.232669523569</v>
      </c>
      <c r="AN32" s="230"/>
      <c r="AO32" s="225"/>
      <c r="AP32" s="157" t="n">
        <f aca="false">I32-Q32-R32-X32-AF32</f>
        <v>64.2604689927542</v>
      </c>
      <c r="AQ32" s="171" t="n">
        <f aca="false">56.824*(Z32*1.9835+AC32*1.9835)/E32</f>
        <v>14.2320378735324</v>
      </c>
      <c r="AR32" s="144" t="n">
        <f aca="false">1685.083/1.9835/31</f>
        <v>27.4048480610195</v>
      </c>
      <c r="AS32" s="158"/>
      <c r="AT32" s="5"/>
      <c r="AU32" s="4"/>
      <c r="AV32" s="330" t="n">
        <v>0</v>
      </c>
      <c r="AW32" s="231" t="n">
        <v>83</v>
      </c>
      <c r="AX32" s="225" t="n">
        <v>57</v>
      </c>
      <c r="AY32" s="149"/>
      <c r="AZ32" s="263" t="n">
        <f aca="false">SUM(N32,P32:U32)</f>
        <v>9.65466659902737</v>
      </c>
      <c r="BA32" s="1" t="n">
        <v>0.813</v>
      </c>
      <c r="BB32" s="471" t="n">
        <v>22790</v>
      </c>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2.95" hidden="false" customHeight="true" outlineLevel="0" collapsed="false">
      <c r="A33" s="192" t="n">
        <f aca="false">A32+1</f>
        <v>19</v>
      </c>
      <c r="B33" s="113" t="n">
        <v>6912.96</v>
      </c>
      <c r="C33" s="114" t="n">
        <v>333958</v>
      </c>
      <c r="D33" s="225" t="n">
        <f aca="false">C33-C32</f>
        <v>-451</v>
      </c>
      <c r="E33" s="114" t="n">
        <f aca="false">C33-152000</f>
        <v>181958</v>
      </c>
      <c r="F33" s="259" t="n">
        <f aca="false">D33/$D$2</f>
        <v>-227.375850768843</v>
      </c>
      <c r="G33" s="143" t="n">
        <v>383</v>
      </c>
      <c r="H33" s="144" t="n">
        <v>0</v>
      </c>
      <c r="I33" s="143" t="n">
        <f aca="false">G33+H33</f>
        <v>383</v>
      </c>
      <c r="J33" s="144" t="n">
        <f aca="false">IF(L33&gt;0,L33,0)</f>
        <v>17.7241492311571</v>
      </c>
      <c r="K33" s="143" t="n">
        <f aca="false">I33+J33</f>
        <v>400.724149231157</v>
      </c>
      <c r="L33" s="143" t="n">
        <f aca="false">F33-(I33-AK33)</f>
        <v>17.7241492311571</v>
      </c>
      <c r="M33" s="261" t="n">
        <v>215</v>
      </c>
      <c r="N33" s="171" t="n">
        <f aca="false">1/$D$2*1.03</f>
        <v>0.519284093773632</v>
      </c>
      <c r="O33" s="143" t="n">
        <f aca="false">46.6*1.05</f>
        <v>48.93</v>
      </c>
      <c r="P33" s="171" t="n">
        <v>0.98</v>
      </c>
      <c r="Q33" s="520" t="n">
        <f aca="false">1606400/325851/1.9835*1.2</f>
        <v>2.98252215605708</v>
      </c>
      <c r="R33" s="139" t="n">
        <f aca="false">((4.3)*1.04)-T33</f>
        <v>3.28096704</v>
      </c>
      <c r="S33" s="139" t="n">
        <v>0</v>
      </c>
      <c r="T33" s="139" t="n">
        <f aca="false">(1.0804*1.06)*1.04</f>
        <v>1.19103296</v>
      </c>
      <c r="U33" s="365" t="n">
        <v>0</v>
      </c>
      <c r="V33" s="143" t="n">
        <v>98.5</v>
      </c>
      <c r="W33" s="143" t="n">
        <v>72.5</v>
      </c>
      <c r="X33" s="143" t="n">
        <f aca="false">M33-N33-O33-P33-Q33-R33-S33-T33-U33+V33+W33-AT33+AR33</f>
        <v>355.521041811189</v>
      </c>
      <c r="Y33" s="143" t="n">
        <f aca="false">X33-AO33</f>
        <v>355.521041811189</v>
      </c>
      <c r="Z33" s="114" t="n">
        <f aca="false">Z32</f>
        <v>21924.8200859792</v>
      </c>
      <c r="AA33" s="143" t="n">
        <f aca="false">(-AP33)</f>
        <v>-19.5154689927541</v>
      </c>
      <c r="AB33" s="114"/>
      <c r="AC33" s="114" t="n">
        <f aca="false">AC32-(AQ32/1.9835)+AS33</f>
        <v>1100.94313595944</v>
      </c>
      <c r="AD33" s="225" t="n">
        <f aca="false">AD32</f>
        <v>2618.93636501134</v>
      </c>
      <c r="AE33" s="143" t="n">
        <v>163</v>
      </c>
      <c r="AF33" s="261" t="n">
        <v>1.7</v>
      </c>
      <c r="AG33" s="262" t="n">
        <v>1.3</v>
      </c>
      <c r="AH33" s="143" t="n">
        <v>79.1</v>
      </c>
      <c r="AI33" s="114" t="n">
        <f aca="false">AI32-AH33</f>
        <v>11196.4578774893</v>
      </c>
      <c r="AJ33" s="114"/>
      <c r="AK33" s="142" t="n">
        <f aca="false">N33+O33+P33+Q33+R33+S33+T33+U33+X33+AE33+AH33-AR33</f>
        <v>628.1</v>
      </c>
      <c r="AL33" s="143" t="n">
        <f aca="false">IF(L33&lt;0,L33*-1,0)</f>
        <v>0</v>
      </c>
      <c r="AM33" s="143" t="n">
        <f aca="false">AK33+AL33</f>
        <v>628.1</v>
      </c>
      <c r="AN33" s="230"/>
      <c r="AO33" s="225"/>
      <c r="AP33" s="157" t="n">
        <f aca="false">I33-Q33-R33-X33-AF33</f>
        <v>19.5154689927541</v>
      </c>
      <c r="AQ33" s="171" t="n">
        <f aca="false">21.488*(Z33*1.9835+AC33*1.9835)/E33</f>
        <v>5.39350492874273</v>
      </c>
      <c r="AR33" s="144" t="n">
        <f aca="false">1685.083/1.9835/31</f>
        <v>27.4048480610195</v>
      </c>
      <c r="AS33" s="158"/>
      <c r="AT33" s="5"/>
      <c r="AU33" s="4"/>
      <c r="AV33" s="330" t="n">
        <v>0.03</v>
      </c>
      <c r="AW33" s="231" t="n">
        <v>79</v>
      </c>
      <c r="AX33" s="225" t="n">
        <v>55</v>
      </c>
      <c r="AY33" s="149"/>
      <c r="AZ33" s="263" t="n">
        <f aca="false">SUM(N33,P33:U33)</f>
        <v>8.95380624983071</v>
      </c>
      <c r="BA33" s="1" t="n">
        <v>0.764</v>
      </c>
      <c r="BB33" s="471" t="n">
        <v>22823</v>
      </c>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2.95" hidden="false" customHeight="true" outlineLevel="0" collapsed="false">
      <c r="A34" s="192" t="n">
        <f aca="false">A33+1</f>
        <v>20</v>
      </c>
      <c r="B34" s="113" t="n">
        <v>6912.81</v>
      </c>
      <c r="C34" s="114" t="n">
        <v>333347</v>
      </c>
      <c r="D34" s="225" t="n">
        <f aca="false">C34-C33</f>
        <v>-611</v>
      </c>
      <c r="E34" s="114" t="n">
        <f aca="false">C34-152000</f>
        <v>181347</v>
      </c>
      <c r="F34" s="259" t="n">
        <f aca="false">D34/$D$2</f>
        <v>-308.041341063776</v>
      </c>
      <c r="G34" s="143" t="n">
        <v>351</v>
      </c>
      <c r="H34" s="144" t="n">
        <v>0</v>
      </c>
      <c r="I34" s="143" t="n">
        <f aca="false">G34+H34</f>
        <v>351</v>
      </c>
      <c r="J34" s="144" t="n">
        <f aca="false">IF(L34&gt;0,L34,0)</f>
        <v>7.35865893622395</v>
      </c>
      <c r="K34" s="143" t="n">
        <f aca="false">I34+J34</f>
        <v>358.358658936224</v>
      </c>
      <c r="L34" s="143" t="n">
        <f aca="false">F34-(I34-AK34)</f>
        <v>7.35865893622395</v>
      </c>
      <c r="M34" s="261" t="n">
        <v>213</v>
      </c>
      <c r="N34" s="171" t="n">
        <f aca="false">1/$D$2*1.03</f>
        <v>0.519284093773632</v>
      </c>
      <c r="O34" s="143" t="n">
        <f aca="false">48.7*1.05</f>
        <v>51.135</v>
      </c>
      <c r="P34" s="171" t="n">
        <v>1.25</v>
      </c>
      <c r="Q34" s="520" t="n">
        <f aca="false">1819400/325851/1.9835*1.21</f>
        <v>3.40613845710056</v>
      </c>
      <c r="R34" s="139" t="n">
        <f aca="false">((4.5)*1.04)-T34</f>
        <v>3.48896704</v>
      </c>
      <c r="S34" s="139" t="n">
        <v>0</v>
      </c>
      <c r="T34" s="139" t="n">
        <f aca="false">(1.0804*1.06)*1.04</f>
        <v>1.19103296</v>
      </c>
      <c r="U34" s="365" t="n">
        <v>0</v>
      </c>
      <c r="V34" s="143" t="n">
        <v>102</v>
      </c>
      <c r="W34" s="143" t="n">
        <v>72.3</v>
      </c>
      <c r="X34" s="143" t="n">
        <f aca="false">M34-N34-O34-P34-Q34-R34-S34-T34-U34+V34+W34-AT34+AR34</f>
        <v>353.714425510145</v>
      </c>
      <c r="Y34" s="143" t="n">
        <f aca="false">X34-AO34</f>
        <v>353.714425510145</v>
      </c>
      <c r="Z34" s="114" t="n">
        <f aca="false">Z33</f>
        <v>21924.8200859792</v>
      </c>
      <c r="AA34" s="143" t="n">
        <f aca="false">(-AP34)</f>
        <v>11.3095310072459</v>
      </c>
      <c r="AB34" s="114"/>
      <c r="AC34" s="114" t="n">
        <f aca="false">AC33-(AQ33/1.9835)+AS34</f>
        <v>1098.22395021266</v>
      </c>
      <c r="AD34" s="225" t="n">
        <f aca="false">AD33</f>
        <v>2618.93636501134</v>
      </c>
      <c r="AE34" s="143" t="n">
        <v>200</v>
      </c>
      <c r="AF34" s="261" t="n">
        <v>1.7</v>
      </c>
      <c r="AG34" s="262" t="n">
        <v>1.3</v>
      </c>
      <c r="AH34" s="143" t="n">
        <v>79.1</v>
      </c>
      <c r="AI34" s="114" t="n">
        <f aca="false">AI33-AH34</f>
        <v>11117.3578774893</v>
      </c>
      <c r="AJ34" s="114"/>
      <c r="AK34" s="142" t="n">
        <f aca="false">N34+O34+P34+Q34+R34+S34+T34+U34+X34+AE34+AH34-AR34</f>
        <v>666.4</v>
      </c>
      <c r="AL34" s="143" t="n">
        <f aca="false">IF(L34&lt;0,L34*-1,0)</f>
        <v>0</v>
      </c>
      <c r="AM34" s="143" t="n">
        <f aca="false">AK34+AL34</f>
        <v>666.4</v>
      </c>
      <c r="AN34" s="230"/>
      <c r="AO34" s="225"/>
      <c r="AP34" s="157" t="n">
        <f aca="false">I34-Q34-R34-X34-AF34</f>
        <v>-11.3095310072459</v>
      </c>
      <c r="AQ34" s="171" t="n">
        <f aca="false">45.842*(Z34*1.9835+AC34*1.9835)/E34</f>
        <v>11.5437823623581</v>
      </c>
      <c r="AR34" s="144" t="n">
        <f aca="false">1685.083/1.9835/31</f>
        <v>27.4048480610195</v>
      </c>
      <c r="AS34" s="158"/>
      <c r="AT34" s="5"/>
      <c r="AU34" s="4"/>
      <c r="AV34" s="330" t="n">
        <v>0.03</v>
      </c>
      <c r="AW34" s="231" t="n">
        <v>87</v>
      </c>
      <c r="AX34" s="225" t="n">
        <v>53</v>
      </c>
      <c r="AY34" s="149"/>
      <c r="AZ34" s="263" t="n">
        <f aca="false">SUM(N34,P34:U34)</f>
        <v>9.85542255087419</v>
      </c>
      <c r="BA34" s="1" t="n">
        <v>0.65</v>
      </c>
      <c r="BB34" s="471" t="n">
        <v>22827</v>
      </c>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2.95" hidden="false" customHeight="true" outlineLevel="0" collapsed="false">
      <c r="A35" s="192" t="n">
        <f aca="false">A34+1</f>
        <v>21</v>
      </c>
      <c r="B35" s="113" t="n">
        <v>6912.63</v>
      </c>
      <c r="C35" s="114" t="n">
        <v>332613</v>
      </c>
      <c r="D35" s="225" t="n">
        <f aca="false">C35-C34</f>
        <v>-734</v>
      </c>
      <c r="E35" s="114" t="n">
        <f aca="false">C35-152000</f>
        <v>180613</v>
      </c>
      <c r="F35" s="259" t="n">
        <f aca="false">D35/$D$2</f>
        <v>-370.052936728006</v>
      </c>
      <c r="G35" s="143" t="n">
        <v>333</v>
      </c>
      <c r="H35" s="144" t="n">
        <v>0</v>
      </c>
      <c r="I35" s="143" t="n">
        <f aca="false">G35+H35</f>
        <v>333</v>
      </c>
      <c r="J35" s="144" t="n">
        <f aca="false">IF(L35&gt;0,L35,0)</f>
        <v>0</v>
      </c>
      <c r="K35" s="143" t="n">
        <f aca="false">I35+J35</f>
        <v>333</v>
      </c>
      <c r="L35" s="143" t="n">
        <f aca="false">F35-(I35-AK35)</f>
        <v>-32.852936728006</v>
      </c>
      <c r="M35" s="261" t="n">
        <v>208</v>
      </c>
      <c r="N35" s="171" t="n">
        <f aca="false">1/$D$2*1.03</f>
        <v>0.519284093773632</v>
      </c>
      <c r="O35" s="143" t="n">
        <f aca="false">29*1.05</f>
        <v>30.45</v>
      </c>
      <c r="P35" s="171" t="n">
        <v>1.55</v>
      </c>
      <c r="Q35" s="520" t="n">
        <f aca="false">1519300/325851/1.9835*1.22</f>
        <v>2.86782142900843</v>
      </c>
      <c r="R35" s="139" t="n">
        <f aca="false">((4.6)*1.04)-T35</f>
        <v>3.59296704</v>
      </c>
      <c r="S35" s="139" t="n">
        <v>0</v>
      </c>
      <c r="T35" s="139" t="n">
        <f aca="false">(1.0804*1.06)*1.04</f>
        <v>1.19103296</v>
      </c>
      <c r="U35" s="365" t="n">
        <v>0</v>
      </c>
      <c r="V35" s="143" t="n">
        <v>103</v>
      </c>
      <c r="W35" s="143" t="n">
        <v>72.1</v>
      </c>
      <c r="X35" s="143" t="n">
        <f aca="false">M35-N35-O35-P35-Q35-R35-S35-T35-U35+V35+W35-AT35+AR35</f>
        <v>370.333742538237</v>
      </c>
      <c r="Y35" s="143" t="n">
        <f aca="false">X35-AO35</f>
        <v>370.333742538237</v>
      </c>
      <c r="Z35" s="114" t="n">
        <f aca="false">Z34+AP35</f>
        <v>21879.325554972</v>
      </c>
      <c r="AA35" s="143" t="n">
        <f aca="false">(-AP35)</f>
        <v>45.4945310072459</v>
      </c>
      <c r="AB35" s="114"/>
      <c r="AC35" s="114" t="n">
        <f aca="false">AC34-(AQ34/1.9835)+AS35</f>
        <v>1092.40404481192</v>
      </c>
      <c r="AD35" s="225" t="n">
        <f aca="false">AD34</f>
        <v>2618.93636501134</v>
      </c>
      <c r="AE35" s="143" t="n">
        <v>208</v>
      </c>
      <c r="AF35" s="261" t="n">
        <v>1.7</v>
      </c>
      <c r="AG35" s="262" t="n">
        <v>1.3</v>
      </c>
      <c r="AH35" s="143" t="n">
        <v>79.1</v>
      </c>
      <c r="AI35" s="114" t="n">
        <f aca="false">AI34-AH35</f>
        <v>11038.2578774893</v>
      </c>
      <c r="AJ35" s="114"/>
      <c r="AK35" s="142" t="n">
        <f aca="false">N35+O35+P35+Q35+R35+S35+T35+U35+X35+AE35+AH35-AR35</f>
        <v>670.2</v>
      </c>
      <c r="AL35" s="143" t="n">
        <f aca="false">IF(L35&lt;0,L35*-1,0)</f>
        <v>32.852936728006</v>
      </c>
      <c r="AM35" s="143" t="n">
        <f aca="false">AK35+AL35</f>
        <v>703.052936728006</v>
      </c>
      <c r="AN35" s="230"/>
      <c r="AO35" s="225"/>
      <c r="AP35" s="157" t="n">
        <f aca="false">I35-Q35-R35-X35-AF35</f>
        <v>-45.4945310072459</v>
      </c>
      <c r="AQ35" s="171" t="n">
        <f aca="false">57.541*(Z35*1.9835+AC35*1.9835)/E35</f>
        <v>14.5162453254719</v>
      </c>
      <c r="AR35" s="144" t="n">
        <f aca="false">1685.083/1.9835/31</f>
        <v>27.4048480610195</v>
      </c>
      <c r="AS35" s="158"/>
      <c r="AT35" s="5"/>
      <c r="AU35" s="4"/>
      <c r="AV35" s="330" t="n">
        <v>0</v>
      </c>
      <c r="AW35" s="225" t="n">
        <v>83</v>
      </c>
      <c r="AX35" s="225" t="n">
        <v>54</v>
      </c>
      <c r="AY35" s="149"/>
      <c r="AZ35" s="263" t="n">
        <f aca="false">SUM(N35,P35:U35)</f>
        <v>9.72110552278206</v>
      </c>
      <c r="BA35" s="1" t="n">
        <v>0.65</v>
      </c>
      <c r="BB35" s="471" t="n">
        <v>22939</v>
      </c>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customFormat="false" ht="12.95" hidden="false" customHeight="true" outlineLevel="0" collapsed="false">
      <c r="A36" s="192" t="n">
        <f aca="false">A35+1</f>
        <v>22</v>
      </c>
      <c r="B36" s="113" t="n">
        <v>6912.42</v>
      </c>
      <c r="C36" s="114" t="n">
        <v>331757</v>
      </c>
      <c r="D36" s="225" t="n">
        <f aca="false">C36-C35</f>
        <v>-856</v>
      </c>
      <c r="E36" s="114" t="n">
        <f aca="false">C36-152000</f>
        <v>179757</v>
      </c>
      <c r="F36" s="259" t="n">
        <f aca="false">D36/$D$2</f>
        <v>-431.560373077893</v>
      </c>
      <c r="G36" s="143" t="n">
        <v>298</v>
      </c>
      <c r="H36" s="144" t="n">
        <v>0</v>
      </c>
      <c r="I36" s="143" t="n">
        <f aca="false">G36+H36</f>
        <v>298</v>
      </c>
      <c r="J36" s="144" t="n">
        <f aca="false">IF(L36&gt;0,L36,0)</f>
        <v>0</v>
      </c>
      <c r="K36" s="143" t="n">
        <f aca="false">I36+J36</f>
        <v>298</v>
      </c>
      <c r="L36" s="143" t="n">
        <f aca="false">F36-(I36-AK36)</f>
        <v>-60.4603730778925</v>
      </c>
      <c r="M36" s="261" t="n">
        <v>215</v>
      </c>
      <c r="N36" s="171" t="n">
        <f aca="false">1/$D$2*1.03</f>
        <v>0.519284093773632</v>
      </c>
      <c r="O36" s="143" t="n">
        <f aca="false">36.4*1.05</f>
        <v>38.22</v>
      </c>
      <c r="P36" s="171" t="n">
        <v>0.738</v>
      </c>
      <c r="Q36" s="520" t="n">
        <f aca="false">1915700/325851/1.9835*1.23</f>
        <v>3.64570352136299</v>
      </c>
      <c r="R36" s="139" t="n">
        <f aca="false">((4.6)*1.04)-T36</f>
        <v>3.59296704</v>
      </c>
      <c r="S36" s="139" t="n">
        <v>0</v>
      </c>
      <c r="T36" s="139" t="n">
        <f aca="false">(1.0804*1.06)*1.04</f>
        <v>1.19103296</v>
      </c>
      <c r="U36" s="365" t="n">
        <v>0</v>
      </c>
      <c r="V36" s="143" t="n">
        <v>104</v>
      </c>
      <c r="W36" s="143" t="n">
        <v>72</v>
      </c>
      <c r="X36" s="143" t="n">
        <f aca="false">M36-N36-O36-P36-Q36-R36-S36-T36-U36+V36+W36-AT36+AR36</f>
        <v>370.497860445883</v>
      </c>
      <c r="Y36" s="143" t="n">
        <f aca="false">X36-AO36</f>
        <v>370.497860445883</v>
      </c>
      <c r="Z36" s="114" t="n">
        <f aca="false">Z35+AP36</f>
        <v>21797.8890239647</v>
      </c>
      <c r="AA36" s="143" t="n">
        <f aca="false">(-AP36)</f>
        <v>81.436531007246</v>
      </c>
      <c r="AB36" s="114"/>
      <c r="AC36" s="114" t="n">
        <f aca="false">AC35-(AQ35/1.9835)+AS36</f>
        <v>1085.08554452179</v>
      </c>
      <c r="AD36" s="225" t="n">
        <f aca="false">AD35</f>
        <v>2618.93636501134</v>
      </c>
      <c r="AE36" s="143" t="n">
        <v>199</v>
      </c>
      <c r="AF36" s="261" t="n">
        <v>1.7</v>
      </c>
      <c r="AG36" s="262" t="n">
        <v>1.3</v>
      </c>
      <c r="AH36" s="143" t="n">
        <v>79.1</v>
      </c>
      <c r="AI36" s="114" t="n">
        <f aca="false">AI35-AH36</f>
        <v>10959.1578774893</v>
      </c>
      <c r="AJ36" s="114"/>
      <c r="AK36" s="142" t="n">
        <f aca="false">N36+O36+P36+Q36+R36+S36+T36+U36+X36+AE36+AH36-AR36</f>
        <v>669.1</v>
      </c>
      <c r="AL36" s="143" t="n">
        <f aca="false">IF(L36&lt;0,L36*-1,0)</f>
        <v>60.4603730778925</v>
      </c>
      <c r="AM36" s="143" t="n">
        <f aca="false">AK36+AL36</f>
        <v>729.560373077893</v>
      </c>
      <c r="AN36" s="230"/>
      <c r="AO36" s="225"/>
      <c r="AP36" s="157" t="n">
        <f aca="false">I36-Q36-R36-X36-AF36</f>
        <v>-81.436531007246</v>
      </c>
      <c r="AQ36" s="171" t="n">
        <f aca="false">75.805*(Z36*1.9835+AC36*1.9835)/E36</f>
        <v>19.1406518254645</v>
      </c>
      <c r="AR36" s="144" t="n">
        <f aca="false">1685.083/1.9835/31</f>
        <v>27.4048480610195</v>
      </c>
      <c r="AS36" s="158"/>
      <c r="AT36" s="5"/>
      <c r="AU36" s="4"/>
      <c r="AV36" s="330" t="n">
        <v>0</v>
      </c>
      <c r="AW36" s="225" t="n">
        <v>87</v>
      </c>
      <c r="AX36" s="225" t="n">
        <v>53</v>
      </c>
      <c r="AY36" s="149"/>
      <c r="AZ36" s="263" t="n">
        <f aca="false">SUM(N36,P36:U36)</f>
        <v>9.68698761513662</v>
      </c>
      <c r="BA36" s="1" t="n">
        <v>0.65</v>
      </c>
      <c r="BB36" s="471" t="n">
        <v>22875</v>
      </c>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row>
    <row r="37" customFormat="false" ht="12.95" hidden="false" customHeight="true" outlineLevel="0" collapsed="false">
      <c r="A37" s="192" t="n">
        <f aca="false">A36+1</f>
        <v>23</v>
      </c>
      <c r="B37" s="113" t="n">
        <v>6912.23</v>
      </c>
      <c r="C37" s="114" t="n">
        <v>330982</v>
      </c>
      <c r="D37" s="225" t="n">
        <f aca="false">C37-C36</f>
        <v>-775</v>
      </c>
      <c r="E37" s="114" t="n">
        <f aca="false">C37-152000</f>
        <v>178982</v>
      </c>
      <c r="F37" s="259" t="n">
        <f aca="false">D37/$D$2</f>
        <v>-390.723468616083</v>
      </c>
      <c r="G37" s="143" t="n">
        <v>264</v>
      </c>
      <c r="H37" s="144" t="n">
        <v>0</v>
      </c>
      <c r="I37" s="143" t="n">
        <f aca="false">G37+H37</f>
        <v>264</v>
      </c>
      <c r="J37" s="144" t="n">
        <f aca="false">IF(L37&gt;0,L37,0)</f>
        <v>0</v>
      </c>
      <c r="K37" s="143" t="n">
        <f aca="false">I37+J37</f>
        <v>264</v>
      </c>
      <c r="L37" s="143" t="n">
        <f aca="false">F37-(I37-AK37)</f>
        <v>-1.52346861608265</v>
      </c>
      <c r="M37" s="261" t="n">
        <v>222</v>
      </c>
      <c r="N37" s="171" t="n">
        <f aca="false">1/$D$2*1.03</f>
        <v>0.519284093773632</v>
      </c>
      <c r="O37" s="143" t="n">
        <f aca="false">39.4*1.05</f>
        <v>41.37</v>
      </c>
      <c r="P37" s="171" t="n">
        <v>0</v>
      </c>
      <c r="Q37" s="520" t="n">
        <f aca="false">1784700/325851/1.9835*1.24</f>
        <v>3.42401489976276</v>
      </c>
      <c r="R37" s="139" t="n">
        <v>4.2</v>
      </c>
      <c r="S37" s="139" t="n">
        <f aca="false">((7*1.04)-T37)-4.2</f>
        <v>1.88896704</v>
      </c>
      <c r="T37" s="139" t="n">
        <f aca="false">(1.0804*1.06)*1.04</f>
        <v>1.19103296</v>
      </c>
      <c r="U37" s="365" t="n">
        <v>0</v>
      </c>
      <c r="V37" s="143" t="n">
        <v>104</v>
      </c>
      <c r="W37" s="143" t="n">
        <v>72.1</v>
      </c>
      <c r="X37" s="143" t="n">
        <f aca="false">M37-N37-O37-P37-Q37-R37-S37-T37-U37+V37+W37-AT37+AR37</f>
        <v>372.911549067483</v>
      </c>
      <c r="Y37" s="143" t="n">
        <f aca="false">X37-AO37</f>
        <v>372.911549067483</v>
      </c>
      <c r="Z37" s="114" t="n">
        <f aca="false">Z36+AP37</f>
        <v>21679.6534599975</v>
      </c>
      <c r="AA37" s="143" t="n">
        <f aca="false">(-AP37)</f>
        <v>118.235563967246</v>
      </c>
      <c r="AB37" s="114"/>
      <c r="AC37" s="114" t="n">
        <f aca="false">AC36-(AQ36/1.9835)+AS37</f>
        <v>1075.43560662138</v>
      </c>
      <c r="AD37" s="225" t="n">
        <f aca="false">AD36</f>
        <v>2618.93636501134</v>
      </c>
      <c r="AE37" s="143" t="n">
        <v>176</v>
      </c>
      <c r="AF37" s="261" t="n">
        <v>1.7</v>
      </c>
      <c r="AG37" s="262" t="n">
        <v>1.3</v>
      </c>
      <c r="AH37" s="143" t="n">
        <v>79.1</v>
      </c>
      <c r="AI37" s="114" t="n">
        <f aca="false">AI36-AH37</f>
        <v>10880.0578774893</v>
      </c>
      <c r="AJ37" s="114"/>
      <c r="AK37" s="142" t="n">
        <f aca="false">N37+O37+P37+Q37+R37+S37+T37+U37+X37+AE37+AH37-AR37</f>
        <v>653.2</v>
      </c>
      <c r="AL37" s="143" t="n">
        <f aca="false">IF(L37&lt;0,L37*-1,0)</f>
        <v>1.52346861608265</v>
      </c>
      <c r="AM37" s="143" t="n">
        <f aca="false">AK37+AL37</f>
        <v>654.723468616083</v>
      </c>
      <c r="AN37" s="230"/>
      <c r="AO37" s="225"/>
      <c r="AP37" s="157" t="n">
        <f aca="false">I37-Q37-R37-X37-AF37</f>
        <v>-118.235563967246</v>
      </c>
      <c r="AQ37" s="171" t="n">
        <f aca="false">72.015*(Z37*1.9835+AC37*1.9835)/E37</f>
        <v>18.1603557931492</v>
      </c>
      <c r="AR37" s="144" t="n">
        <f aca="false">1685.083/1.9835/31</f>
        <v>27.4048480610195</v>
      </c>
      <c r="AS37" s="158"/>
      <c r="AT37" s="5"/>
      <c r="AU37" s="4"/>
      <c r="AV37" s="330" t="n">
        <v>0</v>
      </c>
      <c r="AW37" s="225" t="n">
        <v>88</v>
      </c>
      <c r="AX37" s="231" t="n">
        <v>55</v>
      </c>
      <c r="AY37" s="149"/>
      <c r="AZ37" s="263" t="n">
        <f aca="false">SUM(N37,P37:U37)</f>
        <v>11.2232989935364</v>
      </c>
      <c r="BA37" s="1" t="n">
        <v>0.65</v>
      </c>
      <c r="BB37" s="471" t="n">
        <v>22879</v>
      </c>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row>
    <row r="38" customFormat="false" ht="12.95" hidden="false" customHeight="true" outlineLevel="0" collapsed="false">
      <c r="A38" s="192" t="n">
        <f aca="false">A37+1</f>
        <v>24</v>
      </c>
      <c r="B38" s="113" t="n">
        <v>6912</v>
      </c>
      <c r="C38" s="114" t="n">
        <v>330044</v>
      </c>
      <c r="D38" s="225" t="n">
        <f aca="false">C38-C37</f>
        <v>-938</v>
      </c>
      <c r="E38" s="114" t="n">
        <f aca="false">C38-152000</f>
        <v>178044</v>
      </c>
      <c r="F38" s="259" t="n">
        <f aca="false">D38/$D$2</f>
        <v>-472.901436854046</v>
      </c>
      <c r="G38" s="143" t="n">
        <v>242</v>
      </c>
      <c r="H38" s="144" t="n">
        <v>0</v>
      </c>
      <c r="I38" s="143" t="n">
        <f aca="false">G38+H38</f>
        <v>242</v>
      </c>
      <c r="J38" s="144" t="n">
        <f aca="false">IF(L38&gt;0,L38,0)</f>
        <v>0</v>
      </c>
      <c r="K38" s="143" t="n">
        <f aca="false">I38+J38</f>
        <v>242</v>
      </c>
      <c r="L38" s="143" t="n">
        <f aca="false">F38-(I38-AK38)</f>
        <v>-63.5014368540457</v>
      </c>
      <c r="M38" s="261" t="n">
        <v>233</v>
      </c>
      <c r="N38" s="171" t="n">
        <f aca="false">1/$D$2*1.03</f>
        <v>0.519284093773632</v>
      </c>
      <c r="O38" s="143" t="n">
        <f aca="false">39.6*1.05</f>
        <v>41.58</v>
      </c>
      <c r="P38" s="171" t="n">
        <v>0</v>
      </c>
      <c r="Q38" s="520" t="n">
        <f aca="false">1648400/325851/1.9835*1.25</f>
        <v>3.18802233905815</v>
      </c>
      <c r="R38" s="139" t="n">
        <v>4.2</v>
      </c>
      <c r="S38" s="139" t="n">
        <f aca="false">((7.2*1.04)-T38)-4.2</f>
        <v>2.22517616</v>
      </c>
      <c r="T38" s="139" t="n">
        <f aca="false">(0.9641*1.06)*1.04</f>
        <v>1.06282384</v>
      </c>
      <c r="U38" s="365" t="n">
        <v>0</v>
      </c>
      <c r="V38" s="143" t="n">
        <v>104</v>
      </c>
      <c r="W38" s="143" t="n">
        <v>72.3</v>
      </c>
      <c r="X38" s="143" t="n">
        <f aca="false">M38-N38-O38-P38-Q38-R38-S38-T38-U38+V38+W38-AT38+AR38</f>
        <v>383.929541628188</v>
      </c>
      <c r="Y38" s="143" t="n">
        <f aca="false">X38-AO38</f>
        <v>383.929541628188</v>
      </c>
      <c r="Z38" s="114" t="n">
        <f aca="false">Z37+AP38</f>
        <v>21528.6358960302</v>
      </c>
      <c r="AA38" s="143" t="n">
        <f aca="false">(-AP38)</f>
        <v>151.017563967246</v>
      </c>
      <c r="AB38" s="114"/>
      <c r="AC38" s="114" t="n">
        <f aca="false">AC37-(AQ37/1.9835)+AS38</f>
        <v>1066.27989409647</v>
      </c>
      <c r="AD38" s="225" t="n">
        <f aca="false">AD37</f>
        <v>2618.93636501134</v>
      </c>
      <c r="AE38" s="143" t="n">
        <v>163</v>
      </c>
      <c r="AF38" s="261" t="n">
        <v>1.7</v>
      </c>
      <c r="AG38" s="262" t="n">
        <v>1.3</v>
      </c>
      <c r="AH38" s="143" t="n">
        <v>79.1</v>
      </c>
      <c r="AI38" s="114" t="n">
        <f aca="false">AI37-AH38</f>
        <v>10800.9578774893</v>
      </c>
      <c r="AJ38" s="114"/>
      <c r="AK38" s="142" t="n">
        <f aca="false">N38+O38+P38+Q38+R38+S38+T38+U38+X38+AE38+AH38-AR38</f>
        <v>651.4</v>
      </c>
      <c r="AL38" s="143" t="n">
        <f aca="false">IF(L38&lt;0,L38*-1,0)</f>
        <v>63.5014368540457</v>
      </c>
      <c r="AM38" s="143" t="n">
        <f aca="false">AK38+AL38</f>
        <v>714.901436854046</v>
      </c>
      <c r="AN38" s="230"/>
      <c r="AO38" s="225"/>
      <c r="AP38" s="157" t="n">
        <f aca="false">I38-Q38-R38-X38-AF38</f>
        <v>-151.017563967246</v>
      </c>
      <c r="AQ38" s="171" t="n">
        <f aca="false">33.402*(Z38*1.9835+AC38*1.9835)/E38</f>
        <v>8.40791012738123</v>
      </c>
      <c r="AR38" s="144" t="n">
        <f aca="false">1685.083/1.9835/31</f>
        <v>27.4048480610195</v>
      </c>
      <c r="AS38" s="158"/>
      <c r="AT38" s="5"/>
      <c r="AU38" s="4"/>
      <c r="AV38" s="330" t="n">
        <v>0</v>
      </c>
      <c r="AW38" s="225" t="n">
        <v>80</v>
      </c>
      <c r="AX38" s="231" t="n">
        <v>56</v>
      </c>
      <c r="AY38" s="149"/>
      <c r="AZ38" s="263" t="n">
        <f aca="false">SUM(N38,P38:U38)</f>
        <v>11.1953064328318</v>
      </c>
      <c r="BA38" s="1" t="n">
        <v>0.65</v>
      </c>
      <c r="BB38" s="471" t="n">
        <v>22848</v>
      </c>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row>
    <row r="39" customFormat="false" ht="12.95" hidden="false" customHeight="true" outlineLevel="0" collapsed="false">
      <c r="A39" s="192" t="n">
        <f aca="false">A38+1</f>
        <v>25</v>
      </c>
      <c r="B39" s="113" t="n">
        <v>6911.79</v>
      </c>
      <c r="C39" s="114" t="n">
        <v>329195</v>
      </c>
      <c r="D39" s="225" t="n">
        <f aca="false">C39-C38</f>
        <v>-849</v>
      </c>
      <c r="E39" s="114" t="n">
        <f aca="false">C39-152000</f>
        <v>177195</v>
      </c>
      <c r="F39" s="259" t="n">
        <f aca="false">D39/$D$2</f>
        <v>-428.031257877489</v>
      </c>
      <c r="G39" s="143" t="n">
        <v>236</v>
      </c>
      <c r="H39" s="144" t="n">
        <v>0</v>
      </c>
      <c r="I39" s="143" t="n">
        <f aca="false">G39+H39</f>
        <v>236</v>
      </c>
      <c r="J39" s="144" t="n">
        <f aca="false">IF(L39&gt;0,L39,0)</f>
        <v>0</v>
      </c>
      <c r="K39" s="143" t="n">
        <f aca="false">I39+J39</f>
        <v>236</v>
      </c>
      <c r="L39" s="143" t="n">
        <f aca="false">F39-(I39-AK39)</f>
        <v>-10.0312578774892</v>
      </c>
      <c r="M39" s="261" t="n">
        <v>226</v>
      </c>
      <c r="N39" s="171" t="n">
        <f aca="false">1/$D$2*1.03</f>
        <v>0.519284093773632</v>
      </c>
      <c r="O39" s="143" t="n">
        <f aca="false">40.8*1.05</f>
        <v>42.84</v>
      </c>
      <c r="P39" s="171" t="n">
        <v>0</v>
      </c>
      <c r="Q39" s="520" t="n">
        <f aca="false">1721400/325851/1.9835*1.26</f>
        <v>3.35583872099632</v>
      </c>
      <c r="R39" s="139" t="n">
        <v>4.2</v>
      </c>
      <c r="S39" s="139" t="n">
        <f aca="false">((5.9*1.04)-T39)-4.2</f>
        <v>0.873176160000001</v>
      </c>
      <c r="T39" s="139" t="n">
        <f aca="false">(0.9641*1.06)*1.04</f>
        <v>1.06282384</v>
      </c>
      <c r="U39" s="365" t="n">
        <v>0</v>
      </c>
      <c r="V39" s="143" t="n">
        <v>104</v>
      </c>
      <c r="W39" s="143" t="n">
        <v>72.9</v>
      </c>
      <c r="X39" s="143" t="n">
        <f aca="false">M39-N39-O39-P39-Q39-R39-S39-T39-U39+V39+W39-AT39+AR39</f>
        <v>377.45372524625</v>
      </c>
      <c r="Y39" s="143" t="n">
        <f aca="false">X39-AO39</f>
        <v>377.45372524625</v>
      </c>
      <c r="Z39" s="114" t="n">
        <f aca="false">Z38+AP39</f>
        <v>21377.926332063</v>
      </c>
      <c r="AA39" s="143" t="n">
        <f aca="false">(-AP39)</f>
        <v>150.709563967246</v>
      </c>
      <c r="AB39" s="114"/>
      <c r="AC39" s="114" t="n">
        <f aca="false">AC38-(AQ38/1.9835)+AS39</f>
        <v>1068.06096789159</v>
      </c>
      <c r="AD39" s="225" t="n">
        <f aca="false">AD38</f>
        <v>2618.93636501134</v>
      </c>
      <c r="AE39" s="143" t="n">
        <v>172</v>
      </c>
      <c r="AF39" s="261" t="n">
        <v>1.7</v>
      </c>
      <c r="AG39" s="262" t="n">
        <v>1.3</v>
      </c>
      <c r="AH39" s="143" t="n">
        <v>79.1</v>
      </c>
      <c r="AI39" s="114" t="n">
        <f aca="false">AI38-AH39</f>
        <v>10721.8578774893</v>
      </c>
      <c r="AJ39" s="114"/>
      <c r="AK39" s="142" t="n">
        <f aca="false">N39+O39+P39+Q39+R39+S39+T39+U39+X39+AE39+AH39-AR39</f>
        <v>654</v>
      </c>
      <c r="AL39" s="143" t="n">
        <f aca="false">IF(L39&lt;0,L39*-1,0)</f>
        <v>10.0312578774892</v>
      </c>
      <c r="AM39" s="143" t="n">
        <f aca="false">AK39+AL39</f>
        <v>664.031257877489</v>
      </c>
      <c r="AN39" s="230"/>
      <c r="AO39" s="225"/>
      <c r="AP39" s="157" t="n">
        <f aca="false">I39-Q39-R39-X39-AF39</f>
        <v>-150.709563967246</v>
      </c>
      <c r="AQ39" s="171" t="n">
        <f aca="false">59.934*(Z39*1.9835+AC39*1.9835)/E39</f>
        <v>15.0588815820095</v>
      </c>
      <c r="AR39" s="144" t="n">
        <f aca="false">1685.083/1.9835/31</f>
        <v>27.4048480610195</v>
      </c>
      <c r="AS39" s="158" t="n">
        <f aca="false">BA39</f>
        <v>6.02</v>
      </c>
      <c r="AT39" s="5"/>
      <c r="AU39" s="4"/>
      <c r="AV39" s="330" t="n">
        <v>0</v>
      </c>
      <c r="AW39" s="225" t="n">
        <v>88</v>
      </c>
      <c r="AX39" s="231" t="n">
        <v>52</v>
      </c>
      <c r="AY39" s="149"/>
      <c r="AZ39" s="263" t="n">
        <f aca="false">SUM(N39,P39:U39)</f>
        <v>10.01112281477</v>
      </c>
      <c r="BA39" s="1" t="n">
        <v>6.02</v>
      </c>
      <c r="BB39" s="471" t="n">
        <v>22837</v>
      </c>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row>
    <row r="40" customFormat="false" ht="12.95" hidden="false" customHeight="true" outlineLevel="0" collapsed="false">
      <c r="A40" s="192" t="n">
        <f aca="false">A39+1</f>
        <v>26</v>
      </c>
      <c r="B40" s="113" t="n">
        <v>6911.56</v>
      </c>
      <c r="C40" s="114" t="n">
        <v>328265</v>
      </c>
      <c r="D40" s="225" t="n">
        <f aca="false">C40-C39</f>
        <v>-930</v>
      </c>
      <c r="E40" s="114" t="n">
        <f aca="false">C40-152000</f>
        <v>176265</v>
      </c>
      <c r="F40" s="259" t="n">
        <f aca="false">D40/$D$2</f>
        <v>-468.868162339299</v>
      </c>
      <c r="G40" s="143" t="n">
        <v>220</v>
      </c>
      <c r="H40" s="144" t="n">
        <v>0</v>
      </c>
      <c r="I40" s="143" t="n">
        <f aca="false">G40+H40</f>
        <v>220</v>
      </c>
      <c r="J40" s="144" t="n">
        <f aca="false">IF(L40&gt;0,L40,0)</f>
        <v>0</v>
      </c>
      <c r="K40" s="143" t="n">
        <f aca="false">I40+J40</f>
        <v>220</v>
      </c>
      <c r="L40" s="143" t="n">
        <f aca="false">F40-(I40-AK40)</f>
        <v>-83.6681623392992</v>
      </c>
      <c r="M40" s="261" t="n">
        <v>229</v>
      </c>
      <c r="N40" s="171" t="n">
        <f aca="false">1/$D$2*1.03</f>
        <v>0.519284093773632</v>
      </c>
      <c r="O40" s="143" t="n">
        <f aca="false">38.3*1.05</f>
        <v>40.215</v>
      </c>
      <c r="P40" s="171" t="n">
        <v>0</v>
      </c>
      <c r="Q40" s="520" t="n">
        <f aca="false">1829200/325851/1.9835*1.27</f>
        <v>3.594294437034</v>
      </c>
      <c r="R40" s="139" t="n">
        <v>4.2</v>
      </c>
      <c r="S40" s="139" t="n">
        <f aca="false">((5.9*1.04)-T40)-4.2</f>
        <v>0.873176160000001</v>
      </c>
      <c r="T40" s="139" t="n">
        <f aca="false">(0.9641*1.06)*1.04</f>
        <v>1.06282384</v>
      </c>
      <c r="U40" s="365" t="n">
        <v>0</v>
      </c>
      <c r="V40" s="143" t="n">
        <v>104</v>
      </c>
      <c r="W40" s="143" t="n">
        <v>74.1</v>
      </c>
      <c r="X40" s="143" t="n">
        <f aca="false">M40-N40-O40-P40-Q40-R40-S40-T40-U40+V40+W40-AT40+AR40</f>
        <v>384.040269530212</v>
      </c>
      <c r="Y40" s="143" t="n">
        <f aca="false">X40-AO40</f>
        <v>384.040269530212</v>
      </c>
      <c r="Z40" s="114" t="n">
        <f aca="false">Z39+AP40</f>
        <v>21204.3917680957</v>
      </c>
      <c r="AA40" s="143" t="n">
        <f aca="false">(-AP40)</f>
        <v>173.534563967246</v>
      </c>
      <c r="AB40" s="114"/>
      <c r="AC40" s="114" t="n">
        <f aca="false">AC39-(AQ39/1.9835)+AS40</f>
        <v>1069.69889247843</v>
      </c>
      <c r="AD40" s="225" t="n">
        <f aca="false">AD39</f>
        <v>2618.93636501134</v>
      </c>
      <c r="AE40" s="143" t="n">
        <v>119</v>
      </c>
      <c r="AF40" s="261" t="n">
        <v>1.7</v>
      </c>
      <c r="AG40" s="262" t="n">
        <v>1.3</v>
      </c>
      <c r="AH40" s="143" t="n">
        <v>79.1</v>
      </c>
      <c r="AI40" s="114" t="n">
        <f aca="false">AI39-AH40</f>
        <v>10642.7578774893</v>
      </c>
      <c r="AJ40" s="114"/>
      <c r="AK40" s="142" t="n">
        <f aca="false">N40+O40+P40+Q40+R40+S40+T40+U40+X40+AE40+AH40-AR40</f>
        <v>605.2</v>
      </c>
      <c r="AL40" s="143" t="n">
        <f aca="false">IF(L40&lt;0,L40*-1,0)</f>
        <v>83.6681623392992</v>
      </c>
      <c r="AM40" s="143" t="n">
        <f aca="false">AK40+AL40</f>
        <v>688.868162339299</v>
      </c>
      <c r="AN40" s="230"/>
      <c r="AO40" s="225"/>
      <c r="AP40" s="157" t="n">
        <f aca="false">I40-Q40-R40-X40-AF40</f>
        <v>-173.534563967246</v>
      </c>
      <c r="AQ40" s="171" t="n">
        <f aca="false">38.613*(Z40*1.9835+AC40*1.9835)/E40</f>
        <v>9.67831264981326</v>
      </c>
      <c r="AR40" s="144" t="n">
        <f aca="false">1685.083/1.9835/31</f>
        <v>27.4048480610195</v>
      </c>
      <c r="AS40" s="158" t="n">
        <f aca="false">BA40</f>
        <v>9.23</v>
      </c>
      <c r="AT40" s="5"/>
      <c r="AU40" s="4"/>
      <c r="AV40" s="330" t="n">
        <v>0.01</v>
      </c>
      <c r="AW40" s="225" t="n">
        <v>84</v>
      </c>
      <c r="AX40" s="225" t="n">
        <v>57</v>
      </c>
      <c r="AY40" s="149"/>
      <c r="AZ40" s="263" t="n">
        <f aca="false">SUM(N40,P40:U40)</f>
        <v>10.2495785308076</v>
      </c>
      <c r="BA40" s="1" t="n">
        <v>9.23</v>
      </c>
      <c r="BB40" s="471" t="n">
        <v>22814</v>
      </c>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row>
    <row r="41" customFormat="false" ht="12.95" hidden="false" customHeight="true" outlineLevel="0" collapsed="false">
      <c r="A41" s="192" t="n">
        <f aca="false">A40+1</f>
        <v>27</v>
      </c>
      <c r="B41" s="113" t="n">
        <v>6911.38</v>
      </c>
      <c r="C41" s="114" t="n">
        <v>327536</v>
      </c>
      <c r="D41" s="225" t="n">
        <f aca="false">C41-C40</f>
        <v>-729</v>
      </c>
      <c r="E41" s="114" t="n">
        <f aca="false">C41-152000</f>
        <v>175536</v>
      </c>
      <c r="F41" s="259" t="n">
        <f aca="false">D41/$D$2</f>
        <v>-367.532140156289</v>
      </c>
      <c r="G41" s="143" t="n">
        <v>218</v>
      </c>
      <c r="H41" s="144" t="n">
        <v>0</v>
      </c>
      <c r="I41" s="143" t="n">
        <f aca="false">G41+H41</f>
        <v>218</v>
      </c>
      <c r="J41" s="144" t="n">
        <f aca="false">IF(L41&gt;0,L41,0)</f>
        <v>35.3358598437108</v>
      </c>
      <c r="K41" s="143" t="n">
        <f aca="false">I41+J41</f>
        <v>253.335859843711</v>
      </c>
      <c r="L41" s="143" t="n">
        <f aca="false">F41-(I41-AK41)</f>
        <v>35.3358598437108</v>
      </c>
      <c r="M41" s="261" t="n">
        <v>212</v>
      </c>
      <c r="N41" s="171" t="n">
        <f aca="false">1/$D$2*1.03</f>
        <v>0.519284093773632</v>
      </c>
      <c r="O41" s="143" t="n">
        <f aca="false">32.7*1.05</f>
        <v>34.335</v>
      </c>
      <c r="P41" s="171" t="n">
        <v>0</v>
      </c>
      <c r="Q41" s="520" t="n">
        <f aca="false">1901100/325851/1.9835*1.28</f>
        <v>3.76498862608241</v>
      </c>
      <c r="R41" s="139" t="n">
        <f aca="false">((4.8)*1.04)-T41</f>
        <v>3.92917616</v>
      </c>
      <c r="S41" s="139" t="n">
        <v>0</v>
      </c>
      <c r="T41" s="139" t="n">
        <f aca="false">(0.9641*1.06)*1.04</f>
        <v>1.06282384</v>
      </c>
      <c r="U41" s="365" t="n">
        <v>0</v>
      </c>
      <c r="V41" s="143" t="n">
        <v>104</v>
      </c>
      <c r="W41" s="143" t="n">
        <v>74.1</v>
      </c>
      <c r="X41" s="143" t="n">
        <f aca="false">M41-N41-O41-P41-Q41-R41-S41-T41-U41+V41+W41-AT41+AR41</f>
        <v>372.961575341163</v>
      </c>
      <c r="Y41" s="143" t="n">
        <f aca="false">X41-AO41</f>
        <v>372.961575341163</v>
      </c>
      <c r="Z41" s="114" t="n">
        <f aca="false">Z40+AP41</f>
        <v>21040.0360279685</v>
      </c>
      <c r="AA41" s="143" t="n">
        <f aca="false">(-AP41)</f>
        <v>164.355740127246</v>
      </c>
      <c r="AB41" s="114"/>
      <c r="AC41" s="114" t="n">
        <f aca="false">AC40-(AQ40/1.9835)+AS41</f>
        <v>1073.9994810089</v>
      </c>
      <c r="AD41" s="225" t="n">
        <f aca="false">AD40</f>
        <v>2618.93636501134</v>
      </c>
      <c r="AE41" s="143" t="n">
        <v>155</v>
      </c>
      <c r="AF41" s="261" t="n">
        <v>1.7</v>
      </c>
      <c r="AG41" s="262" t="n">
        <v>1.3</v>
      </c>
      <c r="AH41" s="143" t="n">
        <v>76.7</v>
      </c>
      <c r="AI41" s="114" t="n">
        <f aca="false">AI40-AH41</f>
        <v>10566.0578774893</v>
      </c>
      <c r="AJ41" s="114"/>
      <c r="AK41" s="142" t="n">
        <f aca="false">N41+O41+P41+Q41+R41+S41+T41+U41+X41+AE41+AH41-AR41</f>
        <v>620.868</v>
      </c>
      <c r="AL41" s="143" t="n">
        <f aca="false">IF(L41&lt;0,L41*-1,0)</f>
        <v>0</v>
      </c>
      <c r="AM41" s="143" t="n">
        <f aca="false">AK41+AL41</f>
        <v>620.868</v>
      </c>
      <c r="AN41" s="230"/>
      <c r="AO41" s="225"/>
      <c r="AP41" s="157" t="n">
        <f aca="false">I41-Q41-R41-X41-AF41</f>
        <v>-164.355740127246</v>
      </c>
      <c r="AQ41" s="171" t="n">
        <f aca="false">87.664*(Z41*1.9835+AC41*1.9835)/E41</f>
        <v>21.9056070456876</v>
      </c>
      <c r="AR41" s="144" t="n">
        <f aca="false">1685.083/1.9835/31</f>
        <v>27.4048480610195</v>
      </c>
      <c r="AS41" s="158" t="n">
        <f aca="false">BA41</f>
        <v>9.18</v>
      </c>
      <c r="AT41" s="5" t="n">
        <v>0.932</v>
      </c>
      <c r="AU41" s="4"/>
      <c r="AV41" s="330" t="n">
        <v>0</v>
      </c>
      <c r="AW41" s="225" t="n">
        <v>90</v>
      </c>
      <c r="AX41" s="225" t="n">
        <v>59</v>
      </c>
      <c r="AY41" s="149"/>
      <c r="AZ41" s="263" t="n">
        <f aca="false">SUM(N41,P41:U41)</f>
        <v>9.27627271985604</v>
      </c>
      <c r="BA41" s="1" t="n">
        <v>9.18</v>
      </c>
      <c r="BB41" s="471" t="n">
        <v>22783</v>
      </c>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12.75" hidden="false" customHeight="true" outlineLevel="0" collapsed="false">
      <c r="A42" s="192" t="n">
        <f aca="false">A41+1</f>
        <v>28</v>
      </c>
      <c r="B42" s="113" t="n">
        <v>6911.12</v>
      </c>
      <c r="C42" s="114" t="n">
        <v>326485</v>
      </c>
      <c r="D42" s="225" t="n">
        <f aca="false">C42-C41</f>
        <v>-1051</v>
      </c>
      <c r="E42" s="114" t="n">
        <f aca="false">C42-152000</f>
        <v>174485</v>
      </c>
      <c r="F42" s="259" t="n">
        <f aca="false">D42/$D$2</f>
        <v>-529.871439374842</v>
      </c>
      <c r="G42" s="143" t="n">
        <v>199</v>
      </c>
      <c r="H42" s="144" t="n">
        <v>0</v>
      </c>
      <c r="I42" s="143" t="n">
        <f aca="false">G42+H42</f>
        <v>199</v>
      </c>
      <c r="J42" s="144" t="n">
        <f aca="false">IF(L42&gt;0,L42,0)</f>
        <v>0</v>
      </c>
      <c r="K42" s="143" t="n">
        <f aca="false">I42+J42</f>
        <v>199</v>
      </c>
      <c r="L42" s="143" t="n">
        <f aca="false">F42-(I42-AK42)</f>
        <v>-99.8714393748424</v>
      </c>
      <c r="M42" s="261" t="n">
        <v>238</v>
      </c>
      <c r="N42" s="171" t="n">
        <f aca="false">1/$D$2*1.03</f>
        <v>0.519284093773632</v>
      </c>
      <c r="O42" s="143" t="n">
        <f aca="false">39.7*1.05</f>
        <v>41.685</v>
      </c>
      <c r="P42" s="171" t="n">
        <v>0</v>
      </c>
      <c r="Q42" s="520" t="n">
        <f aca="false">1973800/325851/1.9835*1.29</f>
        <v>3.93950441919657</v>
      </c>
      <c r="R42" s="139" t="n">
        <f aca="false">((4.9)*1.04)-T42</f>
        <v>4.03317616</v>
      </c>
      <c r="S42" s="139" t="n">
        <v>0</v>
      </c>
      <c r="T42" s="139" t="n">
        <f aca="false">(0.9641*1.06)*1.04</f>
        <v>1.06282384</v>
      </c>
      <c r="U42" s="365" t="n">
        <v>0</v>
      </c>
      <c r="V42" s="143" t="n">
        <v>104</v>
      </c>
      <c r="W42" s="143" t="n">
        <v>71.3</v>
      </c>
      <c r="X42" s="143" t="n">
        <f aca="false">M42-N42-O42-P42-Q42-R42-S42-T42-U42+V42+W42-AT42+AR42</f>
        <v>387.665059548049</v>
      </c>
      <c r="Y42" s="143" t="n">
        <f aca="false">X42-AO42</f>
        <v>387.665059548049</v>
      </c>
      <c r="Z42" s="114" t="n">
        <f aca="false">Z41+AP42</f>
        <v>20841.6982878412</v>
      </c>
      <c r="AA42" s="143" t="n">
        <f aca="false">(-AP42)</f>
        <v>198.337740127246</v>
      </c>
      <c r="AB42" s="114"/>
      <c r="AC42" s="114" t="n">
        <f aca="false">AC41-(AQ41/1.9835)+AS42</f>
        <v>1072.13556518047</v>
      </c>
      <c r="AD42" s="225" t="n">
        <f aca="false">AD41</f>
        <v>2618.93636501134</v>
      </c>
      <c r="AE42" s="143" t="n">
        <v>143</v>
      </c>
      <c r="AF42" s="261" t="n">
        <v>1.7</v>
      </c>
      <c r="AG42" s="262" t="n">
        <v>1.3</v>
      </c>
      <c r="AH42" s="143" t="n">
        <v>74.5</v>
      </c>
      <c r="AI42" s="114" t="n">
        <f aca="false">AI41-AH42</f>
        <v>10491.5578774893</v>
      </c>
      <c r="AJ42" s="114"/>
      <c r="AK42" s="142" t="n">
        <f aca="false">N42+O42+P42+Q42+R42+S42+T42+U42+X42+AE42+AH42-AR42</f>
        <v>629</v>
      </c>
      <c r="AL42" s="143" t="n">
        <f aca="false">IF(L42&lt;0,L42*-1,0)</f>
        <v>99.8714393748424</v>
      </c>
      <c r="AM42" s="143" t="n">
        <f aca="false">AK42+AL42</f>
        <v>728.871439374842</v>
      </c>
      <c r="AN42" s="230"/>
      <c r="AO42" s="225"/>
      <c r="AP42" s="157" t="n">
        <f aca="false">I42-Q42-R42-X42-AF42</f>
        <v>-198.337740127246</v>
      </c>
      <c r="AQ42" s="171" t="n">
        <f aca="false">82.024*(Z42*1.9835+AC42*1.9835)/E42</f>
        <v>20.4330602678692</v>
      </c>
      <c r="AR42" s="144" t="n">
        <f aca="false">1685.083/1.9835/31</f>
        <v>27.4048480610195</v>
      </c>
      <c r="AS42" s="158" t="n">
        <f aca="false">BA42</f>
        <v>9.18</v>
      </c>
      <c r="AT42" s="5" t="n">
        <v>1.8</v>
      </c>
      <c r="AU42" s="4"/>
      <c r="AV42" s="330" t="n">
        <v>0</v>
      </c>
      <c r="AW42" s="225" t="n">
        <v>89</v>
      </c>
      <c r="AX42" s="225" t="n">
        <v>52</v>
      </c>
      <c r="AY42" s="149"/>
      <c r="AZ42" s="263" t="n">
        <f aca="false">SUM(N42,P42:U42)</f>
        <v>9.5547885129702</v>
      </c>
      <c r="BA42" s="1" t="n">
        <v>9.18</v>
      </c>
      <c r="BB42" s="471" t="n">
        <v>22813</v>
      </c>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12.95" hidden="false" customHeight="true" outlineLevel="0" collapsed="false">
      <c r="A43" s="192" t="n">
        <f aca="false">A42+1</f>
        <v>29</v>
      </c>
      <c r="B43" s="113" t="n">
        <v>6910.9</v>
      </c>
      <c r="C43" s="114" t="n">
        <v>325598</v>
      </c>
      <c r="D43" s="225" t="n">
        <f aca="false">C43-C42</f>
        <v>-887</v>
      </c>
      <c r="E43" s="114" t="n">
        <f aca="false">C43-152000</f>
        <v>173598</v>
      </c>
      <c r="F43" s="259" t="n">
        <f aca="false">D43/$D$2</f>
        <v>-447.189311822536</v>
      </c>
      <c r="G43" s="143" t="n">
        <v>183</v>
      </c>
      <c r="H43" s="144" t="n">
        <v>0</v>
      </c>
      <c r="I43" s="143" t="n">
        <f aca="false">G43+H43</f>
        <v>183</v>
      </c>
      <c r="J43" s="144" t="n">
        <f aca="false">IF(L43&gt;0,L43,0)</f>
        <v>2.84068817746407</v>
      </c>
      <c r="K43" s="143" t="n">
        <f aca="false">I43+J43</f>
        <v>185.840688177464</v>
      </c>
      <c r="L43" s="143" t="n">
        <f aca="false">F43-(I43-AK43)</f>
        <v>2.84068817746407</v>
      </c>
      <c r="M43" s="261" t="n">
        <v>252</v>
      </c>
      <c r="N43" s="171" t="n">
        <f aca="false">1/$D$2*1.03</f>
        <v>0.519284093773632</v>
      </c>
      <c r="O43" s="143" t="n">
        <f aca="false">52*1.05</f>
        <v>54.6</v>
      </c>
      <c r="P43" s="171" t="n">
        <v>0</v>
      </c>
      <c r="Q43" s="520" t="n">
        <f aca="false">1847900/325851/1.9835*1.3</f>
        <v>3.71681165952401</v>
      </c>
      <c r="R43" s="139" t="n">
        <v>4.2</v>
      </c>
      <c r="S43" s="139" t="n">
        <f aca="false">((6*1.04)-T43)-4.2</f>
        <v>0.97717616</v>
      </c>
      <c r="T43" s="139" t="n">
        <f aca="false">(0.9641*1.06)*1.04</f>
        <v>1.06282384</v>
      </c>
      <c r="U43" s="365" t="n">
        <v>0</v>
      </c>
      <c r="V43" s="143" t="n">
        <v>103</v>
      </c>
      <c r="W43" s="143" t="n">
        <v>69.8</v>
      </c>
      <c r="X43" s="143" t="n">
        <f aca="false">M43-N43-O43-P43-Q43-R43-S43-T43-U43+V43+W43-AT43+AR43</f>
        <v>385.558752307722</v>
      </c>
      <c r="Y43" s="143" t="n">
        <f aca="false">X43-AO43</f>
        <v>385.558752307722</v>
      </c>
      <c r="Z43" s="114" t="n">
        <f aca="false">Z42+AP43</f>
        <v>20629.522723874</v>
      </c>
      <c r="AA43" s="143" t="n">
        <f aca="false">(-AP43)</f>
        <v>212.175563967246</v>
      </c>
      <c r="AB43" s="114"/>
      <c r="AC43" s="114" t="n">
        <f aca="false">AC42-(AQ42/1.9835)+AS43</f>
        <v>1071.01404752589</v>
      </c>
      <c r="AD43" s="225" t="n">
        <f aca="false">AD42</f>
        <v>2618.93636501134</v>
      </c>
      <c r="AE43" s="143" t="n">
        <v>135</v>
      </c>
      <c r="AF43" s="261" t="n">
        <v>1.7</v>
      </c>
      <c r="AG43" s="262" t="n">
        <v>1.3</v>
      </c>
      <c r="AH43" s="143" t="n">
        <v>74.8</v>
      </c>
      <c r="AI43" s="114" t="n">
        <f aca="false">AI42-AH43</f>
        <v>10416.7578774893</v>
      </c>
      <c r="AJ43" s="114"/>
      <c r="AK43" s="142" t="n">
        <f aca="false">N43+O43+P43+Q43+R43+S43+T43+U43+X43+AE43+AH43-AR43</f>
        <v>633.03</v>
      </c>
      <c r="AL43" s="143" t="n">
        <f aca="false">IF(L43&lt;0,L43*-1,0)</f>
        <v>0</v>
      </c>
      <c r="AM43" s="143" t="n">
        <f aca="false">AK43+AL43</f>
        <v>633.03</v>
      </c>
      <c r="AN43" s="230"/>
      <c r="AO43" s="225"/>
      <c r="AP43" s="157" t="n">
        <f aca="false">I43-Q43-R43-X43-AF43</f>
        <v>-212.175563967246</v>
      </c>
      <c r="AQ43" s="171" t="n">
        <f aca="false">70.037*(Z43*1.9835+AC43*1.9835)/E43</f>
        <v>17.3654282858581</v>
      </c>
      <c r="AR43" s="144" t="n">
        <f aca="false">1685.083/1.9835/31</f>
        <v>27.4048480610195</v>
      </c>
      <c r="AS43" s="158" t="n">
        <f aca="false">BA43</f>
        <v>9.18</v>
      </c>
      <c r="AT43" s="5" t="n">
        <v>1.57</v>
      </c>
      <c r="AU43" s="4"/>
      <c r="AV43" s="330" t="n">
        <v>0</v>
      </c>
      <c r="AW43" s="231" t="n">
        <v>89</v>
      </c>
      <c r="AX43" s="225" t="n">
        <v>56</v>
      </c>
      <c r="AY43" s="149"/>
      <c r="AZ43" s="263" t="n">
        <f aca="false">SUM(N43,P43:U43)</f>
        <v>10.4760957532976</v>
      </c>
      <c r="BA43" s="1" t="n">
        <v>9.18</v>
      </c>
      <c r="BB43" s="471" t="n">
        <v>22840</v>
      </c>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c r="IF43" s="0"/>
      <c r="IG43" s="0"/>
      <c r="IH43" s="0"/>
      <c r="II43" s="0"/>
      <c r="IJ43" s="0"/>
      <c r="IK43" s="0"/>
      <c r="IL43" s="0"/>
      <c r="IM43" s="0"/>
      <c r="IN43" s="0"/>
      <c r="IO43" s="0"/>
      <c r="IP43" s="0"/>
      <c r="IQ43" s="0"/>
      <c r="IR43" s="0"/>
      <c r="IS43" s="0"/>
      <c r="IT43" s="0"/>
      <c r="IU43" s="0"/>
      <c r="IV43" s="0"/>
      <c r="IW43" s="0"/>
    </row>
    <row r="44" customFormat="false" ht="12.95" hidden="false" customHeight="true" outlineLevel="0" collapsed="false">
      <c r="A44" s="192" t="n">
        <v>30</v>
      </c>
      <c r="B44" s="113" t="n">
        <v>6910.66</v>
      </c>
      <c r="C44" s="114" t="n">
        <v>324635</v>
      </c>
      <c r="D44" s="225" t="n">
        <f aca="false">C44-C43</f>
        <v>-963</v>
      </c>
      <c r="E44" s="114" t="n">
        <f aca="false">C44-152000</f>
        <v>172635</v>
      </c>
      <c r="F44" s="259" t="n">
        <f aca="false">D44/$D$2</f>
        <v>-485.505419712629</v>
      </c>
      <c r="G44" s="143" t="n">
        <v>175</v>
      </c>
      <c r="H44" s="144" t="n">
        <v>0</v>
      </c>
      <c r="I44" s="143" t="n">
        <f aca="false">G44+H44</f>
        <v>175</v>
      </c>
      <c r="J44" s="144" t="n">
        <f aca="false">IF(L44&gt;0,L44,0)</f>
        <v>0</v>
      </c>
      <c r="K44" s="143" t="n">
        <f aca="false">I44+J44</f>
        <v>175</v>
      </c>
      <c r="L44" s="143" t="n">
        <f aca="false">F44-(I44-AK44)</f>
        <v>-26.0954197126291</v>
      </c>
      <c r="M44" s="261" t="n">
        <v>236</v>
      </c>
      <c r="N44" s="171" t="n">
        <f aca="false">1/$D$2*1.03</f>
        <v>0.519284093773632</v>
      </c>
      <c r="O44" s="143" t="n">
        <f aca="false">55.4*1.05</f>
        <v>58.17</v>
      </c>
      <c r="P44" s="171" t="n">
        <v>0</v>
      </c>
      <c r="Q44" s="520" t="n">
        <f aca="false">1658300/325851/1.9835*1.31</f>
        <v>3.3611131534903</v>
      </c>
      <c r="R44" s="139" t="n">
        <v>4.2</v>
      </c>
      <c r="S44" s="139" t="n">
        <f aca="false">((6.4*1.04)-T44)-4.2</f>
        <v>1.39317616</v>
      </c>
      <c r="T44" s="139" t="n">
        <f aca="false">(0.9641*1.06)*1.04</f>
        <v>1.06282384</v>
      </c>
      <c r="U44" s="365" t="n">
        <v>0</v>
      </c>
      <c r="V44" s="143" t="n">
        <v>104</v>
      </c>
      <c r="W44" s="143" t="n">
        <v>69.2</v>
      </c>
      <c r="X44" s="143" t="n">
        <f aca="false">M44-N44-O44-P44-Q44-R44-S44-T44-U44+V44+W44-AT44+AR44</f>
        <v>366.508450813756</v>
      </c>
      <c r="Y44" s="143" t="n">
        <f aca="false">X44-AO44</f>
        <v>366.508450813756</v>
      </c>
      <c r="Z44" s="114" t="n">
        <f aca="false">Z43+AP44</f>
        <v>20428.7531599067</v>
      </c>
      <c r="AA44" s="143" t="n">
        <f aca="false">(-AP44)</f>
        <v>200.769563967246</v>
      </c>
      <c r="AB44" s="114"/>
      <c r="AC44" s="114" t="n">
        <f aca="false">AC43-(AQ43/1.9835)+AS44</f>
        <v>1071.43910510801</v>
      </c>
      <c r="AD44" s="225" t="n">
        <f aca="false">AD43</f>
        <v>2618.93636501134</v>
      </c>
      <c r="AE44" s="143" t="n">
        <v>152</v>
      </c>
      <c r="AF44" s="261" t="n">
        <v>1.7</v>
      </c>
      <c r="AG44" s="262" t="n">
        <v>1.3</v>
      </c>
      <c r="AH44" s="143" t="n">
        <v>74.6</v>
      </c>
      <c r="AI44" s="114" t="n">
        <f aca="false">AI43-AH44</f>
        <v>10342.1578774893</v>
      </c>
      <c r="AJ44" s="114"/>
      <c r="AK44" s="142" t="n">
        <f aca="false">N44+O44+P44+Q44+R44+S44+T44+U44+X44+AE44+AH44-AR44</f>
        <v>634.41</v>
      </c>
      <c r="AL44" s="143" t="n">
        <f aca="false">IF(L44&lt;0,L44*-1,0)</f>
        <v>26.0954197126291</v>
      </c>
      <c r="AM44" s="143" t="n">
        <f aca="false">AK44+AL44</f>
        <v>660.505419712629</v>
      </c>
      <c r="AN44" s="230"/>
      <c r="AO44" s="225"/>
      <c r="AP44" s="157" t="n">
        <f aca="false">I44-Q44-R44-X44-AF44</f>
        <v>-200.769563967246</v>
      </c>
      <c r="AQ44" s="171" t="n">
        <f aca="false">55.466*(Z44*1.9835+AC44*1.9835)/E44</f>
        <v>13.7016398116476</v>
      </c>
      <c r="AR44" s="144" t="n">
        <f aca="false">1685.083/1.9835/31</f>
        <v>27.4048480610195</v>
      </c>
      <c r="AS44" s="158" t="n">
        <f aca="false">BA44</f>
        <v>9.18</v>
      </c>
      <c r="AT44" s="5" t="n">
        <v>1.39</v>
      </c>
      <c r="AU44" s="4"/>
      <c r="AV44" s="330" t="n">
        <v>0</v>
      </c>
      <c r="AW44" s="231" t="n">
        <v>90</v>
      </c>
      <c r="AX44" s="225" t="n">
        <v>55</v>
      </c>
      <c r="AY44" s="149"/>
      <c r="AZ44" s="263" t="n">
        <f aca="false">SUM(N44,P44:U44)</f>
        <v>10.5363972472639</v>
      </c>
      <c r="BA44" s="1" t="n">
        <v>9.18</v>
      </c>
      <c r="BB44" s="471" t="n">
        <v>22797</v>
      </c>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c r="FA44" s="0"/>
      <c r="FB44" s="0"/>
      <c r="FC44" s="0"/>
      <c r="FD44" s="0"/>
      <c r="FE44" s="0"/>
      <c r="FF44" s="0"/>
      <c r="FG44" s="0"/>
      <c r="FH44" s="0"/>
      <c r="FI44" s="0"/>
      <c r="FJ44" s="0"/>
      <c r="FK44" s="0"/>
      <c r="FL44" s="0"/>
      <c r="FM44" s="0"/>
      <c r="FN44" s="0"/>
      <c r="FO44" s="0"/>
      <c r="FP44" s="0"/>
      <c r="FQ44" s="0"/>
      <c r="FR44" s="0"/>
      <c r="FS44" s="0"/>
      <c r="FT44" s="0"/>
      <c r="FU44" s="0"/>
      <c r="FV44" s="0"/>
      <c r="FW44" s="0"/>
      <c r="FX44" s="0"/>
      <c r="FY44" s="0"/>
      <c r="FZ44" s="0"/>
      <c r="GA44" s="0"/>
      <c r="GB44" s="0"/>
      <c r="GC44" s="0"/>
      <c r="GD44" s="0"/>
      <c r="GE44" s="0"/>
      <c r="GF44" s="0"/>
      <c r="GG44" s="0"/>
      <c r="GH44" s="0"/>
      <c r="GI44" s="0"/>
      <c r="GJ44" s="0"/>
      <c r="GK44" s="0"/>
      <c r="GL44" s="0"/>
      <c r="GM44" s="0"/>
      <c r="GN44" s="0"/>
      <c r="GO44" s="0"/>
      <c r="GP44" s="0"/>
      <c r="GQ44" s="0"/>
      <c r="GR44" s="0"/>
      <c r="GS44" s="0"/>
      <c r="GT44" s="0"/>
      <c r="GU44" s="0"/>
      <c r="GV44" s="0"/>
      <c r="GW44" s="0"/>
      <c r="GX44" s="0"/>
      <c r="GY44" s="0"/>
      <c r="GZ44" s="0"/>
      <c r="HA44" s="0"/>
      <c r="HB44" s="0"/>
      <c r="HC44" s="0"/>
      <c r="HD44" s="0"/>
      <c r="HE44" s="0"/>
      <c r="HF44" s="0"/>
      <c r="HG44" s="0"/>
      <c r="HH44" s="0"/>
      <c r="HI44" s="0"/>
      <c r="HJ44" s="0"/>
      <c r="HK44" s="0"/>
      <c r="HL44" s="0"/>
      <c r="HM44" s="0"/>
      <c r="HN44" s="0"/>
      <c r="HO44" s="0"/>
      <c r="HP44" s="0"/>
      <c r="HQ44" s="0"/>
      <c r="HR44" s="0"/>
      <c r="HS44" s="0"/>
      <c r="HT44" s="0"/>
      <c r="HU44" s="0"/>
      <c r="HV44" s="0"/>
      <c r="HW44" s="0"/>
      <c r="HX44" s="0"/>
      <c r="HY44" s="0"/>
      <c r="HZ44" s="0"/>
      <c r="IA44" s="0"/>
      <c r="IB44" s="0"/>
      <c r="IC44" s="0"/>
      <c r="ID44" s="0"/>
      <c r="IE44" s="0"/>
      <c r="IF44" s="0"/>
      <c r="IG44" s="0"/>
      <c r="IH44" s="0"/>
      <c r="II44" s="0"/>
      <c r="IJ44" s="0"/>
      <c r="IK44" s="0"/>
      <c r="IL44" s="0"/>
      <c r="IM44" s="0"/>
      <c r="IN44" s="0"/>
      <c r="IO44" s="0"/>
      <c r="IP44" s="0"/>
      <c r="IQ44" s="0"/>
      <c r="IR44" s="0"/>
      <c r="IS44" s="0"/>
      <c r="IT44" s="0"/>
      <c r="IU44" s="0"/>
      <c r="IV44" s="0"/>
      <c r="IW44" s="0"/>
    </row>
    <row r="45" customFormat="false" ht="13.5" hidden="false" customHeight="true" outlineLevel="0" collapsed="false">
      <c r="A45" s="192" t="n">
        <v>31</v>
      </c>
      <c r="B45" s="113" t="n">
        <v>6910.42</v>
      </c>
      <c r="C45" s="114" t="n">
        <v>323672</v>
      </c>
      <c r="D45" s="225" t="n">
        <f aca="false">C45-C44</f>
        <v>-963</v>
      </c>
      <c r="E45" s="114" t="n">
        <f aca="false">C45-152000</f>
        <v>171672</v>
      </c>
      <c r="F45" s="259" t="n">
        <f aca="false">D45/$D$2</f>
        <v>-485.505419712629</v>
      </c>
      <c r="G45" s="143" t="n">
        <v>175</v>
      </c>
      <c r="H45" s="144" t="n">
        <v>0</v>
      </c>
      <c r="I45" s="143" t="n">
        <f aca="false">G45+H45</f>
        <v>175</v>
      </c>
      <c r="J45" s="144" t="n">
        <f aca="false">IF(L45&gt;0,L45,0)</f>
        <v>0</v>
      </c>
      <c r="K45" s="143" t="n">
        <f aca="false">I45+J45</f>
        <v>175</v>
      </c>
      <c r="L45" s="143" t="n">
        <f aca="false">F45-(I45-AK45)</f>
        <v>-20.6054197126292</v>
      </c>
      <c r="M45" s="261" t="n">
        <v>235</v>
      </c>
      <c r="N45" s="171" t="n">
        <f aca="false">1/$D$2*1.03</f>
        <v>0.519284093773632</v>
      </c>
      <c r="O45" s="143" t="n">
        <f aca="false">54.9*1.05</f>
        <v>57.645</v>
      </c>
      <c r="P45" s="171" t="n">
        <v>0</v>
      </c>
      <c r="Q45" s="520" t="n">
        <f aca="false">1468200/325851/1.9835*1.32</f>
        <v>2.99852647688951</v>
      </c>
      <c r="R45" s="139" t="n">
        <v>4.2</v>
      </c>
      <c r="S45" s="139" t="n">
        <f aca="false">((6.7*1.04)-T45)-4.2</f>
        <v>1.759304</v>
      </c>
      <c r="T45" s="139" t="n">
        <f aca="false">(0.915*1.06)*1.04</f>
        <v>1.008696</v>
      </c>
      <c r="U45" s="365" t="n">
        <v>0</v>
      </c>
      <c r="V45" s="143" t="n">
        <v>108</v>
      </c>
      <c r="W45" s="143" t="n">
        <v>67.4</v>
      </c>
      <c r="X45" s="143" t="n">
        <f aca="false">M45-N45-O45-P45-Q45-R45-S45-T45-U45+V45+W45-AT45+AR45</f>
        <v>368.374037490356</v>
      </c>
      <c r="Y45" s="143" t="n">
        <f aca="false">X45-AO45</f>
        <v>368.374037490356</v>
      </c>
      <c r="Z45" s="114" t="n">
        <f aca="false">Z44+AP45</f>
        <v>20226.4805959395</v>
      </c>
      <c r="AA45" s="143" t="n">
        <f aca="false">(-AP45)</f>
        <v>202.272563967246</v>
      </c>
      <c r="AB45" s="114"/>
      <c r="AC45" s="114" t="n">
        <f aca="false">AC44-(AQ44/1.9835)+AS45</f>
        <v>1073.71129577519</v>
      </c>
      <c r="AD45" s="225" t="n">
        <f aca="false">AD44</f>
        <v>2618.93636501134</v>
      </c>
      <c r="AE45" s="143" t="n">
        <v>156</v>
      </c>
      <c r="AF45" s="261" t="n">
        <v>1.7</v>
      </c>
      <c r="AG45" s="262" t="n">
        <v>1.3</v>
      </c>
      <c r="AH45" s="143" t="n">
        <v>74.8</v>
      </c>
      <c r="AI45" s="114" t="n">
        <f aca="false">AI44-AH45</f>
        <v>10267.3578774893</v>
      </c>
      <c r="AJ45" s="114"/>
      <c r="AK45" s="142" t="n">
        <f aca="false">N45+O45+P45+Q45+R45+S45+T45+U45+X45+AE45+AH45-AR45</f>
        <v>639.9</v>
      </c>
      <c r="AL45" s="143" t="n">
        <f aca="false">IF(L45&lt;0,L45*-1,0)</f>
        <v>20.6054197126292</v>
      </c>
      <c r="AM45" s="143" t="n">
        <f aca="false">AK45+AL45</f>
        <v>660.505419712629</v>
      </c>
      <c r="AN45" s="230"/>
      <c r="AO45" s="225"/>
      <c r="AP45" s="157" t="n">
        <f aca="false">I45-Q45-R45-X45-AF45</f>
        <v>-202.272563967246</v>
      </c>
      <c r="AQ45" s="171" t="n">
        <f aca="false">14.223*(Z45*1.9835+AC45*1.9835)/E45</f>
        <v>3.50031769985009</v>
      </c>
      <c r="AR45" s="144" t="n">
        <f aca="false">1685.083/1.9835/31</f>
        <v>27.4048480610195</v>
      </c>
      <c r="AS45" s="158" t="n">
        <f aca="false">BA45</f>
        <v>9.18</v>
      </c>
      <c r="AT45" s="5" t="n">
        <v>1.3</v>
      </c>
      <c r="AU45" s="4"/>
      <c r="AV45" s="330" t="n">
        <v>0.07</v>
      </c>
      <c r="AW45" s="231" t="n">
        <v>82</v>
      </c>
      <c r="AX45" s="225" t="n">
        <v>59</v>
      </c>
      <c r="AY45" s="149"/>
      <c r="AZ45" s="263" t="n">
        <f aca="false">SUM(N45,P45:U45)</f>
        <v>10.4858105706631</v>
      </c>
      <c r="BA45" s="56" t="n">
        <v>9.18</v>
      </c>
      <c r="BB45" s="86" t="n">
        <v>22787</v>
      </c>
    </row>
    <row r="46" customFormat="false" ht="3" hidden="false" customHeight="true" outlineLevel="0" collapsed="false">
      <c r="A46" s="244"/>
      <c r="B46" s="266"/>
      <c r="C46" s="246"/>
      <c r="D46" s="247"/>
      <c r="E46" s="246"/>
      <c r="F46" s="248"/>
      <c r="G46" s="247"/>
      <c r="H46" s="253"/>
      <c r="I46" s="247"/>
      <c r="J46" s="247"/>
      <c r="K46" s="247"/>
      <c r="L46" s="247"/>
      <c r="M46" s="250"/>
      <c r="N46" s="247"/>
      <c r="O46" s="247"/>
      <c r="P46" s="251"/>
      <c r="Q46" s="247"/>
      <c r="R46" s="247"/>
      <c r="S46" s="247"/>
      <c r="T46" s="247"/>
      <c r="U46" s="252"/>
      <c r="V46" s="247"/>
      <c r="W46" s="247"/>
      <c r="X46" s="247"/>
      <c r="Y46" s="247"/>
      <c r="Z46" s="246"/>
      <c r="AA46" s="247"/>
      <c r="AB46" s="246"/>
      <c r="AC46" s="246"/>
      <c r="AD46" s="256"/>
      <c r="AE46" s="247"/>
      <c r="AF46" s="250"/>
      <c r="AG46" s="254"/>
      <c r="AH46" s="247"/>
      <c r="AI46" s="247"/>
      <c r="AJ46" s="247"/>
      <c r="AK46" s="247"/>
      <c r="AL46" s="247"/>
      <c r="AM46" s="247"/>
      <c r="AN46" s="255"/>
      <c r="AO46" s="256"/>
      <c r="AP46" s="253"/>
      <c r="AQ46" s="253"/>
      <c r="AR46" s="253"/>
      <c r="AS46" s="251"/>
      <c r="AT46" s="251"/>
      <c r="AU46" s="253"/>
      <c r="AV46" s="519"/>
      <c r="AW46" s="256"/>
      <c r="AX46" s="256"/>
      <c r="AY46" s="270"/>
      <c r="AZ46" s="270"/>
      <c r="BA46" s="270"/>
      <c r="BB46" s="270"/>
    </row>
    <row r="47" customFormat="false" ht="12.95" hidden="false" customHeight="true" outlineLevel="0" collapsed="false">
      <c r="A47" s="194" t="s">
        <v>104</v>
      </c>
      <c r="B47" s="223"/>
      <c r="C47" s="114"/>
      <c r="D47" s="114"/>
      <c r="E47" s="114"/>
      <c r="F47" s="224" t="n">
        <f aca="false">SUM(F15:F45)</f>
        <v>-7548.77741366272</v>
      </c>
      <c r="G47" s="114" t="n">
        <f aca="false">SUM(G15:G45)</f>
        <v>14100</v>
      </c>
      <c r="H47" s="225" t="n">
        <f aca="false">SUM(H15:H45)</f>
        <v>1.068</v>
      </c>
      <c r="I47" s="114" t="n">
        <f aca="false">SUM(I15:I45)</f>
        <v>14101.068</v>
      </c>
      <c r="J47" s="114" t="n">
        <f aca="false">SUM(J15:J45)</f>
        <v>321.771356188556</v>
      </c>
      <c r="K47" s="114" t="n">
        <f aca="false">SUM(K15:K45)</f>
        <v>14422.8393561886</v>
      </c>
      <c r="L47" s="114" t="n">
        <f aca="false">SUM(L15:L45)</f>
        <v>-1205.63741366271</v>
      </c>
      <c r="M47" s="226" t="n">
        <f aca="false">SUM(M15:M45)</f>
        <v>7386</v>
      </c>
      <c r="N47" s="114" t="n">
        <f aca="false">SUM(N15:N45)</f>
        <v>16.0978069069826</v>
      </c>
      <c r="O47" s="114" t="n">
        <f aca="false">SUM(O15:O45)</f>
        <v>1689.345</v>
      </c>
      <c r="P47" s="171" t="n">
        <f aca="false">SUM(P15:P45)</f>
        <v>8.07</v>
      </c>
      <c r="Q47" s="114" t="n">
        <f aca="false">SUM(Q15:Q45)</f>
        <v>92.0057553326286</v>
      </c>
      <c r="R47" s="114" t="n">
        <f aca="false">SUM(R15:R45)</f>
        <v>120.93802256</v>
      </c>
      <c r="S47" s="114" t="n">
        <f aca="false">SUM(S15:S45)</f>
        <v>29.17813168</v>
      </c>
      <c r="T47" s="114" t="n">
        <f aca="false">SUM(T15:T45)</f>
        <v>35.00384576</v>
      </c>
      <c r="U47" s="227" t="n">
        <f aca="false">SUM(U15:U45)</f>
        <v>0</v>
      </c>
      <c r="V47" s="114" t="n">
        <f aca="false">SUM(V15:V45)</f>
        <v>3146.6</v>
      </c>
      <c r="W47" s="114" t="n">
        <f aca="false">SUM(W15:W45)</f>
        <v>2211.3</v>
      </c>
      <c r="X47" s="114" t="n">
        <f aca="false">SUM(X15:X45)</f>
        <v>11595.819727652</v>
      </c>
      <c r="Y47" s="114" t="n">
        <f aca="false">SUM(Y15:Y45)</f>
        <v>11595.819727652</v>
      </c>
      <c r="Z47" s="114"/>
      <c r="AA47" s="114" t="n">
        <f aca="false">SUM(AA15:AA45)</f>
        <v>-2205.61044174738</v>
      </c>
      <c r="AB47" s="114"/>
      <c r="AC47" s="114"/>
      <c r="AD47" s="114"/>
      <c r="AE47" s="114" t="n">
        <f aca="false">SUM(AE15:AE45)</f>
        <v>5288</v>
      </c>
      <c r="AF47" s="439" t="n">
        <f aca="false">SUM(AF15:AF45)</f>
        <v>52.7</v>
      </c>
      <c r="AG47" s="440" t="n">
        <f aca="false">SUM(AG15:AG45)</f>
        <v>40.3</v>
      </c>
      <c r="AH47" s="114" t="n">
        <f aca="false">SUM(AH15:AH45)</f>
        <v>2419.3</v>
      </c>
      <c r="AI47" s="114"/>
      <c r="AJ47" s="114" t="n">
        <f aca="false">SUM(AJ15:AJ45)</f>
        <v>0</v>
      </c>
      <c r="AK47" s="114" t="n">
        <f aca="false">SUM(AK15:AK45)</f>
        <v>20444.208</v>
      </c>
      <c r="AL47" s="114" t="n">
        <f aca="false">SUM(AL15:AL45)</f>
        <v>1527.40876985127</v>
      </c>
      <c r="AM47" s="114" t="n">
        <f aca="false">SUM(AM15:AM45)</f>
        <v>21971.6167698513</v>
      </c>
      <c r="AN47" s="230"/>
      <c r="AO47" s="114" t="n">
        <f aca="false">SUM(AO15:AO45)</f>
        <v>0</v>
      </c>
      <c r="AP47" s="144" t="n">
        <f aca="false">SUM(AP15:AP45)</f>
        <v>2205.61044174738</v>
      </c>
      <c r="AQ47" s="522"/>
      <c r="AR47" s="144" t="n">
        <f aca="false">SUM(AR15:AR45)</f>
        <v>849.550289891606</v>
      </c>
      <c r="AS47" s="144" t="n">
        <f aca="false">SUM(AS15:AS45)</f>
        <v>61.15</v>
      </c>
      <c r="AT47" s="171" t="n">
        <f aca="false">SUM(AT15:AT45)</f>
        <v>6.992</v>
      </c>
      <c r="AU47" s="144" t="n">
        <f aca="false">SUM(AU15:AU45)</f>
        <v>0</v>
      </c>
      <c r="AV47" s="330" t="n">
        <f aca="false">SUM(AV15:AV45)</f>
        <v>1.49666666666667</v>
      </c>
      <c r="AW47" s="225" t="n">
        <f aca="false">AVERAGE(AW15:AW45)</f>
        <v>85.1161290322581</v>
      </c>
      <c r="AX47" s="225" t="n">
        <f aca="false">AVERAGE(AX15:AX45)</f>
        <v>54.9354838709678</v>
      </c>
      <c r="AY47" s="233" t="s">
        <v>130</v>
      </c>
      <c r="AZ47" s="348" t="n">
        <f aca="false">SUM(AZ15:AZ45)</f>
        <v>301.293562239611</v>
      </c>
      <c r="BA47" s="144" t="n">
        <f aca="false">SUM(BA15:BA45)</f>
        <v>667.277</v>
      </c>
      <c r="BB47" s="86"/>
    </row>
    <row r="48" customFormat="false" ht="12.95" hidden="false" customHeight="true" outlineLevel="0" collapsed="false">
      <c r="A48" s="194" t="s">
        <v>106</v>
      </c>
      <c r="B48" s="223"/>
      <c r="C48" s="114"/>
      <c r="D48" s="114" t="n">
        <f aca="false">SUM(D15:D45)</f>
        <v>-14973</v>
      </c>
      <c r="E48" s="114"/>
      <c r="F48" s="224" t="n">
        <f aca="false">F47*$D$2</f>
        <v>-14973</v>
      </c>
      <c r="G48" s="114" t="n">
        <f aca="false">G47*$D$2</f>
        <v>27967.35</v>
      </c>
      <c r="H48" s="225" t="n">
        <f aca="false">H47*$D$2</f>
        <v>2.118378</v>
      </c>
      <c r="I48" s="114" t="n">
        <f aca="false">I47*$D$2</f>
        <v>27969.468378</v>
      </c>
      <c r="J48" s="114" t="n">
        <f aca="false">J47*$D$2</f>
        <v>638.233485000001</v>
      </c>
      <c r="K48" s="114" t="n">
        <f aca="false">K47*$D$2</f>
        <v>28607.701863</v>
      </c>
      <c r="L48" s="114" t="n">
        <f aca="false">L47*$D$2</f>
        <v>-2391.38180999999</v>
      </c>
      <c r="M48" s="226" t="n">
        <f aca="false">M47*$D$2</f>
        <v>14650.131</v>
      </c>
      <c r="N48" s="114" t="n">
        <f aca="false">N47*$D$2</f>
        <v>31.93</v>
      </c>
      <c r="O48" s="114" t="n">
        <f aca="false">O47*$D$2</f>
        <v>3350.8158075</v>
      </c>
      <c r="P48" s="171" t="n">
        <f aca="false">P47*$D$2</f>
        <v>16.006845</v>
      </c>
      <c r="Q48" s="114" t="n">
        <f aca="false">Q47*$D$2</f>
        <v>182.493415702269</v>
      </c>
      <c r="R48" s="114" t="n">
        <f aca="false">R47*$D$2</f>
        <v>239.88056774776</v>
      </c>
      <c r="S48" s="114" t="n">
        <f aca="false">S47*$D$2</f>
        <v>57.87482418728</v>
      </c>
      <c r="T48" s="114" t="n">
        <f aca="false">T47*$D$2</f>
        <v>69.43012806496</v>
      </c>
      <c r="U48" s="227" t="n">
        <f aca="false">U47*$D$2</f>
        <v>0</v>
      </c>
      <c r="V48" s="114" t="n">
        <f aca="false">V47*$D$2</f>
        <v>6241.2811</v>
      </c>
      <c r="W48" s="114" t="n">
        <f aca="false">W47*$D$2</f>
        <v>4386.11355</v>
      </c>
      <c r="X48" s="114" t="n">
        <f aca="false">X47*$D$2</f>
        <v>23000.3084297977</v>
      </c>
      <c r="Y48" s="114" t="n">
        <f aca="false">Y47*$D$2</f>
        <v>23000.3084297977</v>
      </c>
      <c r="Z48" s="114"/>
      <c r="AA48" s="114" t="n">
        <f aca="false">AA47*$D$2</f>
        <v>-4374.82831120594</v>
      </c>
      <c r="AB48" s="114"/>
      <c r="AC48" s="114"/>
      <c r="AD48" s="114"/>
      <c r="AE48" s="114" t="n">
        <f aca="false">AE47*$D$2</f>
        <v>10488.748</v>
      </c>
      <c r="AF48" s="226" t="n">
        <f aca="false">AF47*$D$2</f>
        <v>104.53045</v>
      </c>
      <c r="AG48" s="228" t="n">
        <f aca="false">AG47*$D$2</f>
        <v>79.93505</v>
      </c>
      <c r="AH48" s="114" t="n">
        <f aca="false">AH47*$D$2</f>
        <v>4798.68155</v>
      </c>
      <c r="AI48" s="114"/>
      <c r="AJ48" s="114" t="n">
        <f aca="false">AJ47*$D$2</f>
        <v>0</v>
      </c>
      <c r="AK48" s="114" t="n">
        <f aca="false">AK47*$D$2</f>
        <v>40551.086568</v>
      </c>
      <c r="AL48" s="114" t="n">
        <f aca="false">AL47*$D$2</f>
        <v>3029.615295</v>
      </c>
      <c r="AM48" s="114" t="n">
        <f aca="false">AM47*$D$2</f>
        <v>43580.701863</v>
      </c>
      <c r="AN48" s="230"/>
      <c r="AO48" s="114" t="n">
        <f aca="false">AO47*$D$2</f>
        <v>0</v>
      </c>
      <c r="AP48" s="144"/>
      <c r="AQ48" s="522" t="n">
        <f aca="false">SUM(AQ15:AQ45)</f>
        <v>381.51443853536</v>
      </c>
      <c r="AR48" s="144" t="n">
        <f aca="false">AR47*$D$2</f>
        <v>1685.083</v>
      </c>
      <c r="AS48" s="144" t="n">
        <f aca="false">AS47*$D$2</f>
        <v>121.291025</v>
      </c>
      <c r="AT48" s="171" t="n">
        <f aca="false">AT47*$D$2</f>
        <v>13.868632</v>
      </c>
      <c r="AU48" s="144" t="n">
        <f aca="false">AU47*$D$2</f>
        <v>0</v>
      </c>
      <c r="AV48" s="330"/>
      <c r="AW48" s="225" t="n">
        <f aca="false">MAX(AW15:AW45)</f>
        <v>95</v>
      </c>
      <c r="AX48" s="225" t="n">
        <f aca="false">MAX(AX15:AX45)</f>
        <v>64</v>
      </c>
      <c r="AY48" s="233" t="s">
        <v>35</v>
      </c>
      <c r="AZ48" s="348" t="n">
        <f aca="false">AZ47*$D$2</f>
        <v>597.615780702269</v>
      </c>
      <c r="BA48" s="144" t="n">
        <f aca="false">BA47*$D$2</f>
        <v>1323.5439295</v>
      </c>
      <c r="BB48" s="86"/>
    </row>
    <row r="49" customFormat="false" ht="3" hidden="false" customHeight="true" outlineLevel="0" collapsed="false">
      <c r="A49" s="244"/>
      <c r="B49" s="266"/>
      <c r="C49" s="246"/>
      <c r="D49" s="246"/>
      <c r="E49" s="246"/>
      <c r="F49" s="270"/>
      <c r="G49" s="246"/>
      <c r="H49" s="256"/>
      <c r="I49" s="246"/>
      <c r="J49" s="246"/>
      <c r="K49" s="246"/>
      <c r="L49" s="246"/>
      <c r="M49" s="271"/>
      <c r="N49" s="246"/>
      <c r="O49" s="246"/>
      <c r="P49" s="251"/>
      <c r="Q49" s="246"/>
      <c r="R49" s="246"/>
      <c r="S49" s="246"/>
      <c r="T49" s="246"/>
      <c r="U49" s="252"/>
      <c r="V49" s="246"/>
      <c r="W49" s="246"/>
      <c r="X49" s="246"/>
      <c r="Y49" s="246"/>
      <c r="Z49" s="246"/>
      <c r="AA49" s="246"/>
      <c r="AB49" s="246"/>
      <c r="AC49" s="246"/>
      <c r="AD49" s="246"/>
      <c r="AE49" s="246"/>
      <c r="AF49" s="271"/>
      <c r="AG49" s="272"/>
      <c r="AH49" s="246"/>
      <c r="AI49" s="247"/>
      <c r="AJ49" s="246"/>
      <c r="AK49" s="246"/>
      <c r="AL49" s="246"/>
      <c r="AM49" s="246"/>
      <c r="AN49" s="274"/>
      <c r="AO49" s="246"/>
      <c r="AP49" s="253"/>
      <c r="AQ49" s="251"/>
      <c r="AR49" s="251"/>
      <c r="AS49" s="251"/>
      <c r="AT49" s="251"/>
      <c r="AU49" s="253"/>
      <c r="AV49" s="274"/>
      <c r="AW49" s="246"/>
      <c r="AX49" s="246"/>
      <c r="AY49" s="246"/>
      <c r="AZ49" s="246"/>
      <c r="BA49" s="246"/>
      <c r="BB49" s="246"/>
    </row>
    <row r="50" customFormat="false" ht="12.95" hidden="false" customHeight="true" outlineLevel="0" collapsed="false">
      <c r="A50" s="194" t="s">
        <v>108</v>
      </c>
      <c r="B50" s="223"/>
      <c r="C50" s="114"/>
      <c r="D50" s="114"/>
      <c r="E50" s="114"/>
      <c r="F50" s="224" t="n">
        <f aca="false">F12+F47</f>
        <v>64682.1275523065</v>
      </c>
      <c r="G50" s="114" t="n">
        <f aca="false">G12+G47</f>
        <v>117109</v>
      </c>
      <c r="H50" s="225" t="n">
        <f aca="false">H12+H47</f>
        <v>1962.931</v>
      </c>
      <c r="I50" s="114" t="n">
        <f aca="false">I12+I47</f>
        <v>119071.931</v>
      </c>
      <c r="J50" s="114" t="n">
        <f aca="false">J12+J47</f>
        <v>2060.96332493068</v>
      </c>
      <c r="K50" s="114" t="n">
        <f aca="false">K12+K47</f>
        <v>121132.884324931</v>
      </c>
      <c r="L50" s="114" t="n">
        <f aca="false">L12+L47</f>
        <v>-6779.83473178724</v>
      </c>
      <c r="M50" s="226" t="n">
        <f aca="false">M12+M47</f>
        <v>20642.81</v>
      </c>
      <c r="N50" s="114" t="n">
        <f aca="false">N12+N47</f>
        <v>45.6970002520797</v>
      </c>
      <c r="O50" s="114" t="n">
        <f aca="false">O12+O47</f>
        <v>5313.126</v>
      </c>
      <c r="P50" s="171" t="n">
        <f aca="false">P12+P47</f>
        <v>8.07</v>
      </c>
      <c r="Q50" s="114"/>
      <c r="R50" s="114"/>
      <c r="S50" s="114"/>
      <c r="T50" s="114"/>
      <c r="U50" s="227"/>
      <c r="V50" s="114" t="n">
        <f aca="false">V12+V47</f>
        <v>4528</v>
      </c>
      <c r="W50" s="114" t="n">
        <f aca="false">W12+W47</f>
        <v>5691.69</v>
      </c>
      <c r="X50" s="114" t="n">
        <f aca="false">X12+X47</f>
        <v>26149.7302743927</v>
      </c>
      <c r="Y50" s="114" t="n">
        <f aca="false">Y12+Y47</f>
        <v>25970.4702743927</v>
      </c>
      <c r="Z50" s="85"/>
      <c r="AA50" s="114"/>
      <c r="AB50" s="442"/>
      <c r="AC50" s="442"/>
      <c r="AD50" s="114"/>
      <c r="AE50" s="114" t="n">
        <f aca="false">AE12+AE47</f>
        <v>10991.07</v>
      </c>
      <c r="AF50" s="226" t="n">
        <f aca="false">AF12+AF47</f>
        <v>207.4</v>
      </c>
      <c r="AG50" s="228" t="n">
        <f aca="false">AG12+AG47</f>
        <v>158.6</v>
      </c>
      <c r="AH50" s="114"/>
      <c r="AI50" s="442"/>
      <c r="AJ50" s="114" t="n">
        <f aca="false">AJ12+AJ47</f>
        <v>0</v>
      </c>
      <c r="AK50" s="114" t="n">
        <f aca="false">AK12+AK47</f>
        <v>47609.9587159062</v>
      </c>
      <c r="AL50" s="114" t="n">
        <f aca="false">AL12+AL47</f>
        <v>8840.79805671792</v>
      </c>
      <c r="AM50" s="114" t="n">
        <f aca="false">AM12+AM47</f>
        <v>56450.7567726242</v>
      </c>
      <c r="AN50" s="230"/>
      <c r="AO50" s="225"/>
      <c r="AP50" s="144"/>
      <c r="AQ50" s="522"/>
      <c r="AR50" s="144" t="n">
        <f aca="false">AR12+AR47</f>
        <v>1454.43660196622</v>
      </c>
      <c r="AS50" s="144" t="n">
        <f aca="false">AS12+AS47</f>
        <v>61.15</v>
      </c>
      <c r="AT50" s="171" t="n">
        <f aca="false">AT12+AT47</f>
        <v>6.992</v>
      </c>
      <c r="AU50" s="144" t="n">
        <f aca="false">AU12+AU47</f>
        <v>0</v>
      </c>
      <c r="AV50" s="330" t="s">
        <v>136</v>
      </c>
      <c r="AW50" s="225" t="n">
        <f aca="false">MIN(AW15:AW45)</f>
        <v>75</v>
      </c>
      <c r="AX50" s="225" t="n">
        <f aca="false">MIN(AX15:AX45)</f>
        <v>48</v>
      </c>
      <c r="AY50" s="233" t="s">
        <v>36</v>
      </c>
      <c r="AZ50" s="348" t="n">
        <f aca="false">AZ12+AZ47</f>
        <v>884.408477573493</v>
      </c>
      <c r="BA50" s="144" t="n">
        <f aca="false">BA12+BA47</f>
        <v>3460.213</v>
      </c>
      <c r="BB50" s="86"/>
    </row>
    <row r="51" customFormat="false" ht="12.95" hidden="false" customHeight="true" outlineLevel="0" collapsed="false">
      <c r="A51" s="194" t="s">
        <v>110</v>
      </c>
      <c r="B51" s="223"/>
      <c r="C51" s="114"/>
      <c r="D51" s="114"/>
      <c r="E51" s="114"/>
      <c r="F51" s="224" t="n">
        <f aca="false">F50*$D$2</f>
        <v>128297</v>
      </c>
      <c r="G51" s="114" t="n">
        <f aca="false">G50*$D$2</f>
        <v>232285.7015</v>
      </c>
      <c r="H51" s="225" t="n">
        <f aca="false">H50*$D$2</f>
        <v>3893.4736385</v>
      </c>
      <c r="I51" s="114" t="n">
        <f aca="false">I50*$D$2</f>
        <v>236179.1751385</v>
      </c>
      <c r="J51" s="114" t="n">
        <f aca="false">J50*$D$2</f>
        <v>4087.920755</v>
      </c>
      <c r="K51" s="114" t="n">
        <f aca="false">K50*$D$2</f>
        <v>240267.0760585</v>
      </c>
      <c r="L51" s="114" t="n">
        <f aca="false">L50*$D$2</f>
        <v>-13447.8021905</v>
      </c>
      <c r="M51" s="226" t="n">
        <f aca="false">M50*$D$2</f>
        <v>40945.013635</v>
      </c>
      <c r="N51" s="114" t="n">
        <f aca="false">N50*$D$2</f>
        <v>90.64</v>
      </c>
      <c r="O51" s="114" t="n">
        <f aca="false">O50*$D$2</f>
        <v>10538.585421</v>
      </c>
      <c r="P51" s="171" t="n">
        <f aca="false">P50*$D$2</f>
        <v>16.006845</v>
      </c>
      <c r="Q51" s="114"/>
      <c r="R51" s="114"/>
      <c r="S51" s="114"/>
      <c r="T51" s="114"/>
      <c r="U51" s="227"/>
      <c r="V51" s="114" t="n">
        <f aca="false">V50*$D$2</f>
        <v>8981.288</v>
      </c>
      <c r="W51" s="114" t="n">
        <f aca="false">W50*$D$2</f>
        <v>11289.467115</v>
      </c>
      <c r="X51" s="114" t="n">
        <f aca="false">X50*$D$2</f>
        <v>51867.989999258</v>
      </c>
      <c r="Y51" s="114" t="n">
        <f aca="false">Y50*$D$2</f>
        <v>51512.427789258</v>
      </c>
      <c r="Z51" s="85"/>
      <c r="AA51" s="114"/>
      <c r="AB51" s="114"/>
      <c r="AC51" s="114"/>
      <c r="AD51" s="114"/>
      <c r="AE51" s="114" t="n">
        <f aca="false">AE50*$D$2</f>
        <v>21800.787345</v>
      </c>
      <c r="AF51" s="226" t="n">
        <f aca="false">AF50*$D$2</f>
        <v>411.3779</v>
      </c>
      <c r="AG51" s="228" t="n">
        <f aca="false">AG50*$D$2</f>
        <v>314.5831</v>
      </c>
      <c r="AH51" s="114"/>
      <c r="AI51" s="114"/>
      <c r="AJ51" s="114" t="n">
        <f aca="false">AJ50*$D$2</f>
        <v>0</v>
      </c>
      <c r="AK51" s="114" t="n">
        <f aca="false">AK50*$D$2</f>
        <v>94434.353113</v>
      </c>
      <c r="AL51" s="114" t="n">
        <f aca="false">AL50*$D$2</f>
        <v>17535.7229455</v>
      </c>
      <c r="AM51" s="114" t="n">
        <f aca="false">AM50*$D$2</f>
        <v>111970.0760585</v>
      </c>
      <c r="AN51" s="230"/>
      <c r="AO51" s="225"/>
      <c r="AP51" s="144"/>
      <c r="AQ51" s="522" t="n">
        <f aca="false">AQ12+AQ48</f>
        <v>1395.06743532539</v>
      </c>
      <c r="AR51" s="144" t="n">
        <f aca="false">AR50*$D$2</f>
        <v>2884.875</v>
      </c>
      <c r="AS51" s="144" t="n">
        <f aca="false">AS50*$D$2</f>
        <v>121.291025</v>
      </c>
      <c r="AT51" s="144" t="n">
        <f aca="false">AT50*$D$2</f>
        <v>13.868632</v>
      </c>
      <c r="AU51" s="144" t="n">
        <f aca="false">AU50*$D$2</f>
        <v>0</v>
      </c>
      <c r="AV51" s="330" t="n">
        <f aca="false">JUN!AV50+AV47</f>
        <v>7.52666666666667</v>
      </c>
      <c r="AW51" s="225"/>
      <c r="AX51" s="225"/>
      <c r="AY51" s="264"/>
      <c r="AZ51" s="348" t="n">
        <f aca="false">AZ50*$D$2</f>
        <v>1754.22421526702</v>
      </c>
      <c r="BA51" s="144" t="n">
        <f aca="false">BA50*$D$2</f>
        <v>6863.3324855</v>
      </c>
      <c r="BB51" s="86"/>
    </row>
    <row r="52" customFormat="false" ht="3" hidden="false" customHeight="true" outlineLevel="0" collapsed="false">
      <c r="A52" s="244"/>
      <c r="B52" s="266"/>
      <c r="C52" s="246"/>
      <c r="D52" s="246"/>
      <c r="E52" s="246"/>
      <c r="F52" s="270"/>
      <c r="G52" s="246"/>
      <c r="H52" s="256"/>
      <c r="I52" s="246"/>
      <c r="J52" s="246"/>
      <c r="K52" s="246"/>
      <c r="L52" s="246"/>
      <c r="M52" s="271"/>
      <c r="N52" s="246"/>
      <c r="O52" s="246"/>
      <c r="P52" s="251"/>
      <c r="Q52" s="246"/>
      <c r="R52" s="246"/>
      <c r="S52" s="246"/>
      <c r="T52" s="246"/>
      <c r="U52" s="252"/>
      <c r="V52" s="246"/>
      <c r="W52" s="246"/>
      <c r="X52" s="246"/>
      <c r="Y52" s="246"/>
      <c r="Z52" s="246"/>
      <c r="AA52" s="246"/>
      <c r="AB52" s="246"/>
      <c r="AC52" s="246"/>
      <c r="AD52" s="256"/>
      <c r="AE52" s="246"/>
      <c r="AF52" s="271"/>
      <c r="AG52" s="272"/>
      <c r="AH52" s="246"/>
      <c r="AI52" s="246"/>
      <c r="AJ52" s="246"/>
      <c r="AK52" s="246"/>
      <c r="AL52" s="246"/>
      <c r="AM52" s="246"/>
      <c r="AN52" s="274"/>
      <c r="AO52" s="246"/>
      <c r="AP52" s="253"/>
      <c r="AQ52" s="251"/>
      <c r="AR52" s="251"/>
      <c r="AS52" s="251"/>
      <c r="AT52" s="251"/>
      <c r="AU52" s="253"/>
      <c r="AV52" s="519"/>
      <c r="AW52" s="246"/>
      <c r="AX52" s="246"/>
      <c r="AY52" s="246"/>
      <c r="AZ52" s="246"/>
      <c r="BA52" s="246"/>
      <c r="BB52" s="246"/>
    </row>
    <row r="53" customFormat="false" ht="12.95" hidden="false" customHeight="true" outlineLevel="0" collapsed="false">
      <c r="A53" s="194" t="s">
        <v>111</v>
      </c>
      <c r="B53" s="223"/>
      <c r="C53" s="114"/>
      <c r="D53" s="114"/>
      <c r="E53" s="114"/>
      <c r="F53" s="224" t="n">
        <f aca="false">F13+F47</f>
        <v>69539.7025460045</v>
      </c>
      <c r="G53" s="114" t="n">
        <f aca="false">G13+G47</f>
        <v>132338</v>
      </c>
      <c r="H53" s="225" t="n">
        <f aca="false">H13+H47</f>
        <v>2080.433</v>
      </c>
      <c r="I53" s="114" t="n">
        <f aca="false">I13+I47</f>
        <v>134417.813</v>
      </c>
      <c r="J53" s="114" t="n">
        <f aca="false">J13+J47</f>
        <v>4406.05223040081</v>
      </c>
      <c r="K53" s="114" t="n">
        <f aca="false">K13+K47</f>
        <v>138823.855230401</v>
      </c>
      <c r="L53" s="114" t="n">
        <f aca="false">L13+L47</f>
        <v>-6650.39173808924</v>
      </c>
      <c r="M53" s="226" t="n">
        <f aca="false">M13+M47</f>
        <v>21387.34</v>
      </c>
      <c r="N53" s="114" t="n">
        <f aca="false">N13+N47</f>
        <v>45.6970002520797</v>
      </c>
      <c r="O53" s="114" t="n">
        <f aca="false">O13+O47</f>
        <v>5313.126</v>
      </c>
      <c r="P53" s="171"/>
      <c r="Q53" s="114" t="n">
        <f aca="false">Q13+Q47</f>
        <v>498.999201963201</v>
      </c>
      <c r="R53" s="114" t="n">
        <f aca="false">R13+R47</f>
        <v>625.67474016</v>
      </c>
      <c r="S53" s="114" t="n">
        <f aca="false">S13+S47</f>
        <v>58.5669624</v>
      </c>
      <c r="T53" s="114" t="n">
        <f aca="false">T13+T47</f>
        <v>189.22839312</v>
      </c>
      <c r="U53" s="327" t="n">
        <f aca="false">U13+U47</f>
        <v>-45.366813481233</v>
      </c>
      <c r="V53" s="114" t="n">
        <f aca="false">V13+V47</f>
        <v>10240.49</v>
      </c>
      <c r="W53" s="114" t="n">
        <f aca="false">W13+W47</f>
        <v>5715.72</v>
      </c>
      <c r="X53" s="114" t="n">
        <f aca="false">X13+X47</f>
        <v>32064.9625675522</v>
      </c>
      <c r="Y53" s="114" t="n">
        <f aca="false">Y13+Y47</f>
        <v>31690.0792342188</v>
      </c>
      <c r="Z53" s="114"/>
      <c r="AA53" s="114"/>
      <c r="AB53" s="114"/>
      <c r="AC53" s="114"/>
      <c r="AD53" s="225"/>
      <c r="AE53" s="114"/>
      <c r="AF53" s="226" t="n">
        <f aca="false">AF13+AF47</f>
        <v>207.4</v>
      </c>
      <c r="AG53" s="228" t="n">
        <f aca="false">AG13+AG47</f>
        <v>158.6</v>
      </c>
      <c r="AH53" s="114" t="n">
        <f aca="false">AH13+AH47</f>
        <v>9900.6</v>
      </c>
      <c r="AI53" s="114" t="n">
        <f aca="false">AI45</f>
        <v>10267.3578774893</v>
      </c>
      <c r="AJ53" s="114" t="n">
        <f aca="false">AJ13+AJ47</f>
        <v>0</v>
      </c>
      <c r="AK53" s="114" t="n">
        <f aca="false">AK13+AK47</f>
        <v>58227.7087159062</v>
      </c>
      <c r="AL53" s="114" t="n">
        <f aca="false">AL13+AL47</f>
        <v>11056.44396849</v>
      </c>
      <c r="AM53" s="523" t="n">
        <f aca="false">AM13+AM47</f>
        <v>69284.1526843963</v>
      </c>
      <c r="AN53" s="114" t="n">
        <f aca="false">AN13+AN47</f>
        <v>5685.01666666667</v>
      </c>
      <c r="AO53" s="114" t="n">
        <f aca="false">AO13+AO47</f>
        <v>374.883333333333</v>
      </c>
      <c r="AP53" s="144"/>
      <c r="AQ53" s="522"/>
      <c r="AR53" s="522"/>
      <c r="AS53" s="143" t="n">
        <f aca="false">AS13+AS47</f>
        <v>61.15</v>
      </c>
      <c r="AT53" s="522"/>
      <c r="AU53" s="523" t="n">
        <f aca="false">AU13+AU47</f>
        <v>0</v>
      </c>
      <c r="AV53" s="330" t="n">
        <f aca="false">AV13+AV47</f>
        <v>13.8066666666667</v>
      </c>
      <c r="AW53" s="225"/>
      <c r="AX53" s="225"/>
      <c r="AY53" s="264"/>
      <c r="AZ53" s="348" t="n">
        <f aca="false">AZ13+AZ47</f>
        <v>1380.86948441405</v>
      </c>
      <c r="BA53" s="143" t="n">
        <f aca="false">BA13+BA47</f>
        <v>3473.819</v>
      </c>
      <c r="BB53" s="86"/>
    </row>
    <row r="54" customFormat="false" ht="12.95" hidden="false" customHeight="true" outlineLevel="0" collapsed="false">
      <c r="A54" s="194" t="s">
        <v>112</v>
      </c>
      <c r="B54" s="223"/>
      <c r="C54" s="114"/>
      <c r="D54" s="114" t="n">
        <f aca="false">D13+D48</f>
        <v>137932</v>
      </c>
      <c r="E54" s="114" t="n">
        <f aca="false">E45</f>
        <v>171672</v>
      </c>
      <c r="F54" s="224" t="n">
        <f aca="false">F53*$D$2</f>
        <v>137932</v>
      </c>
      <c r="G54" s="114" t="n">
        <f aca="false">G53*$D$2</f>
        <v>262492.423</v>
      </c>
      <c r="H54" s="225" t="n">
        <f aca="false">H53*$D$2</f>
        <v>4126.5388555</v>
      </c>
      <c r="I54" s="114" t="n">
        <f aca="false">I53*$D$2</f>
        <v>266617.7320855</v>
      </c>
      <c r="J54" s="114" t="n">
        <f aca="false">J53*$D$2</f>
        <v>8739.404599</v>
      </c>
      <c r="K54" s="114" t="n">
        <f aca="false">K53*$D$2</f>
        <v>275357.1168495</v>
      </c>
      <c r="L54" s="114" t="n">
        <f aca="false">L53*$D$2</f>
        <v>-13191.0520125</v>
      </c>
      <c r="M54" s="226" t="n">
        <f aca="false">M53*$D$2</f>
        <v>42421.78889</v>
      </c>
      <c r="N54" s="114" t="n">
        <f aca="false">N53*$D$2</f>
        <v>90.64</v>
      </c>
      <c r="O54" s="114" t="n">
        <f aca="false">O53*$D$2</f>
        <v>10538.585421</v>
      </c>
      <c r="P54" s="171"/>
      <c r="Q54" s="225" t="n">
        <f aca="false">Q53*$D$2</f>
        <v>989.764917094009</v>
      </c>
      <c r="R54" s="225" t="n">
        <f aca="false">R53*$D$2</f>
        <v>1241.02584710736</v>
      </c>
      <c r="S54" s="238" t="n">
        <f aca="false">S53*$D$2</f>
        <v>116.1675699204</v>
      </c>
      <c r="T54" s="238" t="n">
        <f aca="false">T53*$D$2</f>
        <v>375.33451775352</v>
      </c>
      <c r="U54" s="433" t="n">
        <f aca="false">U53*$D$2</f>
        <v>-89.9850745400256</v>
      </c>
      <c r="V54" s="114" t="n">
        <f aca="false">V53*$D$2</f>
        <v>20312.011915</v>
      </c>
      <c r="W54" s="114" t="n">
        <f aca="false">W53*$D$2</f>
        <v>11337.13062</v>
      </c>
      <c r="X54" s="114" t="n">
        <f aca="false">X53*$D$2</f>
        <v>63600.8532527397</v>
      </c>
      <c r="Y54" s="114" t="n">
        <f aca="false">Y53*$D$2</f>
        <v>62857.2721610731</v>
      </c>
      <c r="Z54" s="114"/>
      <c r="AA54" s="114"/>
      <c r="AB54" s="114"/>
      <c r="AC54" s="114"/>
      <c r="AD54" s="225"/>
      <c r="AE54" s="114"/>
      <c r="AF54" s="277" t="n">
        <f aca="false">AF53*$D$2</f>
        <v>411.3779</v>
      </c>
      <c r="AG54" s="278" t="n">
        <f aca="false">AG53*$D$2</f>
        <v>314.5831</v>
      </c>
      <c r="AH54" s="114" t="n">
        <f aca="false">AH53*$D$2</f>
        <v>19637.8401</v>
      </c>
      <c r="AI54" s="114" t="n">
        <f aca="false">AI53*$D$2</f>
        <v>20365.30435</v>
      </c>
      <c r="AJ54" s="114" t="n">
        <f aca="false">AJ53*$D$2</f>
        <v>0</v>
      </c>
      <c r="AK54" s="114" t="n">
        <f aca="false">AK53*$D$2</f>
        <v>115494.660238</v>
      </c>
      <c r="AL54" s="114" t="n">
        <f aca="false">AL53*$D$2</f>
        <v>21930.4566115</v>
      </c>
      <c r="AM54" s="279" t="n">
        <f aca="false">AM53*$D$2</f>
        <v>137425.1168495</v>
      </c>
      <c r="AN54" s="114" t="n">
        <f aca="false">AN53*$D$2</f>
        <v>11276.2305583333</v>
      </c>
      <c r="AO54" s="114" t="n">
        <f aca="false">AO53*$D$2</f>
        <v>743.581091666667</v>
      </c>
      <c r="AP54" s="144"/>
      <c r="AQ54" s="522" t="n">
        <f aca="false">AQ13+AQ48</f>
        <v>1395.06743532539</v>
      </c>
      <c r="AR54" s="171"/>
      <c r="AS54" s="143" t="n">
        <f aca="false">AS53*$D$2</f>
        <v>121.291025</v>
      </c>
      <c r="AT54" s="171"/>
      <c r="AU54" s="279" t="n">
        <f aca="false">AU53*$D$2</f>
        <v>0</v>
      </c>
      <c r="AV54" s="330"/>
      <c r="AW54" s="225"/>
      <c r="AX54" s="225"/>
      <c r="AY54" s="264"/>
      <c r="AZ54" s="348" t="n">
        <f aca="false">AZ53*$D$2</f>
        <v>2738.95462233526</v>
      </c>
      <c r="BA54" s="143" t="n">
        <f aca="false">BA53*$D$2</f>
        <v>6890.3199865</v>
      </c>
      <c r="BB54" s="86"/>
    </row>
    <row r="55" customFormat="false" ht="3" hidden="false" customHeight="true" outlineLevel="0" collapsed="false">
      <c r="A55" s="244"/>
      <c r="B55" s="524"/>
      <c r="C55" s="525"/>
      <c r="D55" s="244"/>
      <c r="E55" s="525"/>
      <c r="F55" s="526"/>
      <c r="G55" s="244"/>
      <c r="H55" s="527"/>
      <c r="I55" s="244"/>
      <c r="J55" s="244"/>
      <c r="K55" s="244"/>
      <c r="L55" s="244"/>
      <c r="M55" s="528"/>
      <c r="N55" s="244"/>
      <c r="O55" s="244"/>
      <c r="P55" s="529"/>
      <c r="Q55" s="244"/>
      <c r="R55" s="244"/>
      <c r="S55" s="244"/>
      <c r="T55" s="244"/>
      <c r="U55" s="530"/>
      <c r="V55" s="244"/>
      <c r="W55" s="244"/>
      <c r="X55" s="244"/>
      <c r="Y55" s="244"/>
      <c r="Z55" s="525"/>
      <c r="AA55" s="244"/>
      <c r="AB55" s="525"/>
      <c r="AC55" s="525"/>
      <c r="AD55" s="531"/>
      <c r="AE55" s="244"/>
      <c r="AF55" s="250"/>
      <c r="AG55" s="254"/>
      <c r="AH55" s="244"/>
      <c r="AI55" s="525"/>
      <c r="AJ55" s="525"/>
      <c r="AK55" s="244"/>
      <c r="AL55" s="244"/>
      <c r="AM55" s="244"/>
      <c r="AN55" s="266"/>
      <c r="AO55" s="247"/>
      <c r="AP55" s="253"/>
      <c r="AQ55" s="253"/>
      <c r="AR55" s="253"/>
      <c r="AS55" s="251"/>
      <c r="AT55" s="251"/>
      <c r="AU55" s="253"/>
      <c r="AV55" s="524"/>
      <c r="AW55" s="244"/>
      <c r="AX55" s="244"/>
      <c r="AY55" s="244"/>
      <c r="AZ55" s="244"/>
      <c r="BA55" s="244"/>
      <c r="BB55" s="244"/>
    </row>
    <row r="56" customFormat="false" ht="11.1" hidden="false" customHeight="true" outlineLevel="0" collapsed="false">
      <c r="A56" s="194"/>
      <c r="B56" s="185"/>
      <c r="C56" s="2"/>
      <c r="D56" s="11"/>
      <c r="E56" s="489"/>
      <c r="F56" s="1"/>
      <c r="G56" s="1"/>
      <c r="H56" s="4"/>
      <c r="I56" s="11"/>
      <c r="J56" s="11"/>
      <c r="K56" s="490"/>
      <c r="L56" s="161"/>
      <c r="M56" s="11"/>
      <c r="N56" s="11"/>
      <c r="O56" s="11"/>
      <c r="P56" s="5"/>
      <c r="Q56" s="11"/>
      <c r="R56" s="11"/>
      <c r="S56" s="11"/>
      <c r="T56" s="11"/>
      <c r="U56" s="5"/>
      <c r="V56" s="11"/>
      <c r="W56" s="11"/>
      <c r="X56" s="11"/>
      <c r="Y56" s="11"/>
      <c r="Z56" s="1"/>
      <c r="AA56" s="11"/>
      <c r="AB56" s="1"/>
      <c r="AC56" s="1"/>
      <c r="AD56" s="9"/>
      <c r="AE56" s="11"/>
      <c r="AF56" s="11"/>
      <c r="AG56" s="11"/>
      <c r="AH56" s="11"/>
      <c r="AI56" s="489"/>
      <c r="AJ56" s="492"/>
      <c r="AK56" s="489"/>
      <c r="AL56" s="194"/>
      <c r="AM56" s="194"/>
      <c r="AN56" s="192"/>
      <c r="AO56" s="192"/>
      <c r="AP56" s="335"/>
      <c r="AV56" s="8"/>
      <c r="AX56" s="191"/>
    </row>
    <row r="57" customFormat="false" ht="11.1" hidden="false" customHeight="true" outlineLevel="0" collapsed="false">
      <c r="A57" s="194"/>
      <c r="B57" s="185"/>
      <c r="C57" s="2"/>
      <c r="D57" s="1"/>
      <c r="E57" s="390"/>
      <c r="F57" s="197"/>
      <c r="G57" s="1"/>
      <c r="H57" s="4"/>
      <c r="I57" s="12"/>
      <c r="J57" s="11"/>
      <c r="K57" s="186"/>
      <c r="L57" s="111"/>
      <c r="M57" s="11"/>
      <c r="N57" s="11"/>
      <c r="O57" s="11"/>
      <c r="P57" s="5"/>
      <c r="Q57" s="11"/>
      <c r="R57" s="11"/>
      <c r="S57" s="138"/>
      <c r="T57" s="138"/>
      <c r="U57" s="99"/>
      <c r="V57" s="26"/>
      <c r="W57" s="138"/>
      <c r="X57" s="493"/>
      <c r="Y57" s="493"/>
      <c r="Z57" s="161"/>
      <c r="AA57" s="493"/>
      <c r="AB57" s="161"/>
      <c r="AC57" s="161"/>
      <c r="AE57" s="26"/>
      <c r="AF57" s="26"/>
      <c r="AG57" s="26"/>
      <c r="AH57" s="138"/>
      <c r="AI57" s="96"/>
      <c r="AJ57" s="391"/>
      <c r="AK57" s="2"/>
      <c r="AL57" s="194"/>
      <c r="AN57" s="197"/>
      <c r="AO57" s="197"/>
      <c r="AP57" s="335"/>
    </row>
    <row r="58" customFormat="false" ht="11.1" hidden="false" customHeight="true" outlineLevel="0" collapsed="false">
      <c r="B58" s="161"/>
      <c r="E58" s="390"/>
      <c r="F58" s="237"/>
      <c r="G58" s="1"/>
      <c r="H58" s="4"/>
      <c r="I58" s="1"/>
      <c r="J58" s="1"/>
      <c r="K58" s="391"/>
      <c r="L58" s="450"/>
      <c r="M58" s="495"/>
      <c r="N58" s="495"/>
      <c r="O58" s="390"/>
      <c r="P58" s="497"/>
      <c r="Q58" s="390"/>
      <c r="R58" s="390"/>
      <c r="S58" s="26"/>
      <c r="T58" s="26"/>
      <c r="U58" s="99"/>
      <c r="V58" s="26"/>
      <c r="W58" s="138"/>
      <c r="X58" s="96"/>
      <c r="Y58" s="96"/>
      <c r="Z58" s="161"/>
      <c r="AA58" s="96"/>
      <c r="AB58" s="161"/>
      <c r="AC58" s="161"/>
      <c r="AE58" s="161"/>
      <c r="AF58" s="161"/>
      <c r="AG58" s="161"/>
      <c r="AH58" s="96"/>
      <c r="AI58" s="26"/>
      <c r="AJ58" s="498"/>
      <c r="AK58" s="26"/>
      <c r="AN58" s="189"/>
      <c r="AO58" s="189"/>
      <c r="AP58" s="335"/>
    </row>
    <row r="59" customFormat="false" ht="11.1" hidden="false" customHeight="true" outlineLevel="0" collapsed="false">
      <c r="G59" s="283"/>
      <c r="AN59" s="189"/>
      <c r="AO59" s="189"/>
      <c r="AP59" s="335"/>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84"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6" width="4.66"/>
    <col collapsed="false" customWidth="true" hidden="false" outlineLevel="0" max="2" min="2" style="56" width="6.99"/>
    <col collapsed="false" customWidth="true" hidden="false" outlineLevel="0" max="3" min="3" style="161" width="6.32"/>
    <col collapsed="false" customWidth="true" hidden="false" outlineLevel="0" max="4" min="4" style="56" width="6.99"/>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195" width="5.66"/>
    <col collapsed="false" customWidth="true" hidden="false" outlineLevel="0" max="11" min="9" style="56" width="6.32"/>
    <col collapsed="false" customWidth="true" hidden="false" outlineLevel="0" max="12" min="12" style="56" width="6.82"/>
    <col collapsed="false" customWidth="true" hidden="false" outlineLevel="0" max="13" min="13" style="111" width="5.49"/>
    <col collapsed="false" customWidth="true" hidden="false" outlineLevel="0" max="14" min="14" style="111" width="4.49"/>
    <col collapsed="false" customWidth="true" hidden="false" outlineLevel="0" max="15" min="15" style="111" width="5.49"/>
    <col collapsed="false" customWidth="true" hidden="false" outlineLevel="0" max="16" min="16" style="8" width="4.82"/>
    <col collapsed="false" customWidth="true" hidden="false" outlineLevel="0" max="20" min="17" style="56" width="4.32"/>
    <col collapsed="false" customWidth="true" hidden="false" outlineLevel="0" max="21" min="21" style="8" width="5.16"/>
    <col collapsed="false" customWidth="true" hidden="false" outlineLevel="0" max="22" min="22" style="56" width="5.49"/>
    <col collapsed="false" customWidth="true" hidden="false" outlineLevel="0" max="23" min="23" style="161" width="5.49"/>
    <col collapsed="false" customWidth="true" hidden="false" outlineLevel="0" max="25" min="24" style="56" width="6.32"/>
    <col collapsed="false" customWidth="true" hidden="false" outlineLevel="0" max="26" min="26" style="56" width="5.49"/>
    <col collapsed="false" customWidth="true" hidden="false" outlineLevel="0" max="27" min="27" style="56" width="6.32"/>
    <col collapsed="false" customWidth="true" hidden="false" outlineLevel="0" max="28" min="28" style="56" width="5.49"/>
    <col collapsed="false" customWidth="true" hidden="false" outlineLevel="0" max="29" min="29" style="161" width="5.82"/>
    <col collapsed="false" customWidth="true" hidden="false" outlineLevel="0" max="30" min="30" style="161" width="5.49"/>
    <col collapsed="false" customWidth="true" hidden="false" outlineLevel="0" max="33" min="31" style="56" width="5.49"/>
    <col collapsed="false" customWidth="true" hidden="false" outlineLevel="0" max="34" min="34" style="56" width="6.32"/>
    <col collapsed="false" customWidth="true" hidden="false" outlineLevel="0" max="35" min="35" style="56" width="5.49"/>
    <col collapsed="false" customWidth="true" hidden="false" outlineLevel="0" max="36" min="36" style="189" width="6.32"/>
    <col collapsed="false" customWidth="true" hidden="false" outlineLevel="0" max="37" min="37" style="8" width="6.32"/>
    <col collapsed="false" customWidth="true" hidden="false" outlineLevel="0" max="38" min="38" style="188" width="6.82"/>
    <col collapsed="false" customWidth="true" hidden="false" outlineLevel="0" max="39" min="39" style="191" width="6.82"/>
    <col collapsed="false" customWidth="true" hidden="false" outlineLevel="0" max="41" min="40" style="392" width="5.49"/>
    <col collapsed="false" customWidth="true" hidden="false" outlineLevel="0" max="42" min="42" style="418" width="6.32"/>
    <col collapsed="false" customWidth="true" hidden="false" outlineLevel="0" max="43" min="43" style="189" width="6.32"/>
    <col collapsed="false" customWidth="true" hidden="false" outlineLevel="0" max="44" min="44" style="189" width="5.49"/>
    <col collapsed="false" customWidth="true" hidden="false" outlineLevel="0" max="45" min="45" style="189" width="5.82"/>
    <col collapsed="false" customWidth="true" hidden="false" outlineLevel="0" max="47" min="46" style="335" width="5.82"/>
    <col collapsed="false" customWidth="true" hidden="false" outlineLevel="0" max="48" min="48" style="192" width="5.32"/>
    <col collapsed="false" customWidth="true" hidden="false" outlineLevel="0" max="50" min="49" style="56" width="3.82"/>
    <col collapsed="false" customWidth="true" hidden="false" outlineLevel="0" max="51" min="51" style="193" width="3.82"/>
    <col collapsed="false" customWidth="true" hidden="false" outlineLevel="0" max="52" min="52" style="193" width="6.16"/>
    <col collapsed="false" customWidth="false" hidden="false" outlineLevel="0" max="54" min="53" style="56" width="9.32"/>
    <col collapsed="false" customWidth="false" hidden="false" outlineLevel="0" max="257" min="55" style="193" width="9.32"/>
  </cols>
  <sheetData>
    <row r="1" customFormat="false" ht="14.1" hidden="false" customHeight="true" outlineLevel="0" collapsed="false">
      <c r="A1" s="194"/>
      <c r="B1" s="194"/>
      <c r="D1" s="194"/>
      <c r="F1" s="194"/>
      <c r="G1" s="194"/>
      <c r="I1" s="194"/>
      <c r="J1" s="194"/>
      <c r="K1" s="13" t="s">
        <v>0</v>
      </c>
      <c r="L1" s="199"/>
      <c r="M1" s="199"/>
      <c r="N1" s="199"/>
      <c r="O1" s="199"/>
      <c r="P1" s="199"/>
      <c r="Q1" s="199"/>
      <c r="R1" s="199"/>
      <c r="S1" s="199"/>
      <c r="T1" s="199"/>
      <c r="U1" s="199"/>
      <c r="V1" s="199"/>
      <c r="W1" s="199"/>
      <c r="X1" s="161"/>
      <c r="Y1" s="161"/>
      <c r="Z1" s="194"/>
      <c r="AA1" s="161"/>
      <c r="AB1" s="194"/>
      <c r="AC1" s="194"/>
      <c r="AE1" s="194"/>
      <c r="AF1" s="194"/>
      <c r="AG1" s="194"/>
      <c r="AH1" s="161"/>
      <c r="AI1" s="194"/>
      <c r="AJ1" s="197"/>
      <c r="AK1" s="194"/>
      <c r="AL1" s="194"/>
      <c r="AM1" s="8"/>
      <c r="AN1" s="197"/>
      <c r="AO1" s="197"/>
      <c r="AQ1" s="392"/>
      <c r="AR1" s="392"/>
      <c r="AS1" s="414"/>
      <c r="AV1" s="188"/>
      <c r="AW1" s="191"/>
      <c r="AX1" s="192"/>
    </row>
    <row r="2" customFormat="false" ht="14.1" hidden="false" customHeight="true" outlineLevel="0" collapsed="false">
      <c r="A2" s="197" t="s">
        <v>1</v>
      </c>
      <c r="B2" s="194"/>
      <c r="D2" s="198" t="n">
        <v>1.9835</v>
      </c>
      <c r="F2" s="194"/>
      <c r="G2" s="194"/>
      <c r="I2" s="194"/>
      <c r="J2" s="194"/>
      <c r="K2" s="457" t="s">
        <v>147</v>
      </c>
      <c r="L2" s="199"/>
      <c r="M2" s="199"/>
      <c r="N2" s="199"/>
      <c r="O2" s="199"/>
      <c r="P2" s="199"/>
      <c r="Q2" s="199"/>
      <c r="R2" s="199"/>
      <c r="S2" s="199"/>
      <c r="T2" s="199"/>
      <c r="U2" s="199"/>
      <c r="V2" s="199"/>
      <c r="W2" s="199"/>
      <c r="X2" s="90"/>
      <c r="Y2" s="90"/>
      <c r="Z2" s="200" t="s">
        <v>117</v>
      </c>
      <c r="AA2" s="200"/>
      <c r="AB2" s="200"/>
      <c r="AC2" s="200"/>
      <c r="AD2" s="200"/>
      <c r="AE2" s="194"/>
      <c r="AF2" s="194"/>
      <c r="AG2" s="194"/>
      <c r="AH2" s="161"/>
      <c r="AI2" s="194"/>
      <c r="AJ2" s="197"/>
      <c r="AK2" s="194"/>
      <c r="AL2" s="194"/>
      <c r="AM2" s="8"/>
      <c r="AN2" s="197"/>
      <c r="AO2" s="197"/>
      <c r="AQ2" s="392"/>
      <c r="AR2" s="392"/>
      <c r="AS2" s="414"/>
      <c r="AV2" s="188"/>
      <c r="AW2" s="191"/>
      <c r="AX2" s="192"/>
    </row>
    <row r="3" customFormat="false" ht="14.1" hidden="false" customHeight="true" outlineLevel="0" collapsed="false">
      <c r="A3" s="202"/>
      <c r="B3" s="202"/>
      <c r="C3" s="203"/>
      <c r="D3" s="204"/>
      <c r="E3" s="203"/>
      <c r="F3" s="202"/>
      <c r="G3" s="202"/>
      <c r="H3" s="205"/>
      <c r="I3" s="202"/>
      <c r="J3" s="202"/>
      <c r="K3" s="202"/>
      <c r="L3" s="202"/>
      <c r="M3" s="202"/>
      <c r="N3" s="202"/>
      <c r="O3" s="203"/>
      <c r="P3" s="206"/>
      <c r="Q3" s="206"/>
      <c r="R3" s="206"/>
      <c r="S3" s="206"/>
      <c r="T3" s="206"/>
      <c r="U3" s="206"/>
      <c r="V3" s="202"/>
      <c r="W3" s="202"/>
      <c r="X3" s="203"/>
      <c r="Y3" s="203"/>
      <c r="Z3" s="202"/>
      <c r="AA3" s="203"/>
      <c r="AB3" s="202"/>
      <c r="AC3" s="202"/>
      <c r="AD3" s="203"/>
      <c r="AE3" s="202"/>
      <c r="AF3" s="202"/>
      <c r="AG3" s="202"/>
      <c r="AH3" s="203"/>
      <c r="AI3" s="202"/>
      <c r="AJ3" s="208"/>
      <c r="AK3" s="202"/>
      <c r="AL3" s="202"/>
      <c r="AM3" s="206"/>
      <c r="AN3" s="208"/>
      <c r="AO3" s="208"/>
      <c r="AP3" s="532"/>
      <c r="AQ3" s="533"/>
      <c r="AR3" s="392"/>
      <c r="AS3" s="414"/>
      <c r="AV3" s="211"/>
      <c r="AW3" s="212"/>
      <c r="AX3" s="213"/>
      <c r="BA3" s="209"/>
      <c r="BB3" s="209"/>
    </row>
    <row r="4" s="1" customFormat="true" ht="14.1" hidden="false" customHeight="true" outlineLevel="0" collapsed="false">
      <c r="A4" s="11"/>
      <c r="B4" s="499"/>
      <c r="C4" s="500"/>
      <c r="D4" s="500" t="s">
        <v>3</v>
      </c>
      <c r="E4" s="500"/>
      <c r="F4" s="501"/>
      <c r="H4" s="502"/>
      <c r="I4" s="502" t="s">
        <v>144</v>
      </c>
      <c r="J4" s="502"/>
      <c r="K4" s="502"/>
      <c r="L4" s="503"/>
      <c r="N4" s="502"/>
      <c r="O4" s="502"/>
      <c r="P4" s="502"/>
      <c r="Q4" s="502"/>
      <c r="R4" s="502"/>
      <c r="S4" s="502"/>
      <c r="T4" s="502"/>
      <c r="U4" s="502"/>
      <c r="V4" s="502"/>
      <c r="W4" s="502"/>
      <c r="X4" s="502"/>
      <c r="Y4" s="502"/>
      <c r="Z4" s="502"/>
      <c r="AA4" s="502" t="s">
        <v>5</v>
      </c>
      <c r="AB4" s="502"/>
      <c r="AC4" s="502"/>
      <c r="AD4" s="502"/>
      <c r="AE4" s="502"/>
      <c r="AF4" s="502"/>
      <c r="AG4" s="502"/>
      <c r="AH4" s="502"/>
      <c r="AI4" s="502"/>
      <c r="AJ4" s="502"/>
      <c r="AK4" s="502"/>
      <c r="AL4" s="502"/>
      <c r="AM4" s="504"/>
      <c r="AN4" s="505"/>
      <c r="AO4" s="506"/>
      <c r="AP4" s="506"/>
      <c r="AQ4" s="506" t="s">
        <v>6</v>
      </c>
      <c r="AR4" s="506"/>
      <c r="AS4" s="506"/>
      <c r="AT4" s="506"/>
      <c r="AU4" s="507"/>
      <c r="AV4" s="508"/>
      <c r="AW4" s="509" t="s">
        <v>7</v>
      </c>
      <c r="AX4" s="509"/>
      <c r="AY4" s="510"/>
      <c r="AZ4" s="338"/>
      <c r="BA4" s="461"/>
      <c r="BB4" s="462"/>
    </row>
    <row r="5" customFormat="false" ht="12.95" hidden="false" customHeight="true" outlineLevel="0" collapsed="false">
      <c r="A5" s="333" t="s">
        <v>8</v>
      </c>
      <c r="B5" s="412" t="s">
        <v>9</v>
      </c>
      <c r="C5" s="413" t="s">
        <v>9</v>
      </c>
      <c r="D5" s="333" t="s">
        <v>10</v>
      </c>
      <c r="E5" s="413" t="s">
        <v>11</v>
      </c>
      <c r="F5" s="333" t="s">
        <v>12</v>
      </c>
      <c r="G5" s="412" t="s">
        <v>13</v>
      </c>
      <c r="H5" s="414" t="s">
        <v>14</v>
      </c>
      <c r="I5" s="333" t="s">
        <v>15</v>
      </c>
      <c r="J5" s="333" t="s">
        <v>16</v>
      </c>
      <c r="K5" s="333" t="s">
        <v>17</v>
      </c>
      <c r="L5" s="333" t="s">
        <v>16</v>
      </c>
      <c r="M5" s="463" t="s">
        <v>18</v>
      </c>
      <c r="N5" s="463"/>
      <c r="O5" s="463"/>
      <c r="P5" s="463"/>
      <c r="Q5" s="463"/>
      <c r="R5" s="463"/>
      <c r="S5" s="463"/>
      <c r="T5" s="463"/>
      <c r="U5" s="463"/>
      <c r="V5" s="333" t="s">
        <v>19</v>
      </c>
      <c r="W5" s="333" t="s">
        <v>20</v>
      </c>
      <c r="X5" s="58" t="s">
        <v>17</v>
      </c>
      <c r="Y5" s="58" t="s">
        <v>17</v>
      </c>
      <c r="Z5" s="64" t="s">
        <v>21</v>
      </c>
      <c r="AA5" s="58" t="s">
        <v>21</v>
      </c>
      <c r="AB5" s="64" t="s">
        <v>21</v>
      </c>
      <c r="AC5" s="413" t="s">
        <v>22</v>
      </c>
      <c r="AD5" s="418" t="s">
        <v>21</v>
      </c>
      <c r="AE5" s="333" t="s">
        <v>23</v>
      </c>
      <c r="AF5" s="416" t="s">
        <v>145</v>
      </c>
      <c r="AG5" s="417"/>
      <c r="AH5" s="418" t="s">
        <v>25</v>
      </c>
      <c r="AI5" s="413" t="s">
        <v>133</v>
      </c>
      <c r="AJ5" s="413" t="s">
        <v>27</v>
      </c>
      <c r="AK5" s="333" t="s">
        <v>15</v>
      </c>
      <c r="AL5" s="333" t="s">
        <v>16</v>
      </c>
      <c r="AM5" s="333" t="s">
        <v>17</v>
      </c>
      <c r="AN5" s="464" t="s">
        <v>28</v>
      </c>
      <c r="AO5" s="64" t="s">
        <v>21</v>
      </c>
      <c r="AP5" s="70" t="s">
        <v>29</v>
      </c>
      <c r="AQ5" s="70" t="s">
        <v>29</v>
      </c>
      <c r="AR5" s="65" t="s">
        <v>30</v>
      </c>
      <c r="AS5" s="71" t="s">
        <v>31</v>
      </c>
      <c r="AT5" s="414" t="s">
        <v>32</v>
      </c>
      <c r="AU5" s="72" t="s">
        <v>33</v>
      </c>
      <c r="AV5" s="419" t="s">
        <v>34</v>
      </c>
      <c r="AW5" s="418" t="s">
        <v>35</v>
      </c>
      <c r="AX5" s="418" t="s">
        <v>36</v>
      </c>
      <c r="AY5" s="264"/>
      <c r="AZ5" s="305" t="s">
        <v>17</v>
      </c>
      <c r="BA5" s="76" t="s">
        <v>37</v>
      </c>
      <c r="BB5" s="77" t="s">
        <v>37</v>
      </c>
    </row>
    <row r="6" customFormat="false" ht="12.95" hidden="false" customHeight="true" outlineLevel="0" collapsed="false">
      <c r="A6" s="420" t="s">
        <v>148</v>
      </c>
      <c r="B6" s="412" t="s">
        <v>39</v>
      </c>
      <c r="C6" s="413"/>
      <c r="D6" s="333" t="s">
        <v>40</v>
      </c>
      <c r="E6" s="413" t="s">
        <v>41</v>
      </c>
      <c r="F6" s="333" t="s">
        <v>42</v>
      </c>
      <c r="G6" s="412" t="s">
        <v>43</v>
      </c>
      <c r="H6" s="414" t="s">
        <v>44</v>
      </c>
      <c r="I6" s="333" t="s">
        <v>45</v>
      </c>
      <c r="J6" s="333" t="s">
        <v>45</v>
      </c>
      <c r="K6" s="333" t="s">
        <v>45</v>
      </c>
      <c r="L6" s="333" t="s">
        <v>46</v>
      </c>
      <c r="M6" s="421" t="s">
        <v>47</v>
      </c>
      <c r="N6" s="76" t="s">
        <v>48</v>
      </c>
      <c r="O6" s="333" t="s">
        <v>49</v>
      </c>
      <c r="P6" s="76" t="s">
        <v>135</v>
      </c>
      <c r="Q6" s="61" t="s">
        <v>51</v>
      </c>
      <c r="R6" s="61" t="s">
        <v>52</v>
      </c>
      <c r="S6" s="61"/>
      <c r="T6" s="61" t="s">
        <v>49</v>
      </c>
      <c r="U6" s="422" t="s">
        <v>53</v>
      </c>
      <c r="V6" s="333" t="s">
        <v>54</v>
      </c>
      <c r="W6" s="333" t="s">
        <v>55</v>
      </c>
      <c r="X6" s="58" t="s">
        <v>21</v>
      </c>
      <c r="Y6" s="58" t="s">
        <v>21</v>
      </c>
      <c r="Z6" s="64" t="s">
        <v>56</v>
      </c>
      <c r="AA6" s="58" t="s">
        <v>56</v>
      </c>
      <c r="AB6" s="64" t="s">
        <v>57</v>
      </c>
      <c r="AC6" s="413" t="s">
        <v>58</v>
      </c>
      <c r="AD6" s="418" t="s">
        <v>59</v>
      </c>
      <c r="AE6" s="333" t="s">
        <v>60</v>
      </c>
      <c r="AF6" s="79" t="s">
        <v>61</v>
      </c>
      <c r="AG6" s="82" t="s">
        <v>62</v>
      </c>
      <c r="AH6" s="418" t="s">
        <v>63</v>
      </c>
      <c r="AI6" s="413" t="s">
        <v>64</v>
      </c>
      <c r="AJ6" s="413"/>
      <c r="AK6" s="333" t="s">
        <v>65</v>
      </c>
      <c r="AL6" s="333" t="s">
        <v>65</v>
      </c>
      <c r="AM6" s="333" t="s">
        <v>65</v>
      </c>
      <c r="AN6" s="464" t="s">
        <v>66</v>
      </c>
      <c r="AO6" s="64" t="s">
        <v>67</v>
      </c>
      <c r="AP6" s="70" t="s">
        <v>68</v>
      </c>
      <c r="AQ6" s="70" t="s">
        <v>68</v>
      </c>
      <c r="AR6" s="65" t="s">
        <v>69</v>
      </c>
      <c r="AS6" s="71" t="s">
        <v>70</v>
      </c>
      <c r="AT6" s="414" t="s">
        <v>71</v>
      </c>
      <c r="AU6" s="72" t="s">
        <v>72</v>
      </c>
      <c r="AV6" s="423"/>
      <c r="AW6" s="418" t="s">
        <v>73</v>
      </c>
      <c r="AX6" s="418" t="s">
        <v>73</v>
      </c>
      <c r="AY6" s="264"/>
      <c r="AZ6" s="305" t="s">
        <v>74</v>
      </c>
      <c r="BA6" s="76" t="s">
        <v>75</v>
      </c>
      <c r="BB6" s="77" t="s">
        <v>76</v>
      </c>
    </row>
    <row r="7" customFormat="false" ht="12.95" hidden="false" customHeight="true" outlineLevel="0" collapsed="false">
      <c r="A7" s="333"/>
      <c r="B7" s="412"/>
      <c r="C7" s="413"/>
      <c r="D7" s="333"/>
      <c r="E7" s="413"/>
      <c r="F7" s="333"/>
      <c r="G7" s="412"/>
      <c r="H7" s="414"/>
      <c r="I7" s="333"/>
      <c r="J7" s="333"/>
      <c r="K7" s="333"/>
      <c r="L7" s="333"/>
      <c r="M7" s="421"/>
      <c r="N7" s="76" t="s">
        <v>77</v>
      </c>
      <c r="O7" s="333" t="s">
        <v>78</v>
      </c>
      <c r="P7" s="76"/>
      <c r="Q7" s="61" t="s">
        <v>79</v>
      </c>
      <c r="R7" s="61" t="s">
        <v>79</v>
      </c>
      <c r="S7" s="61" t="s">
        <v>62</v>
      </c>
      <c r="T7" s="61" t="s">
        <v>62</v>
      </c>
      <c r="U7" s="422" t="s">
        <v>80</v>
      </c>
      <c r="V7" s="333"/>
      <c r="W7" s="333"/>
      <c r="X7" s="68" t="s">
        <v>81</v>
      </c>
      <c r="Y7" s="60" t="s">
        <v>82</v>
      </c>
      <c r="Z7" s="64" t="s">
        <v>83</v>
      </c>
      <c r="AA7" s="58" t="s">
        <v>84</v>
      </c>
      <c r="AB7" s="64" t="s">
        <v>85</v>
      </c>
      <c r="AC7" s="413"/>
      <c r="AD7" s="191"/>
      <c r="AE7" s="333"/>
      <c r="AF7" s="511" t="n">
        <v>1.7</v>
      </c>
      <c r="AG7" s="512" t="n">
        <v>1.3</v>
      </c>
      <c r="AH7" s="418"/>
      <c r="AI7" s="413"/>
      <c r="AJ7" s="413"/>
      <c r="AK7" s="333"/>
      <c r="AL7" s="333"/>
      <c r="AM7" s="333"/>
      <c r="AN7" s="464"/>
      <c r="AO7" s="64" t="s">
        <v>42</v>
      </c>
      <c r="AP7" s="70" t="s">
        <v>86</v>
      </c>
      <c r="AQ7" s="70" t="s">
        <v>87</v>
      </c>
      <c r="AR7" s="65" t="s">
        <v>88</v>
      </c>
      <c r="AS7" s="71" t="s">
        <v>89</v>
      </c>
      <c r="AT7" s="414" t="s">
        <v>90</v>
      </c>
      <c r="AU7" s="72" t="s">
        <v>81</v>
      </c>
      <c r="AV7" s="423"/>
      <c r="AW7" s="418"/>
      <c r="AX7" s="418"/>
      <c r="AY7" s="264"/>
      <c r="AZ7" s="305" t="s">
        <v>91</v>
      </c>
      <c r="BA7" s="8"/>
      <c r="BB7" s="86"/>
    </row>
    <row r="8" customFormat="false" ht="12.95" hidden="false" customHeight="true" outlineLevel="0" collapsed="false">
      <c r="A8" s="333"/>
      <c r="B8" s="412"/>
      <c r="C8" s="413"/>
      <c r="D8" s="333"/>
      <c r="E8" s="413"/>
      <c r="F8" s="333"/>
      <c r="G8" s="412"/>
      <c r="H8" s="414"/>
      <c r="I8" s="333"/>
      <c r="J8" s="333"/>
      <c r="K8" s="333"/>
      <c r="L8" s="333"/>
      <c r="M8" s="421"/>
      <c r="N8" s="61"/>
      <c r="O8" s="90" t="n">
        <v>24517</v>
      </c>
      <c r="P8" s="76"/>
      <c r="Q8" s="61" t="s">
        <v>62</v>
      </c>
      <c r="R8" s="61" t="s">
        <v>62</v>
      </c>
      <c r="S8" s="61"/>
      <c r="T8" s="61"/>
      <c r="U8" s="422"/>
      <c r="V8" s="333"/>
      <c r="W8" s="333"/>
      <c r="X8" s="68" t="s">
        <v>92</v>
      </c>
      <c r="Y8" s="60" t="s">
        <v>81</v>
      </c>
      <c r="Z8" s="64"/>
      <c r="AA8" s="60" t="s">
        <v>93</v>
      </c>
      <c r="AB8" s="64" t="s">
        <v>94</v>
      </c>
      <c r="AC8" s="413"/>
      <c r="AD8" s="192" t="n">
        <v>5194.66027999999</v>
      </c>
      <c r="AE8" s="333"/>
      <c r="AF8" s="425"/>
      <c r="AG8" s="426"/>
      <c r="AH8" s="418"/>
      <c r="AI8" s="413"/>
      <c r="AJ8" s="413"/>
      <c r="AK8" s="333"/>
      <c r="AL8" s="333"/>
      <c r="AM8" s="333"/>
      <c r="AN8" s="464"/>
      <c r="AO8" s="64"/>
      <c r="AP8" s="70"/>
      <c r="AQ8" s="70"/>
      <c r="AR8" s="65"/>
      <c r="AS8" s="184" t="n">
        <v>1535.7</v>
      </c>
      <c r="AT8" s="201" t="n">
        <v>400</v>
      </c>
      <c r="AU8" s="72"/>
      <c r="AV8" s="423"/>
      <c r="AW8" s="418"/>
      <c r="AX8" s="418"/>
      <c r="AY8" s="264"/>
      <c r="AZ8" s="305"/>
      <c r="BA8" s="8"/>
      <c r="BB8" s="86"/>
    </row>
    <row r="9" customFormat="false" ht="12.95" hidden="false" customHeight="true" outlineLevel="0" collapsed="false">
      <c r="A9" s="333"/>
      <c r="B9" s="412"/>
      <c r="C9" s="413"/>
      <c r="D9" s="333"/>
      <c r="E9" s="413"/>
      <c r="F9" s="333"/>
      <c r="G9" s="412"/>
      <c r="H9" s="414"/>
      <c r="I9" s="333"/>
      <c r="J9" s="333"/>
      <c r="K9" s="333"/>
      <c r="L9" s="333"/>
      <c r="M9" s="421"/>
      <c r="N9" s="76"/>
      <c r="O9" s="333"/>
      <c r="P9" s="76"/>
      <c r="Q9" s="61"/>
      <c r="R9" s="87" t="n">
        <v>4.2</v>
      </c>
      <c r="S9" s="61"/>
      <c r="T9" s="61"/>
      <c r="U9" s="422"/>
      <c r="V9" s="333"/>
      <c r="W9" s="333"/>
      <c r="X9" s="68"/>
      <c r="Y9" s="60" t="s">
        <v>92</v>
      </c>
      <c r="Z9" s="64"/>
      <c r="AA9" s="60" t="s">
        <v>92</v>
      </c>
      <c r="AB9" s="64" t="s">
        <v>95</v>
      </c>
      <c r="AC9" s="413"/>
      <c r="AD9" s="418"/>
      <c r="AE9" s="333"/>
      <c r="AF9" s="425"/>
      <c r="AG9" s="426"/>
      <c r="AH9" s="418"/>
      <c r="AI9" s="413"/>
      <c r="AJ9" s="413"/>
      <c r="AK9" s="333"/>
      <c r="AL9" s="333"/>
      <c r="AM9" s="333"/>
      <c r="AN9" s="464"/>
      <c r="AO9" s="64"/>
      <c r="AP9" s="70"/>
      <c r="AQ9" s="70"/>
      <c r="AR9" s="65"/>
      <c r="AS9" s="71"/>
      <c r="AT9" s="201" t="n">
        <f aca="false">AT8/D2</f>
        <v>201.663725737333</v>
      </c>
      <c r="AU9" s="72"/>
      <c r="AV9" s="423"/>
      <c r="AW9" s="418"/>
      <c r="AX9" s="418"/>
      <c r="AY9" s="264"/>
      <c r="AZ9" s="305"/>
      <c r="BA9" s="8"/>
      <c r="BB9" s="77" t="s">
        <v>96</v>
      </c>
    </row>
    <row r="10" customFormat="false" ht="12.95" hidden="false" customHeight="true" outlineLevel="0" collapsed="false">
      <c r="A10" s="333"/>
      <c r="B10" s="412"/>
      <c r="C10" s="413" t="s">
        <v>10</v>
      </c>
      <c r="D10" s="333"/>
      <c r="E10" s="413" t="s">
        <v>98</v>
      </c>
      <c r="F10" s="333"/>
      <c r="G10" s="412" t="s">
        <v>42</v>
      </c>
      <c r="H10" s="414" t="s">
        <v>42</v>
      </c>
      <c r="I10" s="414" t="s">
        <v>42</v>
      </c>
      <c r="J10" s="414" t="s">
        <v>42</v>
      </c>
      <c r="K10" s="414" t="s">
        <v>42</v>
      </c>
      <c r="L10" s="414" t="s">
        <v>42</v>
      </c>
      <c r="M10" s="428" t="s">
        <v>42</v>
      </c>
      <c r="N10" s="414" t="s">
        <v>42</v>
      </c>
      <c r="O10" s="414" t="s">
        <v>42</v>
      </c>
      <c r="P10" s="414" t="s">
        <v>42</v>
      </c>
      <c r="Q10" s="61" t="s">
        <v>42</v>
      </c>
      <c r="R10" s="61" t="s">
        <v>42</v>
      </c>
      <c r="S10" s="61" t="s">
        <v>42</v>
      </c>
      <c r="T10" s="61" t="s">
        <v>42</v>
      </c>
      <c r="U10" s="427" t="s">
        <v>42</v>
      </c>
      <c r="V10" s="414" t="s">
        <v>42</v>
      </c>
      <c r="W10" s="414" t="s">
        <v>42</v>
      </c>
      <c r="X10" s="60" t="n">
        <v>153400</v>
      </c>
      <c r="Y10" s="60" t="n">
        <v>150400</v>
      </c>
      <c r="Z10" s="61" t="s">
        <v>42</v>
      </c>
      <c r="AA10" s="60"/>
      <c r="AB10" s="60" t="n">
        <v>72000</v>
      </c>
      <c r="AC10" s="414" t="s">
        <v>42</v>
      </c>
      <c r="AD10" s="418" t="s">
        <v>42</v>
      </c>
      <c r="AE10" s="414" t="s">
        <v>42</v>
      </c>
      <c r="AF10" s="428" t="s">
        <v>42</v>
      </c>
      <c r="AG10" s="427" t="s">
        <v>42</v>
      </c>
      <c r="AH10" s="414" t="s">
        <v>42</v>
      </c>
      <c r="AI10" s="414" t="s">
        <v>42</v>
      </c>
      <c r="AJ10" s="414" t="s">
        <v>42</v>
      </c>
      <c r="AK10" s="414" t="s">
        <v>42</v>
      </c>
      <c r="AL10" s="414" t="s">
        <v>42</v>
      </c>
      <c r="AM10" s="414" t="s">
        <v>42</v>
      </c>
      <c r="AN10" s="464" t="s">
        <v>42</v>
      </c>
      <c r="AO10" s="64" t="s">
        <v>42</v>
      </c>
      <c r="AP10" s="64" t="s">
        <v>42</v>
      </c>
      <c r="AQ10" s="70" t="s">
        <v>99</v>
      </c>
      <c r="AR10" s="65" t="s">
        <v>42</v>
      </c>
      <c r="AS10" s="64" t="s">
        <v>42</v>
      </c>
      <c r="AT10" s="64" t="s">
        <v>42</v>
      </c>
      <c r="AU10" s="64" t="s">
        <v>42</v>
      </c>
      <c r="AV10" s="423"/>
      <c r="AW10" s="418"/>
      <c r="AX10" s="418"/>
      <c r="AY10" s="264"/>
      <c r="AZ10" s="305" t="s">
        <v>100</v>
      </c>
      <c r="BA10" s="76" t="s">
        <v>42</v>
      </c>
      <c r="BB10" s="77" t="s">
        <v>98</v>
      </c>
    </row>
    <row r="11" customFormat="false" ht="12.95" hidden="false" customHeight="true" outlineLevel="0" collapsed="false">
      <c r="A11" s="466"/>
      <c r="B11" s="333"/>
      <c r="C11" s="413"/>
      <c r="D11" s="333"/>
      <c r="E11" s="413"/>
      <c r="F11" s="466"/>
      <c r="G11" s="333"/>
      <c r="H11" s="414"/>
      <c r="I11" s="333"/>
      <c r="J11" s="333"/>
      <c r="K11" s="333"/>
      <c r="L11" s="424"/>
      <c r="M11" s="333"/>
      <c r="N11" s="76" t="n">
        <v>1.03</v>
      </c>
      <c r="O11" s="430" t="n">
        <v>1.05</v>
      </c>
      <c r="P11" s="76" t="n">
        <v>1.02</v>
      </c>
      <c r="Q11" s="88" t="n">
        <v>1.02</v>
      </c>
      <c r="R11" s="89" t="n">
        <v>1.04</v>
      </c>
      <c r="S11" s="61"/>
      <c r="T11" s="88" t="n">
        <v>1.04</v>
      </c>
      <c r="U11" s="422"/>
      <c r="V11" s="333"/>
      <c r="W11" s="333"/>
      <c r="X11" s="61" t="s">
        <v>42</v>
      </c>
      <c r="Y11" s="61" t="s">
        <v>42</v>
      </c>
      <c r="Z11" s="61" t="s">
        <v>42</v>
      </c>
      <c r="AA11" s="60" t="s">
        <v>42</v>
      </c>
      <c r="AB11" s="90" t="s">
        <v>101</v>
      </c>
      <c r="AC11" s="413"/>
      <c r="AD11" s="225"/>
      <c r="AE11" s="333"/>
      <c r="AF11" s="425"/>
      <c r="AG11" s="426"/>
      <c r="AH11" s="418"/>
      <c r="AI11" s="413"/>
      <c r="AJ11" s="413"/>
      <c r="AK11" s="333"/>
      <c r="AL11" s="333"/>
      <c r="AM11" s="333"/>
      <c r="AN11" s="464"/>
      <c r="AO11" s="64"/>
      <c r="AP11" s="70"/>
      <c r="AQ11" s="70"/>
      <c r="AR11" s="65"/>
      <c r="AS11" s="93"/>
      <c r="AU11" s="514"/>
      <c r="AV11" s="515"/>
      <c r="AW11" s="418"/>
      <c r="AX11" s="418"/>
      <c r="AY11" s="264"/>
      <c r="AZ11" s="305" t="s">
        <v>42</v>
      </c>
      <c r="BA11" s="8"/>
      <c r="BB11" s="86"/>
    </row>
    <row r="12" customFormat="false" ht="12.95" hidden="false" customHeight="true" outlineLevel="0" collapsed="false">
      <c r="A12" s="197" t="s">
        <v>102</v>
      </c>
      <c r="B12" s="534"/>
      <c r="D12" s="161"/>
      <c r="F12" s="115" t="n">
        <f aca="false">JUL!F50</f>
        <v>64682.1275523065</v>
      </c>
      <c r="G12" s="161" t="n">
        <f aca="false">JUL!G50</f>
        <v>117109</v>
      </c>
      <c r="H12" s="161" t="n">
        <f aca="false">JUL!H50</f>
        <v>1962.931</v>
      </c>
      <c r="I12" s="161" t="n">
        <f aca="false">JUL!I50</f>
        <v>119071.931</v>
      </c>
      <c r="J12" s="161" t="n">
        <f aca="false">JUL!J50</f>
        <v>2060.96332493068</v>
      </c>
      <c r="K12" s="161" t="n">
        <f aca="false">JUL!K50</f>
        <v>121132.884324931</v>
      </c>
      <c r="L12" s="535" t="n">
        <f aca="false">JUL!L50</f>
        <v>-6779.83473178724</v>
      </c>
      <c r="M12" s="161" t="n">
        <f aca="false">JUL!M50</f>
        <v>20642.81</v>
      </c>
      <c r="N12" s="161" t="n">
        <f aca="false">JUL!N50</f>
        <v>45.6970002520797</v>
      </c>
      <c r="O12" s="161" t="n">
        <f aca="false">JUL!O50</f>
        <v>5313.126</v>
      </c>
      <c r="P12" s="282" t="n">
        <f aca="false">JUL!P50</f>
        <v>8.07</v>
      </c>
      <c r="Q12" s="8"/>
      <c r="R12" s="8"/>
      <c r="S12" s="8"/>
      <c r="T12" s="8"/>
      <c r="U12" s="536"/>
      <c r="V12" s="161" t="n">
        <f aca="false">JUL!V50</f>
        <v>4528</v>
      </c>
      <c r="W12" s="161" t="n">
        <f aca="false">JUL!W50</f>
        <v>5691.69</v>
      </c>
      <c r="X12" s="161" t="n">
        <f aca="false">JUL!X50</f>
        <v>26149.7302743927</v>
      </c>
      <c r="Y12" s="161" t="n">
        <f aca="false">JUL!Y50</f>
        <v>25970.4702743927</v>
      </c>
      <c r="Z12" s="161" t="n">
        <f aca="false">JUL!Z45</f>
        <v>20226.4805959395</v>
      </c>
      <c r="AA12" s="161"/>
      <c r="AB12" s="161"/>
      <c r="AC12" s="161" t="n">
        <f aca="false">JUL!AC45</f>
        <v>1073.71129577519</v>
      </c>
      <c r="AD12" s="161" t="n">
        <f aca="false">JUL!AD45</f>
        <v>2618.93636501134</v>
      </c>
      <c r="AE12" s="161" t="n">
        <f aca="false">JUL!AE50</f>
        <v>10991.07</v>
      </c>
      <c r="AF12" s="537" t="n">
        <f aca="false">JUL!AF50</f>
        <v>207.4</v>
      </c>
      <c r="AG12" s="535" t="n">
        <f aca="false">JUL!AG50</f>
        <v>158.6</v>
      </c>
      <c r="AH12" s="161"/>
      <c r="AI12" s="161"/>
      <c r="AJ12" s="161"/>
      <c r="AK12" s="161" t="n">
        <f aca="false">JUL!AK50</f>
        <v>47609.9587159062</v>
      </c>
      <c r="AL12" s="161" t="n">
        <f aca="false">JUL!AL50</f>
        <v>8840.79805671792</v>
      </c>
      <c r="AM12" s="161" t="n">
        <f aca="false">JUL!AM50</f>
        <v>56450.7567726242</v>
      </c>
      <c r="AN12" s="538"/>
      <c r="AO12" s="192"/>
      <c r="AP12" s="111" t="n">
        <f aca="false">JUL!AP46</f>
        <v>0</v>
      </c>
      <c r="AQ12" s="111" t="n">
        <f aca="false">JUL!AQ51</f>
        <v>1395.06743532539</v>
      </c>
      <c r="AR12" s="111" t="n">
        <f aca="false">JUL!AR50</f>
        <v>1454.43660196622</v>
      </c>
      <c r="AS12" s="144" t="n">
        <f aca="false">JUL!AS50</f>
        <v>61.15</v>
      </c>
      <c r="AT12" s="144" t="n">
        <f aca="false">JUL!AT50</f>
        <v>6.992</v>
      </c>
      <c r="AU12" s="144" t="n">
        <f aca="false">JUL!AU50</f>
        <v>0</v>
      </c>
      <c r="AV12" s="539"/>
      <c r="AW12" s="191"/>
      <c r="AX12" s="191"/>
      <c r="AY12" s="264"/>
      <c r="AZ12" s="432" t="n">
        <f aca="false">JUL!AZ50</f>
        <v>884.408477573493</v>
      </c>
      <c r="BA12" s="111" t="n">
        <f aca="false">JUL!BA50</f>
        <v>3460.213</v>
      </c>
      <c r="BB12" s="86"/>
    </row>
    <row r="13" s="243" customFormat="true" ht="12.95" hidden="false" customHeight="true" outlineLevel="0" collapsed="false">
      <c r="A13" s="237" t="s">
        <v>103</v>
      </c>
      <c r="B13" s="540" t="n">
        <f aca="false">JUL!B45</f>
        <v>6910.42</v>
      </c>
      <c r="C13" s="161" t="n">
        <f aca="false">JUL!C45</f>
        <v>323672</v>
      </c>
      <c r="D13" s="161" t="n">
        <f aca="false">JUL!D54</f>
        <v>137932</v>
      </c>
      <c r="E13" s="161" t="n">
        <f aca="false">JUL!E54</f>
        <v>171672</v>
      </c>
      <c r="F13" s="115" t="n">
        <f aca="false">JUL!F53</f>
        <v>69539.7025460045</v>
      </c>
      <c r="G13" s="161" t="n">
        <f aca="false">JUL!G53</f>
        <v>132338</v>
      </c>
      <c r="H13" s="161" t="n">
        <f aca="false">JUL!H53</f>
        <v>2080.433</v>
      </c>
      <c r="I13" s="161" t="n">
        <f aca="false">JUL!I53</f>
        <v>134417.813</v>
      </c>
      <c r="J13" s="161" t="n">
        <f aca="false">JUL!J53</f>
        <v>4406.05223040081</v>
      </c>
      <c r="K13" s="161" t="n">
        <f aca="false">JUL!K53</f>
        <v>138823.855230401</v>
      </c>
      <c r="L13" s="541" t="n">
        <f aca="false">JUL!L53</f>
        <v>-6650.39173808924</v>
      </c>
      <c r="M13" s="161" t="n">
        <f aca="false">JUL!M53</f>
        <v>21387.34</v>
      </c>
      <c r="N13" s="161" t="n">
        <f aca="false">JUL!N53</f>
        <v>45.6970002520797</v>
      </c>
      <c r="O13" s="161" t="n">
        <f aca="false">JUL!O53</f>
        <v>5313.126</v>
      </c>
      <c r="P13" s="8"/>
      <c r="Q13" s="161" t="n">
        <f aca="false">JUL!Q53</f>
        <v>498.999201963201</v>
      </c>
      <c r="R13" s="161" t="n">
        <f aca="false">JUL!R53</f>
        <v>625.67474016</v>
      </c>
      <c r="S13" s="161" t="n">
        <f aca="false">JUL!S53</f>
        <v>58.5669624</v>
      </c>
      <c r="T13" s="161" t="n">
        <f aca="false">JUL!T53</f>
        <v>189.22839312</v>
      </c>
      <c r="U13" s="542" t="n">
        <f aca="false">JUL!U53</f>
        <v>-45.366813481233</v>
      </c>
      <c r="V13" s="161" t="n">
        <f aca="false">JUL!V53</f>
        <v>10240.49</v>
      </c>
      <c r="W13" s="161" t="n">
        <f aca="false">JUL!W53</f>
        <v>5715.72</v>
      </c>
      <c r="X13" s="161" t="n">
        <f aca="false">JUL!X53</f>
        <v>32064.9625675522</v>
      </c>
      <c r="Y13" s="161" t="n">
        <f aca="false">JUL!Y53</f>
        <v>31690.0792342188</v>
      </c>
      <c r="Z13" s="161"/>
      <c r="AA13" s="161"/>
      <c r="AB13" s="161"/>
      <c r="AC13" s="161"/>
      <c r="AD13" s="161"/>
      <c r="AE13" s="161" t="n">
        <f aca="false">JUL!AE51</f>
        <v>21800.787345</v>
      </c>
      <c r="AF13" s="226" t="n">
        <f aca="false">AF12</f>
        <v>207.4</v>
      </c>
      <c r="AG13" s="228" t="n">
        <f aca="false">AG12</f>
        <v>158.6</v>
      </c>
      <c r="AH13" s="161" t="n">
        <f aca="false">JUL!AH53</f>
        <v>9900.6</v>
      </c>
      <c r="AI13" s="161" t="n">
        <f aca="false">JUL!AI53</f>
        <v>10267.3578774893</v>
      </c>
      <c r="AJ13" s="161" t="n">
        <f aca="false">JUL!AJ53</f>
        <v>0</v>
      </c>
      <c r="AK13" s="161" t="n">
        <f aca="false">JUL!AK53</f>
        <v>58227.7087159062</v>
      </c>
      <c r="AL13" s="161" t="n">
        <f aca="false">JUL!AL53</f>
        <v>11056.44396849</v>
      </c>
      <c r="AM13" s="161" t="n">
        <f aca="false">JUL!AM53</f>
        <v>69284.1526843963</v>
      </c>
      <c r="AN13" s="543" t="n">
        <f aca="false">JUL!AN53</f>
        <v>5685.01666666667</v>
      </c>
      <c r="AO13" s="191" t="n">
        <f aca="false">JUL!AO53</f>
        <v>374.883333333333</v>
      </c>
      <c r="AP13" s="192"/>
      <c r="AQ13" s="111" t="n">
        <f aca="false">JUL!AQ54</f>
        <v>1395.06743532539</v>
      </c>
      <c r="AR13" s="111"/>
      <c r="AS13" s="144" t="n">
        <f aca="false">JUL!AS53</f>
        <v>61.15</v>
      </c>
      <c r="AT13" s="111" t="n">
        <f aca="false">JUL!AT52</f>
        <v>0</v>
      </c>
      <c r="AU13" s="111" t="n">
        <f aca="false">JUL!AU53</f>
        <v>0</v>
      </c>
      <c r="AV13" s="232" t="n">
        <f aca="false">JUL!AV53</f>
        <v>13.8066666666667</v>
      </c>
      <c r="AW13" s="191"/>
      <c r="AX13" s="191"/>
      <c r="AY13" s="312"/>
      <c r="AZ13" s="432" t="n">
        <f aca="false">JUL!AZ53</f>
        <v>1380.86948441405</v>
      </c>
      <c r="BA13" s="111" t="n">
        <f aca="false">JUL!BA53</f>
        <v>3473.819</v>
      </c>
      <c r="BB13" s="115"/>
    </row>
    <row r="14" customFormat="false" ht="3" hidden="false" customHeight="true" outlineLevel="0" collapsed="false">
      <c r="A14" s="244"/>
      <c r="B14" s="544"/>
      <c r="C14" s="525"/>
      <c r="D14" s="244"/>
      <c r="E14" s="525"/>
      <c r="F14" s="526"/>
      <c r="G14" s="244"/>
      <c r="H14" s="545"/>
      <c r="I14" s="244"/>
      <c r="J14" s="244"/>
      <c r="K14" s="244"/>
      <c r="L14" s="244"/>
      <c r="M14" s="528"/>
      <c r="N14" s="244"/>
      <c r="O14" s="244"/>
      <c r="P14" s="529"/>
      <c r="Q14" s="529"/>
      <c r="R14" s="529"/>
      <c r="S14" s="529"/>
      <c r="T14" s="529"/>
      <c r="U14" s="530"/>
      <c r="V14" s="244"/>
      <c r="W14" s="244"/>
      <c r="X14" s="244"/>
      <c r="Y14" s="244"/>
      <c r="Z14" s="525"/>
      <c r="AA14" s="244"/>
      <c r="AB14" s="525"/>
      <c r="AC14" s="525"/>
      <c r="AD14" s="525"/>
      <c r="AE14" s="244"/>
      <c r="AF14" s="250"/>
      <c r="AG14" s="254"/>
      <c r="AH14" s="244"/>
      <c r="AI14" s="525"/>
      <c r="AJ14" s="525"/>
      <c r="AK14" s="244"/>
      <c r="AL14" s="244"/>
      <c r="AM14" s="244"/>
      <c r="AN14" s="546"/>
      <c r="AO14" s="344"/>
      <c r="AP14" s="344"/>
      <c r="AQ14" s="132"/>
      <c r="AR14" s="132"/>
      <c r="AS14" s="547"/>
      <c r="AT14" s="547"/>
      <c r="AU14" s="547"/>
      <c r="AV14" s="548"/>
      <c r="AW14" s="531"/>
      <c r="AX14" s="531"/>
      <c r="AY14" s="531"/>
      <c r="AZ14" s="531"/>
      <c r="BA14" s="531"/>
      <c r="BB14" s="531"/>
    </row>
    <row r="15" customFormat="false" ht="12.95" hidden="false" customHeight="true" outlineLevel="0" collapsed="false">
      <c r="A15" s="192" t="n">
        <v>1</v>
      </c>
      <c r="B15" s="318" t="n">
        <v>6910.21</v>
      </c>
      <c r="C15" s="161" t="n">
        <v>322829</v>
      </c>
      <c r="D15" s="191" t="n">
        <f aca="false">C15-C13</f>
        <v>-843</v>
      </c>
      <c r="E15" s="161" t="n">
        <f aca="false">C15-152000</f>
        <v>170829</v>
      </c>
      <c r="F15" s="549" t="n">
        <f aca="false">D15/$D$2</f>
        <v>-425.006301991429</v>
      </c>
      <c r="G15" s="550" t="n">
        <v>194</v>
      </c>
      <c r="H15" s="195" t="n">
        <v>0</v>
      </c>
      <c r="I15" s="194" t="n">
        <f aca="false">G15+H15</f>
        <v>194</v>
      </c>
      <c r="J15" s="111" t="n">
        <f aca="false">IF(L15&gt;0,L15,0)</f>
        <v>0</v>
      </c>
      <c r="K15" s="194" t="n">
        <f aca="false">I15+J15</f>
        <v>194</v>
      </c>
      <c r="L15" s="194" t="n">
        <f aca="false">F15-(I15-AK15)</f>
        <v>-8.19230199142919</v>
      </c>
      <c r="M15" s="551" t="n">
        <v>216</v>
      </c>
      <c r="N15" s="171" t="n">
        <f aca="false">1/$D$2*1.03</f>
        <v>0.519284093773632</v>
      </c>
      <c r="O15" s="194" t="n">
        <f aca="false">59*1.05</f>
        <v>61.95</v>
      </c>
      <c r="P15" s="171" t="n">
        <v>0</v>
      </c>
      <c r="Q15" s="346" t="n">
        <f aca="false">1332200/325851/1.9835*1.02</f>
        <v>2.10241447575595</v>
      </c>
      <c r="R15" s="139" t="n">
        <f aca="false">IF(((4.7*1.04)-T15)&gt;=4.2,4.2,(4.7*1.04)-T15)</f>
        <v>3.7850488</v>
      </c>
      <c r="S15" s="139" t="n">
        <f aca="false">IF(((4.7*1.04)-T15)&gt;=4.2,((4.7*1.04)-T15)-4.2,0)</f>
        <v>0</v>
      </c>
      <c r="T15" s="139" t="n">
        <f aca="false">(1.0005*1.06)*1.04</f>
        <v>1.1029512</v>
      </c>
      <c r="U15" s="365" t="n">
        <v>0</v>
      </c>
      <c r="V15" s="194" t="n">
        <v>110</v>
      </c>
      <c r="W15" s="550" t="n">
        <v>66.1</v>
      </c>
      <c r="X15" s="143" t="n">
        <f aca="false">M15-N15-O15-P15-Q15-R15-S15-T15-U15+V15+W15-AT15+AR15</f>
        <v>342.866349211763</v>
      </c>
      <c r="Y15" s="347" t="n">
        <f aca="false">X15-AO15</f>
        <v>342.866349211763</v>
      </c>
      <c r="Z15" s="114" t="n">
        <f aca="false">Z12+AP15</f>
        <v>20070.026783452</v>
      </c>
      <c r="AA15" s="143" t="n">
        <f aca="false">(-AP15)</f>
        <v>156.453812487519</v>
      </c>
      <c r="AB15" s="442"/>
      <c r="AC15" s="442" t="n">
        <f aca="false">AC12-(JUL!AQ45/1.9835)+AS15</f>
        <v>1081.12657800365</v>
      </c>
      <c r="AD15" s="450" t="n">
        <f aca="false">AD12</f>
        <v>2618.93636501134</v>
      </c>
      <c r="AE15" s="550" t="n">
        <v>145</v>
      </c>
      <c r="AF15" s="261" t="n">
        <v>1.7</v>
      </c>
      <c r="AG15" s="262" t="n">
        <v>1.3</v>
      </c>
      <c r="AH15" s="194" t="n">
        <v>74.7</v>
      </c>
      <c r="AI15" s="161" t="n">
        <f aca="false">AI13-AH15</f>
        <v>10192.6578774893</v>
      </c>
      <c r="AJ15" s="161"/>
      <c r="AK15" s="142" t="n">
        <f aca="false">N15+O15+P15+Q15+R15+S15+T15+U15+X15+AE15+AH15-AR15</f>
        <v>610.814</v>
      </c>
      <c r="AL15" s="194" t="n">
        <f aca="false">IF(L15&lt;0,L15*-1,0)</f>
        <v>8.19230199142919</v>
      </c>
      <c r="AM15" s="194" t="n">
        <f aca="false">AK15+AL15</f>
        <v>619.006301991429</v>
      </c>
      <c r="AN15" s="230"/>
      <c r="AO15" s="192"/>
      <c r="AP15" s="103" t="n">
        <f aca="false">I15-Q15-R15-X15-AF15</f>
        <v>-156.453812487519</v>
      </c>
      <c r="AQ15" s="171" t="n">
        <f aca="false">0*(Z15*1.9835+AC15*1.9835)/E15</f>
        <v>0</v>
      </c>
      <c r="AR15" s="171" t="n">
        <f aca="false">1304.297/$D$2/31</f>
        <v>21.2120477812924</v>
      </c>
      <c r="AS15" s="158" t="n">
        <f aca="false">BA15</f>
        <v>9.18</v>
      </c>
      <c r="AT15" s="5" t="n">
        <v>0.986</v>
      </c>
      <c r="AU15" s="4"/>
      <c r="AV15" s="552" t="n">
        <v>0.21</v>
      </c>
      <c r="AW15" s="553" t="n">
        <v>81</v>
      </c>
      <c r="AX15" s="191" t="n">
        <v>57</v>
      </c>
      <c r="AY15" s="149"/>
      <c r="AZ15" s="263" t="n">
        <f aca="false">SUM(N15,P15:U15)</f>
        <v>7.50969856952958</v>
      </c>
      <c r="BA15" s="554" t="n">
        <v>9.18</v>
      </c>
      <c r="BB15" s="471" t="n">
        <v>22769</v>
      </c>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row>
    <row r="16" customFormat="false" ht="12.95" hidden="false" customHeight="true" outlineLevel="0" collapsed="false">
      <c r="A16" s="192" t="n">
        <f aca="false">A15+1</f>
        <v>2</v>
      </c>
      <c r="B16" s="318" t="n">
        <v>6910.07</v>
      </c>
      <c r="C16" s="161" t="n">
        <v>322267</v>
      </c>
      <c r="D16" s="191" t="n">
        <f aca="false">C16-C15</f>
        <v>-562</v>
      </c>
      <c r="E16" s="161" t="n">
        <f aca="false">C16-152000</f>
        <v>170267</v>
      </c>
      <c r="F16" s="549" t="n">
        <f aca="false">D16/$D$2</f>
        <v>-283.337534660953</v>
      </c>
      <c r="G16" s="550" t="n">
        <v>197</v>
      </c>
      <c r="H16" s="195" t="n">
        <v>0</v>
      </c>
      <c r="I16" s="194" t="n">
        <f aca="false">G16+H16</f>
        <v>197</v>
      </c>
      <c r="J16" s="111" t="n">
        <f aca="false">IF(L16&gt;0,L16,0)</f>
        <v>49.9824653390471</v>
      </c>
      <c r="K16" s="194" t="n">
        <f aca="false">I16+J16</f>
        <v>246.982465339047</v>
      </c>
      <c r="L16" s="143" t="n">
        <f aca="false">F16-(I16-AK16)</f>
        <v>49.9824653390471</v>
      </c>
      <c r="M16" s="551" t="n">
        <v>198</v>
      </c>
      <c r="N16" s="171" t="n">
        <f aca="false">1/$D$2*1.03</f>
        <v>0.519284093773632</v>
      </c>
      <c r="O16" s="194" t="n">
        <f aca="false">54.6*1.05</f>
        <v>57.33</v>
      </c>
      <c r="P16" s="171" t="n">
        <v>0</v>
      </c>
      <c r="Q16" s="346" t="n">
        <f aca="false">1316800/325851/1.9835*1.02</f>
        <v>2.07811093054754</v>
      </c>
      <c r="R16" s="139" t="n">
        <f aca="false">IF(((4.7*1.04)-T16)&gt;=4.2,4.2,(4.7*1.04)-T16)</f>
        <v>3.7850488</v>
      </c>
      <c r="S16" s="139" t="n">
        <f aca="false">IF(((4.7*1.04)-T16)&gt;=4.2,((4.7*1.04)-T16)-4.2,0)</f>
        <v>0</v>
      </c>
      <c r="T16" s="139" t="n">
        <f aca="false">(1.0005*1.06)*1.04</f>
        <v>1.1029512</v>
      </c>
      <c r="U16" s="365" t="n">
        <v>0</v>
      </c>
      <c r="V16" s="194" t="n">
        <v>105</v>
      </c>
      <c r="W16" s="550" t="n">
        <v>65.3</v>
      </c>
      <c r="X16" s="347" t="n">
        <f aca="false">M16-N16-O16-P16-Q16-R16-S16-T16-U16+V16+W16-AT16+AR16</f>
        <v>323.716652756971</v>
      </c>
      <c r="Y16" s="347" t="n">
        <f aca="false">X16-AO16</f>
        <v>323.716652756971</v>
      </c>
      <c r="Z16" s="114" t="n">
        <f aca="false">Z15+AP16</f>
        <v>19935.7469709645</v>
      </c>
      <c r="AA16" s="143" t="n">
        <f aca="false">(-AP16)</f>
        <v>134.279812487519</v>
      </c>
      <c r="AB16" s="442"/>
      <c r="AC16" s="442" t="n">
        <f aca="false">AC15-(AQ15/1.9835)+AS16</f>
        <v>1090.35657800365</v>
      </c>
      <c r="AD16" s="450" t="n">
        <f aca="false">AD15</f>
        <v>2618.93636501134</v>
      </c>
      <c r="AE16" s="550" t="n">
        <v>88.3</v>
      </c>
      <c r="AF16" s="261" t="n">
        <v>1.7</v>
      </c>
      <c r="AG16" s="262" t="n">
        <v>1.3</v>
      </c>
      <c r="AH16" s="194" t="n">
        <v>74.7</v>
      </c>
      <c r="AI16" s="161" t="n">
        <f aca="false">AI15-AH16</f>
        <v>10117.9578774893</v>
      </c>
      <c r="AJ16" s="161"/>
      <c r="AK16" s="11" t="n">
        <f aca="false">N16+O16+P16+Q16+R16+S16+T16+U16+X16+AE16+AH16-AR16</f>
        <v>530.32</v>
      </c>
      <c r="AL16" s="194" t="n">
        <f aca="false">IF(L16&lt;0,L16*-1,0)</f>
        <v>0</v>
      </c>
      <c r="AM16" s="194" t="n">
        <f aca="false">AK16+AL16</f>
        <v>530.32</v>
      </c>
      <c r="AN16" s="230"/>
      <c r="AO16" s="192"/>
      <c r="AP16" s="103" t="n">
        <f aca="false">I16-Q16-R16-X16-AF16</f>
        <v>-134.279812487519</v>
      </c>
      <c r="AQ16" s="171" t="n">
        <f aca="false">0*(Z16*1.9835+AC16*1.9835)/E16</f>
        <v>0</v>
      </c>
      <c r="AR16" s="171" t="n">
        <f aca="false">1304.297/$D$2/31</f>
        <v>21.2120477812924</v>
      </c>
      <c r="AS16" s="158" t="n">
        <f aca="false">BA16</f>
        <v>9.23</v>
      </c>
      <c r="AT16" s="5" t="n">
        <v>0.98</v>
      </c>
      <c r="AU16" s="4"/>
      <c r="AV16" s="552" t="n">
        <v>0.33</v>
      </c>
      <c r="AW16" s="553" t="n">
        <v>79</v>
      </c>
      <c r="AX16" s="191" t="n">
        <v>57</v>
      </c>
      <c r="AY16" s="149"/>
      <c r="AZ16" s="263" t="n">
        <f aca="false">SUM(N16,P16:U16)</f>
        <v>7.48539502432117</v>
      </c>
      <c r="BA16" s="554" t="n">
        <v>9.23</v>
      </c>
      <c r="BB16" s="471" t="n">
        <v>22804</v>
      </c>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row>
    <row r="17" customFormat="false" ht="12.95" hidden="false" customHeight="true" outlineLevel="0" collapsed="false">
      <c r="A17" s="192" t="n">
        <f aca="false">A16+1</f>
        <v>3</v>
      </c>
      <c r="B17" s="318" t="n">
        <v>6909.91</v>
      </c>
      <c r="C17" s="161" t="n">
        <v>321628</v>
      </c>
      <c r="D17" s="191" t="n">
        <f aca="false">C17-C16</f>
        <v>-639</v>
      </c>
      <c r="E17" s="161" t="n">
        <f aca="false">C17-152000</f>
        <v>169628</v>
      </c>
      <c r="F17" s="549" t="n">
        <f aca="false">D17/$D$2</f>
        <v>-322.157801865389</v>
      </c>
      <c r="G17" s="550" t="n">
        <v>237</v>
      </c>
      <c r="H17" s="195" t="n">
        <v>0</v>
      </c>
      <c r="I17" s="194" t="n">
        <f aca="false">G17+H17</f>
        <v>237</v>
      </c>
      <c r="J17" s="111" t="n">
        <f aca="false">IF(L17&gt;0,L17,0)</f>
        <v>0</v>
      </c>
      <c r="K17" s="194" t="n">
        <f aca="false">I17+J17</f>
        <v>237</v>
      </c>
      <c r="L17" s="194" t="n">
        <f aca="false">F17-(I17-AK17)</f>
        <v>-16.3498018653895</v>
      </c>
      <c r="M17" s="551" t="n">
        <v>195</v>
      </c>
      <c r="N17" s="171" t="n">
        <f aca="false">1/$D$2*1.03</f>
        <v>0.519284093773632</v>
      </c>
      <c r="O17" s="194" t="n">
        <f aca="false">53.7*1.05</f>
        <v>56.385</v>
      </c>
      <c r="P17" s="171" t="n">
        <v>0</v>
      </c>
      <c r="Q17" s="346" t="n">
        <f aca="false">1436900/325851/1.9835*1.02</f>
        <v>2.2676470201274</v>
      </c>
      <c r="R17" s="139" t="n">
        <f aca="false">IF(((4.7*1.04)-T17)&gt;=4.2,4.2,(4.7*1.04)-T17)</f>
        <v>3.7850488</v>
      </c>
      <c r="S17" s="139" t="n">
        <f aca="false">IF(((4.7*1.04)-T17)&gt;=4.2,((4.7*1.04)-T17)-4.2,0)</f>
        <v>0</v>
      </c>
      <c r="T17" s="139" t="n">
        <f aca="false">(1.0005*1.06)*1.04</f>
        <v>1.1029512</v>
      </c>
      <c r="U17" s="365" t="n">
        <v>0</v>
      </c>
      <c r="V17" s="194" t="n">
        <v>93.3</v>
      </c>
      <c r="W17" s="550" t="n">
        <v>63.5</v>
      </c>
      <c r="X17" s="347" t="n">
        <f aca="false">M17-N17-O17-P17-Q17-R17-S17-T17-U17+V17+W17-AT17+AR17</f>
        <v>308.060116667391</v>
      </c>
      <c r="Y17" s="347" t="n">
        <f aca="false">X17-AO17</f>
        <v>308.060116667391</v>
      </c>
      <c r="Z17" s="114" t="n">
        <f aca="false">Z16+AP17</f>
        <v>19856.9341584769</v>
      </c>
      <c r="AA17" s="143" t="n">
        <f aca="false">(-AP17)</f>
        <v>78.8128124875188</v>
      </c>
      <c r="AB17" s="442"/>
      <c r="AC17" s="442" t="n">
        <f aca="false">AC16-(AQ16/1.9835)+AS17</f>
        <v>1099.56657800365</v>
      </c>
      <c r="AD17" s="450" t="n">
        <f aca="false">AD16</f>
        <v>2618.93636501134</v>
      </c>
      <c r="AE17" s="550" t="n">
        <v>117</v>
      </c>
      <c r="AF17" s="261" t="n">
        <v>1.7</v>
      </c>
      <c r="AG17" s="262" t="n">
        <v>1.3</v>
      </c>
      <c r="AH17" s="194" t="n">
        <v>74.9</v>
      </c>
      <c r="AI17" s="161" t="n">
        <f aca="false">AI16-AH17</f>
        <v>10043.0578774893</v>
      </c>
      <c r="AJ17" s="161"/>
      <c r="AK17" s="11" t="n">
        <f aca="false">N17+O17+P17+Q17+R17+S17+T17+U17+X17+AE17+AH17-AR17</f>
        <v>542.808</v>
      </c>
      <c r="AL17" s="194" t="n">
        <f aca="false">IF(L17&lt;0,L17*-1,0)</f>
        <v>16.3498018653895</v>
      </c>
      <c r="AM17" s="194" t="n">
        <f aca="false">AK17+AL17</f>
        <v>559.157801865389</v>
      </c>
      <c r="AN17" s="230"/>
      <c r="AO17" s="192"/>
      <c r="AP17" s="103" t="n">
        <f aca="false">I17-Q17-R17-X17-AF17</f>
        <v>-78.8128124875188</v>
      </c>
      <c r="AQ17" s="171" t="n">
        <f aca="false">47.098*(Z17*1.9835+AC17*1.9835)/E17</f>
        <v>11.5413309736052</v>
      </c>
      <c r="AR17" s="171" t="n">
        <f aca="false">1304.297/$D$2/31</f>
        <v>21.2120477812924</v>
      </c>
      <c r="AS17" s="158" t="n">
        <f aca="false">BA17</f>
        <v>9.21</v>
      </c>
      <c r="AT17" s="5" t="n">
        <v>0.892</v>
      </c>
      <c r="AU17" s="4"/>
      <c r="AV17" s="552" t="n">
        <v>0.01</v>
      </c>
      <c r="AW17" s="553" t="n">
        <v>83</v>
      </c>
      <c r="AX17" s="191" t="n">
        <v>53</v>
      </c>
      <c r="AY17" s="149"/>
      <c r="AZ17" s="263" t="n">
        <f aca="false">SUM(N17,P17:U17)</f>
        <v>7.67493111390103</v>
      </c>
      <c r="BA17" s="554" t="n">
        <v>9.21</v>
      </c>
      <c r="BB17" s="471" t="n">
        <v>22831</v>
      </c>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row>
    <row r="18" customFormat="false" ht="12.95" hidden="false" customHeight="true" outlineLevel="0" collapsed="false">
      <c r="A18" s="192" t="n">
        <f aca="false">A17+1</f>
        <v>4</v>
      </c>
      <c r="B18" s="318" t="n">
        <v>6909.73</v>
      </c>
      <c r="C18" s="161" t="n">
        <v>320912</v>
      </c>
      <c r="D18" s="191" t="n">
        <f aca="false">C18-C17</f>
        <v>-716</v>
      </c>
      <c r="E18" s="161" t="n">
        <f aca="false">C18-152000</f>
        <v>168912</v>
      </c>
      <c r="F18" s="549" t="n">
        <f aca="false">D18/$D$2</f>
        <v>-360.978069069826</v>
      </c>
      <c r="G18" s="550" t="n">
        <v>209</v>
      </c>
      <c r="H18" s="195" t="n">
        <v>0</v>
      </c>
      <c r="I18" s="194" t="n">
        <f aca="false">G18+H18</f>
        <v>209</v>
      </c>
      <c r="J18" s="111" t="n">
        <f aca="false">IF(L18&gt;0,L18,0)</f>
        <v>0</v>
      </c>
      <c r="K18" s="194" t="n">
        <f aca="false">I18+J18</f>
        <v>209</v>
      </c>
      <c r="L18" s="194" t="n">
        <f aca="false">F18-(I18-AK18)</f>
        <v>-13.3920690698261</v>
      </c>
      <c r="M18" s="551" t="n">
        <v>212</v>
      </c>
      <c r="N18" s="171" t="n">
        <f aca="false">1/$D$2*1.03</f>
        <v>0.519284093773632</v>
      </c>
      <c r="O18" s="194" t="n">
        <f aca="false">57*1.05</f>
        <v>59.85</v>
      </c>
      <c r="P18" s="171" t="n">
        <v>0</v>
      </c>
      <c r="Q18" s="346" t="n">
        <f aca="false">1521300/325851/1.9835*1.02</f>
        <v>2.40084307308777</v>
      </c>
      <c r="R18" s="139" t="n">
        <f aca="false">IF(((4.8*1.04)-T18)&gt;=4.2,4.2,(4.8*1.04)-T18)</f>
        <v>3.8890488</v>
      </c>
      <c r="S18" s="139" t="n">
        <f aca="false">IF(((4.8*1.04)-T18)&gt;=4.2,((4.8*1.04)-T18)-4.2,0)</f>
        <v>0</v>
      </c>
      <c r="T18" s="139" t="n">
        <f aca="false">(1.0005*1.06)*1.04</f>
        <v>1.1029512</v>
      </c>
      <c r="U18" s="365" t="n">
        <v>0</v>
      </c>
      <c r="V18" s="194" t="n">
        <v>89.5</v>
      </c>
      <c r="W18" s="550" t="n">
        <v>62.6</v>
      </c>
      <c r="X18" s="347" t="n">
        <f aca="false">M18-N18-O18-P18-Q18-R18-S18-T18-U18+V18+W18-AT18+AR18</f>
        <v>316.635920614431</v>
      </c>
      <c r="Y18" s="347" t="n">
        <f aca="false">X18-AO18</f>
        <v>316.635920614431</v>
      </c>
      <c r="Z18" s="114" t="n">
        <f aca="false">Z17+AP18</f>
        <v>19741.3083459894</v>
      </c>
      <c r="AA18" s="143" t="n">
        <f aca="false">(-AP18)</f>
        <v>115.625812487519</v>
      </c>
      <c r="AB18" s="442"/>
      <c r="AC18" s="442" t="n">
        <f aca="false">AC17-(AQ17/1.9835)+AS18</f>
        <v>1102.92790849339</v>
      </c>
      <c r="AD18" s="450" t="n">
        <f aca="false">AD17</f>
        <v>2618.93636501134</v>
      </c>
      <c r="AE18" s="550" t="n">
        <v>118</v>
      </c>
      <c r="AF18" s="261" t="n">
        <v>1.7</v>
      </c>
      <c r="AG18" s="262" t="n">
        <v>1.3</v>
      </c>
      <c r="AH18" s="194" t="n">
        <v>75.4</v>
      </c>
      <c r="AI18" s="161" t="n">
        <f aca="false">AI17-AH18</f>
        <v>9967.65787748927</v>
      </c>
      <c r="AJ18" s="161"/>
      <c r="AK18" s="11" t="n">
        <f aca="false">N18+O18+P18+Q18+R18+S18+T18+U18+X18+AE18+AH18-AR18</f>
        <v>556.586</v>
      </c>
      <c r="AL18" s="194" t="n">
        <f aca="false">IF(L18&lt;0,L18*-1,0)</f>
        <v>13.3920690698261</v>
      </c>
      <c r="AM18" s="194" t="n">
        <f aca="false">AK18+AL18</f>
        <v>569.978069069826</v>
      </c>
      <c r="AN18" s="230"/>
      <c r="AO18" s="192"/>
      <c r="AP18" s="103" t="n">
        <f aca="false">I18-Q18-R18-X18-AF18</f>
        <v>-115.625812487519</v>
      </c>
      <c r="AQ18" s="171" t="n">
        <f aca="false">52.227*(Z18*1.9835+AC18*1.9835)/E18</f>
        <v>12.7835880632075</v>
      </c>
      <c r="AR18" s="171" t="n">
        <f aca="false">1304.297/$D$2/31</f>
        <v>21.2120477812924</v>
      </c>
      <c r="AS18" s="158" t="n">
        <f aca="false">BA18</f>
        <v>9.18</v>
      </c>
      <c r="AT18" s="5" t="n">
        <v>0.914</v>
      </c>
      <c r="AU18" s="4"/>
      <c r="AV18" s="552" t="n">
        <v>0.07</v>
      </c>
      <c r="AW18" s="553" t="n">
        <v>87</v>
      </c>
      <c r="AX18" s="191" t="n">
        <v>54</v>
      </c>
      <c r="AY18" s="149"/>
      <c r="AZ18" s="263" t="n">
        <f aca="false">SUM(N18,P18:U18)</f>
        <v>7.9121271668614</v>
      </c>
      <c r="BA18" s="554" t="n">
        <v>9.18</v>
      </c>
      <c r="BB18" s="471" t="n">
        <v>22832</v>
      </c>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row>
    <row r="19" customFormat="false" ht="12.95" hidden="false" customHeight="true" outlineLevel="0" collapsed="false">
      <c r="A19" s="192" t="n">
        <f aca="false">A18+1</f>
        <v>5</v>
      </c>
      <c r="B19" s="318" t="n">
        <v>6909.53</v>
      </c>
      <c r="C19" s="161" t="n">
        <v>320115</v>
      </c>
      <c r="D19" s="191" t="n">
        <f aca="false">C19-C18</f>
        <v>-797</v>
      </c>
      <c r="E19" s="161" t="n">
        <f aca="false">C19-152000</f>
        <v>168115</v>
      </c>
      <c r="F19" s="549" t="n">
        <f aca="false">D19/$D$2</f>
        <v>-401.814973531636</v>
      </c>
      <c r="G19" s="550" t="n">
        <v>178</v>
      </c>
      <c r="H19" s="195" t="n">
        <v>0</v>
      </c>
      <c r="I19" s="194" t="n">
        <f aca="false">G19+H19</f>
        <v>178</v>
      </c>
      <c r="J19" s="111" t="n">
        <f aca="false">IF(L19&gt;0,L19,0)</f>
        <v>2.99002646836408</v>
      </c>
      <c r="K19" s="194" t="n">
        <f aca="false">I19+J19</f>
        <v>180.990026468364</v>
      </c>
      <c r="L19" s="194" t="n">
        <f aca="false">F19-(I19-AK19)</f>
        <v>2.99002646836408</v>
      </c>
      <c r="M19" s="551" t="n">
        <v>219</v>
      </c>
      <c r="N19" s="171" t="n">
        <f aca="false">1/$D$2*1.03</f>
        <v>0.519284093773632</v>
      </c>
      <c r="O19" s="194" t="n">
        <f aca="false">64.8*1.05</f>
        <v>68.04</v>
      </c>
      <c r="P19" s="171" t="n">
        <v>0</v>
      </c>
      <c r="Q19" s="346" t="n">
        <f aca="false">1901300/325851/1.9835*1.02</f>
        <v>3.00054094186667</v>
      </c>
      <c r="R19" s="139" t="n">
        <f aca="false">IF(((5.2*1.04)-T19)&gt;=4.2,4.2,(5.2*1.04)-T19)</f>
        <v>4.2</v>
      </c>
      <c r="S19" s="139" t="n">
        <f aca="false">IF(((5.2*1.04)-T19)&gt;=4.2,((5.2*1.04)-T19)-4.2,0)</f>
        <v>0.105048800000001</v>
      </c>
      <c r="T19" s="139" t="n">
        <f aca="false">(1.0005*1.06)*1.04</f>
        <v>1.1029512</v>
      </c>
      <c r="U19" s="365" t="n">
        <v>0</v>
      </c>
      <c r="V19" s="194" t="n">
        <v>95</v>
      </c>
      <c r="W19" s="550" t="n">
        <v>63.1</v>
      </c>
      <c r="X19" s="347" t="n">
        <f aca="false">M19-N19-O19-P19-Q19-R19-S19-T19-U19+V19+W19-AT19+AR19</f>
        <v>320.549222745652</v>
      </c>
      <c r="Y19" s="347" t="n">
        <f aca="false">X19-AO19</f>
        <v>320.549222745652</v>
      </c>
      <c r="Z19" s="114" t="n">
        <f aca="false">Z18+AP19</f>
        <v>19589.8585823019</v>
      </c>
      <c r="AA19" s="143" t="n">
        <f aca="false">(-AP19)</f>
        <v>151.449763687519</v>
      </c>
      <c r="AB19" s="442"/>
      <c r="AC19" s="442" t="n">
        <f aca="false">AC18-(AQ18/1.9835)+AS19</f>
        <v>1105.6629435006</v>
      </c>
      <c r="AD19" s="450" t="n">
        <f aca="false">AD18</f>
        <v>2618.93636501134</v>
      </c>
      <c r="AE19" s="550" t="n">
        <v>131</v>
      </c>
      <c r="AF19" s="261" t="n">
        <v>1.7</v>
      </c>
      <c r="AG19" s="262" t="n">
        <v>1.3</v>
      </c>
      <c r="AH19" s="194" t="n">
        <v>75.5</v>
      </c>
      <c r="AI19" s="161" t="n">
        <f aca="false">AI18-AH19</f>
        <v>9892.15787748927</v>
      </c>
      <c r="AJ19" s="161"/>
      <c r="AK19" s="11" t="n">
        <f aca="false">N19+O19+P19+Q19+R19+S19+T19+U19+X19+AE19+AH19-AR19</f>
        <v>582.805</v>
      </c>
      <c r="AL19" s="194" t="n">
        <f aca="false">IF(L19&lt;0,L19*-1,0)</f>
        <v>0</v>
      </c>
      <c r="AM19" s="194" t="n">
        <f aca="false">AK19+AL19</f>
        <v>582.805</v>
      </c>
      <c r="AN19" s="230"/>
      <c r="AO19" s="192"/>
      <c r="AP19" s="103" t="n">
        <f aca="false">I19-Q19-R19-X19-AF19</f>
        <v>-151.449763687519</v>
      </c>
      <c r="AQ19" s="171" t="n">
        <f aca="false">75.31*(Z19*1.9835+AC19*1.9835)/E19</f>
        <v>18.3888581431496</v>
      </c>
      <c r="AR19" s="171" t="n">
        <f aca="false">1304.297/$D$2/31</f>
        <v>21.2120477812924</v>
      </c>
      <c r="AS19" s="158" t="n">
        <f aca="false">BA19</f>
        <v>9.18</v>
      </c>
      <c r="AT19" s="5" t="n">
        <v>0.795</v>
      </c>
      <c r="AU19" s="4"/>
      <c r="AV19" s="552" t="n">
        <v>0</v>
      </c>
      <c r="AW19" s="553" t="n">
        <v>91</v>
      </c>
      <c r="AX19" s="191" t="n">
        <v>56</v>
      </c>
      <c r="AY19" s="149"/>
      <c r="AZ19" s="263" t="n">
        <f aca="false">SUM(N19,P19:U19)</f>
        <v>8.92782503564031</v>
      </c>
      <c r="BA19" s="554" t="n">
        <v>9.18</v>
      </c>
      <c r="BB19" s="471" t="n">
        <v>22801</v>
      </c>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row>
    <row r="20" customFormat="false" ht="12.95" hidden="false" customHeight="true" outlineLevel="0" collapsed="false">
      <c r="A20" s="192" t="n">
        <f aca="false">A19+1</f>
        <v>6</v>
      </c>
      <c r="B20" s="318" t="n">
        <v>6909.28</v>
      </c>
      <c r="C20" s="161" t="n">
        <v>319120</v>
      </c>
      <c r="D20" s="191" t="n">
        <f aca="false">C20-C19</f>
        <v>-995</v>
      </c>
      <c r="E20" s="161" t="n">
        <f aca="false">C20-152000</f>
        <v>167120</v>
      </c>
      <c r="F20" s="549" t="n">
        <f aca="false">D20/$D$2</f>
        <v>-501.638517771616</v>
      </c>
      <c r="G20" s="550" t="n">
        <v>155</v>
      </c>
      <c r="H20" s="195" t="n">
        <v>0</v>
      </c>
      <c r="I20" s="194" t="n">
        <f aca="false">G20+H20</f>
        <v>155</v>
      </c>
      <c r="J20" s="111" t="n">
        <f aca="false">IF(L20&gt;0,L20,0)</f>
        <v>0</v>
      </c>
      <c r="K20" s="194" t="n">
        <f aca="false">I20+J20</f>
        <v>155</v>
      </c>
      <c r="L20" s="194" t="n">
        <f aca="false">F20-(I20-AK20)</f>
        <v>-56.1295177716158</v>
      </c>
      <c r="M20" s="551" t="n">
        <v>223</v>
      </c>
      <c r="N20" s="171" t="n">
        <f aca="false">1/$D$2*1.03</f>
        <v>0.519284093773632</v>
      </c>
      <c r="O20" s="194" t="n">
        <f aca="false">70*1.05</f>
        <v>73.5</v>
      </c>
      <c r="P20" s="171" t="n">
        <v>0</v>
      </c>
      <c r="Q20" s="346" t="n">
        <f aca="false">1659700/325851/1.9835*1.02</f>
        <v>2.61925934950619</v>
      </c>
      <c r="R20" s="139" t="n">
        <f aca="false">IF(((5.5*1.04)-T20)&gt;=4.2,4.2,(5.5*1.04)-T20)</f>
        <v>4.2</v>
      </c>
      <c r="S20" s="139" t="n">
        <f aca="false">IF(((5.5*1.04)-T20)&gt;=4.2,((5.5*1.04)-T20)-4.2,0)</f>
        <v>0.417048800000001</v>
      </c>
      <c r="T20" s="139" t="n">
        <f aca="false">(1.0005*1.06)*1.04</f>
        <v>1.1029512</v>
      </c>
      <c r="U20" s="365" t="n">
        <v>0</v>
      </c>
      <c r="V20" s="194" t="n">
        <v>105</v>
      </c>
      <c r="W20" s="550" t="n">
        <v>62.8</v>
      </c>
      <c r="X20" s="347" t="n">
        <f aca="false">M20-N20-O20-P20-Q20-R20-S20-T20-U20+V20+W20-AT20+AR20</f>
        <v>328.862504338013</v>
      </c>
      <c r="Y20" s="347" t="n">
        <f aca="false">X20-AO20</f>
        <v>328.862504338013</v>
      </c>
      <c r="Z20" s="114" t="n">
        <f aca="false">Z19+AP20</f>
        <v>19407.4768186144</v>
      </c>
      <c r="AA20" s="143" t="n">
        <f aca="false">(-AP20)</f>
        <v>182.381763687519</v>
      </c>
      <c r="AB20" s="442"/>
      <c r="AC20" s="442" t="n">
        <f aca="false">AC19-(AQ19/1.9835)+AS20</f>
        <v>1105.57202938759</v>
      </c>
      <c r="AD20" s="450" t="n">
        <f aca="false">AD19</f>
        <v>2618.93636501134</v>
      </c>
      <c r="AE20" s="550" t="n">
        <v>135</v>
      </c>
      <c r="AF20" s="261" t="n">
        <v>1.7</v>
      </c>
      <c r="AG20" s="262" t="n">
        <v>1.3</v>
      </c>
      <c r="AH20" s="194" t="n">
        <v>75.5</v>
      </c>
      <c r="AI20" s="161" t="n">
        <f aca="false">AI19-AH20</f>
        <v>9816.65787748927</v>
      </c>
      <c r="AJ20" s="161"/>
      <c r="AK20" s="11" t="n">
        <f aca="false">N20+O20+P20+Q20+R20+S20+T20+U20+X20+AE20+AH20-AR20</f>
        <v>600.509</v>
      </c>
      <c r="AL20" s="194" t="n">
        <f aca="false">IF(L20&lt;0,L20*-1,0)</f>
        <v>56.1295177716158</v>
      </c>
      <c r="AM20" s="194" t="n">
        <f aca="false">AK20+AL20</f>
        <v>656.638517771616</v>
      </c>
      <c r="AN20" s="230"/>
      <c r="AO20" s="555"/>
      <c r="AP20" s="103" t="n">
        <f aca="false">I20-Q20-R20-X20-AF20</f>
        <v>-182.381763687519</v>
      </c>
      <c r="AQ20" s="171" t="n">
        <f aca="false">75.401*(Z20*1.9835+AC20*1.9835)/E20</f>
        <v>18.3573968994692</v>
      </c>
      <c r="AR20" s="171" t="n">
        <f aca="false">1304.297/$D$2/31</f>
        <v>21.2120477812924</v>
      </c>
      <c r="AS20" s="158" t="n">
        <f aca="false">BA20</f>
        <v>9.18</v>
      </c>
      <c r="AT20" s="5" t="n">
        <v>0.791</v>
      </c>
      <c r="AU20" s="4"/>
      <c r="AV20" s="552" t="n">
        <v>0</v>
      </c>
      <c r="AW20" s="553" t="n">
        <v>93</v>
      </c>
      <c r="AX20" s="191" t="n">
        <v>54</v>
      </c>
      <c r="AY20" s="149"/>
      <c r="AZ20" s="263" t="n">
        <f aca="false">SUM(N20,P20:U20)</f>
        <v>8.85854344327982</v>
      </c>
      <c r="BA20" s="554" t="n">
        <v>9.18</v>
      </c>
      <c r="BB20" s="471" t="n">
        <v>22785</v>
      </c>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row>
    <row r="21" customFormat="false" ht="12.95" hidden="false" customHeight="true" outlineLevel="0" collapsed="false">
      <c r="A21" s="192" t="n">
        <f aca="false">A20+1</f>
        <v>7</v>
      </c>
      <c r="B21" s="318" t="n">
        <v>6909.03</v>
      </c>
      <c r="C21" s="161" t="n">
        <v>318125</v>
      </c>
      <c r="D21" s="191" t="n">
        <f aca="false">C21-C20</f>
        <v>-995</v>
      </c>
      <c r="E21" s="161" t="n">
        <f aca="false">C21-152000</f>
        <v>166125</v>
      </c>
      <c r="F21" s="549" t="n">
        <f aca="false">D21/$D$2</f>
        <v>-501.638517771616</v>
      </c>
      <c r="G21" s="550" t="n">
        <v>146</v>
      </c>
      <c r="H21" s="195" t="n">
        <v>0</v>
      </c>
      <c r="I21" s="194" t="n">
        <f aca="false">G21+H21</f>
        <v>146</v>
      </c>
      <c r="J21" s="111" t="n">
        <f aca="false">IF(L21&gt;0,L21,0)</f>
        <v>0</v>
      </c>
      <c r="K21" s="194" t="n">
        <f aca="false">I21+J21</f>
        <v>146</v>
      </c>
      <c r="L21" s="194" t="n">
        <f aca="false">F21-(I21-AK21)</f>
        <v>-43.0105177716158</v>
      </c>
      <c r="M21" s="551" t="n">
        <v>226</v>
      </c>
      <c r="N21" s="171" t="n">
        <f aca="false">1/$D$2*1.03</f>
        <v>0.519284093773632</v>
      </c>
      <c r="O21" s="194" t="n">
        <f aca="false">79.1*1.05</f>
        <v>83.055</v>
      </c>
      <c r="P21" s="171" t="n">
        <v>0</v>
      </c>
      <c r="Q21" s="346" t="n">
        <f aca="false">1564000/325851/1.9835*1.02</f>
        <v>2.46823017571108</v>
      </c>
      <c r="R21" s="139" t="n">
        <f aca="false">IF(((5.5*1.04)-T21)&gt;=4.2,4.2,(5.5*1.04)-T21)</f>
        <v>4.2</v>
      </c>
      <c r="S21" s="139" t="n">
        <f aca="false">IF(((5.5*1.04)-T21)&gt;=4.2,((5.5*1.04)-T21)-4.2,0)</f>
        <v>0.34076272</v>
      </c>
      <c r="T21" s="139" t="n">
        <f aca="false">(1.0697*1.06)*1.04</f>
        <v>1.17923728</v>
      </c>
      <c r="U21" s="365" t="n">
        <v>0</v>
      </c>
      <c r="V21" s="194" t="n">
        <v>113</v>
      </c>
      <c r="W21" s="550" t="n">
        <v>63</v>
      </c>
      <c r="X21" s="347" t="n">
        <f aca="false">M21-N21-O21-P21-Q21-R21-S21-T21-U21+V21+W21-AT21+AR21</f>
        <v>330.577533511808</v>
      </c>
      <c r="Y21" s="347" t="n">
        <f aca="false">X21-AO21</f>
        <v>330.577533511808</v>
      </c>
      <c r="Z21" s="114" t="n">
        <f aca="false">Z20+AP21</f>
        <v>19214.5310549269</v>
      </c>
      <c r="AA21" s="143" t="n">
        <f aca="false">(-AP21)</f>
        <v>192.945763687519</v>
      </c>
      <c r="AB21" s="442"/>
      <c r="AC21" s="442" t="n">
        <f aca="false">AC20-(AQ20/1.9835)+AS21</f>
        <v>1105.49697675362</v>
      </c>
      <c r="AD21" s="450" t="n">
        <f aca="false">AD20</f>
        <v>2618.93636501134</v>
      </c>
      <c r="AE21" s="550" t="n">
        <v>128</v>
      </c>
      <c r="AF21" s="261" t="n">
        <v>1.7</v>
      </c>
      <c r="AG21" s="262" t="n">
        <v>1.3</v>
      </c>
      <c r="AH21" s="194" t="n">
        <v>75.5</v>
      </c>
      <c r="AI21" s="161" t="n">
        <f aca="false">AI20-AH21</f>
        <v>9741.15787748927</v>
      </c>
      <c r="AJ21" s="161"/>
      <c r="AK21" s="11" t="n">
        <f aca="false">N21+O21+P21+Q21+R21+S21+T21+U21+X21+AE21+AH21-AR21</f>
        <v>604.628</v>
      </c>
      <c r="AL21" s="194" t="n">
        <f aca="false">IF(L21&lt;0,L21*-1,0)</f>
        <v>43.0105177716158</v>
      </c>
      <c r="AM21" s="194" t="n">
        <f aca="false">AK21+AL21</f>
        <v>647.638517771616</v>
      </c>
      <c r="AN21" s="230"/>
      <c r="AO21" s="555"/>
      <c r="AP21" s="103" t="n">
        <f aca="false">I21-Q21-R21-X21-AF21</f>
        <v>-192.945763687519</v>
      </c>
      <c r="AQ21" s="171" t="n">
        <f aca="false">16.19*(Z21*1.9835+AC21*1.9835)/E21</f>
        <v>3.92797181024874</v>
      </c>
      <c r="AR21" s="171" t="n">
        <f aca="false">1304.297/$D$2/31</f>
        <v>21.2120477812924</v>
      </c>
      <c r="AS21" s="158" t="n">
        <f aca="false">BA21</f>
        <v>9.18</v>
      </c>
      <c r="AT21" s="5" t="n">
        <v>0.872</v>
      </c>
      <c r="AU21" s="4"/>
      <c r="AV21" s="552" t="n">
        <v>0.13</v>
      </c>
      <c r="AW21" s="553" t="n">
        <v>82</v>
      </c>
      <c r="AX21" s="191" t="n">
        <v>55</v>
      </c>
      <c r="AY21" s="149"/>
      <c r="AZ21" s="263" t="n">
        <f aca="false">SUM(N21,P21:U21)</f>
        <v>8.70751426948471</v>
      </c>
      <c r="BA21" s="554" t="n">
        <v>9.18</v>
      </c>
      <c r="BB21" s="471" t="n">
        <v>22785</v>
      </c>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row>
    <row r="22" customFormat="false" ht="12.95" hidden="false" customHeight="true" outlineLevel="0" collapsed="false">
      <c r="A22" s="192" t="n">
        <f aca="false">A21+1</f>
        <v>8</v>
      </c>
      <c r="B22" s="318" t="n">
        <v>6908.85</v>
      </c>
      <c r="C22" s="161" t="n">
        <v>317413</v>
      </c>
      <c r="D22" s="191" t="n">
        <f aca="false">C22-C21</f>
        <v>-712</v>
      </c>
      <c r="E22" s="161" t="n">
        <f aca="false">C22-152000</f>
        <v>165413</v>
      </c>
      <c r="F22" s="549" t="n">
        <f aca="false">D22/$D$2</f>
        <v>-358.961431812453</v>
      </c>
      <c r="G22" s="550" t="n">
        <v>167</v>
      </c>
      <c r="H22" s="195" t="n">
        <v>0</v>
      </c>
      <c r="I22" s="194" t="n">
        <f aca="false">G22+H22</f>
        <v>167</v>
      </c>
      <c r="J22" s="111" t="n">
        <f aca="false">IF(L22&gt;0,L22,0)</f>
        <v>0.367568187547249</v>
      </c>
      <c r="K22" s="194" t="n">
        <f aca="false">I22+J22</f>
        <v>167.367568187547</v>
      </c>
      <c r="L22" s="194" t="n">
        <f aca="false">F22-(I22-AK22)</f>
        <v>0.367568187547249</v>
      </c>
      <c r="M22" s="551" t="n">
        <v>205</v>
      </c>
      <c r="N22" s="171" t="n">
        <f aca="false">1/$D$2*1.03</f>
        <v>0.519284093773632</v>
      </c>
      <c r="O22" s="194" t="n">
        <f aca="false">72.8*1.05</f>
        <v>76.44</v>
      </c>
      <c r="P22" s="171" t="n">
        <v>0</v>
      </c>
      <c r="Q22" s="346" t="n">
        <f aca="false">1284800/325851/1.9835*1.02</f>
        <v>2.02761005738721</v>
      </c>
      <c r="R22" s="139" t="n">
        <f aca="false">IF(((5.5*1.04)-T22)&gt;=4.2,4.2,(5.5*1.04)-T22)</f>
        <v>4.2</v>
      </c>
      <c r="S22" s="139" t="n">
        <f aca="false">IF(((5.5*1.04)-T22)&gt;=4.2,((5.5*1.04)-T22)-4.2,0)</f>
        <v>0.34076272</v>
      </c>
      <c r="T22" s="139" t="n">
        <f aca="false">(1.0697*1.06)*1.04</f>
        <v>1.17923728</v>
      </c>
      <c r="U22" s="365" t="n">
        <v>0</v>
      </c>
      <c r="V22" s="194" t="n">
        <v>106</v>
      </c>
      <c r="W22" s="550" t="n">
        <v>63.2</v>
      </c>
      <c r="X22" s="347" t="n">
        <f aca="false">M22-N22-O22-P22-Q22-R22-S22-T22-U22+V22+W22-AT22+AR22</f>
        <v>309.734153630132</v>
      </c>
      <c r="Y22" s="347" t="n">
        <f aca="false">X22-AO22</f>
        <v>309.734153630132</v>
      </c>
      <c r="Z22" s="114" t="n">
        <f aca="false">Z21+AP22</f>
        <v>19063.8692912393</v>
      </c>
      <c r="AA22" s="143" t="n">
        <f aca="false">(-AP22)</f>
        <v>150.661763687519</v>
      </c>
      <c r="AB22" s="442"/>
      <c r="AC22" s="442" t="n">
        <f aca="false">AC21-(AQ21/1.9835)+AS22</f>
        <v>1112.69665317901</v>
      </c>
      <c r="AD22" s="450" t="n">
        <f aca="false">AD21</f>
        <v>2618.93636501134</v>
      </c>
      <c r="AE22" s="550" t="n">
        <v>77.6</v>
      </c>
      <c r="AF22" s="261" t="n">
        <v>1.7</v>
      </c>
      <c r="AG22" s="262" t="n">
        <v>1.3</v>
      </c>
      <c r="AH22" s="194" t="n">
        <v>75.5</v>
      </c>
      <c r="AI22" s="161" t="n">
        <f aca="false">AI21-AH22</f>
        <v>9665.65787748927</v>
      </c>
      <c r="AJ22" s="161"/>
      <c r="AK22" s="11" t="n">
        <f aca="false">N22+O22+P22+Q22+R22+S22+T22+U22+X22+AE22+AH22-AR22</f>
        <v>526.329</v>
      </c>
      <c r="AL22" s="194" t="n">
        <f aca="false">IF(L22&lt;0,L22*-1,0)</f>
        <v>0</v>
      </c>
      <c r="AM22" s="194" t="n">
        <f aca="false">AK22+AL22</f>
        <v>526.329</v>
      </c>
      <c r="AN22" s="230"/>
      <c r="AO22" s="555"/>
      <c r="AP22" s="103" t="n">
        <f aca="false">I22-Q22-R22-X22-AF22</f>
        <v>-150.661763687519</v>
      </c>
      <c r="AQ22" s="171" t="n">
        <f aca="false">28.449*(Z22*1.9835+AC22*1.9835)/E22</f>
        <v>6.88298499846079</v>
      </c>
      <c r="AR22" s="171" t="n">
        <f aca="false">1304.297/$D$2/31</f>
        <v>21.2120477812924</v>
      </c>
      <c r="AS22" s="158" t="n">
        <f aca="false">BA22</f>
        <v>9.18</v>
      </c>
      <c r="AT22" s="5" t="n">
        <v>0.971</v>
      </c>
      <c r="AU22" s="4"/>
      <c r="AV22" s="552" t="n">
        <v>0</v>
      </c>
      <c r="AW22" s="553" t="n">
        <v>82</v>
      </c>
      <c r="AX22" s="191" t="n">
        <v>54</v>
      </c>
      <c r="AY22" s="149"/>
      <c r="AZ22" s="263" t="n">
        <f aca="false">SUM(N22,P22:U22)</f>
        <v>8.26689415116084</v>
      </c>
      <c r="BA22" s="554" t="n">
        <v>9.18</v>
      </c>
      <c r="BB22" s="471" t="n">
        <v>22817</v>
      </c>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row>
    <row r="23" customFormat="false" ht="12.95" hidden="false" customHeight="true" outlineLevel="0" collapsed="false">
      <c r="A23" s="192" t="n">
        <f aca="false">A22+1</f>
        <v>9</v>
      </c>
      <c r="B23" s="318" t="n">
        <v>6908.64</v>
      </c>
      <c r="C23" s="161" t="n">
        <v>316584</v>
      </c>
      <c r="D23" s="191" t="n">
        <f aca="false">C23-C22</f>
        <v>-829</v>
      </c>
      <c r="E23" s="161" t="n">
        <f aca="false">C23-152000</f>
        <v>164584</v>
      </c>
      <c r="F23" s="549" t="n">
        <f aca="false">D23/$D$2</f>
        <v>-417.948071590623</v>
      </c>
      <c r="G23" s="550" t="n">
        <v>151</v>
      </c>
      <c r="H23" s="195" t="n">
        <v>0</v>
      </c>
      <c r="I23" s="194" t="n">
        <f aca="false">G23+H23</f>
        <v>151</v>
      </c>
      <c r="J23" s="111" t="n">
        <f aca="false">IF(L23&gt;0,L23,0)</f>
        <v>0</v>
      </c>
      <c r="K23" s="194" t="n">
        <f aca="false">I23+J23</f>
        <v>151</v>
      </c>
      <c r="L23" s="194" t="n">
        <f aca="false">F23-(I23-AK23)</f>
        <v>-11.4250715906226</v>
      </c>
      <c r="M23" s="551" t="n">
        <v>214</v>
      </c>
      <c r="N23" s="171" t="n">
        <f aca="false">1/$D$2*1.03</f>
        <v>0.519284093773632</v>
      </c>
      <c r="O23" s="194" t="n">
        <f aca="false">65.1*1.05</f>
        <v>68.355</v>
      </c>
      <c r="P23" s="171" t="n">
        <v>0</v>
      </c>
      <c r="Q23" s="346" t="n">
        <f aca="false">1742400/325851/1.9835*1.02</f>
        <v>2.74977254357992</v>
      </c>
      <c r="R23" s="139" t="n">
        <f aca="false">IF(((5.5*1.04)-T23)&gt;=4.2,4.2,(5.5*1.04)-T23)</f>
        <v>4.2</v>
      </c>
      <c r="S23" s="139" t="n">
        <f aca="false">IF(((5.5*1.04)-T23)&gt;=4.2,((5.5*1.04)-T23)-4.2,0)</f>
        <v>0.34076272</v>
      </c>
      <c r="T23" s="139" t="n">
        <f aca="false">(1.0697*1.06)*1.04</f>
        <v>1.17923728</v>
      </c>
      <c r="U23" s="365" t="n">
        <v>0</v>
      </c>
      <c r="V23" s="194" t="n">
        <v>102</v>
      </c>
      <c r="W23" s="550" t="n">
        <v>63</v>
      </c>
      <c r="X23" s="347" t="n">
        <f aca="false">M23-N23-O23-P23-Q23-R23-S23-T23-U23+V23+W23-AT23+AR23</f>
        <v>321.890991143939</v>
      </c>
      <c r="Y23" s="347" t="n">
        <f aca="false">X23-AO23</f>
        <v>321.890991143939</v>
      </c>
      <c r="Z23" s="114" t="n">
        <f aca="false">Z22+AP23</f>
        <v>18884.3285275518</v>
      </c>
      <c r="AA23" s="143" t="n">
        <f aca="false">(-AP23)</f>
        <v>179.540763687519</v>
      </c>
      <c r="AB23" s="442"/>
      <c r="AC23" s="442" t="n">
        <f aca="false">AC22-(AQ22/1.9835)+AS23</f>
        <v>1118.40653218155</v>
      </c>
      <c r="AD23" s="450" t="n">
        <f aca="false">AD22</f>
        <v>2618.93636501134</v>
      </c>
      <c r="AE23" s="550" t="n">
        <v>104</v>
      </c>
      <c r="AF23" s="261" t="n">
        <v>1.7</v>
      </c>
      <c r="AG23" s="262" t="n">
        <v>1.3</v>
      </c>
      <c r="AH23" s="194" t="n">
        <v>75.5</v>
      </c>
      <c r="AI23" s="161" t="n">
        <f aca="false">AI22-AH23</f>
        <v>9590.15787748927</v>
      </c>
      <c r="AJ23" s="161"/>
      <c r="AK23" s="11" t="n">
        <f aca="false">N23+O23+P23+Q23+R23+S23+T23+U23+X23+AE23+AH23-AR23</f>
        <v>557.523</v>
      </c>
      <c r="AL23" s="194" t="n">
        <f aca="false">IF(L23&lt;0,L23*-1,0)</f>
        <v>11.4250715906226</v>
      </c>
      <c r="AM23" s="194" t="n">
        <f aca="false">AK23+AL23</f>
        <v>568.948071590623</v>
      </c>
      <c r="AN23" s="230"/>
      <c r="AO23" s="555"/>
      <c r="AP23" s="103" t="n">
        <f aca="false">I23-Q23-R23-X23-AF23</f>
        <v>-179.540763687519</v>
      </c>
      <c r="AQ23" s="171" t="n">
        <f aca="false">60.598*(Z23*1.9835+AC23*1.9835)/E23</f>
        <v>14.6080506221958</v>
      </c>
      <c r="AR23" s="171" t="n">
        <f aca="false">1304.297/$D$2/31</f>
        <v>21.2120477812924</v>
      </c>
      <c r="AS23" s="158" t="n">
        <f aca="false">BA23</f>
        <v>9.18</v>
      </c>
      <c r="AT23" s="5" t="n">
        <v>0.977</v>
      </c>
      <c r="AU23" s="4"/>
      <c r="AV23" s="552" t="n">
        <v>0</v>
      </c>
      <c r="AW23" s="556" t="n">
        <v>87</v>
      </c>
      <c r="AX23" s="191" t="n">
        <v>53</v>
      </c>
      <c r="AY23" s="149"/>
      <c r="AZ23" s="263" t="n">
        <f aca="false">SUM(N23,P23:U23)</f>
        <v>8.98905663735355</v>
      </c>
      <c r="BA23" s="554" t="n">
        <v>9.18</v>
      </c>
      <c r="BB23" s="471" t="n">
        <v>22777</v>
      </c>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row>
    <row r="24" customFormat="false" ht="12.95" hidden="false" customHeight="true" outlineLevel="0" collapsed="false">
      <c r="A24" s="192" t="n">
        <f aca="false">A23+1</f>
        <v>10</v>
      </c>
      <c r="B24" s="318" t="n">
        <v>6908.39</v>
      </c>
      <c r="C24" s="161" t="n">
        <v>315596</v>
      </c>
      <c r="D24" s="191" t="n">
        <f aca="false">C24-C23</f>
        <v>-988</v>
      </c>
      <c r="E24" s="161" t="n">
        <f aca="false">C24-152000</f>
        <v>163596</v>
      </c>
      <c r="F24" s="549" t="n">
        <f aca="false">D24/$D$2</f>
        <v>-498.109402571213</v>
      </c>
      <c r="G24" s="550" t="n">
        <v>137</v>
      </c>
      <c r="H24" s="195" t="n">
        <v>0</v>
      </c>
      <c r="I24" s="194" t="n">
        <f aca="false">G24+H24</f>
        <v>137</v>
      </c>
      <c r="J24" s="111" t="n">
        <f aca="false">IF(L24&gt;0,L24,0)</f>
        <v>0</v>
      </c>
      <c r="K24" s="194" t="n">
        <f aca="false">I24+J24</f>
        <v>137</v>
      </c>
      <c r="L24" s="194" t="n">
        <f aca="false">F24-(I24-AK24)</f>
        <v>-33.2894025712125</v>
      </c>
      <c r="M24" s="551" t="n">
        <v>218</v>
      </c>
      <c r="N24" s="171" t="n">
        <f aca="false">1/$D$2*1.03</f>
        <v>0.519284093773632</v>
      </c>
      <c r="O24" s="194" t="n">
        <f aca="false">67.5*1.05</f>
        <v>70.875</v>
      </c>
      <c r="P24" s="171" t="n">
        <v>0</v>
      </c>
      <c r="Q24" s="346" t="n">
        <f aca="false">1690500/325851/1.9835*1.02</f>
        <v>2.66786643992301</v>
      </c>
      <c r="R24" s="139" t="n">
        <f aca="false">IF(((5.4*1.04)-T24)&gt;=4.2,4.2,(5.4*1.04)-T24)</f>
        <v>4.2</v>
      </c>
      <c r="S24" s="139" t="n">
        <f aca="false">IF(((5.4*1.04)-T24)&gt;=4.2,((5.4*1.04)-T24)-4.2,0)</f>
        <v>0.236762720000001</v>
      </c>
      <c r="T24" s="139" t="n">
        <f aca="false">(1.0697*1.06)*1.04</f>
        <v>1.17923728</v>
      </c>
      <c r="U24" s="365" t="n">
        <v>0</v>
      </c>
      <c r="V24" s="194" t="n">
        <v>105</v>
      </c>
      <c r="W24" s="550" t="n">
        <v>62.3</v>
      </c>
      <c r="X24" s="347" t="n">
        <f aca="false">M24-N24-O24-P24-Q24-R24-S24-T24-U24+V24+W24-AT24+AR24</f>
        <v>325.853897247596</v>
      </c>
      <c r="Y24" s="347" t="n">
        <f aca="false">X24-AO24</f>
        <v>325.853897247596</v>
      </c>
      <c r="Z24" s="114" t="n">
        <f aca="false">Z23+AP24</f>
        <v>18686.9067638643</v>
      </c>
      <c r="AA24" s="143" t="n">
        <f aca="false">(-AP24)</f>
        <v>197.421763687519</v>
      </c>
      <c r="AB24" s="442"/>
      <c r="AC24" s="442" t="n">
        <f aca="false">AC23-(AQ23/1.9835)+AS24</f>
        <v>1120.22174739597</v>
      </c>
      <c r="AD24" s="450" t="n">
        <f aca="false">AD23</f>
        <v>2618.93636501134</v>
      </c>
      <c r="AE24" s="550" t="n">
        <v>142</v>
      </c>
      <c r="AF24" s="261" t="n">
        <v>1.7</v>
      </c>
      <c r="AG24" s="262" t="n">
        <v>1.3</v>
      </c>
      <c r="AH24" s="194" t="n">
        <v>75.5</v>
      </c>
      <c r="AI24" s="161" t="n">
        <f aca="false">AI23-AH24</f>
        <v>9514.65787748927</v>
      </c>
      <c r="AJ24" s="161"/>
      <c r="AK24" s="11" t="n">
        <f aca="false">N24+O24+P24+Q24+R24+S24+T24+U24+X24+AE24+AH24-AR24</f>
        <v>601.82</v>
      </c>
      <c r="AL24" s="194" t="n">
        <f aca="false">IF(L24&lt;0,L24*-1,0)</f>
        <v>33.2894025712125</v>
      </c>
      <c r="AM24" s="194" t="n">
        <f aca="false">AK24+AL24</f>
        <v>635.109402571213</v>
      </c>
      <c r="AN24" s="230"/>
      <c r="AO24" s="555"/>
      <c r="AP24" s="103" t="n">
        <f aca="false">I24-Q24-R24-X24-AF24</f>
        <v>-197.421763687519</v>
      </c>
      <c r="AQ24" s="171" t="n">
        <f aca="false">60.125*(Z24*1.9835+AC24*1.9835)/E24</f>
        <v>14.4389672977967</v>
      </c>
      <c r="AR24" s="171" t="n">
        <f aca="false">1304.297/$D$2/31</f>
        <v>21.2120477812924</v>
      </c>
      <c r="AS24" s="158" t="n">
        <f aca="false">BA24</f>
        <v>9.18</v>
      </c>
      <c r="AT24" s="5" t="n">
        <v>0.98</v>
      </c>
      <c r="AU24" s="4"/>
      <c r="AV24" s="552" t="n">
        <v>0</v>
      </c>
      <c r="AW24" s="553" t="n">
        <v>88</v>
      </c>
      <c r="AX24" s="191" t="n">
        <v>54</v>
      </c>
      <c r="AY24" s="149"/>
      <c r="AZ24" s="263" t="n">
        <f aca="false">SUM(N24,P24:U24)</f>
        <v>8.80315053369664</v>
      </c>
      <c r="BA24" s="554" t="n">
        <v>9.18</v>
      </c>
      <c r="BB24" s="471" t="n">
        <v>22770</v>
      </c>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row>
    <row r="25" customFormat="false" ht="12.95" hidden="false" customHeight="true" outlineLevel="0" collapsed="false">
      <c r="A25" s="192" t="n">
        <v>11</v>
      </c>
      <c r="B25" s="318" t="n">
        <v>6908.18</v>
      </c>
      <c r="C25" s="161" t="n">
        <v>314767</v>
      </c>
      <c r="D25" s="191" t="n">
        <f aca="false">C25-C24</f>
        <v>-829</v>
      </c>
      <c r="E25" s="161" t="n">
        <f aca="false">C25-152000</f>
        <v>162767</v>
      </c>
      <c r="F25" s="549" t="n">
        <f aca="false">D25/$D$2</f>
        <v>-417.948071590623</v>
      </c>
      <c r="G25" s="550" t="n">
        <v>135</v>
      </c>
      <c r="H25" s="195" t="n">
        <v>0</v>
      </c>
      <c r="I25" s="194" t="n">
        <f aca="false">G25+H25</f>
        <v>135</v>
      </c>
      <c r="J25" s="111" t="n">
        <f aca="false">IF(L25&gt;0,L25,0)</f>
        <v>38.6689284093774</v>
      </c>
      <c r="K25" s="194" t="n">
        <f aca="false">I25+J25</f>
        <v>173.668928409377</v>
      </c>
      <c r="L25" s="194" t="n">
        <f aca="false">F25-(I25-AK25)</f>
        <v>38.6689284093774</v>
      </c>
      <c r="M25" s="551" t="n">
        <v>212</v>
      </c>
      <c r="N25" s="171" t="n">
        <f aca="false">1/$D$2*1.03</f>
        <v>0.519284093773632</v>
      </c>
      <c r="O25" s="194" t="n">
        <f aca="false">62.7*1.05</f>
        <v>65.835</v>
      </c>
      <c r="P25" s="171" t="n">
        <v>0</v>
      </c>
      <c r="Q25" s="346" t="n">
        <f aca="false">1443900/325851/1.9835*1.02</f>
        <v>2.27869408613122</v>
      </c>
      <c r="R25" s="139" t="n">
        <f aca="false">IF(((6.9*1.04)-T25)&gt;=4.2,4.2,(6.9*1.04)-T25)</f>
        <v>4.2</v>
      </c>
      <c r="S25" s="139" t="n">
        <f aca="false">IF(((6.9*1.04)-T25)&gt;=4.2,((6.9*1.04)-T25)-4.2,0)</f>
        <v>1.79676272</v>
      </c>
      <c r="T25" s="139" t="n">
        <f aca="false">(1.0697*1.06)*1.04</f>
        <v>1.17923728</v>
      </c>
      <c r="U25" s="365" t="n">
        <v>0</v>
      </c>
      <c r="V25" s="194" t="n">
        <v>105</v>
      </c>
      <c r="W25" s="550" t="n">
        <v>62</v>
      </c>
      <c r="X25" s="347" t="n">
        <f aca="false">M25-N25-O25-P25-Q25-R25-S25-T25-U25+V25+W25-AT25+AR25</f>
        <v>323.520069601388</v>
      </c>
      <c r="Y25" s="347" t="n">
        <f aca="false">X25-AO25</f>
        <v>323.520069601388</v>
      </c>
      <c r="Z25" s="114" t="n">
        <f aca="false">Z24+AP25</f>
        <v>18490.2080001768</v>
      </c>
      <c r="AA25" s="143" t="n">
        <f aca="false">(-AP25)</f>
        <v>196.698763687519</v>
      </c>
      <c r="AB25" s="442"/>
      <c r="AC25" s="442" t="n">
        <f aca="false">AC24-(AQ24/1.9835)+AS25</f>
        <v>1122.12220754329</v>
      </c>
      <c r="AD25" s="450" t="n">
        <f aca="false">AD24</f>
        <v>2618.93636501134</v>
      </c>
      <c r="AE25" s="550" t="n">
        <v>138</v>
      </c>
      <c r="AF25" s="261" t="n">
        <v>1.7</v>
      </c>
      <c r="AG25" s="262" t="n">
        <v>1.3</v>
      </c>
      <c r="AH25" s="194" t="n">
        <v>75.5</v>
      </c>
      <c r="AI25" s="161" t="n">
        <f aca="false">AI24-AH25</f>
        <v>9439.15787748927</v>
      </c>
      <c r="AJ25" s="161"/>
      <c r="AK25" s="11" t="n">
        <f aca="false">N25+O25+P25+Q25+R25+S25+T25+U25+X25+AE25+AH25-AR25</f>
        <v>591.617</v>
      </c>
      <c r="AL25" s="194" t="n">
        <f aca="false">IF(L25&lt;0,L25*-1,0)</f>
        <v>0</v>
      </c>
      <c r="AM25" s="194" t="n">
        <f aca="false">AK25+AL25</f>
        <v>591.617</v>
      </c>
      <c r="AN25" s="230"/>
      <c r="AO25" s="555"/>
      <c r="AP25" s="103" t="n">
        <f aca="false">I25-Q25-R25-X25-AF25</f>
        <v>-196.698763687519</v>
      </c>
      <c r="AQ25" s="171" t="n">
        <f aca="false">16.752*(Z25*1.9835+AC25*1.9835)/E25</f>
        <v>4.00370164905293</v>
      </c>
      <c r="AR25" s="171" t="n">
        <f aca="false">1304.297/$D$2/31</f>
        <v>21.2120477812924</v>
      </c>
      <c r="AS25" s="158" t="n">
        <f aca="false">BA25</f>
        <v>9.18</v>
      </c>
      <c r="AT25" s="5" t="n">
        <v>0.883</v>
      </c>
      <c r="AU25" s="4"/>
      <c r="AV25" s="552" t="n">
        <v>0.17</v>
      </c>
      <c r="AW25" s="553" t="n">
        <v>87</v>
      </c>
      <c r="AX25" s="191" t="n">
        <v>56</v>
      </c>
      <c r="AY25" s="149"/>
      <c r="AZ25" s="263" t="n">
        <f aca="false">SUM(N25,P25:U25)</f>
        <v>9.97397817990485</v>
      </c>
      <c r="BA25" s="554" t="n">
        <v>9.18</v>
      </c>
      <c r="BB25" s="471" t="n">
        <v>22748</v>
      </c>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12.95" hidden="false" customHeight="true" outlineLevel="0" collapsed="false">
      <c r="A26" s="192" t="n">
        <v>12</v>
      </c>
      <c r="B26" s="318" t="n">
        <v>6907.94</v>
      </c>
      <c r="C26" s="161" t="n">
        <v>313821</v>
      </c>
      <c r="D26" s="191" t="n">
        <f aca="false">C26-C25</f>
        <v>-946</v>
      </c>
      <c r="E26" s="161" t="n">
        <f aca="false">C26-152000</f>
        <v>161821</v>
      </c>
      <c r="F26" s="549" t="n">
        <f aca="false">D26/$D$2</f>
        <v>-476.934711368793</v>
      </c>
      <c r="G26" s="550" t="n">
        <v>154</v>
      </c>
      <c r="H26" s="195" t="n">
        <v>0</v>
      </c>
      <c r="I26" s="194" t="n">
        <f aca="false">G26+H26</f>
        <v>154</v>
      </c>
      <c r="J26" s="111" t="n">
        <f aca="false">IF(L26&gt;0,L26,0)</f>
        <v>0</v>
      </c>
      <c r="K26" s="194" t="n">
        <f aca="false">I26+J26</f>
        <v>154</v>
      </c>
      <c r="L26" s="194" t="n">
        <f aca="false">F26-(I26-AK26)</f>
        <v>-27.6977113687925</v>
      </c>
      <c r="M26" s="551" t="n">
        <v>205</v>
      </c>
      <c r="N26" s="171" t="n">
        <f aca="false">1/$D$2*1.03</f>
        <v>0.519284093773632</v>
      </c>
      <c r="O26" s="194" t="n">
        <f aca="false">55.9*1.05</f>
        <v>58.695</v>
      </c>
      <c r="P26" s="171" t="n">
        <v>0</v>
      </c>
      <c r="Q26" s="346" t="n">
        <f aca="false">1531700/325851/1.9835*1.02</f>
        <v>2.41725585686487</v>
      </c>
      <c r="R26" s="139" t="n">
        <f aca="false">IF(((6*1.04)-T26)&gt;=4.2,4.2,(6*1.04)-T26)</f>
        <v>4.2</v>
      </c>
      <c r="S26" s="139" t="n">
        <f aca="false">IF(((6*1.04)-T26)&gt;=4.2,((6*1.04)-T26)-4.2,0)</f>
        <v>0.860762719999999</v>
      </c>
      <c r="T26" s="139" t="n">
        <f aca="false">(1.0697*1.06)*1.04</f>
        <v>1.17923728</v>
      </c>
      <c r="U26" s="365" t="n">
        <v>0</v>
      </c>
      <c r="V26" s="194" t="n">
        <v>104</v>
      </c>
      <c r="W26" s="550" t="n">
        <v>61.6</v>
      </c>
      <c r="X26" s="347" t="n">
        <f aca="false">M26-N26-O26-P26-Q26-R26-S26-T26-U26+V26+W26-AT26+AR26</f>
        <v>323.077507830654</v>
      </c>
      <c r="Y26" s="347" t="n">
        <f aca="false">X26-AO26</f>
        <v>323.077507830654</v>
      </c>
      <c r="Z26" s="114" t="n">
        <f aca="false">Z25+AP26</f>
        <v>18312.8132364893</v>
      </c>
      <c r="AA26" s="143" t="n">
        <f aca="false">(-AP26)</f>
        <v>177.394763687519</v>
      </c>
      <c r="AB26" s="442"/>
      <c r="AC26" s="442" t="n">
        <f aca="false">AC25-(AQ25/1.9835)+AS26</f>
        <v>1129.28370406507</v>
      </c>
      <c r="AD26" s="450" t="n">
        <f aca="false">AD25</f>
        <v>2618.93636501134</v>
      </c>
      <c r="AE26" s="550" t="n">
        <v>158</v>
      </c>
      <c r="AF26" s="261" t="n">
        <v>1.7</v>
      </c>
      <c r="AG26" s="262" t="n">
        <v>1.3</v>
      </c>
      <c r="AH26" s="194" t="n">
        <v>75.5</v>
      </c>
      <c r="AI26" s="161" t="n">
        <f aca="false">AI25-AH26</f>
        <v>9363.65787748927</v>
      </c>
      <c r="AJ26" s="161"/>
      <c r="AK26" s="11" t="n">
        <f aca="false">N26+O26+P26+Q26+R26+S26+T26+U26+X26+AE26+AH26-AR26</f>
        <v>603.237</v>
      </c>
      <c r="AL26" s="194" t="n">
        <f aca="false">IF(L26&lt;0,L26*-1,0)</f>
        <v>27.6977113687925</v>
      </c>
      <c r="AM26" s="194" t="n">
        <f aca="false">AK26+AL26</f>
        <v>630.934711368792</v>
      </c>
      <c r="AN26" s="230"/>
      <c r="AO26" s="555"/>
      <c r="AP26" s="103" t="n">
        <f aca="false">I26-Q26-R26-X26-AF26</f>
        <v>-177.394763687519</v>
      </c>
      <c r="AQ26" s="171" t="n">
        <f aca="false">37.406*(Z26*1.9835+AC26*1.9835)/E26</f>
        <v>8.91418612866771</v>
      </c>
      <c r="AR26" s="171" t="n">
        <f aca="false">1304.297/$D$2/31</f>
        <v>21.2120477812924</v>
      </c>
      <c r="AS26" s="158" t="n">
        <f aca="false">BA26</f>
        <v>9.18</v>
      </c>
      <c r="AT26" s="5" t="n">
        <v>0.863</v>
      </c>
      <c r="AU26" s="4"/>
      <c r="AV26" s="552" t="n">
        <v>0.01</v>
      </c>
      <c r="AW26" s="553" t="n">
        <v>85</v>
      </c>
      <c r="AX26" s="191" t="n">
        <v>56</v>
      </c>
      <c r="AY26" s="149"/>
      <c r="AZ26" s="263" t="n">
        <f aca="false">SUM(N26,P26:U26)</f>
        <v>9.17653995063851</v>
      </c>
      <c r="BA26" s="554" t="n">
        <v>9.18</v>
      </c>
      <c r="BB26" s="471" t="n">
        <v>22739</v>
      </c>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2.95" hidden="false" customHeight="true" outlineLevel="0" collapsed="false">
      <c r="A27" s="192" t="n">
        <v>13</v>
      </c>
      <c r="B27" s="318" t="n">
        <v>6907.7</v>
      </c>
      <c r="C27" s="161" t="n">
        <v>312880</v>
      </c>
      <c r="D27" s="191" t="n">
        <f aca="false">C27-C26</f>
        <v>-941</v>
      </c>
      <c r="E27" s="161" t="n">
        <f aca="false">C27-152000</f>
        <v>160880</v>
      </c>
      <c r="F27" s="549" t="n">
        <f aca="false">D27/$D$2</f>
        <v>-474.413914797076</v>
      </c>
      <c r="G27" s="550" t="n">
        <v>149</v>
      </c>
      <c r="H27" s="195" t="n">
        <v>0</v>
      </c>
      <c r="I27" s="194" t="n">
        <f aca="false">G27+H27</f>
        <v>149</v>
      </c>
      <c r="J27" s="111" t="n">
        <f aca="false">IF(L27&gt;0,L27,0)</f>
        <v>0</v>
      </c>
      <c r="K27" s="194" t="n">
        <f aca="false">I27+J27</f>
        <v>149</v>
      </c>
      <c r="L27" s="194" t="n">
        <f aca="false">F27-(I27-AK27)</f>
        <v>-10.3459147970758</v>
      </c>
      <c r="M27" s="551" t="n">
        <v>226</v>
      </c>
      <c r="N27" s="171" t="n">
        <f aca="false">1/$D$2*1.03</f>
        <v>0.519284093773632</v>
      </c>
      <c r="O27" s="194" t="n">
        <f aca="false">66.7*1.05</f>
        <v>70.035</v>
      </c>
      <c r="P27" s="171" t="n">
        <v>0</v>
      </c>
      <c r="Q27" s="346" t="n">
        <f aca="false">1574700/325851/1.9835*1.02</f>
        <v>2.48511640517407</v>
      </c>
      <c r="R27" s="139" t="n">
        <f aca="false">IF(((6*1.04)-T27)&gt;=4.2,4.2,(6*1.04)-T27)</f>
        <v>4.2</v>
      </c>
      <c r="S27" s="139" t="n">
        <f aca="false">IF(((6*1.04)-T27)&gt;=4.2,((6*1.04)-T27)-4.2,0)</f>
        <v>0.860762719999999</v>
      </c>
      <c r="T27" s="139" t="n">
        <f aca="false">(1.0697*1.06)*1.04</f>
        <v>1.17923728</v>
      </c>
      <c r="U27" s="365" t="n">
        <v>0</v>
      </c>
      <c r="V27" s="194" t="n">
        <v>104</v>
      </c>
      <c r="W27" s="550" t="n">
        <v>61.6</v>
      </c>
      <c r="X27" s="347" t="n">
        <f aca="false">M27-N27-O27-P27-Q27-R27-S27-T27-U27+V27+W27-AT27+AR27</f>
        <v>332.700647282345</v>
      </c>
      <c r="Y27" s="347" t="n">
        <f aca="false">X27-AO27</f>
        <v>332.700647282345</v>
      </c>
      <c r="Z27" s="114" t="n">
        <f aca="false">Z26+AP27</f>
        <v>18120.7274728018</v>
      </c>
      <c r="AA27" s="143" t="n">
        <f aca="false">(-AP27)</f>
        <v>192.085763687519</v>
      </c>
      <c r="AB27" s="442"/>
      <c r="AC27" s="442" t="n">
        <f aca="false">AC26-(AQ26/1.9835)+AS27</f>
        <v>1133.96953409851</v>
      </c>
      <c r="AD27" s="450" t="n">
        <f aca="false">AD26</f>
        <v>2618.93636501134</v>
      </c>
      <c r="AE27" s="550" t="n">
        <v>147</v>
      </c>
      <c r="AF27" s="261" t="n">
        <v>1.7</v>
      </c>
      <c r="AG27" s="262" t="n">
        <v>1.3</v>
      </c>
      <c r="AH27" s="194" t="n">
        <v>75.3</v>
      </c>
      <c r="AI27" s="161" t="n">
        <f aca="false">AI26-AH27</f>
        <v>9288.35787748927</v>
      </c>
      <c r="AJ27" s="161"/>
      <c r="AK27" s="11" t="n">
        <f aca="false">N27+O27+P27+Q27+R27+S27+T27+U27+X27+AE27+AH27-AR27</f>
        <v>613.068</v>
      </c>
      <c r="AL27" s="194" t="n">
        <f aca="false">IF(L27&lt;0,L27*-1,0)</f>
        <v>10.3459147970758</v>
      </c>
      <c r="AM27" s="194" t="n">
        <f aca="false">AK27+AL27</f>
        <v>623.413914797076</v>
      </c>
      <c r="AN27" s="230"/>
      <c r="AO27" s="555"/>
      <c r="AP27" s="103" t="n">
        <f aca="false">I27-Q27-R27-X27-AF27</f>
        <v>-192.085763687519</v>
      </c>
      <c r="AQ27" s="171" t="n">
        <f aca="false">73.894*(Z27*1.9835+AC27*1.9835)/E27</f>
        <v>17.5418750166299</v>
      </c>
      <c r="AR27" s="171" t="n">
        <f aca="false">1304.297/$D$2/31</f>
        <v>21.2120477812924</v>
      </c>
      <c r="AS27" s="158" t="n">
        <f aca="false">BA27</f>
        <v>9.18</v>
      </c>
      <c r="AT27" s="5" t="n">
        <v>0.832</v>
      </c>
      <c r="AU27" s="4"/>
      <c r="AV27" s="552" t="n">
        <v>0</v>
      </c>
      <c r="AW27" s="553" t="n">
        <v>90</v>
      </c>
      <c r="AX27" s="191" t="n">
        <v>57</v>
      </c>
      <c r="AY27" s="149"/>
      <c r="AZ27" s="263" t="n">
        <f aca="false">SUM(N27,P27:U27)</f>
        <v>9.2444004989477</v>
      </c>
      <c r="BA27" s="554" t="n">
        <v>9.18</v>
      </c>
      <c r="BB27" s="471" t="n">
        <v>22718</v>
      </c>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2.95" hidden="false" customHeight="true" outlineLevel="0" collapsed="false">
      <c r="A28" s="192" t="n">
        <v>14</v>
      </c>
      <c r="B28" s="318" t="n">
        <v>6907.44</v>
      </c>
      <c r="C28" s="161" t="n">
        <v>311862</v>
      </c>
      <c r="D28" s="191" t="n">
        <f aca="false">C28-C27</f>
        <v>-1018</v>
      </c>
      <c r="E28" s="161" t="n">
        <f aca="false">C28-152000</f>
        <v>159862</v>
      </c>
      <c r="F28" s="549" t="n">
        <f aca="false">D28/$D$2</f>
        <v>-513.234182001513</v>
      </c>
      <c r="G28" s="550" t="n">
        <v>134</v>
      </c>
      <c r="H28" s="195" t="n">
        <v>0</v>
      </c>
      <c r="I28" s="194" t="n">
        <f aca="false">G28+H28</f>
        <v>134</v>
      </c>
      <c r="J28" s="111" t="n">
        <f aca="false">IF(L28&gt;0,L28,0)</f>
        <v>0</v>
      </c>
      <c r="K28" s="194" t="n">
        <f aca="false">I28+J28</f>
        <v>134</v>
      </c>
      <c r="L28" s="194" t="n">
        <f aca="false">F28-(I28-AK28)</f>
        <v>-18.5081820015125</v>
      </c>
      <c r="M28" s="551" t="n">
        <v>216</v>
      </c>
      <c r="N28" s="171" t="n">
        <f aca="false">1/$D$2*1.03</f>
        <v>0.519284093773632</v>
      </c>
      <c r="O28" s="194" t="n">
        <f aca="false">66.1*1.05</f>
        <v>69.405</v>
      </c>
      <c r="P28" s="171" t="n">
        <v>0</v>
      </c>
      <c r="Q28" s="346" t="n">
        <f aca="false">1914000/325851/1.9835*1.02</f>
        <v>3.02058347590218</v>
      </c>
      <c r="R28" s="139" t="n">
        <f aca="false">IF(((5.1*1.04)-T28)&gt;=4.2,4.2,(5.1*1.04)-T28)</f>
        <v>3.97428512</v>
      </c>
      <c r="S28" s="139" t="n">
        <f aca="false">IF(((5.1*1.04)-T28)&gt;=4.2,((5.1*1.04)-T28)-4.2,0)</f>
        <v>0</v>
      </c>
      <c r="T28" s="139" t="n">
        <f aca="false">(1.2062*1.06)*1.04</f>
        <v>1.32971488</v>
      </c>
      <c r="U28" s="365" t="n">
        <v>0</v>
      </c>
      <c r="V28" s="194" t="n">
        <v>103</v>
      </c>
      <c r="W28" s="550" t="n">
        <v>61.5</v>
      </c>
      <c r="X28" s="347" t="n">
        <f aca="false">M28-N28-O28-P28-Q28-R28-S28-T28-U28+V28+W28-AT28+AR28</f>
        <v>322.689180211617</v>
      </c>
      <c r="Y28" s="347" t="n">
        <f aca="false">X28-AO28</f>
        <v>322.689180211617</v>
      </c>
      <c r="Z28" s="114" t="n">
        <f aca="false">Z27+AP28</f>
        <v>17923.3434239942</v>
      </c>
      <c r="AA28" s="143" t="n">
        <f aca="false">(-AP28)</f>
        <v>197.384048807519</v>
      </c>
      <c r="AB28" s="442"/>
      <c r="AC28" s="442" t="n">
        <f aca="false">AC27-(AQ27/1.9835)+AS28</f>
        <v>1134.30563441783</v>
      </c>
      <c r="AD28" s="450" t="n">
        <f aca="false">AD27</f>
        <v>2618.93636501134</v>
      </c>
      <c r="AE28" s="550" t="n">
        <v>174</v>
      </c>
      <c r="AF28" s="261" t="n">
        <v>1.7</v>
      </c>
      <c r="AG28" s="262" t="n">
        <v>1.3</v>
      </c>
      <c r="AH28" s="194" t="n">
        <v>75</v>
      </c>
      <c r="AI28" s="161" t="n">
        <f aca="false">AI27-AH28</f>
        <v>9213.35787748927</v>
      </c>
      <c r="AJ28" s="161"/>
      <c r="AK28" s="11" t="n">
        <f aca="false">N28+O28+P28+Q28+R28+S28+T28+U28+X28+AE28+AH28-AR28</f>
        <v>628.726</v>
      </c>
      <c r="AL28" s="194" t="n">
        <f aca="false">IF(L28&lt;0,L28*-1,0)</f>
        <v>18.5081820015125</v>
      </c>
      <c r="AM28" s="194" t="n">
        <f aca="false">AK28+AL28</f>
        <v>647.234182001513</v>
      </c>
      <c r="AN28" s="230"/>
      <c r="AO28" s="555"/>
      <c r="AP28" s="103" t="n">
        <f aca="false">I28-Q28-R28-X28-AF28</f>
        <v>-197.384048807519</v>
      </c>
      <c r="AQ28" s="171" t="n">
        <f aca="false">69.423*(Z28*1.9835+AC28*1.9835)/E28</f>
        <v>16.4157097674849</v>
      </c>
      <c r="AR28" s="171" t="n">
        <f aca="false">1304.297/$D$2/31</f>
        <v>21.2120477812924</v>
      </c>
      <c r="AS28" s="158" t="n">
        <f aca="false">BA28</f>
        <v>9.18</v>
      </c>
      <c r="AT28" s="5" t="n">
        <v>0.774</v>
      </c>
      <c r="AU28" s="4"/>
      <c r="AV28" s="552" t="n">
        <v>0</v>
      </c>
      <c r="AW28" s="553" t="n">
        <v>93</v>
      </c>
      <c r="AX28" s="191" t="n">
        <v>57</v>
      </c>
      <c r="AY28" s="149"/>
      <c r="AZ28" s="263" t="n">
        <f aca="false">SUM(N28,P28:U28)</f>
        <v>8.84386756967581</v>
      </c>
      <c r="BA28" s="554" t="n">
        <v>9.18</v>
      </c>
      <c r="BB28" s="471" t="n">
        <v>22695</v>
      </c>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2.95" hidden="false" customHeight="true" outlineLevel="0" collapsed="false">
      <c r="A29" s="192" t="n">
        <v>15</v>
      </c>
      <c r="B29" s="318" t="n">
        <v>6907.16</v>
      </c>
      <c r="C29" s="161" t="n">
        <v>310765</v>
      </c>
      <c r="D29" s="191" t="n">
        <f aca="false">C29-C28</f>
        <v>-1097</v>
      </c>
      <c r="E29" s="161" t="n">
        <f aca="false">C29-152000</f>
        <v>158765</v>
      </c>
      <c r="F29" s="549" t="n">
        <f aca="false">D29/$D$2</f>
        <v>-553.062767834636</v>
      </c>
      <c r="G29" s="550" t="n">
        <v>121</v>
      </c>
      <c r="H29" s="195" t="n">
        <v>0</v>
      </c>
      <c r="I29" s="194" t="n">
        <f aca="false">G29+H29</f>
        <v>121</v>
      </c>
      <c r="J29" s="111" t="n">
        <f aca="false">IF(L29&gt;0,L29,0)</f>
        <v>0</v>
      </c>
      <c r="K29" s="194" t="n">
        <f aca="false">I29+J29</f>
        <v>121</v>
      </c>
      <c r="L29" s="194" t="n">
        <f aca="false">F29-(I29-AK29)</f>
        <v>-50.2587678346357</v>
      </c>
      <c r="M29" s="551" t="n">
        <v>218</v>
      </c>
      <c r="N29" s="171" t="n">
        <f aca="false">1/$D$2*1.03</f>
        <v>0.519284093773632</v>
      </c>
      <c r="O29" s="194" t="n">
        <f aca="false">58.2*1.05</f>
        <v>61.11</v>
      </c>
      <c r="P29" s="171" t="n">
        <v>0</v>
      </c>
      <c r="Q29" s="346" t="n">
        <f aca="false">1834500/325851/1.9835*1.02</f>
        <v>2.89512036914449</v>
      </c>
      <c r="R29" s="139" t="n">
        <f aca="false">IF(((4.5*1.04)-T29)&gt;=4.2,4.2,(4.5*1.04)-T29)</f>
        <v>3.35028512</v>
      </c>
      <c r="S29" s="139" t="n">
        <f aca="false">IF(((4.5*1.04)-T29)&gt;=4.2,((4.5*1.04)-T29)-4.2,0)</f>
        <v>0</v>
      </c>
      <c r="T29" s="139" t="n">
        <f aca="false">(1.2062*1.06)*1.04</f>
        <v>1.32971488</v>
      </c>
      <c r="U29" s="365" t="n">
        <v>0</v>
      </c>
      <c r="V29" s="194" t="n">
        <v>103</v>
      </c>
      <c r="W29" s="550" t="n">
        <v>65.2</v>
      </c>
      <c r="X29" s="347" t="n">
        <f aca="false">M29-N29-O29-P29-Q29-R29-S29-T29-U29+V29+W29-AT29+AR29</f>
        <v>337.411643318374</v>
      </c>
      <c r="Y29" s="347" t="n">
        <f aca="false">X29-AO29</f>
        <v>337.411643318374</v>
      </c>
      <c r="Z29" s="114" t="n">
        <f aca="false">Z28+AP29</f>
        <v>17698.9863751867</v>
      </c>
      <c r="AA29" s="143" t="n">
        <f aca="false">(-AP29)</f>
        <v>224.357048807519</v>
      </c>
      <c r="AB29" s="442"/>
      <c r="AC29" s="442" t="n">
        <f aca="false">AC28-(AQ28/1.9835)+AS29</f>
        <v>1135.20950143699</v>
      </c>
      <c r="AD29" s="450" t="n">
        <f aca="false">AD28</f>
        <v>2618.93636501134</v>
      </c>
      <c r="AE29" s="550" t="n">
        <v>163</v>
      </c>
      <c r="AF29" s="261" t="n">
        <v>1.7</v>
      </c>
      <c r="AG29" s="262" t="n">
        <v>1.3</v>
      </c>
      <c r="AH29" s="194" t="n">
        <v>75.4</v>
      </c>
      <c r="AI29" s="161" t="n">
        <f aca="false">AI28-AH29</f>
        <v>9137.95787748927</v>
      </c>
      <c r="AJ29" s="161"/>
      <c r="AK29" s="11" t="n">
        <f aca="false">N29+O29+P29+Q29+R29+S29+T29+U29+X29+AE29+AH29-AR29</f>
        <v>623.804</v>
      </c>
      <c r="AL29" s="194" t="n">
        <f aca="false">IF(L29&lt;0,L29*-1,0)</f>
        <v>50.2587678346357</v>
      </c>
      <c r="AM29" s="194" t="n">
        <f aca="false">AK29+AL29</f>
        <v>674.062767834636</v>
      </c>
      <c r="AN29" s="230"/>
      <c r="AO29" s="555"/>
      <c r="AP29" s="103" t="n">
        <f aca="false">I29-Q29-R29-X29-AF29</f>
        <v>-224.357048807519</v>
      </c>
      <c r="AQ29" s="171" t="n">
        <f aca="false">65.326*(Z29*1.9835+AC29*1.9835)/E29</f>
        <v>15.3712995651141</v>
      </c>
      <c r="AR29" s="171" t="n">
        <f aca="false">1304.297/$D$2/31</f>
        <v>21.2120477812924</v>
      </c>
      <c r="AS29" s="158" t="n">
        <f aca="false">BA29</f>
        <v>9.18</v>
      </c>
      <c r="AT29" s="5" t="n">
        <v>0.796</v>
      </c>
      <c r="AU29" s="4"/>
      <c r="AV29" s="552" t="n">
        <v>0</v>
      </c>
      <c r="AW29" s="553" t="n">
        <v>93</v>
      </c>
      <c r="AX29" s="191" t="n">
        <v>59</v>
      </c>
      <c r="AY29" s="149"/>
      <c r="AZ29" s="263" t="n">
        <f aca="false">SUM(N29,P29:U29)</f>
        <v>8.09440446291812</v>
      </c>
      <c r="BA29" s="554" t="n">
        <v>9.18</v>
      </c>
      <c r="BB29" s="471" t="n">
        <v>22685</v>
      </c>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2.95" hidden="false" customHeight="true" outlineLevel="0" collapsed="false">
      <c r="A30" s="192" t="n">
        <v>16</v>
      </c>
      <c r="B30" s="318" t="n">
        <v>6906.92</v>
      </c>
      <c r="C30" s="161" t="n">
        <v>309827</v>
      </c>
      <c r="D30" s="191" t="n">
        <f aca="false">C30-C29</f>
        <v>-938</v>
      </c>
      <c r="E30" s="161" t="n">
        <f aca="false">C30-152000</f>
        <v>157827</v>
      </c>
      <c r="F30" s="549" t="n">
        <f aca="false">D30/$D$2</f>
        <v>-472.901436854046</v>
      </c>
      <c r="G30" s="550" t="n">
        <v>118</v>
      </c>
      <c r="H30" s="195" t="n">
        <v>0</v>
      </c>
      <c r="I30" s="194" t="n">
        <f aca="false">G30+H30</f>
        <v>118</v>
      </c>
      <c r="J30" s="111" t="n">
        <f aca="false">IF(L30&gt;0,L30,0)</f>
        <v>0</v>
      </c>
      <c r="K30" s="194" t="n">
        <f aca="false">I30+J30</f>
        <v>118</v>
      </c>
      <c r="L30" s="194" t="n">
        <f aca="false">F30-(I30-AK30)</f>
        <v>-1.77943685404591</v>
      </c>
      <c r="M30" s="551" t="n">
        <v>208</v>
      </c>
      <c r="N30" s="171" t="n">
        <f aca="false">1/$D$2*1.03</f>
        <v>0.519284093773632</v>
      </c>
      <c r="O30" s="194" t="n">
        <f aca="false">55.1*1.05</f>
        <v>57.855</v>
      </c>
      <c r="P30" s="171" t="n">
        <v>0</v>
      </c>
      <c r="Q30" s="346" t="n">
        <f aca="false">2054300/325851/1.9835*1.02</f>
        <v>3.2419982416645</v>
      </c>
      <c r="R30" s="139" t="n">
        <f aca="false">IF(((6.6*1.04)-T30)&gt;=4.2,4.2,(6.6*1.04)-T30)</f>
        <v>4.2</v>
      </c>
      <c r="S30" s="139" t="n">
        <f aca="false">IF(((6.6*1.04)-T30)&gt;=4.2,((6.6*1.04)-T30)-4.2,0)</f>
        <v>1.33428512</v>
      </c>
      <c r="T30" s="139" t="n">
        <f aca="false">(1.2062*1.06)*1.04</f>
        <v>1.32971488</v>
      </c>
      <c r="U30" s="365" t="n">
        <v>0</v>
      </c>
      <c r="V30" s="194" t="n">
        <v>106</v>
      </c>
      <c r="W30" s="550" t="n">
        <v>65.7</v>
      </c>
      <c r="X30" s="347" t="n">
        <f aca="false">M30-N30-O30-P30-Q30-R30-S30-T30-U30+V30+W30-AT30+AR30</f>
        <v>331.553765445854</v>
      </c>
      <c r="Y30" s="347" t="n">
        <f aca="false">X30-AO30</f>
        <v>331.553765445854</v>
      </c>
      <c r="Z30" s="114" t="n">
        <f aca="false">Z29+AP30</f>
        <v>17476.2906114992</v>
      </c>
      <c r="AA30" s="143" t="n">
        <f aca="false">(-AP30)</f>
        <v>222.695763687519</v>
      </c>
      <c r="AB30" s="442"/>
      <c r="AC30" s="442" t="n">
        <f aca="false">AC29-(AQ29/1.9835)+AS30</f>
        <v>1136.63991758768</v>
      </c>
      <c r="AD30" s="450" t="n">
        <f aca="false">AD29</f>
        <v>2618.93636501134</v>
      </c>
      <c r="AE30" s="550" t="n">
        <v>134</v>
      </c>
      <c r="AF30" s="261" t="n">
        <v>1.7</v>
      </c>
      <c r="AG30" s="262" t="n">
        <v>1.3</v>
      </c>
      <c r="AH30" s="194" t="n">
        <v>76.3</v>
      </c>
      <c r="AI30" s="161" t="n">
        <f aca="false">AI29-AH30</f>
        <v>9061.65787748927</v>
      </c>
      <c r="AJ30" s="161"/>
      <c r="AK30" s="11" t="n">
        <f aca="false">N30+O30+P30+Q30+R30+S30+T30+U30+X30+AE30+AH30-AR30</f>
        <v>589.122</v>
      </c>
      <c r="AL30" s="194" t="n">
        <f aca="false">IF(L30&lt;0,L30*-1,0)</f>
        <v>1.77943685404591</v>
      </c>
      <c r="AM30" s="194" t="n">
        <f aca="false">AK30+AL30</f>
        <v>590.901436854046</v>
      </c>
      <c r="AN30" s="230"/>
      <c r="AO30" s="555"/>
      <c r="AP30" s="103" t="n">
        <f aca="false">I30-Q30-R30-X30-AF30</f>
        <v>-222.695763687519</v>
      </c>
      <c r="AQ30" s="171" t="n">
        <f aca="false">57.359*(Z30*1.9835+AC30*1.9835)/E30</f>
        <v>13.4173648968756</v>
      </c>
      <c r="AR30" s="171" t="n">
        <f aca="false">1304.297/$D$2/31</f>
        <v>21.2120477812924</v>
      </c>
      <c r="AS30" s="158" t="n">
        <f aca="false">BA30</f>
        <v>9.18</v>
      </c>
      <c r="AT30" s="5" t="n">
        <v>0.878</v>
      </c>
      <c r="AU30" s="4"/>
      <c r="AV30" s="552" t="n">
        <v>0</v>
      </c>
      <c r="AW30" s="553" t="n">
        <v>93</v>
      </c>
      <c r="AX30" s="191" t="n">
        <v>60</v>
      </c>
      <c r="AY30" s="149"/>
      <c r="AZ30" s="263" t="n">
        <f aca="false">SUM(N30,P30:U30)</f>
        <v>10.6252823354381</v>
      </c>
      <c r="BA30" s="554" t="n">
        <v>9.18</v>
      </c>
      <c r="BB30" s="471" t="n">
        <v>22682</v>
      </c>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row>
    <row r="31" customFormat="false" ht="12.95" hidden="false" customHeight="true" outlineLevel="0" collapsed="false">
      <c r="A31" s="192" t="n">
        <v>17</v>
      </c>
      <c r="B31" s="318" t="n">
        <v>6906.64</v>
      </c>
      <c r="C31" s="161" t="n">
        <v>308739</v>
      </c>
      <c r="D31" s="191" t="n">
        <f aca="false">C31-C30</f>
        <v>-1088</v>
      </c>
      <c r="E31" s="161" t="n">
        <f aca="false">C31-152000</f>
        <v>156739</v>
      </c>
      <c r="F31" s="549" t="n">
        <f aca="false">D31/$D$2</f>
        <v>-548.525334005546</v>
      </c>
      <c r="G31" s="550" t="n">
        <v>121</v>
      </c>
      <c r="H31" s="195" t="n">
        <v>0</v>
      </c>
      <c r="I31" s="194" t="n">
        <f aca="false">G31+H31</f>
        <v>121</v>
      </c>
      <c r="J31" s="111" t="n">
        <f aca="false">IF(L31&gt;0,L31,0)</f>
        <v>0</v>
      </c>
      <c r="K31" s="194" t="n">
        <f aca="false">I31+J31</f>
        <v>121</v>
      </c>
      <c r="L31" s="194" t="n">
        <f aca="false">F31-(I31-AK31)</f>
        <v>-68.5293340055456</v>
      </c>
      <c r="M31" s="551" t="n">
        <v>203</v>
      </c>
      <c r="N31" s="171" t="n">
        <f aca="false">1/$D$2*1.03</f>
        <v>0.519284093773632</v>
      </c>
      <c r="O31" s="194" t="n">
        <f aca="false">44.2*1.05</f>
        <v>46.41</v>
      </c>
      <c r="P31" s="171" t="n">
        <v>0</v>
      </c>
      <c r="Q31" s="346" t="n">
        <f aca="false">1827300/325851/1.9835*1.02</f>
        <v>2.88375767268341</v>
      </c>
      <c r="R31" s="139" t="n">
        <f aca="false">IF(((7.6*1.04)-T31)&gt;=4.2,4.2,(7.6*1.04)-T31)</f>
        <v>4.2</v>
      </c>
      <c r="S31" s="139" t="n">
        <f aca="false">IF(((7.6*1.04)-T31)&gt;=4.2,((7.6*1.04)-T31)-4.2,0)</f>
        <v>2.37428512</v>
      </c>
      <c r="T31" s="139" t="n">
        <f aca="false">(1.2062*1.06)*1.04</f>
        <v>1.32971488</v>
      </c>
      <c r="U31" s="365" t="n">
        <v>0</v>
      </c>
      <c r="V31" s="194" t="n">
        <v>106</v>
      </c>
      <c r="W31" s="550" t="n">
        <v>66.5</v>
      </c>
      <c r="X31" s="347" t="n">
        <f aca="false">M31-N31-O31-P31-Q31-R31-S31-T31-U31+V31+W31-AT31+AR31</f>
        <v>338.091006014835</v>
      </c>
      <c r="Y31" s="347" t="n">
        <f aca="false">X31-AO31</f>
        <v>338.091006014835</v>
      </c>
      <c r="Z31" s="114" t="n">
        <f aca="false">Z30+AP31</f>
        <v>17250.4158478117</v>
      </c>
      <c r="AA31" s="143" t="n">
        <f aca="false">(-AP31)</f>
        <v>225.874763687519</v>
      </c>
      <c r="AB31" s="442"/>
      <c r="AC31" s="442" t="n">
        <f aca="false">AC30-(AQ30/1.9835)+AS31</f>
        <v>1139.06542810098</v>
      </c>
      <c r="AD31" s="450" t="n">
        <f aca="false">AD30</f>
        <v>2618.93636501134</v>
      </c>
      <c r="AE31" s="550" t="n">
        <v>150</v>
      </c>
      <c r="AF31" s="261" t="n">
        <v>1.7</v>
      </c>
      <c r="AG31" s="262" t="n">
        <v>1.3</v>
      </c>
      <c r="AH31" s="194" t="n">
        <v>76.4</v>
      </c>
      <c r="AI31" s="161" t="n">
        <f aca="false">AI30-AH31</f>
        <v>8985.25787748927</v>
      </c>
      <c r="AJ31" s="161"/>
      <c r="AK31" s="11" t="n">
        <f aca="false">N31+O31+P31+Q31+R31+S31+T31+U31+X31+AE31+AH31-AR31</f>
        <v>600.996</v>
      </c>
      <c r="AL31" s="194" t="n">
        <f aca="false">IF(L31&lt;0,L31*-1,0)</f>
        <v>68.5293340055456</v>
      </c>
      <c r="AM31" s="194" t="n">
        <f aca="false">AK31+AL31</f>
        <v>669.525334005546</v>
      </c>
      <c r="AN31" s="230"/>
      <c r="AO31" s="555"/>
      <c r="AP31" s="103" t="n">
        <f aca="false">I31-Q31-R31-X31-AF31</f>
        <v>-225.874763687519</v>
      </c>
      <c r="AQ31" s="171" t="n">
        <f aca="false">65.554*(Z31*1.9835+AC31*1.9835)/E31</f>
        <v>15.2554073600418</v>
      </c>
      <c r="AR31" s="171" t="n">
        <f aca="false">1304.297/$D$2/31</f>
        <v>21.2120477812924</v>
      </c>
      <c r="AS31" s="158" t="n">
        <f aca="false">BA31</f>
        <v>9.19</v>
      </c>
      <c r="AT31" s="5" t="n">
        <v>0.904</v>
      </c>
      <c r="AU31" s="4"/>
      <c r="AV31" s="552" t="n">
        <v>0.02</v>
      </c>
      <c r="AW31" s="553" t="n">
        <v>92</v>
      </c>
      <c r="AX31" s="191" t="n">
        <v>59</v>
      </c>
      <c r="AY31" s="149"/>
      <c r="AZ31" s="263" t="n">
        <f aca="false">SUM(N31,P31:U31)</f>
        <v>11.307041766457</v>
      </c>
      <c r="BA31" s="554" t="n">
        <v>9.19</v>
      </c>
      <c r="BB31" s="471" t="n">
        <v>22661</v>
      </c>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2.95" hidden="false" customHeight="true" outlineLevel="0" collapsed="false">
      <c r="A32" s="192" t="n">
        <v>18</v>
      </c>
      <c r="B32" s="318" t="n">
        <v>6906.36</v>
      </c>
      <c r="C32" s="161" t="n">
        <v>307650</v>
      </c>
      <c r="D32" s="191" t="n">
        <f aca="false">C32-C31</f>
        <v>-1089</v>
      </c>
      <c r="E32" s="161" t="n">
        <f aca="false">C32-152000</f>
        <v>155650</v>
      </c>
      <c r="F32" s="549" t="n">
        <f aca="false">D32/$D$2</f>
        <v>-549.029493319889</v>
      </c>
      <c r="G32" s="550" t="n">
        <v>131</v>
      </c>
      <c r="H32" s="195" t="n">
        <v>0</v>
      </c>
      <c r="I32" s="194" t="n">
        <f aca="false">G32+H32</f>
        <v>131</v>
      </c>
      <c r="J32" s="111" t="n">
        <f aca="false">IF(L32&gt;0,L32,0)</f>
        <v>0</v>
      </c>
      <c r="K32" s="194" t="n">
        <f aca="false">I32+J32</f>
        <v>131</v>
      </c>
      <c r="L32" s="194" t="n">
        <f aca="false">F32-(I32-AK32)</f>
        <v>-25.4804933198891</v>
      </c>
      <c r="M32" s="551" t="n">
        <v>205</v>
      </c>
      <c r="N32" s="171" t="n">
        <f aca="false">1/$D$2*1.03</f>
        <v>0.519284093773632</v>
      </c>
      <c r="O32" s="194" t="n">
        <f aca="false">33.1*1.05</f>
        <v>34.755</v>
      </c>
      <c r="P32" s="171" t="n">
        <v>0</v>
      </c>
      <c r="Q32" s="346" t="n">
        <f aca="false">1713700/325851/1.9835*1.02</f>
        <v>2.70447957296425</v>
      </c>
      <c r="R32" s="139" t="n">
        <f aca="false">IF(((7.1*1.04)-T32)&gt;=4.2,4.2,(7.1*1.04)-T32)</f>
        <v>4.2</v>
      </c>
      <c r="S32" s="139" t="n">
        <f aca="false">IF(((7.1*1.04)-T32)&gt;=4.2,((7.1*1.04)-T32)-4.2,0)</f>
        <v>1.85428512</v>
      </c>
      <c r="T32" s="139" t="n">
        <f aca="false">(1.2062*1.06)*1.04</f>
        <v>1.32971488</v>
      </c>
      <c r="U32" s="365" t="n">
        <v>0</v>
      </c>
      <c r="V32" s="194" t="n">
        <v>110</v>
      </c>
      <c r="W32" s="550" t="n">
        <v>67.1</v>
      </c>
      <c r="X32" s="347" t="n">
        <f aca="false">M32-N32-O32-P32-Q32-R32-S32-T32-U32+V32+W32-AT32+AR32</f>
        <v>356.998284114555</v>
      </c>
      <c r="Y32" s="347" t="n">
        <f aca="false">X32-AO32</f>
        <v>356.998284114555</v>
      </c>
      <c r="Z32" s="114" t="n">
        <f aca="false">Z31+AP32</f>
        <v>17015.8130841242</v>
      </c>
      <c r="AA32" s="143" t="n">
        <f aca="false">(-AP32)</f>
        <v>234.602763687519</v>
      </c>
      <c r="AB32" s="442"/>
      <c r="AC32" s="442" t="n">
        <f aca="false">AC31-(AQ31/1.9835)+AS32</f>
        <v>1140.08427238631</v>
      </c>
      <c r="AD32" s="450" t="n">
        <f aca="false">AD31</f>
        <v>2618.93636501134</v>
      </c>
      <c r="AE32" s="550" t="n">
        <v>197</v>
      </c>
      <c r="AF32" s="261" t="n">
        <v>1.7</v>
      </c>
      <c r="AG32" s="262" t="n">
        <v>1.3</v>
      </c>
      <c r="AH32" s="194" t="n">
        <v>76.4</v>
      </c>
      <c r="AI32" s="161" t="n">
        <f aca="false">AI31-AH32</f>
        <v>8908.85787748927</v>
      </c>
      <c r="AJ32" s="161"/>
      <c r="AK32" s="11" t="n">
        <f aca="false">N32+O32+P32+Q32+R32+S32+T32+U32+X32+AE32+AH32-AR32</f>
        <v>654.549</v>
      </c>
      <c r="AL32" s="194" t="n">
        <f aca="false">IF(L32&lt;0,L32*-1,0)</f>
        <v>25.4804933198891</v>
      </c>
      <c r="AM32" s="194" t="n">
        <f aca="false">AK32+AL32</f>
        <v>680.029493319889</v>
      </c>
      <c r="AN32" s="230"/>
      <c r="AO32" s="555"/>
      <c r="AP32" s="103" t="n">
        <f aca="false">I32-Q32-R32-X32-AF32</f>
        <v>-234.602763687519</v>
      </c>
      <c r="AQ32" s="171" t="n">
        <f aca="false">100.033*(Z32*1.9835+AC32*1.9835)/E32</f>
        <v>23.1443022422311</v>
      </c>
      <c r="AR32" s="171" t="n">
        <f aca="false">1304.297/$D$2/31</f>
        <v>21.2120477812924</v>
      </c>
      <c r="AS32" s="158" t="n">
        <f aca="false">BA32</f>
        <v>8.71</v>
      </c>
      <c r="AT32" s="5" t="n">
        <v>0.951</v>
      </c>
      <c r="AU32" s="4"/>
      <c r="AV32" s="552" t="n">
        <v>0.02</v>
      </c>
      <c r="AW32" s="553" t="n">
        <v>89</v>
      </c>
      <c r="AX32" s="191" t="n">
        <v>55</v>
      </c>
      <c r="AY32" s="149"/>
      <c r="AZ32" s="263" t="n">
        <f aca="false">SUM(N32,P32:U32)</f>
        <v>10.6077636667379</v>
      </c>
      <c r="BA32" s="554" t="n">
        <v>8.71</v>
      </c>
      <c r="BB32" s="471" t="n">
        <v>22646</v>
      </c>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2.95" hidden="false" customHeight="true" outlineLevel="0" collapsed="false">
      <c r="A33" s="192" t="n">
        <v>19</v>
      </c>
      <c r="B33" s="318" t="n">
        <v>6906.03</v>
      </c>
      <c r="C33" s="161" t="n">
        <v>306368</v>
      </c>
      <c r="D33" s="191" t="n">
        <f aca="false">C33-C32</f>
        <v>-1282</v>
      </c>
      <c r="E33" s="161" t="n">
        <f aca="false">C33-152000</f>
        <v>154368</v>
      </c>
      <c r="F33" s="549" t="n">
        <f aca="false">D33/$D$2</f>
        <v>-646.332240988152</v>
      </c>
      <c r="G33" s="550" t="n">
        <v>111</v>
      </c>
      <c r="H33" s="195" t="n">
        <v>0</v>
      </c>
      <c r="I33" s="194" t="n">
        <f aca="false">G33+H33</f>
        <v>111</v>
      </c>
      <c r="J33" s="111" t="n">
        <f aca="false">IF(L33&gt;0,L33,0)</f>
        <v>0</v>
      </c>
      <c r="K33" s="194" t="n">
        <f aca="false">I33+J33</f>
        <v>111</v>
      </c>
      <c r="L33" s="194" t="n">
        <f aca="false">F33-(I33-AK33)</f>
        <v>-54.1232409881522</v>
      </c>
      <c r="M33" s="551" t="n">
        <v>227</v>
      </c>
      <c r="N33" s="171" t="n">
        <f aca="false">1/$D$2*1.03</f>
        <v>0.519284093773632</v>
      </c>
      <c r="O33" s="194" t="n">
        <f aca="false">46*1.05</f>
        <v>48.3</v>
      </c>
      <c r="P33" s="171" t="n">
        <v>0</v>
      </c>
      <c r="Q33" s="346" t="n">
        <f aca="false">2102900/325851/1.9835*1.02</f>
        <v>3.31869644277675</v>
      </c>
      <c r="R33" s="139" t="n">
        <f aca="false">IF(((7.1*1.04)-T33)&gt;=4.2,4.2,(7.1*1.04)-T33)</f>
        <v>4.2</v>
      </c>
      <c r="S33" s="139" t="n">
        <f aca="false">IF(((7.1*1.04)-T33)&gt;=4.2,((7.1*1.04)-T33)-4.2,0)</f>
        <v>1.85428512</v>
      </c>
      <c r="T33" s="139" t="n">
        <f aca="false">(1.2062*1.06)*1.04</f>
        <v>1.32971488</v>
      </c>
      <c r="U33" s="365" t="n">
        <v>0</v>
      </c>
      <c r="V33" s="194" t="n">
        <v>133</v>
      </c>
      <c r="W33" s="550" t="n">
        <v>67.7</v>
      </c>
      <c r="X33" s="347" t="n">
        <f aca="false">M33-N33-O33-P33-Q33-R33-S33-T33-U33+V33+W33-AT33+AR33</f>
        <v>388.499067244742</v>
      </c>
      <c r="Y33" s="347" t="n">
        <f aca="false">X33-AO33</f>
        <v>388.499067244742</v>
      </c>
      <c r="Z33" s="114" t="n">
        <f aca="false">Z32+AP33</f>
        <v>16729.0953204366</v>
      </c>
      <c r="AA33" s="143" t="n">
        <f aca="false">(-AP33)</f>
        <v>286.717763687519</v>
      </c>
      <c r="AB33" s="442"/>
      <c r="AC33" s="442" t="n">
        <f aca="false">AC32-(AQ32/1.9835)+AS33</f>
        <v>1137.69585683691</v>
      </c>
      <c r="AD33" s="450" t="n">
        <f aca="false">AD32</f>
        <v>2618.93636501134</v>
      </c>
      <c r="AE33" s="550" t="n">
        <v>200</v>
      </c>
      <c r="AF33" s="261" t="n">
        <v>1.7</v>
      </c>
      <c r="AG33" s="262" t="n">
        <v>1.3</v>
      </c>
      <c r="AH33" s="194" t="n">
        <v>76.4</v>
      </c>
      <c r="AI33" s="161" t="n">
        <f aca="false">AI32-AH33</f>
        <v>8832.45787748927</v>
      </c>
      <c r="AJ33" s="161"/>
      <c r="AK33" s="11" t="n">
        <f aca="false">N33+O33+P33+Q33+R33+S33+T33+U33+X33+AE33+AH33-AR33</f>
        <v>703.209</v>
      </c>
      <c r="AL33" s="194" t="n">
        <f aca="false">IF(L33&lt;0,L33*-1,0)</f>
        <v>54.1232409881522</v>
      </c>
      <c r="AM33" s="194" t="n">
        <f aca="false">AK33+AL33</f>
        <v>757.332240988152</v>
      </c>
      <c r="AN33" s="230"/>
      <c r="AO33" s="555"/>
      <c r="AP33" s="103" t="n">
        <f aca="false">I33-Q33-R33-X33-AF33</f>
        <v>-286.717763687519</v>
      </c>
      <c r="AQ33" s="171" t="n">
        <f aca="false">78.807*(Z33*1.9835+AC33*1.9835)/E33</f>
        <v>18.0919877119074</v>
      </c>
      <c r="AR33" s="171" t="n">
        <f aca="false">1304.297/$D$2/31</f>
        <v>21.2120477812924</v>
      </c>
      <c r="AS33" s="158" t="n">
        <f aca="false">BA33</f>
        <v>9.28</v>
      </c>
      <c r="AT33" s="5" t="n">
        <v>0.891</v>
      </c>
      <c r="AU33" s="4"/>
      <c r="AV33" s="552" t="n">
        <v>0</v>
      </c>
      <c r="AW33" s="553" t="n">
        <v>84</v>
      </c>
      <c r="AX33" s="191" t="n">
        <v>52</v>
      </c>
      <c r="AY33" s="149"/>
      <c r="AZ33" s="263" t="n">
        <f aca="false">SUM(N33,P33:U33)</f>
        <v>11.2219805365504</v>
      </c>
      <c r="BA33" s="554" t="n">
        <v>9.28</v>
      </c>
      <c r="BB33" s="471" t="n">
        <v>22607</v>
      </c>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2.95" hidden="false" customHeight="true" outlineLevel="0" collapsed="false">
      <c r="A34" s="192" t="n">
        <v>20</v>
      </c>
      <c r="B34" s="318" t="n">
        <v>6905.69</v>
      </c>
      <c r="C34" s="161" t="n">
        <v>305056</v>
      </c>
      <c r="D34" s="191" t="n">
        <f aca="false">C34-C33</f>
        <v>-1312</v>
      </c>
      <c r="E34" s="161" t="n">
        <f aca="false">C34-152000</f>
        <v>153056</v>
      </c>
      <c r="F34" s="549" t="n">
        <f aca="false">D34/$D$2</f>
        <v>-661.457020418452</v>
      </c>
      <c r="G34" s="550" t="n">
        <v>100</v>
      </c>
      <c r="H34" s="195" t="n">
        <v>0</v>
      </c>
      <c r="I34" s="194" t="n">
        <f aca="false">G34+H34</f>
        <v>100</v>
      </c>
      <c r="J34" s="111" t="n">
        <f aca="false">IF(L34&gt;0,L34,0)</f>
        <v>0</v>
      </c>
      <c r="K34" s="194" t="n">
        <f aca="false">I34+J34</f>
        <v>100</v>
      </c>
      <c r="L34" s="194" t="n">
        <f aca="false">F34-(I34-AK34)</f>
        <v>-27.4450204184523</v>
      </c>
      <c r="M34" s="551" t="n">
        <v>223</v>
      </c>
      <c r="N34" s="171" t="n">
        <f aca="false">1/$D$2*1.03</f>
        <v>0.519284093773632</v>
      </c>
      <c r="O34" s="194" t="n">
        <f aca="false">43*1.05</f>
        <v>45.15</v>
      </c>
      <c r="P34" s="171" t="n">
        <v>0</v>
      </c>
      <c r="Q34" s="346" t="n">
        <f aca="false">1818800/325851/1.9835*1.02</f>
        <v>2.8703433782502</v>
      </c>
      <c r="R34" s="139" t="n">
        <f aca="false">IF(((6*1.04)-T34)&gt;=4.2,4.2,(6*1.04)-T34)</f>
        <v>4.2</v>
      </c>
      <c r="S34" s="139" t="n">
        <f aca="false">IF(((6*1.04)-T34)&gt;=4.2,((6*1.04)-T34)-4.2,0)</f>
        <v>0.71028512</v>
      </c>
      <c r="T34" s="139" t="n">
        <f aca="false">(1.2062*1.06)*1.04</f>
        <v>1.32971488</v>
      </c>
      <c r="U34" s="365" t="n">
        <v>0</v>
      </c>
      <c r="V34" s="194" t="n">
        <v>144</v>
      </c>
      <c r="W34" s="550" t="n">
        <v>68.5</v>
      </c>
      <c r="X34" s="347" t="n">
        <f aca="false">M34-N34-O34-P34-Q34-R34-S34-T34-U34+V34+W34-AT34+AR34</f>
        <v>401.044420309269</v>
      </c>
      <c r="Y34" s="347" t="n">
        <f aca="false">X34-AO34</f>
        <v>401.044420309269</v>
      </c>
      <c r="Z34" s="114" t="n">
        <f aca="false">Z33+AP34</f>
        <v>16419.2805567491</v>
      </c>
      <c r="AA34" s="143" t="n">
        <f aca="false">(-AP34)</f>
        <v>309.814763687519</v>
      </c>
      <c r="AB34" s="442"/>
      <c r="AC34" s="442" t="n">
        <f aca="false">AC33-(AQ33/1.9835)+AS34</f>
        <v>1137.81461271697</v>
      </c>
      <c r="AD34" s="450" t="n">
        <f aca="false">AD33</f>
        <v>2618.93636501134</v>
      </c>
      <c r="AE34" s="550" t="n">
        <v>223</v>
      </c>
      <c r="AF34" s="261" t="n">
        <v>1.7</v>
      </c>
      <c r="AG34" s="262" t="n">
        <v>1.3</v>
      </c>
      <c r="AH34" s="194" t="n">
        <v>76.4</v>
      </c>
      <c r="AI34" s="161" t="n">
        <f aca="false">AI33-AH34</f>
        <v>8756.05787748927</v>
      </c>
      <c r="AJ34" s="161"/>
      <c r="AK34" s="11" t="n">
        <f aca="false">N34+O34+P34+Q34+R34+S34+T34+U34+X34+AE34+AH34-AR34</f>
        <v>734.012</v>
      </c>
      <c r="AL34" s="194" t="n">
        <f aca="false">IF(L34&lt;0,L34*-1,0)</f>
        <v>27.4450204184523</v>
      </c>
      <c r="AM34" s="194" t="n">
        <f aca="false">AK34+AL34</f>
        <v>761.457020418452</v>
      </c>
      <c r="AN34" s="230"/>
      <c r="AO34" s="555"/>
      <c r="AP34" s="103" t="n">
        <f aca="false">I34-Q34-R34-X34-AF34</f>
        <v>-309.814763687519</v>
      </c>
      <c r="AQ34" s="171" t="n">
        <f aca="false">46.742*(Z34*1.9835+AC34*1.9835)/E34</f>
        <v>10.6351054390065</v>
      </c>
      <c r="AR34" s="171" t="n">
        <f aca="false">1304.297/$D$2/31</f>
        <v>21.2120477812924</v>
      </c>
      <c r="AS34" s="158" t="n">
        <f aca="false">BA34</f>
        <v>9.24</v>
      </c>
      <c r="AT34" s="5" t="n">
        <v>0.888</v>
      </c>
      <c r="AU34" s="4"/>
      <c r="AV34" s="552" t="n">
        <v>0</v>
      </c>
      <c r="AW34" s="553" t="n">
        <v>89</v>
      </c>
      <c r="AX34" s="191" t="n">
        <v>52</v>
      </c>
      <c r="AY34" s="149"/>
      <c r="AZ34" s="263" t="n">
        <f aca="false">SUM(N34,P34:U34)</f>
        <v>9.62962747202383</v>
      </c>
      <c r="BA34" s="554" t="n">
        <v>9.24</v>
      </c>
      <c r="BB34" s="471" t="n">
        <v>22542</v>
      </c>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2.95" hidden="false" customHeight="true" outlineLevel="0" collapsed="false">
      <c r="A35" s="192" t="n">
        <v>21</v>
      </c>
      <c r="B35" s="318" t="n">
        <v>6905.33</v>
      </c>
      <c r="C35" s="161" t="n">
        <v>303668</v>
      </c>
      <c r="D35" s="191" t="n">
        <f aca="false">C35-C34</f>
        <v>-1388</v>
      </c>
      <c r="E35" s="161" t="n">
        <f aca="false">C35-152000</f>
        <v>151668</v>
      </c>
      <c r="F35" s="549" t="n">
        <f aca="false">D35/$D$2</f>
        <v>-699.773128308545</v>
      </c>
      <c r="G35" s="550" t="n">
        <v>96</v>
      </c>
      <c r="H35" s="195" t="n">
        <v>0</v>
      </c>
      <c r="I35" s="194" t="n">
        <f aca="false">G35+H35</f>
        <v>96</v>
      </c>
      <c r="J35" s="111" t="n">
        <f aca="false">IF(L35&gt;0,L35,0)</f>
        <v>0</v>
      </c>
      <c r="K35" s="194" t="n">
        <f aca="false">I35+J35</f>
        <v>96</v>
      </c>
      <c r="L35" s="194" t="n">
        <f aca="false">F35-(I35-AK35)</f>
        <v>-41.5821283085454</v>
      </c>
      <c r="M35" s="551" t="n">
        <v>244</v>
      </c>
      <c r="N35" s="171" t="n">
        <f aca="false">1/$D$2*1.03</f>
        <v>0.519284093773632</v>
      </c>
      <c r="O35" s="194" t="n">
        <f aca="false">46.1*1.05</f>
        <v>48.405</v>
      </c>
      <c r="P35" s="171" t="n">
        <v>0</v>
      </c>
      <c r="Q35" s="346" t="n">
        <f aca="false">1795400/325851/1.9835*1.02</f>
        <v>2.83341461475171</v>
      </c>
      <c r="R35" s="139" t="n">
        <f aca="false">IF(((5.8*1.04)-T35)&gt;=4.2,4.2,(5.8*1.04)-T35)</f>
        <v>4.2</v>
      </c>
      <c r="S35" s="139" t="n">
        <f aca="false">IF(((5.8*1.04)-T35)&gt;=4.2,((5.8*1.04)-T35)-4.2,0)</f>
        <v>0.55784608</v>
      </c>
      <c r="T35" s="139" t="n">
        <f aca="false">(1.1558*1.06)*1.04</f>
        <v>1.27415392</v>
      </c>
      <c r="U35" s="365" t="n">
        <v>0</v>
      </c>
      <c r="V35" s="194" t="n">
        <v>141</v>
      </c>
      <c r="W35" s="550" t="n">
        <v>69.6</v>
      </c>
      <c r="X35" s="347" t="n">
        <f aca="false">M35-N35-O35-P35-Q35-R35-S35-T35-U35+V35+W35-AT35+AR35</f>
        <v>417.213349072767</v>
      </c>
      <c r="Y35" s="347" t="n">
        <f aca="false">X35-AO35</f>
        <v>417.213349072767</v>
      </c>
      <c r="Z35" s="114" t="n">
        <f aca="false">Z34+AP35</f>
        <v>16089.3337930616</v>
      </c>
      <c r="AA35" s="143" t="n">
        <f aca="false">(-AP35)</f>
        <v>329.946763687519</v>
      </c>
      <c r="AB35" s="442"/>
      <c r="AC35" s="442" t="n">
        <f aca="false">AC34-(AQ34/1.9835)+AS35</f>
        <v>1141.74282525087</v>
      </c>
      <c r="AD35" s="450" t="n">
        <f aca="false">AD34</f>
        <v>2618.93636501134</v>
      </c>
      <c r="AE35" s="550" t="n">
        <v>224</v>
      </c>
      <c r="AF35" s="261" t="n">
        <v>1.7</v>
      </c>
      <c r="AG35" s="262" t="n">
        <v>1.3</v>
      </c>
      <c r="AH35" s="194" t="n">
        <v>76.4</v>
      </c>
      <c r="AI35" s="161" t="n">
        <f aca="false">AI34-AH35</f>
        <v>8679.65787748928</v>
      </c>
      <c r="AJ35" s="161"/>
      <c r="AK35" s="11" t="n">
        <f aca="false">N35+O35+P35+Q35+R35+S35+T35+U35+X35+AE35+AH35-AR35</f>
        <v>754.191</v>
      </c>
      <c r="AL35" s="194" t="n">
        <f aca="false">IF(L35&lt;0,L35*-1,0)</f>
        <v>41.5821283085454</v>
      </c>
      <c r="AM35" s="194" t="n">
        <f aca="false">AK35+AL35</f>
        <v>795.773128308545</v>
      </c>
      <c r="AN35" s="230"/>
      <c r="AO35" s="555"/>
      <c r="AP35" s="103" t="n">
        <f aca="false">I35-Q35-R35-X35-AF35</f>
        <v>-329.946763687519</v>
      </c>
      <c r="AQ35" s="171" t="n">
        <f aca="false">72.128*(Z35*1.9835+AC35*1.9835)/E35</f>
        <v>16.2537864123936</v>
      </c>
      <c r="AR35" s="171" t="n">
        <f aca="false">1304.297/$D$2/31</f>
        <v>21.2120477812924</v>
      </c>
      <c r="AS35" s="158" t="n">
        <f aca="false">BA35</f>
        <v>9.29</v>
      </c>
      <c r="AT35" s="5" t="n">
        <v>0.809</v>
      </c>
      <c r="AU35" s="4"/>
      <c r="AV35" s="552" t="n">
        <v>0</v>
      </c>
      <c r="AW35" s="553" t="n">
        <v>90</v>
      </c>
      <c r="AX35" s="191" t="n">
        <v>53</v>
      </c>
      <c r="AY35" s="149"/>
      <c r="AZ35" s="263" t="n">
        <f aca="false">SUM(N35,P35:U35)</f>
        <v>9.38469870852534</v>
      </c>
      <c r="BA35" s="554" t="n">
        <v>9.29</v>
      </c>
      <c r="BB35" s="471" t="n">
        <v>22532</v>
      </c>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customFormat="false" ht="12.95" hidden="false" customHeight="true" outlineLevel="0" collapsed="false">
      <c r="A36" s="192" t="n">
        <v>22</v>
      </c>
      <c r="B36" s="318" t="n">
        <v>6904.95</v>
      </c>
      <c r="C36" s="161" t="n">
        <v>302204</v>
      </c>
      <c r="D36" s="191" t="n">
        <f aca="false">C36-C35</f>
        <v>-1464</v>
      </c>
      <c r="E36" s="161" t="n">
        <f aca="false">C36-152000</f>
        <v>150204</v>
      </c>
      <c r="F36" s="549" t="n">
        <f aca="false">D36/$D$2</f>
        <v>-738.089236198639</v>
      </c>
      <c r="G36" s="550" t="n">
        <v>93</v>
      </c>
      <c r="H36" s="195" t="n">
        <v>0</v>
      </c>
      <c r="I36" s="194" t="n">
        <f aca="false">G36+H36</f>
        <v>93</v>
      </c>
      <c r="J36" s="111" t="n">
        <f aca="false">IF(L36&gt;0,L36,0)</f>
        <v>0</v>
      </c>
      <c r="K36" s="194" t="n">
        <f aca="false">I36+J36</f>
        <v>93</v>
      </c>
      <c r="L36" s="194" t="n">
        <f aca="false">F36-(I36-AK36)</f>
        <v>-62.2612361986388</v>
      </c>
      <c r="M36" s="551" t="n">
        <v>256</v>
      </c>
      <c r="N36" s="171" t="n">
        <f aca="false">1/$D$2*1.03</f>
        <v>0.519284093773632</v>
      </c>
      <c r="O36" s="194" t="n">
        <f aca="false">58.7*1.05</f>
        <v>61.635</v>
      </c>
      <c r="P36" s="171" t="n">
        <v>0</v>
      </c>
      <c r="Q36" s="346" t="n">
        <f aca="false">1981200/325851/1.9835*1.02</f>
        <v>3.12663530953887</v>
      </c>
      <c r="R36" s="139" t="n">
        <f aca="false">IF(((5.9*1.04)-T36)&gt;=4.2,4.2,(5.9*1.04)-T36)</f>
        <v>4.2</v>
      </c>
      <c r="S36" s="139" t="n">
        <f aca="false">IF(((5.9*1.04)-T36)&gt;=4.2,((5.9*1.04)-T36)-4.2,0)</f>
        <v>0.661846080000001</v>
      </c>
      <c r="T36" s="139" t="n">
        <f aca="false">(1.1558*1.06)*1.04</f>
        <v>1.27415392</v>
      </c>
      <c r="U36" s="365" t="n">
        <v>0</v>
      </c>
      <c r="V36" s="194" t="n">
        <v>141</v>
      </c>
      <c r="W36" s="550" t="n">
        <v>68.2</v>
      </c>
      <c r="X36" s="347" t="n">
        <f aca="false">M36-N36-O36-P36-Q36-R36-S36-T36-U36+V36+W36-AT36+AR36</f>
        <v>414.22312837798</v>
      </c>
      <c r="Y36" s="347" t="n">
        <f aca="false">X36-AO36</f>
        <v>414.22312837798</v>
      </c>
      <c r="Z36" s="114" t="n">
        <f aca="false">Z35+AP36</f>
        <v>15759.0840293741</v>
      </c>
      <c r="AA36" s="143" t="n">
        <f aca="false">(-AP36)</f>
        <v>330.249763687519</v>
      </c>
      <c r="AB36" s="442"/>
      <c r="AC36" s="442" t="n">
        <f aca="false">AC35-(AQ35/1.9835)+AS36</f>
        <v>1142.93832743771</v>
      </c>
      <c r="AD36" s="450" t="n">
        <f aca="false">AD35</f>
        <v>2618.93636501134</v>
      </c>
      <c r="AE36" s="550" t="n">
        <v>228</v>
      </c>
      <c r="AF36" s="261" t="n">
        <v>1.7</v>
      </c>
      <c r="AG36" s="262" t="n">
        <v>1.3</v>
      </c>
      <c r="AH36" s="194" t="n">
        <v>76.4</v>
      </c>
      <c r="AI36" s="161" t="n">
        <f aca="false">AI35-AH36</f>
        <v>8603.25787748928</v>
      </c>
      <c r="AJ36" s="161"/>
      <c r="AK36" s="11" t="n">
        <f aca="false">N36+O36+P36+Q36+R36+S36+T36+U36+X36+AE36+AH36-AR36</f>
        <v>768.828</v>
      </c>
      <c r="AL36" s="194" t="n">
        <f aca="false">IF(L36&lt;0,L36*-1,0)</f>
        <v>62.2612361986388</v>
      </c>
      <c r="AM36" s="194" t="n">
        <f aca="false">AK36+AL36</f>
        <v>831.089236198639</v>
      </c>
      <c r="AN36" s="230"/>
      <c r="AO36" s="555"/>
      <c r="AP36" s="103" t="n">
        <f aca="false">I36-Q36-R36-X36-AF36</f>
        <v>-330.249763687519</v>
      </c>
      <c r="AQ36" s="171" t="n">
        <f aca="false">62.496*(Z36*1.9835+AC36*1.9835)/E36</f>
        <v>13.9489526470709</v>
      </c>
      <c r="AR36" s="171" t="n">
        <f aca="false">1304.297/$D$2/31</f>
        <v>21.2120477812924</v>
      </c>
      <c r="AS36" s="158" t="n">
        <f aca="false">BA36</f>
        <v>9.39</v>
      </c>
      <c r="AT36" s="5" t="n">
        <v>0.772</v>
      </c>
      <c r="AU36" s="4"/>
      <c r="AV36" s="552" t="n">
        <v>0</v>
      </c>
      <c r="AW36" s="553" t="n">
        <v>89</v>
      </c>
      <c r="AX36" s="191" t="n">
        <v>55</v>
      </c>
      <c r="AY36" s="149"/>
      <c r="AZ36" s="263" t="n">
        <f aca="false">SUM(N36,P36:U36)</f>
        <v>9.7819194033125</v>
      </c>
      <c r="BA36" s="554" t="n">
        <v>9.39</v>
      </c>
      <c r="BB36" s="471" t="n">
        <v>22512</v>
      </c>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row>
    <row r="37" customFormat="false" ht="12.95" hidden="false" customHeight="true" outlineLevel="0" collapsed="false">
      <c r="A37" s="192" t="n">
        <v>23</v>
      </c>
      <c r="B37" s="318" t="n">
        <v>6904.61</v>
      </c>
      <c r="C37" s="161" t="n">
        <v>300904</v>
      </c>
      <c r="D37" s="191" t="n">
        <f aca="false">C37-C36</f>
        <v>-1300</v>
      </c>
      <c r="E37" s="161" t="n">
        <f aca="false">C37-152000</f>
        <v>148904</v>
      </c>
      <c r="F37" s="549" t="n">
        <f aca="false">D37/$D$2</f>
        <v>-655.407108646332</v>
      </c>
      <c r="G37" s="550" t="n">
        <v>93</v>
      </c>
      <c r="H37" s="195" t="n">
        <v>0</v>
      </c>
      <c r="I37" s="194" t="n">
        <f aca="false">G37+H37</f>
        <v>93</v>
      </c>
      <c r="J37" s="111" t="n">
        <f aca="false">IF(L37&gt;0,L37,0)</f>
        <v>0</v>
      </c>
      <c r="K37" s="194" t="n">
        <f aca="false">I37+J37</f>
        <v>93</v>
      </c>
      <c r="L37" s="194" t="n">
        <f aca="false">F37-(I37-AK37)</f>
        <v>-7.76810864633217</v>
      </c>
      <c r="M37" s="551" t="n">
        <v>251</v>
      </c>
      <c r="N37" s="171" t="n">
        <f aca="false">1/$D$2*1.03</f>
        <v>0.519284093773632</v>
      </c>
      <c r="O37" s="194" t="n">
        <f aca="false">54.4*1.05</f>
        <v>57.12</v>
      </c>
      <c r="P37" s="171" t="n">
        <v>0</v>
      </c>
      <c r="Q37" s="346" t="n">
        <f aca="false">1989300/325851/1.9835*1.02</f>
        <v>3.13941834305758</v>
      </c>
      <c r="R37" s="139" t="n">
        <f aca="false">IF(((5.7*1.04)-T37)&gt;=4.2,4.2,(5.7*1.04)-T37)</f>
        <v>4.2</v>
      </c>
      <c r="S37" s="139" t="n">
        <f aca="false">IF(((5.7*1.04)-T37)&gt;=4.2,((5.7*1.04)-T37)-4.2,0)</f>
        <v>0.453846080000001</v>
      </c>
      <c r="T37" s="139" t="n">
        <f aca="false">(1.1558*1.06)*1.04</f>
        <v>1.27415392</v>
      </c>
      <c r="U37" s="365" t="n">
        <v>0</v>
      </c>
      <c r="V37" s="194" t="n">
        <v>143</v>
      </c>
      <c r="W37" s="550" t="n">
        <v>67.9</v>
      </c>
      <c r="X37" s="347" t="n">
        <f aca="false">M37-N37-O37-P37-Q37-R37-S37-T37-U37+V37+W37-AT37+AR37</f>
        <v>415.744345344461</v>
      </c>
      <c r="Y37" s="347" t="n">
        <f aca="false">X37-AO37</f>
        <v>415.744345344461</v>
      </c>
      <c r="Z37" s="114" t="n">
        <f aca="false">Z36+AP37</f>
        <v>15427.3002656866</v>
      </c>
      <c r="AA37" s="143" t="n">
        <f aca="false">(-AP37)</f>
        <v>331.783763687519</v>
      </c>
      <c r="AB37" s="442"/>
      <c r="AC37" s="442" t="n">
        <f aca="false">AC36-(AQ36/1.9835)+AS37</f>
        <v>1145.13583303536</v>
      </c>
      <c r="AD37" s="450" t="n">
        <f aca="false">AD36</f>
        <v>2618.93636501134</v>
      </c>
      <c r="AE37" s="550" t="n">
        <v>203</v>
      </c>
      <c r="AF37" s="261" t="n">
        <v>1.7</v>
      </c>
      <c r="AG37" s="262" t="n">
        <v>1.3</v>
      </c>
      <c r="AH37" s="194" t="n">
        <v>76.4</v>
      </c>
      <c r="AI37" s="161" t="n">
        <f aca="false">AI36-AH37</f>
        <v>8526.85787748928</v>
      </c>
      <c r="AJ37" s="161"/>
      <c r="AK37" s="11" t="n">
        <f aca="false">N37+O37+P37+Q37+R37+S37+T37+U37+X37+AE37+AH37-AR37</f>
        <v>740.639</v>
      </c>
      <c r="AL37" s="194" t="n">
        <f aca="false">IF(L37&lt;0,L37*-1,0)</f>
        <v>7.76810864633217</v>
      </c>
      <c r="AM37" s="194" t="n">
        <f aca="false">AK37+AL37</f>
        <v>748.407108646332</v>
      </c>
      <c r="AN37" s="230"/>
      <c r="AO37" s="555"/>
      <c r="AP37" s="103" t="n">
        <f aca="false">I37-Q37-R37-X37-AF37</f>
        <v>-331.783763687519</v>
      </c>
      <c r="AQ37" s="171" t="n">
        <f aca="false">112.896*(Z37*1.9835+AC37*1.9835)/E37</f>
        <v>24.9224508595934</v>
      </c>
      <c r="AR37" s="171" t="n">
        <f aca="false">1304.297/$D$2/31</f>
        <v>21.2120477812924</v>
      </c>
      <c r="AS37" s="158" t="n">
        <f aca="false">BA37</f>
        <v>9.23</v>
      </c>
      <c r="AT37" s="5" t="n">
        <v>0.661</v>
      </c>
      <c r="AU37" s="4"/>
      <c r="AV37" s="552" t="n">
        <v>0</v>
      </c>
      <c r="AW37" s="553" t="n">
        <v>89</v>
      </c>
      <c r="AX37" s="191" t="n">
        <v>55</v>
      </c>
      <c r="AY37" s="149"/>
      <c r="AZ37" s="263" t="n">
        <f aca="false">SUM(N37,P37:U37)</f>
        <v>9.58670243683121</v>
      </c>
      <c r="BA37" s="554" t="n">
        <v>9.23</v>
      </c>
      <c r="BB37" s="471" t="n">
        <v>22495</v>
      </c>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row>
    <row r="38" customFormat="false" ht="12.95" hidden="false" customHeight="true" outlineLevel="0" collapsed="false">
      <c r="A38" s="192" t="n">
        <v>24</v>
      </c>
      <c r="B38" s="318" t="n">
        <v>6904.25</v>
      </c>
      <c r="C38" s="161" t="n">
        <v>299527</v>
      </c>
      <c r="D38" s="191" t="n">
        <f aca="false">C38-C37</f>
        <v>-1377</v>
      </c>
      <c r="E38" s="161" t="n">
        <f aca="false">C38-152000</f>
        <v>147527</v>
      </c>
      <c r="F38" s="549" t="n">
        <f aca="false">D38/$D$2</f>
        <v>-694.227375850769</v>
      </c>
      <c r="G38" s="550" t="n">
        <v>92</v>
      </c>
      <c r="H38" s="195" t="n">
        <v>0</v>
      </c>
      <c r="I38" s="194" t="n">
        <f aca="false">G38+H38</f>
        <v>92</v>
      </c>
      <c r="J38" s="111" t="n">
        <f aca="false">IF(L38&gt;0,L38,0)</f>
        <v>0</v>
      </c>
      <c r="K38" s="194" t="n">
        <f aca="false">I38+J38</f>
        <v>92</v>
      </c>
      <c r="L38" s="194" t="n">
        <f aca="false">F38-(I38-AK38)</f>
        <v>-3.08837585076867</v>
      </c>
      <c r="M38" s="551" t="n">
        <v>256</v>
      </c>
      <c r="N38" s="171" t="n">
        <f aca="false">1/$D$2*1.03</f>
        <v>0.519284093773632</v>
      </c>
      <c r="O38" s="194" t="n">
        <f aca="false">44.6*1.05</f>
        <v>46.83</v>
      </c>
      <c r="P38" s="171" t="n">
        <v>0</v>
      </c>
      <c r="Q38" s="346" t="n">
        <f aca="false">1856200/325851/1.9835*1.02</f>
        <v>2.92936627375634</v>
      </c>
      <c r="R38" s="139" t="n">
        <f aca="false">IF(((6*1.04)-T38)&gt;=4.2,4.2,(6*1.04)-T38)</f>
        <v>4.2</v>
      </c>
      <c r="S38" s="139" t="n">
        <f aca="false">IF(((6*1.04)-T38)&gt;=4.2,((6*1.04)-T38)-4.2,0)</f>
        <v>0.76584608</v>
      </c>
      <c r="T38" s="139" t="n">
        <f aca="false">(1.1558*1.06)*1.04</f>
        <v>1.27415392</v>
      </c>
      <c r="U38" s="365" t="n">
        <v>0</v>
      </c>
      <c r="V38" s="194" t="n">
        <v>147</v>
      </c>
      <c r="W38" s="550" t="n">
        <v>67.1</v>
      </c>
      <c r="X38" s="347" t="n">
        <f aca="false">M38-N38-O38-P38-Q38-R38-S38-T38-U38+V38+W38-AT38+AR38</f>
        <v>434.232397413763</v>
      </c>
      <c r="Y38" s="347" t="n">
        <f aca="false">X38-AO38</f>
        <v>434.232397413763</v>
      </c>
      <c r="Z38" s="114" t="n">
        <f aca="false">Z37+AP38</f>
        <v>15076.238501999</v>
      </c>
      <c r="AA38" s="143" t="n">
        <f aca="false">(-AP38)</f>
        <v>351.061763687519</v>
      </c>
      <c r="AB38" s="442"/>
      <c r="AC38" s="442" t="n">
        <f aca="false">AC37-(AQ37/1.9835)+AS38</f>
        <v>1141.77094729823</v>
      </c>
      <c r="AD38" s="450" t="n">
        <f aca="false">AD37</f>
        <v>2618.93636501134</v>
      </c>
      <c r="AE38" s="550" t="n">
        <v>237</v>
      </c>
      <c r="AF38" s="261" t="n">
        <v>1.7</v>
      </c>
      <c r="AG38" s="262" t="n">
        <v>1.3</v>
      </c>
      <c r="AH38" s="194" t="n">
        <v>76.6</v>
      </c>
      <c r="AI38" s="161" t="n">
        <f aca="false">AI37-AH38</f>
        <v>8450.25787748928</v>
      </c>
      <c r="AJ38" s="161"/>
      <c r="AK38" s="11" t="n">
        <f aca="false">N38+O38+P38+Q38+R38+S38+T38+U38+X38+AE38+AH38-AR38</f>
        <v>783.139</v>
      </c>
      <c r="AL38" s="194" t="n">
        <f aca="false">IF(L38&lt;0,L38*-1,0)</f>
        <v>3.08837585076867</v>
      </c>
      <c r="AM38" s="194" t="n">
        <f aca="false">AK38+AL38</f>
        <v>786.227375850769</v>
      </c>
      <c r="AN38" s="230"/>
      <c r="AO38" s="555"/>
      <c r="AP38" s="103" t="n">
        <f aca="false">I38-Q38-R38-X38-AF38</f>
        <v>-351.061763687519</v>
      </c>
      <c r="AQ38" s="171" t="n">
        <f aca="false">52.882*(Z38*1.9835+AC38*1.9835)/E38</f>
        <v>11.5309772353296</v>
      </c>
      <c r="AR38" s="171" t="n">
        <f aca="false">1304.297/$D$2/31</f>
        <v>21.2120477812924</v>
      </c>
      <c r="AS38" s="158" t="n">
        <f aca="false">BA38</f>
        <v>9.2</v>
      </c>
      <c r="AT38" s="5" t="n">
        <v>0.561</v>
      </c>
      <c r="AU38" s="4"/>
      <c r="AV38" s="552" t="n">
        <v>0</v>
      </c>
      <c r="AW38" s="553" t="n">
        <v>90</v>
      </c>
      <c r="AX38" s="191" t="n">
        <v>54</v>
      </c>
      <c r="AY38" s="149"/>
      <c r="AZ38" s="263" t="n">
        <f aca="false">SUM(N38,P38:U38)</f>
        <v>9.68865036752997</v>
      </c>
      <c r="BA38" s="554" t="n">
        <v>9.2</v>
      </c>
      <c r="BB38" s="471" t="n">
        <v>22483</v>
      </c>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row>
    <row r="39" customFormat="false" ht="12.95" hidden="false" customHeight="true" outlineLevel="0" collapsed="false">
      <c r="A39" s="192" t="n">
        <v>25</v>
      </c>
      <c r="B39" s="318" t="n">
        <v>6903.86</v>
      </c>
      <c r="C39" s="161" t="n">
        <v>298040</v>
      </c>
      <c r="D39" s="191" t="n">
        <f aca="false">C39-C38</f>
        <v>-1487</v>
      </c>
      <c r="E39" s="161" t="n">
        <f aca="false">C39-152000</f>
        <v>146040</v>
      </c>
      <c r="F39" s="549" t="n">
        <f aca="false">D39/$D$2</f>
        <v>-749.684900428535</v>
      </c>
      <c r="G39" s="550" t="n">
        <v>85</v>
      </c>
      <c r="H39" s="195" t="n">
        <v>0</v>
      </c>
      <c r="I39" s="194" t="n">
        <f aca="false">G39+H39</f>
        <v>85</v>
      </c>
      <c r="J39" s="111" t="n">
        <f aca="false">IF(L39&gt;0,L39,0)</f>
        <v>0</v>
      </c>
      <c r="K39" s="194" t="n">
        <f aca="false">I39+J39</f>
        <v>85</v>
      </c>
      <c r="L39" s="194" t="n">
        <f aca="false">F39-(I39-AK39)</f>
        <v>-45.0609004285354</v>
      </c>
      <c r="M39" s="551" t="n">
        <v>268</v>
      </c>
      <c r="N39" s="171" t="n">
        <f aca="false">1/$D$2*1.03</f>
        <v>0.519284093773632</v>
      </c>
      <c r="O39" s="194" t="n">
        <f aca="false">53*1.05</f>
        <v>55.65</v>
      </c>
      <c r="P39" s="171" t="n">
        <v>0</v>
      </c>
      <c r="Q39" s="346" t="n">
        <f aca="false">1572600/325851/1.9835*1.02</f>
        <v>2.48180228537292</v>
      </c>
      <c r="R39" s="139" t="n">
        <f aca="false">IF(((6.4*1.04)-T39)&gt;=4.2,4.2,(6.4*1.04)-T39)</f>
        <v>4.2</v>
      </c>
      <c r="S39" s="139" t="n">
        <f aca="false">IF(((6.4*1.04)-T39)&gt;=4.2,((6.4*1.04)-T39)-4.2,0)</f>
        <v>1.18184608</v>
      </c>
      <c r="T39" s="139" t="n">
        <f aca="false">(1.1558*1.06)*1.04</f>
        <v>1.27415392</v>
      </c>
      <c r="U39" s="365" t="n">
        <v>0</v>
      </c>
      <c r="V39" s="194" t="n">
        <v>152</v>
      </c>
      <c r="W39" s="550" t="n">
        <v>68.5</v>
      </c>
      <c r="X39" s="347" t="n">
        <f aca="false">M39-N39-O39-P39-Q39-R39-S39-T39-U39+V39+W39-AT39+AR39</f>
        <v>443.728961402146</v>
      </c>
      <c r="Y39" s="347" t="n">
        <f aca="false">X39-AO39</f>
        <v>443.728961402146</v>
      </c>
      <c r="Z39" s="114" t="n">
        <f aca="false">Z38+AP39</f>
        <v>14709.1277383115</v>
      </c>
      <c r="AA39" s="143" t="n">
        <f aca="false">(-AP39)</f>
        <v>367.110763687519</v>
      </c>
      <c r="AB39" s="442"/>
      <c r="AC39" s="442" t="n">
        <f aca="false">AC38-(AQ38/1.9835)+AS39</f>
        <v>1145.42749772156</v>
      </c>
      <c r="AD39" s="450" t="n">
        <f aca="false">AD38</f>
        <v>2618.93636501134</v>
      </c>
      <c r="AE39" s="550" t="n">
        <v>225</v>
      </c>
      <c r="AF39" s="261" t="n">
        <v>1.7</v>
      </c>
      <c r="AG39" s="262" t="n">
        <v>1.3</v>
      </c>
      <c r="AH39" s="194" t="n">
        <v>76.8</v>
      </c>
      <c r="AI39" s="161" t="n">
        <f aca="false">AI38-AH39</f>
        <v>8373.45787748928</v>
      </c>
      <c r="AJ39" s="161"/>
      <c r="AK39" s="11" t="n">
        <f aca="false">N39+O39+P39+Q39+R39+S39+T39+U39+X39+AE39+AH39-AR39</f>
        <v>789.624</v>
      </c>
      <c r="AL39" s="194" t="n">
        <f aca="false">IF(L39&lt;0,L39*-1,0)</f>
        <v>45.0609004285354</v>
      </c>
      <c r="AM39" s="194" t="n">
        <f aca="false">AK39+AL39</f>
        <v>834.684900428536</v>
      </c>
      <c r="AN39" s="230"/>
      <c r="AO39" s="555"/>
      <c r="AP39" s="103" t="n">
        <f aca="false">I39-Q39-R39-X39-AF39</f>
        <v>-367.110763687519</v>
      </c>
      <c r="AQ39" s="171" t="n">
        <f aca="false">58.881*(Z39*1.9835+AC39*1.9835)/E39</f>
        <v>12.6791348575914</v>
      </c>
      <c r="AR39" s="171" t="n">
        <f aca="false">1304.297/$D$2/31</f>
        <v>21.2120477812924</v>
      </c>
      <c r="AS39" s="158" t="n">
        <f aca="false">BA39</f>
        <v>9.47</v>
      </c>
      <c r="AT39" s="5" t="n">
        <v>0.676</v>
      </c>
      <c r="AU39" s="4"/>
      <c r="AV39" s="552" t="n">
        <v>0.04</v>
      </c>
      <c r="AW39" s="553" t="n">
        <v>90</v>
      </c>
      <c r="AX39" s="191" t="n">
        <v>58</v>
      </c>
      <c r="AY39" s="149"/>
      <c r="AZ39" s="263" t="n">
        <f aca="false">SUM(N39,P39:U39)</f>
        <v>9.65708637914655</v>
      </c>
      <c r="BA39" s="554" t="n">
        <v>9.47</v>
      </c>
      <c r="BB39" s="471" t="n">
        <v>22472</v>
      </c>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row>
    <row r="40" customFormat="false" ht="12.95" hidden="false" customHeight="true" outlineLevel="0" collapsed="false">
      <c r="A40" s="192" t="n">
        <v>26</v>
      </c>
      <c r="B40" s="318" t="n">
        <v>6903.5</v>
      </c>
      <c r="C40" s="161" t="n">
        <v>296674</v>
      </c>
      <c r="D40" s="191" t="n">
        <f aca="false">C40-C39</f>
        <v>-1366</v>
      </c>
      <c r="E40" s="161" t="n">
        <f aca="false">C40-152000</f>
        <v>144674</v>
      </c>
      <c r="F40" s="549" t="n">
        <f aca="false">D40/$D$2</f>
        <v>-688.681623392992</v>
      </c>
      <c r="G40" s="550" t="n">
        <v>96</v>
      </c>
      <c r="H40" s="195" t="n">
        <v>0</v>
      </c>
      <c r="I40" s="194" t="n">
        <f aca="false">G40+H40</f>
        <v>96</v>
      </c>
      <c r="J40" s="111" t="n">
        <f aca="false">IF(L40&gt;0,L40,0)</f>
        <v>0</v>
      </c>
      <c r="K40" s="194" t="n">
        <f aca="false">I40+J40</f>
        <v>96</v>
      </c>
      <c r="L40" s="194" t="n">
        <f aca="false">F40-(I40-AK40)</f>
        <v>-26.5466233929922</v>
      </c>
      <c r="M40" s="551" t="n">
        <v>236</v>
      </c>
      <c r="N40" s="171" t="n">
        <f aca="false">1/$D$2*1.03</f>
        <v>0.519284093773632</v>
      </c>
      <c r="O40" s="194" t="n">
        <f aca="false">59*1.05</f>
        <v>61.95</v>
      </c>
      <c r="P40" s="171" t="n">
        <v>0</v>
      </c>
      <c r="Q40" s="346" t="n">
        <f aca="false">1315400/325851/1.9835*1.02</f>
        <v>2.07590151734677</v>
      </c>
      <c r="R40" s="139" t="n">
        <f aca="false">IF(((6.6*1.04)-T40)&gt;=4.2,4.2,(6.6*1.04)-T40)</f>
        <v>4.2</v>
      </c>
      <c r="S40" s="139" t="n">
        <f aca="false">IF(((6.6*1.04)-T40)&gt;=4.2,((6.6*1.04)-T40)-4.2,0)</f>
        <v>1.38984608</v>
      </c>
      <c r="T40" s="139" t="n">
        <f aca="false">(1.1558*1.06)*1.04</f>
        <v>1.27415392</v>
      </c>
      <c r="U40" s="365" t="n">
        <v>0</v>
      </c>
      <c r="V40" s="194" t="n">
        <v>154</v>
      </c>
      <c r="W40" s="550" t="n">
        <v>69</v>
      </c>
      <c r="X40" s="347" t="n">
        <f aca="false">M40-N40-O40-P40-Q40-R40-S40-T40-U40+V40+W40-AT40+AR40</f>
        <v>408.637862170172</v>
      </c>
      <c r="Y40" s="347" t="n">
        <f aca="false">X40-AO40</f>
        <v>408.637862170172</v>
      </c>
      <c r="Z40" s="114" t="n">
        <f aca="false">Z39+AP40</f>
        <v>14388.513974624</v>
      </c>
      <c r="AA40" s="143" t="n">
        <f aca="false">(-AP40)</f>
        <v>320.613763687519</v>
      </c>
      <c r="AB40" s="442"/>
      <c r="AC40" s="442" t="n">
        <f aca="false">AC39-(AQ39/1.9835)+AS40</f>
        <v>1148.66519378529</v>
      </c>
      <c r="AD40" s="450" t="n">
        <f aca="false">AD39</f>
        <v>2618.93636501134</v>
      </c>
      <c r="AE40" s="550" t="n">
        <v>222</v>
      </c>
      <c r="AF40" s="261" t="n">
        <v>1.7</v>
      </c>
      <c r="AG40" s="262" t="n">
        <v>1.3</v>
      </c>
      <c r="AH40" s="194" t="n">
        <v>77.3</v>
      </c>
      <c r="AI40" s="161" t="n">
        <f aca="false">AI39-AH40</f>
        <v>8296.15787748928</v>
      </c>
      <c r="AJ40" s="161"/>
      <c r="AK40" s="11" t="n">
        <f aca="false">N40+O40+P40+Q40+R40+S40+T40+U40+X40+AE40+AH40-AR40</f>
        <v>758.135</v>
      </c>
      <c r="AL40" s="194" t="n">
        <f aca="false">IF(L40&lt;0,L40*-1,0)</f>
        <v>26.5466233929922</v>
      </c>
      <c r="AM40" s="194" t="n">
        <f aca="false">AK40+AL40</f>
        <v>784.681623392992</v>
      </c>
      <c r="AN40" s="230"/>
      <c r="AO40" s="555"/>
      <c r="AP40" s="103" t="n">
        <f aca="false">I40-Q40-R40-X40-AF40</f>
        <v>-320.613763687519</v>
      </c>
      <c r="AQ40" s="171" t="n">
        <f aca="false">0*(Z40*1.9835+AC40*1.9835)/E40</f>
        <v>0</v>
      </c>
      <c r="AR40" s="171" t="n">
        <f aca="false">1304.297/$D$2/31</f>
        <v>21.2120477812924</v>
      </c>
      <c r="AS40" s="158" t="n">
        <f aca="false">BA40</f>
        <v>9.63</v>
      </c>
      <c r="AT40" s="5" t="n">
        <v>0.165</v>
      </c>
      <c r="AU40" s="4"/>
      <c r="AV40" s="552" t="n">
        <v>0.16</v>
      </c>
      <c r="AW40" s="553" t="n">
        <v>75</v>
      </c>
      <c r="AX40" s="191" t="n">
        <v>57</v>
      </c>
      <c r="AY40" s="149"/>
      <c r="AZ40" s="263" t="n">
        <f aca="false">SUM(N40,P40:U40)</f>
        <v>9.45918561112041</v>
      </c>
      <c r="BA40" s="554" t="n">
        <v>9.63</v>
      </c>
      <c r="BB40" s="471" t="n">
        <v>22511</v>
      </c>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row>
    <row r="41" customFormat="false" ht="12.95" hidden="false" customHeight="true" outlineLevel="0" collapsed="false">
      <c r="A41" s="192" t="n">
        <v>27</v>
      </c>
      <c r="B41" s="318" t="n">
        <v>6903.14</v>
      </c>
      <c r="C41" s="161" t="n">
        <v>295309</v>
      </c>
      <c r="D41" s="191" t="n">
        <f aca="false">C41-C40</f>
        <v>-1365</v>
      </c>
      <c r="E41" s="161" t="n">
        <f aca="false">C41-152000</f>
        <v>143309</v>
      </c>
      <c r="F41" s="549" t="n">
        <f aca="false">D41/$D$2</f>
        <v>-688.177464078649</v>
      </c>
      <c r="G41" s="550" t="n">
        <v>112</v>
      </c>
      <c r="H41" s="195" t="n">
        <v>0</v>
      </c>
      <c r="I41" s="194" t="n">
        <f aca="false">G41+H41</f>
        <v>112</v>
      </c>
      <c r="J41" s="111" t="n">
        <f aca="false">IF(L41&gt;0,L41,0)</f>
        <v>0</v>
      </c>
      <c r="K41" s="194" t="n">
        <f aca="false">I41+J41</f>
        <v>112</v>
      </c>
      <c r="L41" s="194" t="n">
        <f aca="false">F41-(I41-AK41)</f>
        <v>-29.0774640786489</v>
      </c>
      <c r="M41" s="551" t="n">
        <v>235</v>
      </c>
      <c r="N41" s="171" t="n">
        <f aca="false">1/$D$2*1.03</f>
        <v>0.519284093773632</v>
      </c>
      <c r="O41" s="194" t="n">
        <f aca="false">56.7*1.05</f>
        <v>59.535</v>
      </c>
      <c r="P41" s="171" t="n">
        <v>0</v>
      </c>
      <c r="Q41" s="346" t="n">
        <f aca="false">1212500/325851/1.9835*1.02</f>
        <v>1.91350964709059</v>
      </c>
      <c r="R41" s="139" t="n">
        <f aca="false">IF(((6.4*1.04)-T41)&gt;=4.2,4.2,(6.4*1.04)-T41)</f>
        <v>4.2</v>
      </c>
      <c r="S41" s="139" t="n">
        <f aca="false">IF(((6.4*1.04)-T41)&gt;=4.2,((6.4*1.04)-T41)-4.2,0)</f>
        <v>1.18184608</v>
      </c>
      <c r="T41" s="139" t="n">
        <f aca="false">(1.1558*1.06)*1.04</f>
        <v>1.27415392</v>
      </c>
      <c r="U41" s="365" t="n">
        <v>0</v>
      </c>
      <c r="V41" s="194" t="n">
        <v>150</v>
      </c>
      <c r="W41" s="550" t="n">
        <v>68.8</v>
      </c>
      <c r="X41" s="347" t="n">
        <f aca="false">M41-N41-O41-P41-Q41-R41-S41-T41-U41+V41+W41-AT41+AR41</f>
        <v>406.388254040428</v>
      </c>
      <c r="Y41" s="347" t="n">
        <f aca="false">X41-AO41</f>
        <v>406.388254040428</v>
      </c>
      <c r="Z41" s="114" t="n">
        <f aca="false">Z40+AP41</f>
        <v>14086.3122109365</v>
      </c>
      <c r="AA41" s="143" t="n">
        <f aca="false">(-AP41)</f>
        <v>302.201763687519</v>
      </c>
      <c r="AB41" s="442"/>
      <c r="AC41" s="442" t="n">
        <f aca="false">AC40-(AQ40/1.9835)+AS41</f>
        <v>1158.27519378529</v>
      </c>
      <c r="AD41" s="450" t="n">
        <f aca="false">AD40</f>
        <v>2618.93636501134</v>
      </c>
      <c r="AE41" s="550" t="n">
        <v>240</v>
      </c>
      <c r="AF41" s="261" t="n">
        <v>1.7</v>
      </c>
      <c r="AG41" s="262" t="n">
        <v>1.3</v>
      </c>
      <c r="AH41" s="194" t="n">
        <v>77.3</v>
      </c>
      <c r="AI41" s="161" t="n">
        <f aca="false">AI40-AH41</f>
        <v>8218.85787748928</v>
      </c>
      <c r="AJ41" s="161"/>
      <c r="AK41" s="11" t="n">
        <f aca="false">N41+O41+P41+Q41+R41+S41+T41+U41+X41+AE41+AH41-AR41</f>
        <v>771.1</v>
      </c>
      <c r="AL41" s="194" t="n">
        <f aca="false">IF(L41&lt;0,L41*-1,0)</f>
        <v>29.0774640786489</v>
      </c>
      <c r="AM41" s="194" t="n">
        <f aca="false">AK41+AL41</f>
        <v>800.177464078649</v>
      </c>
      <c r="AN41" s="230"/>
      <c r="AO41" s="555"/>
      <c r="AP41" s="103" t="n">
        <f aca="false">I41-Q41-R41-X41-AF41</f>
        <v>-302.201763687519</v>
      </c>
      <c r="AQ41" s="171" t="n">
        <f aca="false">45.179*(Z41*1.9835+AC41*1.9835)/E41</f>
        <v>9.53259249369505</v>
      </c>
      <c r="AR41" s="171" t="n">
        <f aca="false">1304.297/$D$2/31</f>
        <v>21.2120477812924</v>
      </c>
      <c r="AS41" s="158" t="n">
        <f aca="false">BA41</f>
        <v>9.61</v>
      </c>
      <c r="AT41" s="5" t="n">
        <v>0</v>
      </c>
      <c r="AU41" s="4"/>
      <c r="AV41" s="552" t="n">
        <v>0</v>
      </c>
      <c r="AW41" s="553" t="n">
        <v>83</v>
      </c>
      <c r="AX41" s="191" t="n">
        <v>56</v>
      </c>
      <c r="AY41" s="149"/>
      <c r="AZ41" s="263" t="n">
        <f aca="false">SUM(N41,P41:U41)</f>
        <v>9.08879374086423</v>
      </c>
      <c r="BA41" s="554" t="n">
        <v>9.61</v>
      </c>
      <c r="BB41" s="471" t="n">
        <v>22481</v>
      </c>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12.95" hidden="false" customHeight="true" outlineLevel="0" collapsed="false">
      <c r="A42" s="555" t="n">
        <v>28</v>
      </c>
      <c r="B42" s="540" t="n">
        <v>6902.78</v>
      </c>
      <c r="C42" s="450" t="n">
        <v>293950</v>
      </c>
      <c r="D42" s="553" t="n">
        <f aca="false">C42-C41</f>
        <v>-1359</v>
      </c>
      <c r="E42" s="450" t="n">
        <f aca="false">C42-152000</f>
        <v>141950</v>
      </c>
      <c r="F42" s="557" t="n">
        <f aca="false">D42/$D$2</f>
        <v>-685.152508192589</v>
      </c>
      <c r="G42" s="550" t="n">
        <v>104</v>
      </c>
      <c r="H42" s="195" t="n">
        <v>0</v>
      </c>
      <c r="I42" s="550" t="n">
        <f aca="false">G42+H42</f>
        <v>104</v>
      </c>
      <c r="J42" s="558" t="n">
        <f aca="false">IF(L42&gt;0,L42,0)</f>
        <v>0</v>
      </c>
      <c r="K42" s="550" t="n">
        <f aca="false">I42+J42</f>
        <v>104</v>
      </c>
      <c r="L42" s="550" t="n">
        <f aca="false">F42-(I42-AK42)</f>
        <v>-10.8525081925887</v>
      </c>
      <c r="M42" s="559" t="n">
        <v>239</v>
      </c>
      <c r="N42" s="171" t="n">
        <f aca="false">1/$D$2*1.03</f>
        <v>0.519284093773632</v>
      </c>
      <c r="O42" s="550" t="n">
        <f aca="false">55.6*1.05</f>
        <v>58.38</v>
      </c>
      <c r="P42" s="171" t="n">
        <v>0</v>
      </c>
      <c r="Q42" s="346" t="n">
        <f aca="false">1559500/325851/1.9835*1.02</f>
        <v>2.46112849042291</v>
      </c>
      <c r="R42" s="139" t="n">
        <f aca="false">IF(((4.5*1.04)-T42)&gt;=4.2,4.2,(4.5*1.04)-T42)</f>
        <v>3.70018688</v>
      </c>
      <c r="S42" s="139" t="n">
        <f aca="false">IF(((4.5*1.04)-T42)&gt;=4.2,((4.5*1.04)-T42)-4.2,0)</f>
        <v>0</v>
      </c>
      <c r="T42" s="139" t="n">
        <f aca="false">(0.8888*1.06)*1.04</f>
        <v>0.97981312</v>
      </c>
      <c r="U42" s="365" t="n">
        <v>0</v>
      </c>
      <c r="V42" s="550" t="n">
        <v>147</v>
      </c>
      <c r="W42" s="550" t="n">
        <v>70</v>
      </c>
      <c r="X42" s="347" t="n">
        <f aca="false">M42-N42-O42-P42-Q42-R42-S42-T42-U42+V42+W42-AT42+AR42</f>
        <v>411.171635197096</v>
      </c>
      <c r="Y42" s="347" t="n">
        <f aca="false">X42-AO42</f>
        <v>411.171635197096</v>
      </c>
      <c r="Z42" s="114" t="n">
        <f aca="false">Z41+AP42</f>
        <v>13771.279260369</v>
      </c>
      <c r="AA42" s="143" t="n">
        <f aca="false">(-AP42)</f>
        <v>315.032950567519</v>
      </c>
      <c r="AB42" s="442"/>
      <c r="AC42" s="442" t="n">
        <f aca="false">AC41-(AQ41/1.9835)+AS42</f>
        <v>1162.85924848975</v>
      </c>
      <c r="AD42" s="450" t="n">
        <f aca="false">AD41</f>
        <v>2618.93636501134</v>
      </c>
      <c r="AE42" s="550" t="n">
        <v>245</v>
      </c>
      <c r="AF42" s="261" t="n">
        <v>1.7</v>
      </c>
      <c r="AG42" s="262" t="n">
        <v>1.3</v>
      </c>
      <c r="AH42" s="194" t="n">
        <v>77.3</v>
      </c>
      <c r="AI42" s="161" t="n">
        <f aca="false">AI41-AH42</f>
        <v>8141.55787748928</v>
      </c>
      <c r="AJ42" s="161"/>
      <c r="AK42" s="11" t="n">
        <f aca="false">N42+O42+P42+Q42+R42+S42+T42+U42+X42+AE42+AH42-AR42</f>
        <v>778.3</v>
      </c>
      <c r="AL42" s="550" t="n">
        <f aca="false">IF(L42&lt;0,L42*-1,0)</f>
        <v>10.8525081925887</v>
      </c>
      <c r="AM42" s="550" t="n">
        <f aca="false">AK42+AL42</f>
        <v>789.152508192589</v>
      </c>
      <c r="AN42" s="230"/>
      <c r="AO42" s="555"/>
      <c r="AP42" s="103" t="n">
        <f aca="false">I42-Q42-R42-X42-AF42</f>
        <v>-315.032950567519</v>
      </c>
      <c r="AQ42" s="171" t="n">
        <f aca="false">84.407*(Z42*1.9835+AC42*1.9835)/E42</f>
        <v>17.6138968091162</v>
      </c>
      <c r="AR42" s="171" t="n">
        <f aca="false">1304.297/$D$2/31</f>
        <v>21.2120477812924</v>
      </c>
      <c r="AS42" s="158" t="n">
        <f aca="false">BA42</f>
        <v>9.39</v>
      </c>
      <c r="AT42" s="5" t="n">
        <v>0</v>
      </c>
      <c r="AU42" s="4"/>
      <c r="AV42" s="552" t="n">
        <v>0</v>
      </c>
      <c r="AW42" s="553" t="n">
        <v>86</v>
      </c>
      <c r="AX42" s="553" t="n">
        <v>55</v>
      </c>
      <c r="AY42" s="149"/>
      <c r="AZ42" s="263" t="n">
        <f aca="false">SUM(N42,P42:U42)</f>
        <v>7.66041258419654</v>
      </c>
      <c r="BA42" s="554" t="n">
        <v>9.39</v>
      </c>
      <c r="BB42" s="471" t="n">
        <v>22450</v>
      </c>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12.95" hidden="false" customHeight="true" outlineLevel="0" collapsed="false">
      <c r="A43" s="555" t="n">
        <v>29</v>
      </c>
      <c r="B43" s="540" t="n">
        <v>6902.42</v>
      </c>
      <c r="C43" s="450" t="n">
        <v>292595</v>
      </c>
      <c r="D43" s="553" t="n">
        <f aca="false">C43-C42</f>
        <v>-1355</v>
      </c>
      <c r="E43" s="450" t="n">
        <f aca="false">C43-152000</f>
        <v>140595</v>
      </c>
      <c r="F43" s="557" t="n">
        <f aca="false">D43/$D$2</f>
        <v>-683.135870935216</v>
      </c>
      <c r="G43" s="550" t="n">
        <v>90</v>
      </c>
      <c r="H43" s="560" t="n">
        <v>0</v>
      </c>
      <c r="I43" s="550" t="n">
        <f aca="false">G43+H43</f>
        <v>90</v>
      </c>
      <c r="J43" s="558" t="n">
        <f aca="false">IF(L43&gt;0,L43,0)</f>
        <v>0</v>
      </c>
      <c r="K43" s="550" t="n">
        <f aca="false">I43+J43</f>
        <v>90</v>
      </c>
      <c r="L43" s="550" t="n">
        <f aca="false">F43-(I43-AK43)</f>
        <v>-9.83587093521544</v>
      </c>
      <c r="M43" s="559" t="n">
        <v>240</v>
      </c>
      <c r="N43" s="171" t="n">
        <f aca="false">1/$D$2*1.03</f>
        <v>0.519284093773632</v>
      </c>
      <c r="O43" s="550" t="n">
        <f aca="false">62.7*1.05</f>
        <v>65.835</v>
      </c>
      <c r="P43" s="171" t="n">
        <v>0</v>
      </c>
      <c r="Q43" s="346" t="n">
        <f aca="false">1824700/325851/1.9835*1.02</f>
        <v>2.87965447673914</v>
      </c>
      <c r="R43" s="139" t="n">
        <f aca="false">IF(((4.2*1.04)-T43)&gt;=4.2,4.2,(4.2*1.04)-T43)</f>
        <v>3.38818688</v>
      </c>
      <c r="S43" s="139" t="n">
        <f aca="false">IF(((4.2*1.04)-T43)&gt;=4.2,((4.2*1.04)-T43)-4.2,0)</f>
        <v>0</v>
      </c>
      <c r="T43" s="139" t="n">
        <f aca="false">(0.8888*1.06)*1.04</f>
        <v>0.97981312</v>
      </c>
      <c r="U43" s="365" t="n">
        <v>0</v>
      </c>
      <c r="V43" s="550" t="n">
        <v>143</v>
      </c>
      <c r="W43" s="550" t="n">
        <v>70.1</v>
      </c>
      <c r="X43" s="347" t="n">
        <f aca="false">M43-N43-O43-P43-Q43-R43-S43-T43-U43+V43+W43-AT43+AR43</f>
        <v>400.71010921078</v>
      </c>
      <c r="Y43" s="347" t="n">
        <f aca="false">X43-AO43</f>
        <v>400.71010921078</v>
      </c>
      <c r="Z43" s="114" t="n">
        <f aca="false">Z42+AP43</f>
        <v>13452.6013098014</v>
      </c>
      <c r="AA43" s="143" t="n">
        <f aca="false">(-AP43)</f>
        <v>318.677950567519</v>
      </c>
      <c r="AB43" s="442"/>
      <c r="AC43" s="442" t="n">
        <f aca="false">AC42-(AQ42/1.9835)+AS43</f>
        <v>1163.15903835156</v>
      </c>
      <c r="AD43" s="450" t="n">
        <f aca="false">AD42</f>
        <v>2618.93636501134</v>
      </c>
      <c r="AE43" s="550" t="n">
        <v>233</v>
      </c>
      <c r="AF43" s="261" t="n">
        <v>1.7</v>
      </c>
      <c r="AG43" s="262" t="n">
        <v>1.3</v>
      </c>
      <c r="AH43" s="194" t="n">
        <v>77.2</v>
      </c>
      <c r="AI43" s="161" t="n">
        <f aca="false">AI42-AH43</f>
        <v>8064.35787748928</v>
      </c>
      <c r="AJ43" s="161"/>
      <c r="AK43" s="11" t="n">
        <f aca="false">N43+O43+P43+Q43+R43+S43+T43+U43+X43+AE43+AH43-AR43</f>
        <v>763.3</v>
      </c>
      <c r="AL43" s="550" t="n">
        <f aca="false">IF(L43&lt;0,L43*-1,0)</f>
        <v>9.83587093521544</v>
      </c>
      <c r="AM43" s="550" t="n">
        <f aca="false">AK43+AL43</f>
        <v>773.135870935216</v>
      </c>
      <c r="AN43" s="230"/>
      <c r="AO43" s="555"/>
      <c r="AP43" s="103" t="n">
        <f aca="false">I43-Q43-R43-X43-AF43</f>
        <v>-318.677950567519</v>
      </c>
      <c r="AQ43" s="171" t="n">
        <f aca="false">40.666*(Z43*1.9835+AC43*1.9835)/E43</f>
        <v>8.38523422750264</v>
      </c>
      <c r="AR43" s="171" t="n">
        <f aca="false">1304.297/$D$2/31</f>
        <v>21.2120477812924</v>
      </c>
      <c r="AS43" s="158" t="n">
        <f aca="false">BA43</f>
        <v>9.18</v>
      </c>
      <c r="AT43" s="5" t="n">
        <v>0</v>
      </c>
      <c r="AU43" s="4"/>
      <c r="AV43" s="552" t="n">
        <v>0</v>
      </c>
      <c r="AW43" s="553" t="n">
        <v>88</v>
      </c>
      <c r="AX43" s="553" t="n">
        <v>54</v>
      </c>
      <c r="AY43" s="149"/>
      <c r="AZ43" s="263" t="n">
        <f aca="false">SUM(N43,P43:U43)</f>
        <v>7.76693857051277</v>
      </c>
      <c r="BA43" s="554" t="n">
        <v>9.18</v>
      </c>
      <c r="BB43" s="471" t="n">
        <v>22398</v>
      </c>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c r="IF43" s="0"/>
      <c r="IG43" s="0"/>
      <c r="IH43" s="0"/>
      <c r="II43" s="0"/>
      <c r="IJ43" s="0"/>
      <c r="IK43" s="0"/>
      <c r="IL43" s="0"/>
      <c r="IM43" s="0"/>
      <c r="IN43" s="0"/>
      <c r="IO43" s="0"/>
      <c r="IP43" s="0"/>
      <c r="IQ43" s="0"/>
      <c r="IR43" s="0"/>
      <c r="IS43" s="0"/>
      <c r="IT43" s="0"/>
      <c r="IU43" s="0"/>
      <c r="IV43" s="0"/>
      <c r="IW43" s="0"/>
    </row>
    <row r="44" customFormat="false" ht="12.95" hidden="false" customHeight="true" outlineLevel="0" collapsed="false">
      <c r="A44" s="555" t="n">
        <v>30</v>
      </c>
      <c r="B44" s="540" t="n">
        <v>6902.04</v>
      </c>
      <c r="C44" s="450" t="n">
        <v>291165</v>
      </c>
      <c r="D44" s="553" t="n">
        <f aca="false">C44-C43</f>
        <v>-1430</v>
      </c>
      <c r="E44" s="450" t="n">
        <f aca="false">C44-152000</f>
        <v>139165</v>
      </c>
      <c r="F44" s="557" t="n">
        <f aca="false">D44/$D$2</f>
        <v>-720.947819510965</v>
      </c>
      <c r="G44" s="550" t="n">
        <v>86</v>
      </c>
      <c r="H44" s="560" t="n">
        <v>0</v>
      </c>
      <c r="I44" s="550" t="n">
        <f aca="false">G44+H44</f>
        <v>86</v>
      </c>
      <c r="J44" s="558" t="n">
        <f aca="false">IF(L44&gt;0,L44,0)</f>
        <v>0</v>
      </c>
      <c r="K44" s="550" t="n">
        <f aca="false">I44+J44</f>
        <v>86</v>
      </c>
      <c r="L44" s="550" t="n">
        <f aca="false">F44-(I44-AK44)</f>
        <v>-48.9478195109654</v>
      </c>
      <c r="M44" s="559" t="n">
        <v>249</v>
      </c>
      <c r="N44" s="171" t="n">
        <f aca="false">1/$D$2*1.03</f>
        <v>0.519284093773632</v>
      </c>
      <c r="O44" s="550" t="n">
        <f aca="false">59.3*1.05</f>
        <v>62.265</v>
      </c>
      <c r="P44" s="171" t="n">
        <v>0</v>
      </c>
      <c r="Q44" s="346" t="n">
        <f aca="false">1704800/325851/1.9835*1.02</f>
        <v>2.69043401761653</v>
      </c>
      <c r="R44" s="139" t="n">
        <f aca="false">IF(((4.2*1.04)-T44)&gt;=4.2,4.2,(4.2*1.04)-T44)</f>
        <v>3.38818688</v>
      </c>
      <c r="S44" s="139" t="n">
        <f aca="false">IF(((4.2*1.04)-T44)&gt;=4.2,((4.2*1.04)-T44)-4.2,0)</f>
        <v>0</v>
      </c>
      <c r="T44" s="139" t="n">
        <f aca="false">(0.8888*1.06)*1.04</f>
        <v>0.97981312</v>
      </c>
      <c r="U44" s="365" t="n">
        <v>0</v>
      </c>
      <c r="V44" s="550" t="n">
        <v>142</v>
      </c>
      <c r="W44" s="550" t="n">
        <v>69.8</v>
      </c>
      <c r="X44" s="347" t="n">
        <f aca="false">M44-N44-O44-P44-Q44-R44-S44-T44-U44+V44+W44-AT44+AR44</f>
        <v>412.169329669902</v>
      </c>
      <c r="Y44" s="347" t="n">
        <f aca="false">X44-AO44</f>
        <v>412.169329669902</v>
      </c>
      <c r="Z44" s="114" t="n">
        <f aca="false">Z43+AP44</f>
        <v>13118.6533592339</v>
      </c>
      <c r="AA44" s="143" t="n">
        <f aca="false">(-AP44)</f>
        <v>333.947950567519</v>
      </c>
      <c r="AB44" s="442"/>
      <c r="AC44" s="442" t="n">
        <f aca="false">AC43-(AQ43/1.9835)+AS44</f>
        <v>1168.11154441281</v>
      </c>
      <c r="AD44" s="450" t="n">
        <f aca="false">AD43</f>
        <v>2618.93636501134</v>
      </c>
      <c r="AE44" s="550" t="n">
        <v>220</v>
      </c>
      <c r="AF44" s="261" t="n">
        <v>1.7</v>
      </c>
      <c r="AG44" s="262" t="n">
        <v>1.3</v>
      </c>
      <c r="AH44" s="194" t="n">
        <v>77.2</v>
      </c>
      <c r="AI44" s="161" t="n">
        <f aca="false">AI43-AH44</f>
        <v>7987.15787748928</v>
      </c>
      <c r="AJ44" s="161"/>
      <c r="AK44" s="11" t="n">
        <f aca="false">N44+O44+P44+Q44+R44+S44+T44+U44+X44+AE44+AH44-AR44</f>
        <v>758</v>
      </c>
      <c r="AL44" s="550" t="n">
        <f aca="false">IF(L44&lt;0,L44*-1,0)</f>
        <v>48.9478195109654</v>
      </c>
      <c r="AM44" s="550" t="n">
        <f aca="false">AK44+AL44</f>
        <v>806.947819510966</v>
      </c>
      <c r="AN44" s="230"/>
      <c r="AO44" s="555"/>
      <c r="AP44" s="103" t="n">
        <f aca="false">I44-Q44-R44-X44-AF44</f>
        <v>-333.947950567519</v>
      </c>
      <c r="AQ44" s="171" t="n">
        <f aca="false">30.827*(Z44*1.9835+AC44*1.9835)/E44</f>
        <v>6.27721988065705</v>
      </c>
      <c r="AR44" s="171" t="n">
        <f aca="false">1304.297/$D$2/31</f>
        <v>21.2120477812924</v>
      </c>
      <c r="AS44" s="158" t="n">
        <f aca="false">BA44</f>
        <v>9.18</v>
      </c>
      <c r="AT44" s="5" t="n">
        <v>0</v>
      </c>
      <c r="AU44" s="4"/>
      <c r="AV44" s="552" t="n">
        <v>0.11</v>
      </c>
      <c r="AW44" s="553" t="n">
        <v>89</v>
      </c>
      <c r="AX44" s="553" t="n">
        <v>58</v>
      </c>
      <c r="AY44" s="149"/>
      <c r="AZ44" s="263" t="n">
        <f aca="false">SUM(N44,P44:U44)</f>
        <v>7.57771811139016</v>
      </c>
      <c r="BA44" s="554" t="n">
        <v>9.18</v>
      </c>
      <c r="BB44" s="471" t="n">
        <v>22406</v>
      </c>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c r="FA44" s="0"/>
      <c r="FB44" s="0"/>
      <c r="FC44" s="0"/>
      <c r="FD44" s="0"/>
      <c r="FE44" s="0"/>
      <c r="FF44" s="0"/>
      <c r="FG44" s="0"/>
      <c r="FH44" s="0"/>
      <c r="FI44" s="0"/>
      <c r="FJ44" s="0"/>
      <c r="FK44" s="0"/>
      <c r="FL44" s="0"/>
      <c r="FM44" s="0"/>
      <c r="FN44" s="0"/>
      <c r="FO44" s="0"/>
      <c r="FP44" s="0"/>
      <c r="FQ44" s="0"/>
      <c r="FR44" s="0"/>
      <c r="FS44" s="0"/>
      <c r="FT44" s="0"/>
      <c r="FU44" s="0"/>
      <c r="FV44" s="0"/>
      <c r="FW44" s="0"/>
      <c r="FX44" s="0"/>
      <c r="FY44" s="0"/>
      <c r="FZ44" s="0"/>
      <c r="GA44" s="0"/>
      <c r="GB44" s="0"/>
      <c r="GC44" s="0"/>
      <c r="GD44" s="0"/>
      <c r="GE44" s="0"/>
      <c r="GF44" s="0"/>
      <c r="GG44" s="0"/>
      <c r="GH44" s="0"/>
      <c r="GI44" s="0"/>
      <c r="GJ44" s="0"/>
      <c r="GK44" s="0"/>
      <c r="GL44" s="0"/>
      <c r="GM44" s="0"/>
      <c r="GN44" s="0"/>
      <c r="GO44" s="0"/>
      <c r="GP44" s="0"/>
      <c r="GQ44" s="0"/>
      <c r="GR44" s="0"/>
      <c r="GS44" s="0"/>
      <c r="GT44" s="0"/>
      <c r="GU44" s="0"/>
      <c r="GV44" s="0"/>
      <c r="GW44" s="0"/>
      <c r="GX44" s="0"/>
      <c r="GY44" s="0"/>
      <c r="GZ44" s="0"/>
      <c r="HA44" s="0"/>
      <c r="HB44" s="0"/>
      <c r="HC44" s="0"/>
      <c r="HD44" s="0"/>
      <c r="HE44" s="0"/>
      <c r="HF44" s="0"/>
      <c r="HG44" s="0"/>
      <c r="HH44" s="0"/>
      <c r="HI44" s="0"/>
      <c r="HJ44" s="0"/>
      <c r="HK44" s="0"/>
      <c r="HL44" s="0"/>
      <c r="HM44" s="0"/>
      <c r="HN44" s="0"/>
      <c r="HO44" s="0"/>
      <c r="HP44" s="0"/>
      <c r="HQ44" s="0"/>
      <c r="HR44" s="0"/>
      <c r="HS44" s="0"/>
      <c r="HT44" s="0"/>
      <c r="HU44" s="0"/>
      <c r="HV44" s="0"/>
      <c r="HW44" s="0"/>
      <c r="HX44" s="0"/>
      <c r="HY44" s="0"/>
      <c r="HZ44" s="0"/>
      <c r="IA44" s="0"/>
      <c r="IB44" s="0"/>
      <c r="IC44" s="0"/>
      <c r="ID44" s="0"/>
      <c r="IE44" s="0"/>
      <c r="IF44" s="0"/>
      <c r="IG44" s="0"/>
      <c r="IH44" s="0"/>
      <c r="II44" s="0"/>
      <c r="IJ44" s="0"/>
      <c r="IK44" s="0"/>
      <c r="IL44" s="0"/>
      <c r="IM44" s="0"/>
      <c r="IN44" s="0"/>
      <c r="IO44" s="0"/>
      <c r="IP44" s="0"/>
      <c r="IQ44" s="0"/>
      <c r="IR44" s="0"/>
      <c r="IS44" s="0"/>
      <c r="IT44" s="0"/>
      <c r="IU44" s="0"/>
      <c r="IV44" s="0"/>
      <c r="IW44" s="0"/>
    </row>
    <row r="45" customFormat="false" ht="12.95" hidden="false" customHeight="true" outlineLevel="0" collapsed="false">
      <c r="A45" s="555" t="n">
        <v>31</v>
      </c>
      <c r="B45" s="540" t="n">
        <v>6901.67</v>
      </c>
      <c r="C45" s="450" t="n">
        <v>289783</v>
      </c>
      <c r="D45" s="553" t="n">
        <f aca="false">C45-C44</f>
        <v>-1382</v>
      </c>
      <c r="E45" s="450" t="n">
        <f aca="false">C45-152000</f>
        <v>137783</v>
      </c>
      <c r="F45" s="557" t="n">
        <f aca="false">D45/$D$2</f>
        <v>-696.748172422485</v>
      </c>
      <c r="G45" s="550" t="n">
        <v>87</v>
      </c>
      <c r="H45" s="560" t="n">
        <v>0</v>
      </c>
      <c r="I45" s="550" t="n">
        <f aca="false">G45+H45</f>
        <v>87</v>
      </c>
      <c r="J45" s="558" t="n">
        <f aca="false">IF(L45&gt;0,L45,0)</f>
        <v>0</v>
      </c>
      <c r="K45" s="550" t="n">
        <f aca="false">I45+J45</f>
        <v>87</v>
      </c>
      <c r="L45" s="550" t="n">
        <f aca="false">F45-(I45-AK45)</f>
        <v>-7.54817242248555</v>
      </c>
      <c r="M45" s="559" t="n">
        <v>260</v>
      </c>
      <c r="N45" s="171" t="n">
        <f aca="false">1/$D$2*1.03</f>
        <v>0.519284093773632</v>
      </c>
      <c r="O45" s="550" t="n">
        <f aca="false">64.2*1.05</f>
        <v>67.41</v>
      </c>
      <c r="P45" s="171" t="n">
        <v>0</v>
      </c>
      <c r="Q45" s="346" t="n">
        <f aca="false">1854100/325851/1.9835*1.02</f>
        <v>2.92605215395519</v>
      </c>
      <c r="R45" s="139" t="n">
        <f aca="false">IF(((5.5*1.04)-T45)&gt;=4.2,4.2,(5.5*1.04)-T45)</f>
        <v>4.2</v>
      </c>
      <c r="S45" s="139" t="n">
        <f aca="false">IF(((5.5*1.04)-T45)&gt;=4.2,((5.5*1.04)-T45)-4.2,0)</f>
        <v>0.54018688</v>
      </c>
      <c r="T45" s="139" t="n">
        <f aca="false">(0.8888*1.06)*1.04</f>
        <v>0.97981312</v>
      </c>
      <c r="U45" s="365" t="n">
        <v>0</v>
      </c>
      <c r="V45" s="550" t="n">
        <v>138</v>
      </c>
      <c r="W45" s="550" t="n">
        <v>70.9</v>
      </c>
      <c r="X45" s="347" t="n">
        <f aca="false">M45-N45-O45-P45-Q45-R45-S45-T45-U45+V45+W45-AT45+AR45</f>
        <v>413.536711533564</v>
      </c>
      <c r="Y45" s="347" t="n">
        <f aca="false">X45-AO45</f>
        <v>413.536711533564</v>
      </c>
      <c r="Z45" s="114" t="n">
        <f aca="false">Z44+AP45</f>
        <v>12783.2905955464</v>
      </c>
      <c r="AA45" s="143" t="n">
        <f aca="false">(-AP45)</f>
        <v>335.362763687519</v>
      </c>
      <c r="AB45" s="442"/>
      <c r="AC45" s="442" t="n">
        <f aca="false">AC44-(AQ44/1.9835)+AS45</f>
        <v>1174.1268255418</v>
      </c>
      <c r="AD45" s="450" t="n">
        <f aca="false">AD44</f>
        <v>2618.93636501134</v>
      </c>
      <c r="AE45" s="550" t="n">
        <v>230</v>
      </c>
      <c r="AF45" s="261" t="n">
        <v>1.7</v>
      </c>
      <c r="AG45" s="262" t="n">
        <v>1.3</v>
      </c>
      <c r="AH45" s="194" t="n">
        <v>77.3</v>
      </c>
      <c r="AI45" s="161" t="n">
        <f aca="false">AI44-AH45</f>
        <v>7909.85787748928</v>
      </c>
      <c r="AJ45" s="161"/>
      <c r="AK45" s="11" t="n">
        <f aca="false">N45+O45+P45+Q45+R45+S45+T45+U45+X45+AE45+AH45-AR45</f>
        <v>776.2</v>
      </c>
      <c r="AL45" s="550" t="n">
        <f aca="false">IF(L45&lt;0,L45*-1,0)</f>
        <v>7.54817242248555</v>
      </c>
      <c r="AM45" s="550" t="n">
        <f aca="false">AK45+AL45</f>
        <v>783.748172422486</v>
      </c>
      <c r="AN45" s="230"/>
      <c r="AO45" s="192"/>
      <c r="AP45" s="103" t="n">
        <f aca="false">I45-Q45-R45-X45-AF45</f>
        <v>-335.362763687519</v>
      </c>
      <c r="AQ45" s="171" t="n">
        <f aca="false">33.014*(Z45*1.9835+AC45*1.9835)/E45</f>
        <v>6.63345492209057</v>
      </c>
      <c r="AR45" s="171" t="n">
        <f aca="false">1304.297/$D$2/31</f>
        <v>21.2120477812924</v>
      </c>
      <c r="AS45" s="158" t="n">
        <f aca="false">BA45</f>
        <v>9.18</v>
      </c>
      <c r="AT45" s="5" t="n">
        <v>0</v>
      </c>
      <c r="AU45" s="4"/>
      <c r="AV45" s="552" t="n">
        <v>0</v>
      </c>
      <c r="AW45" s="553" t="n">
        <v>85</v>
      </c>
      <c r="AX45" s="553" t="n">
        <v>55</v>
      </c>
      <c r="AY45" s="149"/>
      <c r="AZ45" s="263" t="n">
        <f aca="false">SUM(N45,P45:U45)</f>
        <v>9.16533624772882</v>
      </c>
      <c r="BA45" s="554" t="n">
        <v>9.18</v>
      </c>
      <c r="BB45" s="471" t="n">
        <v>22388</v>
      </c>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c r="EJ45" s="0"/>
      <c r="EK45" s="0"/>
      <c r="EL45" s="0"/>
      <c r="EM45" s="0"/>
      <c r="EN45" s="0"/>
      <c r="EO45" s="0"/>
      <c r="EP45" s="0"/>
      <c r="EQ45" s="0"/>
      <c r="ER45" s="0"/>
      <c r="ES45" s="0"/>
      <c r="ET45" s="0"/>
      <c r="EU45" s="0"/>
      <c r="EV45" s="0"/>
      <c r="EW45" s="0"/>
      <c r="EX45" s="0"/>
      <c r="EY45" s="0"/>
      <c r="EZ45" s="0"/>
      <c r="FA45" s="0"/>
      <c r="FB45" s="0"/>
      <c r="FC45" s="0"/>
      <c r="FD45" s="0"/>
      <c r="FE45" s="0"/>
      <c r="FF45" s="0"/>
      <c r="FG45" s="0"/>
      <c r="FH45" s="0"/>
      <c r="FI45" s="0"/>
      <c r="FJ45" s="0"/>
      <c r="FK45" s="0"/>
      <c r="FL45" s="0"/>
      <c r="FM45" s="0"/>
      <c r="FN45" s="0"/>
      <c r="FO45" s="0"/>
      <c r="FP45" s="0"/>
      <c r="FQ45" s="0"/>
      <c r="FR45" s="0"/>
      <c r="FS45" s="0"/>
      <c r="FT45" s="0"/>
      <c r="FU45" s="0"/>
      <c r="FV45" s="0"/>
      <c r="FW45" s="0"/>
      <c r="FX45" s="0"/>
      <c r="FY45" s="0"/>
      <c r="FZ45" s="0"/>
      <c r="GA45" s="0"/>
      <c r="GB45" s="0"/>
      <c r="GC45" s="0"/>
      <c r="GD45" s="0"/>
      <c r="GE45" s="0"/>
      <c r="GF45" s="0"/>
      <c r="GG45" s="0"/>
      <c r="GH45" s="0"/>
      <c r="GI45" s="0"/>
      <c r="GJ45" s="0"/>
      <c r="GK45" s="0"/>
      <c r="GL45" s="0"/>
      <c r="GM45" s="0"/>
      <c r="GN45" s="0"/>
      <c r="GO45" s="0"/>
      <c r="GP45" s="0"/>
      <c r="GQ45" s="0"/>
      <c r="GR45" s="0"/>
      <c r="GS45" s="0"/>
      <c r="GT45" s="0"/>
      <c r="GU45" s="0"/>
      <c r="GV45" s="0"/>
      <c r="GW45" s="0"/>
      <c r="GX45" s="0"/>
      <c r="GY45" s="0"/>
      <c r="GZ45" s="0"/>
      <c r="HA45" s="0"/>
      <c r="HB45" s="0"/>
      <c r="HC45" s="0"/>
      <c r="HD45" s="0"/>
      <c r="HE45" s="0"/>
      <c r="HF45" s="0"/>
      <c r="HG45" s="0"/>
      <c r="HH45" s="0"/>
      <c r="HI45" s="0"/>
      <c r="HJ45" s="0"/>
      <c r="HK45" s="0"/>
      <c r="HL45" s="0"/>
      <c r="HM45" s="0"/>
      <c r="HN45" s="0"/>
      <c r="HO45" s="0"/>
      <c r="HP45" s="0"/>
      <c r="HQ45" s="0"/>
      <c r="HR45" s="0"/>
      <c r="HS45" s="0"/>
      <c r="HT45" s="0"/>
      <c r="HU45" s="0"/>
      <c r="HV45" s="0"/>
      <c r="HW45" s="0"/>
      <c r="HX45" s="0"/>
      <c r="HY45" s="0"/>
      <c r="HZ45" s="0"/>
      <c r="IA45" s="0"/>
      <c r="IB45" s="0"/>
      <c r="IC45" s="0"/>
      <c r="ID45" s="0"/>
      <c r="IE45" s="0"/>
      <c r="IF45" s="0"/>
      <c r="IG45" s="0"/>
      <c r="IH45" s="0"/>
      <c r="II45" s="0"/>
      <c r="IJ45" s="0"/>
      <c r="IK45" s="0"/>
      <c r="IL45" s="0"/>
      <c r="IM45" s="0"/>
      <c r="IN45" s="0"/>
      <c r="IO45" s="0"/>
      <c r="IP45" s="0"/>
      <c r="IQ45" s="0"/>
      <c r="IR45" s="0"/>
      <c r="IS45" s="0"/>
      <c r="IT45" s="0"/>
      <c r="IU45" s="0"/>
      <c r="IV45" s="0"/>
      <c r="IW45" s="0"/>
    </row>
    <row r="46" customFormat="false" ht="3" hidden="false" customHeight="true" outlineLevel="0" collapsed="false">
      <c r="A46" s="244"/>
      <c r="B46" s="524"/>
      <c r="C46" s="525"/>
      <c r="D46" s="244"/>
      <c r="E46" s="525"/>
      <c r="F46" s="526"/>
      <c r="G46" s="545"/>
      <c r="H46" s="545"/>
      <c r="I46" s="244"/>
      <c r="J46" s="244"/>
      <c r="K46" s="244"/>
      <c r="L46" s="244"/>
      <c r="M46" s="528"/>
      <c r="N46" s="244"/>
      <c r="O46" s="244"/>
      <c r="P46" s="529"/>
      <c r="Q46" s="529"/>
      <c r="R46" s="529"/>
      <c r="S46" s="529"/>
      <c r="T46" s="529"/>
      <c r="U46" s="530"/>
      <c r="V46" s="244"/>
      <c r="W46" s="244"/>
      <c r="X46" s="244"/>
      <c r="Y46" s="244"/>
      <c r="Z46" s="525"/>
      <c r="AA46" s="244"/>
      <c r="AB46" s="525"/>
      <c r="AC46" s="525"/>
      <c r="AD46" s="525"/>
      <c r="AE46" s="244" t="n">
        <v>178</v>
      </c>
      <c r="AF46" s="250"/>
      <c r="AG46" s="254"/>
      <c r="AH46" s="244"/>
      <c r="AI46" s="244"/>
      <c r="AJ46" s="244"/>
      <c r="AK46" s="244"/>
      <c r="AL46" s="244"/>
      <c r="AM46" s="244"/>
      <c r="AN46" s="546"/>
      <c r="AO46" s="344"/>
      <c r="AP46" s="344"/>
      <c r="AQ46" s="132"/>
      <c r="AR46" s="132"/>
      <c r="AS46" s="547"/>
      <c r="AT46" s="547"/>
      <c r="AU46" s="547"/>
      <c r="AV46" s="548"/>
      <c r="AW46" s="531"/>
      <c r="AX46" s="531"/>
      <c r="AY46" s="531"/>
      <c r="AZ46" s="531"/>
      <c r="BA46" s="531"/>
      <c r="BB46" s="531"/>
    </row>
    <row r="47" customFormat="false" ht="12.95" hidden="false" customHeight="true" outlineLevel="0" collapsed="false">
      <c r="A47" s="194" t="s">
        <v>104</v>
      </c>
      <c r="B47" s="534"/>
      <c r="D47" s="161"/>
      <c r="F47" s="115" t="n">
        <f aca="false">SUM(F15:F45)</f>
        <v>-17085.4550037812</v>
      </c>
      <c r="G47" s="450" t="n">
        <f aca="false">SUM(G15:G45)</f>
        <v>4079</v>
      </c>
      <c r="H47" s="161" t="n">
        <f aca="false">SUM(H15:H45)</f>
        <v>0</v>
      </c>
      <c r="I47" s="161" t="n">
        <f aca="false">SUM(I15:I45)</f>
        <v>4079</v>
      </c>
      <c r="J47" s="161" t="n">
        <f aca="false">SUM(J15:J45)</f>
        <v>92.0089884043358</v>
      </c>
      <c r="K47" s="161" t="n">
        <f aca="false">SUM(K15:K45)</f>
        <v>4171.00898840434</v>
      </c>
      <c r="L47" s="161" t="n">
        <f aca="false">SUM(L15:L45)</f>
        <v>-666.517003781194</v>
      </c>
      <c r="M47" s="537" t="n">
        <f aca="false">SUM(M15:M45)</f>
        <v>7003</v>
      </c>
      <c r="N47" s="161" t="n">
        <f aca="false">SUM(N15:N45)</f>
        <v>16.0978069069826</v>
      </c>
      <c r="O47" s="161" t="n">
        <f aca="false">SUM(O15:O45)</f>
        <v>1878.345</v>
      </c>
      <c r="P47" s="8" t="n">
        <f aca="false">SUM(P15:P45)</f>
        <v>0</v>
      </c>
      <c r="Q47" s="191" t="n">
        <f aca="false">SUM(Q15:Q45)</f>
        <v>81.9556576386972</v>
      </c>
      <c r="R47" s="191" t="n">
        <f aca="false">SUM(R15:R45)</f>
        <v>125.44532608</v>
      </c>
      <c r="S47" s="191" t="n">
        <f aca="false">SUM(S15:S45)</f>
        <v>20.15997168</v>
      </c>
      <c r="T47" s="191" t="n">
        <f aca="false">SUM(T15:T45)</f>
        <v>37.01870224</v>
      </c>
      <c r="U47" s="536" t="n">
        <f aca="false">SUM(U15:U45)</f>
        <v>0</v>
      </c>
      <c r="V47" s="161" t="n">
        <f aca="false">SUM(V15:V45)</f>
        <v>3739.8</v>
      </c>
      <c r="W47" s="161" t="n">
        <f aca="false">SUM(W15:W45)</f>
        <v>2042.2</v>
      </c>
      <c r="X47" s="161" t="n">
        <f aca="false">SUM(X15:X45)</f>
        <v>11262.0890166744</v>
      </c>
      <c r="Y47" s="114" t="n">
        <f aca="false">SUM(Y15:Y45)</f>
        <v>11262.0890166744</v>
      </c>
      <c r="Z47" s="161"/>
      <c r="AA47" s="114"/>
      <c r="AB47" s="161"/>
      <c r="AE47" s="161" t="n">
        <f aca="false">SUM(AE15:AE45)</f>
        <v>5376.9</v>
      </c>
      <c r="AF47" s="537" t="n">
        <f aca="false">SUM(AF15:AF45)</f>
        <v>52.7</v>
      </c>
      <c r="AG47" s="535" t="n">
        <f aca="false">SUM(AG15:AG45)</f>
        <v>40.3</v>
      </c>
      <c r="AH47" s="161" t="n">
        <f aca="false">SUM(AH15:AH45)</f>
        <v>2357.5</v>
      </c>
      <c r="AI47" s="161"/>
      <c r="AJ47" s="161" t="n">
        <f aca="false">SUM(AJ15:AJ45)</f>
        <v>0</v>
      </c>
      <c r="AK47" s="161" t="n">
        <f aca="false">SUM(AK15:AK45)</f>
        <v>20497.938</v>
      </c>
      <c r="AL47" s="161" t="n">
        <f aca="false">SUM(AL15:AL45)</f>
        <v>758.52599218553</v>
      </c>
      <c r="AM47" s="161" t="n">
        <f aca="false">SUM(AM15:AM45)</f>
        <v>21256.4639921855</v>
      </c>
      <c r="AN47" s="538"/>
      <c r="AO47" s="161" t="n">
        <f aca="false">SUM(AO15:AO45)</f>
        <v>0</v>
      </c>
      <c r="AP47" s="111" t="n">
        <f aca="false">SUM(AP15:AP45)</f>
        <v>-7443.19000039308</v>
      </c>
      <c r="AQ47" s="8"/>
      <c r="AR47" s="171" t="n">
        <f aca="false">SUM(AR15:AR45)</f>
        <v>657.573481220066</v>
      </c>
      <c r="AS47" s="225" t="n">
        <f aca="false">SUM(AS15:AS45)</f>
        <v>286.13</v>
      </c>
      <c r="AT47" s="144" t="n">
        <f aca="false">SUM(AT15:AT45)</f>
        <v>21.462</v>
      </c>
      <c r="AU47" s="144" t="n">
        <f aca="false">SUM(AU15:AU45)</f>
        <v>0</v>
      </c>
      <c r="AV47" s="552" t="n">
        <f aca="false">SUM(AV15:AV45)</f>
        <v>1.28</v>
      </c>
      <c r="AW47" s="191" t="n">
        <f aca="false">AVERAGE(AW15:AW45)</f>
        <v>87.1612903225806</v>
      </c>
      <c r="AX47" s="191" t="n">
        <f aca="false">AVERAGE(AX15:AX45)</f>
        <v>55.4838709677419</v>
      </c>
      <c r="AY47" s="317" t="s">
        <v>130</v>
      </c>
      <c r="AZ47" s="432" t="n">
        <f aca="false">SUM(AZ15:AZ45)</f>
        <v>280.67746454568</v>
      </c>
      <c r="BA47" s="161" t="n">
        <f aca="false">SUM(BA15:BA45)</f>
        <v>286.13</v>
      </c>
      <c r="BB47" s="86"/>
    </row>
    <row r="48" customFormat="false" ht="12.95" hidden="false" customHeight="true" outlineLevel="0" collapsed="false">
      <c r="A48" s="194" t="s">
        <v>106</v>
      </c>
      <c r="B48" s="534"/>
      <c r="D48" s="161" t="n">
        <f aca="false">SUM(D15:D45)</f>
        <v>-33889</v>
      </c>
      <c r="F48" s="115" t="n">
        <f aca="false">F47*$D$2</f>
        <v>-33889</v>
      </c>
      <c r="G48" s="450" t="n">
        <f aca="false">G47*$D$2</f>
        <v>8090.6965</v>
      </c>
      <c r="H48" s="161" t="n">
        <f aca="false">H47*$D$2</f>
        <v>0</v>
      </c>
      <c r="I48" s="161" t="n">
        <f aca="false">I47*$D$2</f>
        <v>8090.6965</v>
      </c>
      <c r="J48" s="161" t="n">
        <f aca="false">J47*$D$2</f>
        <v>182.4998285</v>
      </c>
      <c r="K48" s="161" t="n">
        <f aca="false">K47*$D$2</f>
        <v>8273.1963285</v>
      </c>
      <c r="L48" s="161" t="n">
        <f aca="false">L47*$D$2</f>
        <v>-1322.036477</v>
      </c>
      <c r="M48" s="537" t="n">
        <f aca="false">M47*$D$2</f>
        <v>13890.4505</v>
      </c>
      <c r="N48" s="161" t="n">
        <f aca="false">N47*$D$2</f>
        <v>31.93</v>
      </c>
      <c r="O48" s="161" t="n">
        <f aca="false">O47*$D$2</f>
        <v>3725.6973075</v>
      </c>
      <c r="P48" s="8" t="n">
        <f aca="false">P47*$D$2</f>
        <v>0</v>
      </c>
      <c r="Q48" s="191" t="n">
        <f aca="false">Q47*$D$2</f>
        <v>162.559046926356</v>
      </c>
      <c r="R48" s="191" t="n">
        <f aca="false">R47*$D$2</f>
        <v>248.82080427968</v>
      </c>
      <c r="S48" s="191" t="n">
        <f aca="false">S47*$D$2</f>
        <v>39.98730382728</v>
      </c>
      <c r="T48" s="191" t="n">
        <f aca="false">T47*$D$2</f>
        <v>73.42659589304</v>
      </c>
      <c r="U48" s="536" t="n">
        <f aca="false">U47*$D$2</f>
        <v>0</v>
      </c>
      <c r="V48" s="161" t="n">
        <f aca="false">V47*$D$2</f>
        <v>7417.8933</v>
      </c>
      <c r="W48" s="161" t="n">
        <f aca="false">W47*$D$2</f>
        <v>4050.7037</v>
      </c>
      <c r="X48" s="161" t="n">
        <f aca="false">X47*$D$2</f>
        <v>22338.3535645736</v>
      </c>
      <c r="Y48" s="114" t="n">
        <f aca="false">Y47*$D$2</f>
        <v>22338.3535645736</v>
      </c>
      <c r="Z48" s="161"/>
      <c r="AA48" s="114"/>
      <c r="AB48" s="161"/>
      <c r="AE48" s="161" t="n">
        <f aca="false">AE47*$D$2</f>
        <v>10665.08115</v>
      </c>
      <c r="AF48" s="537" t="n">
        <f aca="false">AF47*$D$2</f>
        <v>104.53045</v>
      </c>
      <c r="AG48" s="535" t="n">
        <f aca="false">AG47*$D$2</f>
        <v>79.93505</v>
      </c>
      <c r="AH48" s="161" t="n">
        <f aca="false">AH47*$D$2</f>
        <v>4676.10125</v>
      </c>
      <c r="AI48" s="161"/>
      <c r="AJ48" s="161" t="n">
        <f aca="false">AJ47*$D$2</f>
        <v>0</v>
      </c>
      <c r="AK48" s="161" t="n">
        <f aca="false">AK47*$D$2</f>
        <v>40657.660023</v>
      </c>
      <c r="AL48" s="161" t="n">
        <f aca="false">AL47*$D$2</f>
        <v>1504.5363055</v>
      </c>
      <c r="AM48" s="161" t="n">
        <f aca="false">AM47*$D$2</f>
        <v>42162.1963285</v>
      </c>
      <c r="AN48" s="538"/>
      <c r="AO48" s="161" t="n">
        <f aca="false">AO47*$D$2</f>
        <v>0</v>
      </c>
      <c r="AP48" s="192"/>
      <c r="AQ48" s="8" t="n">
        <f aca="false">SUM(AQ15:AQ45)</f>
        <v>371.497788930186</v>
      </c>
      <c r="AR48" s="144" t="n">
        <f aca="false">AR47*$D$2</f>
        <v>1304.297</v>
      </c>
      <c r="AS48" s="225" t="n">
        <f aca="false">AS47*$D$2</f>
        <v>567.538855</v>
      </c>
      <c r="AT48" s="144" t="n">
        <f aca="false">AT47*$D$2</f>
        <v>42.569877</v>
      </c>
      <c r="AU48" s="144" t="n">
        <f aca="false">AU47*$D$2</f>
        <v>0</v>
      </c>
      <c r="AV48" s="539"/>
      <c r="AW48" s="191" t="n">
        <f aca="false">MAX(AW15:AW45)</f>
        <v>93</v>
      </c>
      <c r="AX48" s="191" t="n">
        <f aca="false">MAX(AX15:AX45)</f>
        <v>60</v>
      </c>
      <c r="AY48" s="317" t="s">
        <v>107</v>
      </c>
      <c r="AZ48" s="432" t="n">
        <f aca="false">AZ47*$D$2</f>
        <v>556.723750926356</v>
      </c>
      <c r="BA48" s="161" t="n">
        <f aca="false">BA47*$D$2</f>
        <v>567.538855</v>
      </c>
      <c r="BB48" s="86"/>
    </row>
    <row r="49" customFormat="false" ht="3" hidden="false" customHeight="true" outlineLevel="0" collapsed="false">
      <c r="A49" s="244"/>
      <c r="B49" s="524"/>
      <c r="C49" s="525"/>
      <c r="D49" s="525"/>
      <c r="E49" s="525"/>
      <c r="F49" s="561"/>
      <c r="G49" s="525"/>
      <c r="H49" s="525"/>
      <c r="I49" s="525"/>
      <c r="J49" s="525"/>
      <c r="K49" s="525"/>
      <c r="L49" s="525"/>
      <c r="M49" s="562"/>
      <c r="N49" s="525"/>
      <c r="O49" s="525"/>
      <c r="P49" s="529"/>
      <c r="Q49" s="531"/>
      <c r="R49" s="531"/>
      <c r="S49" s="531"/>
      <c r="T49" s="531"/>
      <c r="U49" s="530"/>
      <c r="V49" s="525"/>
      <c r="W49" s="525"/>
      <c r="X49" s="525"/>
      <c r="Y49" s="246"/>
      <c r="Z49" s="525"/>
      <c r="AA49" s="246"/>
      <c r="AB49" s="525"/>
      <c r="AC49" s="525"/>
      <c r="AD49" s="525"/>
      <c r="AE49" s="525"/>
      <c r="AF49" s="562"/>
      <c r="AG49" s="563"/>
      <c r="AH49" s="525"/>
      <c r="AI49" s="244"/>
      <c r="AJ49" s="525"/>
      <c r="AK49" s="525"/>
      <c r="AL49" s="525"/>
      <c r="AM49" s="525"/>
      <c r="AN49" s="564"/>
      <c r="AO49" s="525"/>
      <c r="AP49" s="344"/>
      <c r="AQ49" s="529"/>
      <c r="AR49" s="251"/>
      <c r="AS49" s="256"/>
      <c r="AT49" s="253"/>
      <c r="AU49" s="547"/>
      <c r="AV49" s="564"/>
      <c r="AW49" s="525"/>
      <c r="AX49" s="525"/>
      <c r="AY49" s="525"/>
      <c r="AZ49" s="525"/>
      <c r="BA49" s="525"/>
      <c r="BB49" s="525"/>
    </row>
    <row r="50" customFormat="false" ht="12.95" hidden="false" customHeight="true" outlineLevel="0" collapsed="false">
      <c r="A50" s="194" t="s">
        <v>108</v>
      </c>
      <c r="B50" s="534"/>
      <c r="D50" s="161"/>
      <c r="F50" s="115" t="n">
        <f aca="false">F12+F47</f>
        <v>47596.6725485253</v>
      </c>
      <c r="G50" s="161" t="n">
        <f aca="false">G12+G47</f>
        <v>121188</v>
      </c>
      <c r="H50" s="161" t="n">
        <f aca="false">H12+H47</f>
        <v>1962.931</v>
      </c>
      <c r="I50" s="161" t="n">
        <f aca="false">I12+I47</f>
        <v>123150.931</v>
      </c>
      <c r="J50" s="161" t="n">
        <f aca="false">J12+J47</f>
        <v>2152.97231333501</v>
      </c>
      <c r="K50" s="161" t="n">
        <f aca="false">K12+K47</f>
        <v>125303.893313335</v>
      </c>
      <c r="L50" s="161" t="n">
        <f aca="false">L12+L47</f>
        <v>-7446.35173556844</v>
      </c>
      <c r="M50" s="537" t="n">
        <f aca="false">M12+M47</f>
        <v>27645.81</v>
      </c>
      <c r="N50" s="161" t="n">
        <f aca="false">N12+N47</f>
        <v>61.7948071590623</v>
      </c>
      <c r="O50" s="161" t="n">
        <f aca="false">O12+O47</f>
        <v>7191.471</v>
      </c>
      <c r="P50" s="8" t="n">
        <f aca="false">P12+P47</f>
        <v>8.07</v>
      </c>
      <c r="Q50" s="191"/>
      <c r="R50" s="191"/>
      <c r="S50" s="191"/>
      <c r="T50" s="191"/>
      <c r="U50" s="536"/>
      <c r="V50" s="161" t="n">
        <f aca="false">V12+V47</f>
        <v>8267.8</v>
      </c>
      <c r="W50" s="161" t="n">
        <f aca="false">W12+W47</f>
        <v>7733.89</v>
      </c>
      <c r="X50" s="161" t="n">
        <f aca="false">X12+X47</f>
        <v>37411.8192910671</v>
      </c>
      <c r="Y50" s="114" t="n">
        <f aca="false">Y12+Y47</f>
        <v>37232.5592910671</v>
      </c>
      <c r="Z50" s="85" t="n">
        <f aca="false">Z45</f>
        <v>12783.2905955464</v>
      </c>
      <c r="AA50" s="114"/>
      <c r="AB50" s="450"/>
      <c r="AE50" s="161" t="n">
        <f aca="false">AE12+AE47</f>
        <v>16367.97</v>
      </c>
      <c r="AF50" s="537" t="n">
        <f aca="false">AF12+AF47</f>
        <v>260.1</v>
      </c>
      <c r="AG50" s="535" t="n">
        <f aca="false">AG12+AG47</f>
        <v>198.9</v>
      </c>
      <c r="AH50" s="161"/>
      <c r="AI50" s="450"/>
      <c r="AJ50" s="161" t="n">
        <f aca="false">AJ12+AJ47</f>
        <v>0</v>
      </c>
      <c r="AK50" s="161" t="n">
        <f aca="false">AK12+AK47</f>
        <v>68107.8967159062</v>
      </c>
      <c r="AL50" s="161" t="n">
        <f aca="false">AL12+AL47</f>
        <v>9599.32404890345</v>
      </c>
      <c r="AM50" s="161" t="n">
        <f aca="false">AM12+AM47</f>
        <v>77707.2207648097</v>
      </c>
      <c r="AN50" s="538"/>
      <c r="AO50" s="192"/>
      <c r="AP50" s="192"/>
      <c r="AQ50" s="8"/>
      <c r="AR50" s="144" t="n">
        <f aca="false">AR12+AR47</f>
        <v>2112.01008318629</v>
      </c>
      <c r="AS50" s="225" t="n">
        <f aca="false">AS12+AS47</f>
        <v>347.28</v>
      </c>
      <c r="AT50" s="144" t="n">
        <f aca="false">AT12+AT47</f>
        <v>28.454</v>
      </c>
      <c r="AU50" s="144" t="n">
        <f aca="false">AU12+AU47</f>
        <v>0</v>
      </c>
      <c r="AV50" s="539" t="s">
        <v>136</v>
      </c>
      <c r="AW50" s="191" t="n">
        <f aca="false">MIN(AW15:AW45)</f>
        <v>75</v>
      </c>
      <c r="AX50" s="191" t="n">
        <f aca="false">MIN(AX15:AX45)</f>
        <v>52</v>
      </c>
      <c r="AY50" s="317" t="s">
        <v>109</v>
      </c>
      <c r="AZ50" s="432" t="n">
        <f aca="false">AZ12+AZ47</f>
        <v>1165.08594211917</v>
      </c>
      <c r="BA50" s="161" t="n">
        <f aca="false">BA12+BA47</f>
        <v>3746.343</v>
      </c>
      <c r="BB50" s="86"/>
    </row>
    <row r="51" customFormat="false" ht="12.95" hidden="false" customHeight="true" outlineLevel="0" collapsed="false">
      <c r="A51" s="194" t="s">
        <v>110</v>
      </c>
      <c r="B51" s="534"/>
      <c r="D51" s="161"/>
      <c r="F51" s="115" t="n">
        <f aca="false">F50*$D$2</f>
        <v>94408</v>
      </c>
      <c r="G51" s="161" t="n">
        <f aca="false">G50*$D$2</f>
        <v>240376.398</v>
      </c>
      <c r="H51" s="161" t="n">
        <f aca="false">H50*$D$2</f>
        <v>3893.4736385</v>
      </c>
      <c r="I51" s="161" t="n">
        <f aca="false">I50*$D$2</f>
        <v>244269.8716385</v>
      </c>
      <c r="J51" s="161" t="n">
        <f aca="false">J50*$D$2</f>
        <v>4270.4205835</v>
      </c>
      <c r="K51" s="161" t="n">
        <f aca="false">K50*$D$2</f>
        <v>248540.272387</v>
      </c>
      <c r="L51" s="161" t="n">
        <f aca="false">L50*$D$2</f>
        <v>-14769.8386675</v>
      </c>
      <c r="M51" s="537" t="n">
        <f aca="false">M50*$D$2</f>
        <v>54835.464135</v>
      </c>
      <c r="N51" s="161" t="n">
        <f aca="false">N50*$D$2</f>
        <v>122.57</v>
      </c>
      <c r="O51" s="161" t="n">
        <f aca="false">O50*$D$2</f>
        <v>14264.2827285</v>
      </c>
      <c r="P51" s="8" t="n">
        <f aca="false">P50*$D$2</f>
        <v>16.006845</v>
      </c>
      <c r="Q51" s="191"/>
      <c r="R51" s="191"/>
      <c r="S51" s="191"/>
      <c r="T51" s="191"/>
      <c r="U51" s="536"/>
      <c r="V51" s="161" t="n">
        <f aca="false">V50*$D$2</f>
        <v>16399.1813</v>
      </c>
      <c r="W51" s="161" t="n">
        <f aca="false">W50*$D$2</f>
        <v>15340.170815</v>
      </c>
      <c r="X51" s="161" t="n">
        <f aca="false">X50*$D$2</f>
        <v>74206.3435638316</v>
      </c>
      <c r="Y51" s="114" t="n">
        <f aca="false">Y50*$D$2</f>
        <v>73850.7813538316</v>
      </c>
      <c r="Z51" s="85" t="n">
        <f aca="false">Z50*$D$2</f>
        <v>25355.6568962663</v>
      </c>
      <c r="AA51" s="114"/>
      <c r="AB51" s="161"/>
      <c r="AE51" s="535" t="n">
        <f aca="false">AE50*$D$2</f>
        <v>32465.868495</v>
      </c>
      <c r="AF51" s="161" t="n">
        <f aca="false">AF50*$D$2</f>
        <v>515.90835</v>
      </c>
      <c r="AG51" s="161" t="n">
        <f aca="false">AG50*$D$2</f>
        <v>394.51815</v>
      </c>
      <c r="AH51" s="537"/>
      <c r="AI51" s="161"/>
      <c r="AJ51" s="161" t="n">
        <f aca="false">AJ50*$D$2</f>
        <v>0</v>
      </c>
      <c r="AK51" s="161" t="n">
        <f aca="false">AK50*$D$2</f>
        <v>135092.013136</v>
      </c>
      <c r="AL51" s="161" t="n">
        <f aca="false">AL50*$D$2</f>
        <v>19040.259251</v>
      </c>
      <c r="AM51" s="161" t="n">
        <f aca="false">AM50*$D$2</f>
        <v>154132.272387</v>
      </c>
      <c r="AN51" s="538"/>
      <c r="AO51" s="192"/>
      <c r="AP51" s="192"/>
      <c r="AQ51" s="111" t="n">
        <f aca="false">AQ12+AQ48</f>
        <v>1766.56522425557</v>
      </c>
      <c r="AR51" s="144" t="n">
        <f aca="false">AR50*$D$2</f>
        <v>4189.172</v>
      </c>
      <c r="AS51" s="225" t="n">
        <f aca="false">AS50*$D$2</f>
        <v>688.82988</v>
      </c>
      <c r="AT51" s="144" t="n">
        <f aca="false">AT50*$D$2</f>
        <v>56.438509</v>
      </c>
      <c r="AU51" s="144" t="n">
        <f aca="false">AU50*$D$2</f>
        <v>0</v>
      </c>
      <c r="AV51" s="539" t="n">
        <f aca="false">JUL!AV51+AV47</f>
        <v>8.80666666666667</v>
      </c>
      <c r="AW51" s="191"/>
      <c r="AX51" s="191"/>
      <c r="AY51" s="264"/>
      <c r="AZ51" s="432" t="n">
        <f aca="false">AZ50*$D$2</f>
        <v>2310.94796619338</v>
      </c>
      <c r="BA51" s="161" t="n">
        <f aca="false">BA50*$D$2</f>
        <v>7430.8713405</v>
      </c>
      <c r="BB51" s="86"/>
    </row>
    <row r="52" customFormat="false" ht="3" hidden="false" customHeight="true" outlineLevel="0" collapsed="false">
      <c r="A52" s="244"/>
      <c r="B52" s="524"/>
      <c r="C52" s="525"/>
      <c r="D52" s="525"/>
      <c r="E52" s="525"/>
      <c r="F52" s="561"/>
      <c r="G52" s="525"/>
      <c r="H52" s="531"/>
      <c r="I52" s="525"/>
      <c r="J52" s="525"/>
      <c r="K52" s="525"/>
      <c r="L52" s="525"/>
      <c r="M52" s="562"/>
      <c r="N52" s="525"/>
      <c r="O52" s="525"/>
      <c r="P52" s="529"/>
      <c r="Q52" s="531"/>
      <c r="R52" s="531"/>
      <c r="S52" s="531"/>
      <c r="T52" s="531"/>
      <c r="U52" s="530"/>
      <c r="V52" s="525"/>
      <c r="W52" s="525"/>
      <c r="X52" s="525"/>
      <c r="Y52" s="246"/>
      <c r="Z52" s="525"/>
      <c r="AA52" s="246"/>
      <c r="AB52" s="525"/>
      <c r="AC52" s="525"/>
      <c r="AD52" s="525"/>
      <c r="AE52" s="563"/>
      <c r="AF52" s="246"/>
      <c r="AG52" s="246"/>
      <c r="AH52" s="562"/>
      <c r="AI52" s="525"/>
      <c r="AJ52" s="525"/>
      <c r="AK52" s="525"/>
      <c r="AL52" s="525"/>
      <c r="AM52" s="525"/>
      <c r="AN52" s="548"/>
      <c r="AO52" s="565"/>
      <c r="AP52" s="344"/>
      <c r="AQ52" s="529"/>
      <c r="AR52" s="529"/>
      <c r="AS52" s="344"/>
      <c r="AT52" s="547"/>
      <c r="AU52" s="547"/>
      <c r="AV52" s="548"/>
      <c r="AW52" s="565"/>
      <c r="AX52" s="565"/>
      <c r="AY52" s="565"/>
      <c r="AZ52" s="565"/>
      <c r="BA52" s="565"/>
      <c r="BB52" s="565"/>
    </row>
    <row r="53" customFormat="false" ht="12.95" hidden="false" customHeight="true" outlineLevel="0" collapsed="false">
      <c r="A53" s="194" t="s">
        <v>111</v>
      </c>
      <c r="B53" s="534"/>
      <c r="D53" s="161"/>
      <c r="F53" s="115" t="n">
        <f aca="false">F13+F47</f>
        <v>52454.2475422234</v>
      </c>
      <c r="G53" s="161" t="n">
        <f aca="false">G13+G47</f>
        <v>136417</v>
      </c>
      <c r="H53" s="191" t="n">
        <f aca="false">H13+H47</f>
        <v>2080.433</v>
      </c>
      <c r="I53" s="161" t="n">
        <f aca="false">I13+I47</f>
        <v>138496.813</v>
      </c>
      <c r="J53" s="161" t="n">
        <f aca="false">J13+J47</f>
        <v>4498.06121880514</v>
      </c>
      <c r="K53" s="161" t="n">
        <f aca="false">K13+K47</f>
        <v>142994.864218805</v>
      </c>
      <c r="L53" s="161" t="n">
        <f aca="false">L13+L47</f>
        <v>-7316.90874187043</v>
      </c>
      <c r="M53" s="537" t="n">
        <f aca="false">M13+M47</f>
        <v>28390.34</v>
      </c>
      <c r="N53" s="161" t="n">
        <f aca="false">N13+N47</f>
        <v>61.7948071590623</v>
      </c>
      <c r="O53" s="161" t="n">
        <f aca="false">O13+O47</f>
        <v>7191.471</v>
      </c>
      <c r="Q53" s="191" t="n">
        <f aca="false">Q13+Q47</f>
        <v>580.954859601898</v>
      </c>
      <c r="R53" s="191" t="n">
        <f aca="false">R13+R47</f>
        <v>751.12006624</v>
      </c>
      <c r="S53" s="191" t="n">
        <f aca="false">S13+S47</f>
        <v>78.72693408</v>
      </c>
      <c r="T53" s="191" t="n">
        <f aca="false">T13+T47</f>
        <v>226.24709536</v>
      </c>
      <c r="U53" s="566" t="n">
        <f aca="false">U13+U47</f>
        <v>-45.366813481233</v>
      </c>
      <c r="V53" s="161" t="n">
        <f aca="false">V13+V47</f>
        <v>13980.29</v>
      </c>
      <c r="W53" s="161" t="n">
        <f aca="false">W13+W47</f>
        <v>7757.92</v>
      </c>
      <c r="X53" s="161" t="n">
        <f aca="false">X13+X47</f>
        <v>43327.0515842266</v>
      </c>
      <c r="Y53" s="114" t="n">
        <f aca="false">Y13+Y47</f>
        <v>42952.1682508932</v>
      </c>
      <c r="Z53" s="161"/>
      <c r="AA53" s="114"/>
      <c r="AB53" s="161"/>
      <c r="AE53" s="535"/>
      <c r="AF53" s="114" t="n">
        <f aca="false">AF13+AF47</f>
        <v>260.1</v>
      </c>
      <c r="AG53" s="114" t="n">
        <f aca="false">AG13+AG47</f>
        <v>198.9</v>
      </c>
      <c r="AH53" s="537" t="n">
        <f aca="false">AH13+AH47</f>
        <v>12258.1</v>
      </c>
      <c r="AI53" s="161" t="n">
        <f aca="false">AI45</f>
        <v>7909.85787748928</v>
      </c>
      <c r="AJ53" s="161" t="n">
        <f aca="false">AJ13+AJ47</f>
        <v>0</v>
      </c>
      <c r="AK53" s="161" t="n">
        <f aca="false">AK13+AK47</f>
        <v>78725.6467159062</v>
      </c>
      <c r="AL53" s="161" t="n">
        <f aca="false">AL13+AL47</f>
        <v>11814.9699606756</v>
      </c>
      <c r="AM53" s="567" t="n">
        <f aca="false">AM13+AM47</f>
        <v>90540.6166765818</v>
      </c>
      <c r="AN53" s="161" t="n">
        <f aca="false">AN13+AN47</f>
        <v>5685.01666666667</v>
      </c>
      <c r="AO53" s="161" t="n">
        <f aca="false">AO13+AO47</f>
        <v>374.883333333333</v>
      </c>
      <c r="AP53" s="192"/>
      <c r="AQ53" s="8"/>
      <c r="AR53" s="8"/>
      <c r="AS53" s="161" t="n">
        <f aca="false">AS13+AS47</f>
        <v>347.28</v>
      </c>
      <c r="AT53" s="111" t="n">
        <f aca="false">AT12+AT47</f>
        <v>28.454</v>
      </c>
      <c r="AU53" s="567" t="n">
        <f aca="false">AU13+AU47</f>
        <v>0</v>
      </c>
      <c r="AV53" s="539" t="n">
        <f aca="false">AV13+AV47</f>
        <v>15.0866666666667</v>
      </c>
      <c r="AW53" s="191"/>
      <c r="AX53" s="191"/>
      <c r="AY53" s="264"/>
      <c r="AZ53" s="432" t="n">
        <f aca="false">AZ13+AZ47</f>
        <v>1661.54694895973</v>
      </c>
      <c r="BA53" s="161" t="n">
        <f aca="false">BA13+BA47</f>
        <v>3759.949</v>
      </c>
      <c r="BB53" s="86"/>
    </row>
    <row r="54" customFormat="false" ht="12.95" hidden="false" customHeight="true" outlineLevel="0" collapsed="false">
      <c r="A54" s="194" t="s">
        <v>112</v>
      </c>
      <c r="B54" s="534"/>
      <c r="D54" s="161" t="n">
        <f aca="false">D13+D48</f>
        <v>104043</v>
      </c>
      <c r="E54" s="161" t="n">
        <f aca="false">E45</f>
        <v>137783</v>
      </c>
      <c r="F54" s="115" t="n">
        <f aca="false">F53*$D$2</f>
        <v>104043</v>
      </c>
      <c r="G54" s="161" t="n">
        <f aca="false">G53*$D$2</f>
        <v>270583.1195</v>
      </c>
      <c r="H54" s="191" t="n">
        <f aca="false">H53*$D$2</f>
        <v>4126.5388555</v>
      </c>
      <c r="I54" s="161" t="n">
        <f aca="false">I53*$D$2</f>
        <v>274708.4285855</v>
      </c>
      <c r="J54" s="161" t="n">
        <f aca="false">J53*$D$2</f>
        <v>8921.9044275</v>
      </c>
      <c r="K54" s="161" t="n">
        <f aca="false">K53*$D$2</f>
        <v>283630.313178</v>
      </c>
      <c r="L54" s="161" t="n">
        <f aca="false">L53*$D$2</f>
        <v>-14513.0884895</v>
      </c>
      <c r="M54" s="537" t="n">
        <f aca="false">M53*$D$2</f>
        <v>56312.23939</v>
      </c>
      <c r="N54" s="161" t="n">
        <f aca="false">N53*$D$2</f>
        <v>122.57</v>
      </c>
      <c r="O54" s="161" t="n">
        <f aca="false">O53*$D$2</f>
        <v>14264.2827285</v>
      </c>
      <c r="Q54" s="191" t="n">
        <f aca="false">Q53*$D$2</f>
        <v>1152.32396402037</v>
      </c>
      <c r="R54" s="191" t="n">
        <f aca="false">R53*$D$2</f>
        <v>1489.84665138704</v>
      </c>
      <c r="S54" s="568" t="n">
        <f aca="false">S53*$D$2</f>
        <v>156.15487374768</v>
      </c>
      <c r="T54" s="568" t="n">
        <f aca="false">T53*$D$2</f>
        <v>448.76111364656</v>
      </c>
      <c r="U54" s="542" t="n">
        <f aca="false">U53*$D$2</f>
        <v>-89.9850745400256</v>
      </c>
      <c r="V54" s="161" t="n">
        <f aca="false">V53*$D$2</f>
        <v>27729.905215</v>
      </c>
      <c r="W54" s="161" t="n">
        <f aca="false">W53*$D$2</f>
        <v>15387.83432</v>
      </c>
      <c r="X54" s="161" t="n">
        <f aca="false">X53*$D$2</f>
        <v>85939.2068173134</v>
      </c>
      <c r="Y54" s="114" t="n">
        <f aca="false">Y53*$D$2</f>
        <v>85195.6257256467</v>
      </c>
      <c r="Z54" s="161"/>
      <c r="AA54" s="114"/>
      <c r="AB54" s="161"/>
      <c r="AE54" s="535"/>
      <c r="AF54" s="114" t="n">
        <f aca="false">AF53*$D$2</f>
        <v>515.90835</v>
      </c>
      <c r="AG54" s="114" t="n">
        <f aca="false">AG53*$D$2</f>
        <v>394.51815</v>
      </c>
      <c r="AH54" s="537" t="n">
        <f aca="false">AH53*$D$2</f>
        <v>24313.94135</v>
      </c>
      <c r="AI54" s="161" t="n">
        <f aca="false">AI53*$D$2</f>
        <v>15689.2031</v>
      </c>
      <c r="AJ54" s="161" t="n">
        <f aca="false">AJ53*$D$2</f>
        <v>0</v>
      </c>
      <c r="AK54" s="161" t="n">
        <f aca="false">AK53*$D$2</f>
        <v>156152.320261</v>
      </c>
      <c r="AL54" s="161" t="n">
        <f aca="false">AL53*$D$2</f>
        <v>23434.992917</v>
      </c>
      <c r="AM54" s="569" t="n">
        <f aca="false">AM53*$D$2</f>
        <v>179587.313178</v>
      </c>
      <c r="AN54" s="161" t="n">
        <f aca="false">AN53*$D$2</f>
        <v>11276.2305583333</v>
      </c>
      <c r="AO54" s="161" t="n">
        <f aca="false">AO53*$D$2</f>
        <v>743.581091666667</v>
      </c>
      <c r="AP54" s="192"/>
      <c r="AQ54" s="111" t="n">
        <f aca="false">AQ13+AQ48</f>
        <v>1766.56522425557</v>
      </c>
      <c r="AR54" s="8"/>
      <c r="AS54" s="161" t="n">
        <f aca="false">AS53*$D$2</f>
        <v>688.82988</v>
      </c>
      <c r="AT54" s="111" t="n">
        <f aca="false">AT53*$D$2</f>
        <v>56.438509</v>
      </c>
      <c r="AU54" s="569" t="n">
        <f aca="false">AU53*$D$2</f>
        <v>0</v>
      </c>
      <c r="AV54" s="539"/>
      <c r="AW54" s="191"/>
      <c r="AX54" s="191"/>
      <c r="AY54" s="264"/>
      <c r="AZ54" s="432" t="n">
        <f aca="false">AZ53*$D$2</f>
        <v>3295.67837326162</v>
      </c>
      <c r="BA54" s="161" t="n">
        <f aca="false">BA53*$D$2</f>
        <v>7457.8588415</v>
      </c>
      <c r="BB54" s="86"/>
    </row>
    <row r="55" customFormat="false" ht="3" hidden="false" customHeight="true" outlineLevel="0" collapsed="false">
      <c r="A55" s="244"/>
      <c r="B55" s="524"/>
      <c r="C55" s="525"/>
      <c r="D55" s="244"/>
      <c r="E55" s="525"/>
      <c r="F55" s="526"/>
      <c r="G55" s="244"/>
      <c r="H55" s="545"/>
      <c r="I55" s="244"/>
      <c r="J55" s="244"/>
      <c r="K55" s="570"/>
      <c r="L55" s="244"/>
      <c r="M55" s="528"/>
      <c r="N55" s="244"/>
      <c r="O55" s="244"/>
      <c r="P55" s="529"/>
      <c r="Q55" s="529"/>
      <c r="R55" s="571"/>
      <c r="S55" s="529"/>
      <c r="T55" s="529"/>
      <c r="U55" s="530"/>
      <c r="V55" s="244"/>
      <c r="W55" s="244"/>
      <c r="X55" s="244"/>
      <c r="Y55" s="244"/>
      <c r="Z55" s="525"/>
      <c r="AA55" s="244"/>
      <c r="AB55" s="525"/>
      <c r="AC55" s="525"/>
      <c r="AD55" s="525"/>
      <c r="AE55" s="572"/>
      <c r="AF55" s="247"/>
      <c r="AG55" s="247"/>
      <c r="AH55" s="528"/>
      <c r="AI55" s="525"/>
      <c r="AJ55" s="525"/>
      <c r="AK55" s="244"/>
      <c r="AL55" s="244"/>
      <c r="AM55" s="244"/>
      <c r="AN55" s="524"/>
      <c r="AO55" s="244"/>
      <c r="AP55" s="344"/>
      <c r="AQ55" s="529"/>
      <c r="AR55" s="529"/>
      <c r="AS55" s="547"/>
      <c r="AT55" s="547"/>
      <c r="AU55" s="547"/>
      <c r="AV55" s="524"/>
      <c r="AW55" s="244"/>
      <c r="AX55" s="244"/>
      <c r="AY55" s="244"/>
      <c r="AZ55" s="244"/>
      <c r="BA55" s="244"/>
      <c r="BB55" s="244"/>
    </row>
    <row r="56" customFormat="false" ht="11.1" hidden="false" customHeight="true" outlineLevel="0" collapsed="false">
      <c r="A56" s="573"/>
      <c r="B56" s="185"/>
      <c r="C56" s="2"/>
      <c r="D56" s="11"/>
      <c r="E56" s="489"/>
      <c r="F56" s="1"/>
      <c r="G56" s="1"/>
      <c r="H56" s="3"/>
      <c r="I56" s="11"/>
      <c r="J56" s="11"/>
      <c r="K56" s="490"/>
      <c r="L56" s="161"/>
      <c r="M56" s="11"/>
      <c r="N56" s="11"/>
      <c r="O56" s="11"/>
      <c r="P56" s="5"/>
      <c r="Q56" s="5"/>
      <c r="R56" s="5"/>
      <c r="S56" s="5"/>
      <c r="T56" s="5"/>
      <c r="U56" s="5"/>
      <c r="V56" s="11"/>
      <c r="W56" s="11"/>
      <c r="X56" s="11"/>
      <c r="Y56" s="11"/>
      <c r="Z56" s="1"/>
      <c r="AA56" s="11"/>
      <c r="AB56" s="1"/>
      <c r="AC56" s="1"/>
      <c r="AD56" s="2"/>
      <c r="AE56" s="11"/>
      <c r="AF56" s="11"/>
      <c r="AG56" s="11"/>
      <c r="AH56" s="11"/>
      <c r="AI56" s="489"/>
      <c r="AJ56" s="492"/>
      <c r="AK56" s="489"/>
      <c r="AL56" s="194"/>
      <c r="AM56" s="194"/>
      <c r="AN56" s="418"/>
      <c r="AO56" s="418"/>
      <c r="AQ56" s="392"/>
      <c r="AR56" s="392"/>
      <c r="AS56" s="414"/>
      <c r="AV56" s="8"/>
      <c r="AW56" s="191"/>
      <c r="AX56" s="191"/>
    </row>
    <row r="57" customFormat="false" ht="11.1" hidden="false" customHeight="true" outlineLevel="0" collapsed="false">
      <c r="A57" s="194"/>
      <c r="B57" s="574"/>
      <c r="C57" s="2"/>
      <c r="D57" s="1"/>
      <c r="E57" s="390"/>
      <c r="F57" s="197"/>
      <c r="G57" s="1"/>
      <c r="H57" s="3"/>
      <c r="I57" s="12"/>
      <c r="J57" s="11"/>
      <c r="K57" s="186"/>
      <c r="L57" s="111"/>
      <c r="M57" s="11"/>
      <c r="N57" s="11"/>
      <c r="O57" s="2"/>
      <c r="P57" s="5"/>
      <c r="Q57" s="5"/>
      <c r="R57" s="99"/>
      <c r="S57" s="99"/>
      <c r="T57" s="99"/>
      <c r="U57" s="99"/>
      <c r="V57" s="26"/>
      <c r="W57" s="138"/>
      <c r="X57" s="493"/>
      <c r="Y57" s="493"/>
      <c r="Z57" s="161"/>
      <c r="AA57" s="493"/>
      <c r="AB57" s="161"/>
      <c r="AC57" s="90"/>
      <c r="AD57" s="90"/>
      <c r="AE57" s="2"/>
      <c r="AF57" s="2"/>
      <c r="AG57" s="2"/>
      <c r="AH57" s="11"/>
      <c r="AI57" s="2"/>
      <c r="AJ57" s="112"/>
      <c r="AK57" s="2"/>
      <c r="AL57" s="194"/>
      <c r="AM57" s="8"/>
      <c r="AN57" s="575"/>
      <c r="AO57" s="575"/>
      <c r="AQ57" s="392"/>
      <c r="AR57" s="392"/>
      <c r="AS57" s="414"/>
      <c r="AV57" s="191"/>
      <c r="AW57" s="191"/>
      <c r="AX57" s="191"/>
    </row>
    <row r="58" customFormat="false" ht="11.1" hidden="false" customHeight="true" outlineLevel="0" collapsed="false">
      <c r="B58" s="161"/>
      <c r="E58" s="390"/>
      <c r="F58" s="237"/>
      <c r="G58" s="1"/>
      <c r="H58" s="3"/>
      <c r="I58" s="1"/>
      <c r="J58" s="1"/>
      <c r="K58" s="391"/>
      <c r="L58" s="450"/>
      <c r="M58" s="4"/>
      <c r="N58" s="4"/>
      <c r="O58" s="390"/>
      <c r="P58" s="497"/>
      <c r="Q58" s="497"/>
      <c r="R58" s="99"/>
      <c r="S58" s="99"/>
      <c r="T58" s="99"/>
      <c r="U58" s="99"/>
      <c r="V58" s="26"/>
      <c r="W58" s="138"/>
      <c r="X58" s="96"/>
      <c r="Y58" s="96"/>
      <c r="Z58" s="161"/>
      <c r="AA58" s="96"/>
      <c r="AB58" s="161"/>
      <c r="AE58" s="161"/>
      <c r="AF58" s="161"/>
      <c r="AG58" s="161"/>
      <c r="AH58" s="2"/>
      <c r="AI58" s="26"/>
      <c r="AJ58" s="498"/>
      <c r="AK58" s="26"/>
      <c r="AL58" s="56"/>
      <c r="AM58" s="8"/>
      <c r="AN58" s="189"/>
      <c r="AO58" s="189"/>
      <c r="AQ58" s="392"/>
      <c r="AR58" s="392"/>
      <c r="AS58" s="414"/>
      <c r="AV58" s="191"/>
      <c r="AW58" s="191"/>
      <c r="AX58" s="192"/>
    </row>
    <row r="59" customFormat="false" ht="11.1" hidden="false" customHeight="true" outlineLevel="0" collapsed="false">
      <c r="D59" s="161"/>
      <c r="E59" s="390"/>
      <c r="F59" s="1"/>
      <c r="G59" s="1"/>
      <c r="H59" s="161"/>
      <c r="I59" s="1"/>
      <c r="J59" s="1"/>
      <c r="K59" s="391"/>
      <c r="L59" s="191"/>
      <c r="M59" s="4"/>
      <c r="N59" s="4"/>
      <c r="O59" s="191"/>
      <c r="Q59" s="8"/>
      <c r="R59" s="99"/>
      <c r="S59" s="99"/>
      <c r="T59" s="99"/>
      <c r="U59" s="99"/>
      <c r="V59" s="26"/>
      <c r="W59" s="26"/>
      <c r="X59" s="96"/>
      <c r="Y59" s="96"/>
      <c r="Z59" s="191"/>
      <c r="AA59" s="96"/>
      <c r="AB59" s="191"/>
      <c r="AC59" s="191"/>
      <c r="AE59" s="161"/>
      <c r="AF59" s="161"/>
      <c r="AG59" s="161"/>
      <c r="AH59" s="2"/>
      <c r="AI59" s="161"/>
      <c r="AJ59" s="237"/>
      <c r="AK59" s="161"/>
      <c r="AL59" s="56"/>
      <c r="AM59" s="390"/>
      <c r="AN59" s="189"/>
      <c r="AO59" s="189"/>
      <c r="AQ59" s="392"/>
      <c r="AR59" s="392"/>
      <c r="AS59" s="414"/>
      <c r="AV59" s="191"/>
      <c r="AW59" s="191"/>
      <c r="AX59" s="192"/>
    </row>
    <row r="60" customFormat="false" ht="11.1" hidden="false" customHeight="true" outlineLevel="0" collapsed="false">
      <c r="G60" s="283"/>
      <c r="Q60" s="8"/>
      <c r="R60" s="8"/>
      <c r="S60" s="8"/>
      <c r="T60" s="8"/>
      <c r="W60" s="56"/>
      <c r="X60" s="1"/>
      <c r="Y60" s="1"/>
      <c r="Z60" s="161"/>
      <c r="AA60" s="1"/>
      <c r="AB60" s="161"/>
      <c r="AH60" s="161"/>
      <c r="AK60" s="56"/>
      <c r="AL60" s="56"/>
      <c r="AM60" s="8"/>
      <c r="AN60" s="189"/>
      <c r="AO60" s="189"/>
      <c r="AQ60" s="392"/>
      <c r="AR60" s="392"/>
      <c r="AS60" s="414"/>
      <c r="AV60" s="188"/>
      <c r="AW60" s="191"/>
      <c r="AX60" s="192"/>
    </row>
    <row r="61" customFormat="false" ht="11.1" hidden="false" customHeight="true" outlineLevel="0" collapsed="false">
      <c r="Q61" s="8"/>
      <c r="R61" s="8"/>
      <c r="S61" s="8"/>
      <c r="T61" s="8"/>
      <c r="W61" s="56"/>
      <c r="X61" s="161"/>
      <c r="Y61" s="161"/>
      <c r="Z61" s="161"/>
      <c r="AA61" s="161"/>
      <c r="AB61" s="161"/>
      <c r="AH61" s="161"/>
      <c r="AK61" s="56"/>
      <c r="AL61" s="56"/>
      <c r="AM61" s="8"/>
      <c r="AN61" s="189"/>
      <c r="AO61" s="189"/>
      <c r="AQ61" s="392"/>
      <c r="AR61" s="392"/>
      <c r="AS61" s="414"/>
      <c r="AV61" s="188"/>
      <c r="AW61" s="191"/>
      <c r="AX61" s="192"/>
    </row>
    <row r="62" customFormat="false" ht="11.1" hidden="false" customHeight="true" outlineLevel="0" collapsed="false">
      <c r="Q62" s="8"/>
      <c r="R62" s="8"/>
      <c r="S62" s="8"/>
      <c r="T62" s="8"/>
      <c r="W62" s="56"/>
      <c r="X62" s="161"/>
      <c r="Y62" s="161"/>
      <c r="Z62" s="161"/>
      <c r="AA62" s="161"/>
      <c r="AB62" s="161"/>
      <c r="AH62" s="161"/>
      <c r="AK62" s="56"/>
      <c r="AL62" s="56"/>
      <c r="AM62" s="8"/>
      <c r="AN62" s="189"/>
      <c r="AO62" s="189"/>
      <c r="AQ62" s="392"/>
      <c r="AR62" s="392"/>
      <c r="AS62" s="414"/>
      <c r="AV62" s="188"/>
      <c r="AW62" s="191"/>
      <c r="AX62" s="192"/>
    </row>
    <row r="63" customFormat="false" ht="11.1" hidden="false" customHeight="true" outlineLevel="0" collapsed="false">
      <c r="X63" s="161"/>
      <c r="Y63" s="161"/>
      <c r="AA63" s="161"/>
    </row>
  </sheetData>
  <mergeCells count="2">
    <mergeCell ref="Z2:AD2"/>
    <mergeCell ref="M5:U5"/>
  </mergeCells>
  <printOptions headings="true" gridLines="true" gridLinesSet="true" horizontalCentered="false" verticalCentered="true"/>
  <pageMargins left="0.25" right="0.25" top="0.25" bottom="0" header="0.511811023622047" footer="0.511811023622047"/>
  <pageSetup paperSize="3" scale="84"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B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6" width="4.66"/>
    <col collapsed="false" customWidth="true" hidden="false" outlineLevel="0" max="2" min="2" style="56" width="6.99"/>
    <col collapsed="false" customWidth="true" hidden="false" outlineLevel="0" max="3" min="3" style="161" width="6.32"/>
    <col collapsed="false" customWidth="true" hidden="false" outlineLevel="0" max="4" min="4" style="56" width="6.32"/>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195" width="5.66"/>
    <col collapsed="false" customWidth="true" hidden="false" outlineLevel="0" max="11" min="9" style="56" width="6.32"/>
    <col collapsed="false" customWidth="true" hidden="false" outlineLevel="0" max="12" min="12" style="56" width="6.82"/>
    <col collapsed="false" customWidth="true" hidden="false" outlineLevel="0" max="13" min="13" style="111" width="5.49"/>
    <col collapsed="false" customWidth="true" hidden="false" outlineLevel="0" max="14" min="14" style="111" width="4.49"/>
    <col collapsed="false" customWidth="true" hidden="false" outlineLevel="0" max="15" min="15" style="111" width="5.49"/>
    <col collapsed="false" customWidth="true" hidden="false" outlineLevel="0" max="16" min="16" style="8" width="4.82"/>
    <col collapsed="false" customWidth="true" hidden="false" outlineLevel="0" max="20" min="17" style="8" width="4.32"/>
    <col collapsed="false" customWidth="true" hidden="false" outlineLevel="0" max="21" min="21" style="8" width="5.16"/>
    <col collapsed="false" customWidth="true" hidden="false" outlineLevel="0" max="22" min="22" style="56" width="5.49"/>
    <col collapsed="false" customWidth="true" hidden="false" outlineLevel="0" max="23" min="23" style="161" width="5.49"/>
    <col collapsed="false" customWidth="true" hidden="false" outlineLevel="0" max="25" min="24" style="56" width="6.32"/>
    <col collapsed="false" customWidth="true" hidden="false" outlineLevel="0" max="26" min="26" style="56" width="5.49"/>
    <col collapsed="false" customWidth="true" hidden="false" outlineLevel="0" max="27" min="27" style="56" width="6.32"/>
    <col collapsed="false" customWidth="true" hidden="false" outlineLevel="0" max="28" min="28" style="56" width="5.49"/>
    <col collapsed="false" customWidth="true" hidden="false" outlineLevel="0" max="29" min="29" style="161" width="5.82"/>
    <col collapsed="false" customWidth="true" hidden="false" outlineLevel="0" max="30" min="30" style="161" width="5.49"/>
    <col collapsed="false" customWidth="true" hidden="false" outlineLevel="0" max="33" min="31" style="56" width="5.49"/>
    <col collapsed="false" customWidth="true" hidden="false" outlineLevel="0" max="34" min="34" style="56" width="6.32"/>
    <col collapsed="false" customWidth="true" hidden="false" outlineLevel="0" max="35" min="35" style="56" width="5.49"/>
    <col collapsed="false" customWidth="true" hidden="false" outlineLevel="0" max="36" min="36" style="189" width="6.32"/>
    <col collapsed="false" customWidth="true" hidden="false" outlineLevel="0" max="37" min="37" style="8" width="6.32"/>
    <col collapsed="false" customWidth="true" hidden="false" outlineLevel="0" max="38" min="38" style="188" width="6.82"/>
    <col collapsed="false" customWidth="true" hidden="false" outlineLevel="0" max="39" min="39" style="191" width="6.82"/>
    <col collapsed="false" customWidth="true" hidden="false" outlineLevel="0" max="41" min="40" style="56" width="5.49"/>
    <col collapsed="false" customWidth="true" hidden="false" outlineLevel="0" max="42" min="42" style="111" width="6.32"/>
    <col collapsed="false" customWidth="true" hidden="false" outlineLevel="0" max="43" min="43" style="8" width="6.32"/>
    <col collapsed="false" customWidth="true" hidden="false" outlineLevel="0" max="44" min="44" style="8" width="5.49"/>
    <col collapsed="false" customWidth="true" hidden="false" outlineLevel="0" max="46" min="45" style="56" width="5.82"/>
    <col collapsed="false" customWidth="true" hidden="false" outlineLevel="0" max="47" min="47" style="111" width="5.82"/>
    <col collapsed="false" customWidth="true" hidden="false" outlineLevel="0" max="48" min="48" style="192" width="5.32"/>
    <col collapsed="false" customWidth="true" hidden="false" outlineLevel="0" max="49" min="49" style="56" width="3.82"/>
    <col collapsed="false" customWidth="true" hidden="false" outlineLevel="0" max="50" min="50" style="8" width="3.82"/>
    <col collapsed="false" customWidth="true" hidden="false" outlineLevel="0" max="51" min="51" style="193" width="3.82"/>
    <col collapsed="false" customWidth="true" hidden="false" outlineLevel="0" max="52" min="52" style="193" width="6.49"/>
    <col collapsed="false" customWidth="false" hidden="false" outlineLevel="0" max="54" min="53" style="56" width="9.32"/>
    <col collapsed="false" customWidth="false" hidden="false" outlineLevel="0" max="257" min="55" style="193" width="9.32"/>
  </cols>
  <sheetData>
    <row r="1" customFormat="false" ht="14.1" hidden="false" customHeight="true" outlineLevel="0" collapsed="false">
      <c r="A1" s="194"/>
      <c r="B1" s="194"/>
      <c r="D1" s="194"/>
      <c r="F1" s="194"/>
      <c r="G1" s="194"/>
      <c r="I1" s="194"/>
      <c r="J1" s="194"/>
      <c r="K1" s="196" t="s">
        <v>0</v>
      </c>
      <c r="L1" s="194"/>
      <c r="M1" s="194"/>
      <c r="N1" s="194"/>
      <c r="O1" s="194"/>
      <c r="V1" s="194"/>
      <c r="W1" s="194"/>
      <c r="X1" s="161"/>
      <c r="Y1" s="161"/>
      <c r="Z1" s="194"/>
      <c r="AA1" s="161"/>
      <c r="AB1" s="194"/>
      <c r="AC1" s="194"/>
      <c r="AD1" s="194"/>
      <c r="AE1" s="194"/>
      <c r="AF1" s="194"/>
      <c r="AG1" s="194"/>
      <c r="AH1" s="161"/>
      <c r="AI1" s="194"/>
      <c r="AJ1" s="197"/>
      <c r="AK1" s="194"/>
      <c r="AL1" s="194"/>
      <c r="AM1" s="8"/>
      <c r="AN1" s="197"/>
      <c r="AO1" s="197"/>
      <c r="AP1" s="335"/>
      <c r="AQ1" s="300"/>
      <c r="AR1" s="300"/>
      <c r="AV1" s="188"/>
      <c r="AW1" s="191"/>
      <c r="AX1" s="192"/>
    </row>
    <row r="2" customFormat="false" ht="14.1" hidden="false" customHeight="true" outlineLevel="0" collapsed="false">
      <c r="A2" s="197" t="s">
        <v>1</v>
      </c>
      <c r="B2" s="194"/>
      <c r="D2" s="198" t="n">
        <v>1.9835</v>
      </c>
      <c r="F2" s="194"/>
      <c r="G2" s="194"/>
      <c r="I2" s="194"/>
      <c r="J2" s="194"/>
      <c r="K2" s="199" t="s">
        <v>149</v>
      </c>
      <c r="L2" s="199"/>
      <c r="M2" s="199"/>
      <c r="N2" s="199"/>
      <c r="O2" s="199"/>
      <c r="P2" s="199"/>
      <c r="Q2" s="199"/>
      <c r="R2" s="199"/>
      <c r="S2" s="199"/>
      <c r="T2" s="199"/>
      <c r="U2" s="199"/>
      <c r="V2" s="199"/>
      <c r="W2" s="200"/>
      <c r="X2" s="90"/>
      <c r="Y2" s="90"/>
      <c r="Z2" s="200"/>
      <c r="AA2" s="90"/>
      <c r="AB2" s="200"/>
      <c r="AC2" s="200"/>
      <c r="AD2" s="200"/>
      <c r="AE2" s="194"/>
      <c r="AF2" s="194"/>
      <c r="AG2" s="194"/>
      <c r="AH2" s="161"/>
      <c r="AI2" s="194"/>
      <c r="AJ2" s="197"/>
      <c r="AK2" s="194"/>
      <c r="AL2" s="194"/>
      <c r="AM2" s="8"/>
      <c r="AN2" s="197"/>
      <c r="AO2" s="197"/>
      <c r="AP2" s="335"/>
      <c r="AQ2" s="300"/>
      <c r="AR2" s="300"/>
      <c r="AV2" s="188"/>
      <c r="AW2" s="191"/>
      <c r="AX2" s="192"/>
    </row>
    <row r="3" customFormat="false" ht="14.1" hidden="false" customHeight="true" outlineLevel="0" collapsed="false">
      <c r="A3" s="202"/>
      <c r="B3" s="202"/>
      <c r="C3" s="203"/>
      <c r="D3" s="204"/>
      <c r="E3" s="203"/>
      <c r="F3" s="202"/>
      <c r="G3" s="202"/>
      <c r="H3" s="205"/>
      <c r="I3" s="202"/>
      <c r="J3" s="202"/>
      <c r="K3" s="202"/>
      <c r="L3" s="202"/>
      <c r="M3" s="202"/>
      <c r="N3" s="202"/>
      <c r="O3" s="202"/>
      <c r="P3" s="206"/>
      <c r="Q3" s="206"/>
      <c r="R3" s="206"/>
      <c r="S3" s="206"/>
      <c r="T3" s="206"/>
      <c r="U3" s="206"/>
      <c r="V3" s="202"/>
      <c r="W3" s="202"/>
      <c r="X3" s="203"/>
      <c r="Y3" s="203"/>
      <c r="Z3" s="202"/>
      <c r="AA3" s="203"/>
      <c r="AB3" s="202"/>
      <c r="AC3" s="202"/>
      <c r="AD3" s="202"/>
      <c r="AE3" s="202"/>
      <c r="AF3" s="202"/>
      <c r="AG3" s="202"/>
      <c r="AH3" s="203"/>
      <c r="AI3" s="202"/>
      <c r="AJ3" s="208"/>
      <c r="AK3" s="202"/>
      <c r="AL3" s="202"/>
      <c r="AM3" s="206"/>
      <c r="AN3" s="208"/>
      <c r="AO3" s="208"/>
      <c r="AP3" s="337"/>
      <c r="AQ3" s="336"/>
      <c r="AR3" s="300"/>
      <c r="AS3" s="294"/>
      <c r="AV3" s="211"/>
      <c r="AW3" s="212"/>
      <c r="AX3" s="213"/>
      <c r="BA3" s="209"/>
    </row>
    <row r="4" s="56" customFormat="true" ht="14.1" hidden="false" customHeight="true" outlineLevel="0" collapsed="false">
      <c r="A4" s="194"/>
      <c r="B4" s="396"/>
      <c r="C4" s="397"/>
      <c r="D4" s="398" t="s">
        <v>3</v>
      </c>
      <c r="E4" s="397"/>
      <c r="F4" s="576"/>
      <c r="G4" s="194"/>
      <c r="H4" s="195"/>
      <c r="I4" s="573" t="s">
        <v>4</v>
      </c>
      <c r="J4" s="573"/>
      <c r="K4" s="194"/>
      <c r="L4" s="401"/>
      <c r="M4" s="194"/>
      <c r="N4" s="194"/>
      <c r="O4" s="194"/>
      <c r="P4" s="8"/>
      <c r="Q4" s="8"/>
      <c r="R4" s="8"/>
      <c r="S4" s="8"/>
      <c r="T4" s="8"/>
      <c r="U4" s="8"/>
      <c r="V4" s="406"/>
      <c r="W4" s="194"/>
      <c r="X4" s="406" t="s">
        <v>5</v>
      </c>
      <c r="Y4" s="161"/>
      <c r="Z4" s="194"/>
      <c r="AA4" s="161"/>
      <c r="AB4" s="194"/>
      <c r="AC4" s="194"/>
      <c r="AD4" s="194"/>
      <c r="AE4" s="194"/>
      <c r="AF4" s="194"/>
      <c r="AG4" s="194"/>
      <c r="AH4" s="161"/>
      <c r="AI4" s="194"/>
      <c r="AJ4" s="197"/>
      <c r="AK4" s="194"/>
      <c r="AL4" s="194"/>
      <c r="AM4" s="8"/>
      <c r="AN4" s="396"/>
      <c r="AO4" s="194"/>
      <c r="AP4" s="577" t="s">
        <v>6</v>
      </c>
      <c r="AQ4" s="577"/>
      <c r="AR4" s="578"/>
      <c r="AS4" s="579"/>
      <c r="AT4" s="580"/>
      <c r="AU4" s="399"/>
      <c r="AV4" s="408"/>
      <c r="AW4" s="409" t="s">
        <v>7</v>
      </c>
      <c r="AX4" s="410"/>
      <c r="AY4" s="57"/>
      <c r="AZ4" s="411"/>
      <c r="BB4" s="57"/>
    </row>
    <row r="5" customFormat="false" ht="12.95" hidden="false" customHeight="true" outlineLevel="0" collapsed="false">
      <c r="A5" s="333" t="s">
        <v>8</v>
      </c>
      <c r="B5" s="412" t="s">
        <v>9</v>
      </c>
      <c r="C5" s="413" t="s">
        <v>9</v>
      </c>
      <c r="D5" s="333" t="s">
        <v>10</v>
      </c>
      <c r="E5" s="413" t="s">
        <v>11</v>
      </c>
      <c r="F5" s="333" t="s">
        <v>12</v>
      </c>
      <c r="G5" s="412" t="s">
        <v>13</v>
      </c>
      <c r="H5" s="414" t="s">
        <v>14</v>
      </c>
      <c r="I5" s="333" t="s">
        <v>15</v>
      </c>
      <c r="J5" s="333" t="s">
        <v>16</v>
      </c>
      <c r="K5" s="333" t="s">
        <v>17</v>
      </c>
      <c r="L5" s="333" t="s">
        <v>16</v>
      </c>
      <c r="M5" s="415" t="s">
        <v>18</v>
      </c>
      <c r="N5" s="415"/>
      <c r="O5" s="415"/>
      <c r="P5" s="415"/>
      <c r="Q5" s="415"/>
      <c r="R5" s="415"/>
      <c r="S5" s="415"/>
      <c r="T5" s="415"/>
      <c r="U5" s="415"/>
      <c r="V5" s="333" t="s">
        <v>19</v>
      </c>
      <c r="W5" s="333" t="s">
        <v>20</v>
      </c>
      <c r="X5" s="58" t="s">
        <v>17</v>
      </c>
      <c r="Y5" s="58" t="s">
        <v>17</v>
      </c>
      <c r="Z5" s="64" t="s">
        <v>21</v>
      </c>
      <c r="AA5" s="58" t="s">
        <v>21</v>
      </c>
      <c r="AB5" s="64" t="s">
        <v>21</v>
      </c>
      <c r="AC5" s="413" t="s">
        <v>22</v>
      </c>
      <c r="AD5" s="413" t="s">
        <v>21</v>
      </c>
      <c r="AE5" s="333" t="s">
        <v>23</v>
      </c>
      <c r="AF5" s="416" t="s">
        <v>132</v>
      </c>
      <c r="AG5" s="417"/>
      <c r="AH5" s="418" t="s">
        <v>25</v>
      </c>
      <c r="AI5" s="413" t="s">
        <v>133</v>
      </c>
      <c r="AJ5" s="413" t="s">
        <v>27</v>
      </c>
      <c r="AK5" s="333" t="s">
        <v>15</v>
      </c>
      <c r="AL5" s="333" t="s">
        <v>16</v>
      </c>
      <c r="AM5" s="333" t="s">
        <v>17</v>
      </c>
      <c r="AN5" s="464" t="s">
        <v>28</v>
      </c>
      <c r="AO5" s="64" t="s">
        <v>21</v>
      </c>
      <c r="AP5" s="70" t="s">
        <v>29</v>
      </c>
      <c r="AQ5" s="70" t="s">
        <v>29</v>
      </c>
      <c r="AR5" s="65" t="s">
        <v>30</v>
      </c>
      <c r="AS5" s="71" t="s">
        <v>31</v>
      </c>
      <c r="AT5" s="414" t="s">
        <v>32</v>
      </c>
      <c r="AU5" s="72" t="s">
        <v>33</v>
      </c>
      <c r="AV5" s="419" t="s">
        <v>34</v>
      </c>
      <c r="AW5" s="418" t="s">
        <v>35</v>
      </c>
      <c r="AX5" s="418" t="s">
        <v>36</v>
      </c>
      <c r="AY5" s="264"/>
      <c r="AZ5" s="305" t="s">
        <v>17</v>
      </c>
      <c r="BA5" s="76" t="s">
        <v>37</v>
      </c>
      <c r="BB5" s="77" t="s">
        <v>37</v>
      </c>
    </row>
    <row r="6" customFormat="false" ht="12.95" hidden="false" customHeight="true" outlineLevel="0" collapsed="false">
      <c r="A6" s="420" t="s">
        <v>150</v>
      </c>
      <c r="B6" s="412" t="s">
        <v>39</v>
      </c>
      <c r="C6" s="413"/>
      <c r="D6" s="333" t="s">
        <v>40</v>
      </c>
      <c r="E6" s="413" t="s">
        <v>41</v>
      </c>
      <c r="F6" s="333" t="s">
        <v>42</v>
      </c>
      <c r="G6" s="412" t="s">
        <v>43</v>
      </c>
      <c r="H6" s="414" t="s">
        <v>44</v>
      </c>
      <c r="I6" s="333" t="s">
        <v>45</v>
      </c>
      <c r="J6" s="333" t="s">
        <v>45</v>
      </c>
      <c r="K6" s="333" t="s">
        <v>45</v>
      </c>
      <c r="L6" s="333" t="s">
        <v>46</v>
      </c>
      <c r="M6" s="421" t="s">
        <v>47</v>
      </c>
      <c r="N6" s="76" t="s">
        <v>48</v>
      </c>
      <c r="O6" s="333" t="s">
        <v>49</v>
      </c>
      <c r="P6" s="76" t="s">
        <v>135</v>
      </c>
      <c r="Q6" s="61" t="s">
        <v>51</v>
      </c>
      <c r="R6" s="61" t="s">
        <v>52</v>
      </c>
      <c r="S6" s="61"/>
      <c r="T6" s="61" t="s">
        <v>49</v>
      </c>
      <c r="U6" s="422" t="s">
        <v>53</v>
      </c>
      <c r="V6" s="333" t="s">
        <v>54</v>
      </c>
      <c r="W6" s="333" t="s">
        <v>55</v>
      </c>
      <c r="X6" s="58" t="s">
        <v>21</v>
      </c>
      <c r="Y6" s="58" t="s">
        <v>21</v>
      </c>
      <c r="Z6" s="64" t="s">
        <v>56</v>
      </c>
      <c r="AA6" s="58" t="s">
        <v>56</v>
      </c>
      <c r="AB6" s="64" t="s">
        <v>57</v>
      </c>
      <c r="AC6" s="413" t="s">
        <v>58</v>
      </c>
      <c r="AD6" s="413" t="s">
        <v>59</v>
      </c>
      <c r="AE6" s="424" t="s">
        <v>60</v>
      </c>
      <c r="AF6" s="61" t="s">
        <v>61</v>
      </c>
      <c r="AG6" s="61" t="s">
        <v>62</v>
      </c>
      <c r="AH6" s="581" t="s">
        <v>63</v>
      </c>
      <c r="AI6" s="413" t="s">
        <v>64</v>
      </c>
      <c r="AJ6" s="413"/>
      <c r="AK6" s="333" t="s">
        <v>65</v>
      </c>
      <c r="AL6" s="333" t="s">
        <v>65</v>
      </c>
      <c r="AM6" s="333" t="s">
        <v>65</v>
      </c>
      <c r="AN6" s="464" t="s">
        <v>66</v>
      </c>
      <c r="AO6" s="64" t="s">
        <v>67</v>
      </c>
      <c r="AP6" s="70" t="s">
        <v>68</v>
      </c>
      <c r="AQ6" s="70" t="s">
        <v>68</v>
      </c>
      <c r="AR6" s="65" t="s">
        <v>69</v>
      </c>
      <c r="AS6" s="71" t="s">
        <v>70</v>
      </c>
      <c r="AT6" s="414" t="s">
        <v>71</v>
      </c>
      <c r="AU6" s="72" t="s">
        <v>72</v>
      </c>
      <c r="AV6" s="423"/>
      <c r="AW6" s="418" t="s">
        <v>73</v>
      </c>
      <c r="AX6" s="418" t="s">
        <v>73</v>
      </c>
      <c r="AY6" s="264"/>
      <c r="AZ6" s="305" t="s">
        <v>74</v>
      </c>
      <c r="BA6" s="76" t="s">
        <v>75</v>
      </c>
      <c r="BB6" s="77" t="s">
        <v>76</v>
      </c>
    </row>
    <row r="7" customFormat="false" ht="12.95" hidden="false" customHeight="true" outlineLevel="0" collapsed="false">
      <c r="A7" s="333"/>
      <c r="B7" s="412"/>
      <c r="C7" s="413"/>
      <c r="D7" s="333"/>
      <c r="E7" s="413"/>
      <c r="F7" s="333"/>
      <c r="G7" s="412"/>
      <c r="H7" s="414"/>
      <c r="I7" s="333"/>
      <c r="J7" s="333"/>
      <c r="K7" s="333"/>
      <c r="L7" s="333"/>
      <c r="M7" s="421"/>
      <c r="N7" s="76" t="s">
        <v>77</v>
      </c>
      <c r="O7" s="333" t="s">
        <v>78</v>
      </c>
      <c r="P7" s="76"/>
      <c r="Q7" s="61" t="s">
        <v>79</v>
      </c>
      <c r="R7" s="61" t="s">
        <v>79</v>
      </c>
      <c r="S7" s="61" t="s">
        <v>62</v>
      </c>
      <c r="T7" s="61" t="s">
        <v>62</v>
      </c>
      <c r="U7" s="422" t="s">
        <v>80</v>
      </c>
      <c r="V7" s="333"/>
      <c r="W7" s="333"/>
      <c r="X7" s="68" t="s">
        <v>81</v>
      </c>
      <c r="Y7" s="60" t="s">
        <v>82</v>
      </c>
      <c r="Z7" s="64" t="s">
        <v>83</v>
      </c>
      <c r="AA7" s="58" t="s">
        <v>84</v>
      </c>
      <c r="AB7" s="64" t="s">
        <v>85</v>
      </c>
      <c r="AC7" s="413"/>
      <c r="AD7" s="413"/>
      <c r="AE7" s="424"/>
      <c r="AF7" s="84" t="n">
        <v>1.7</v>
      </c>
      <c r="AG7" s="84" t="n">
        <v>1.3</v>
      </c>
      <c r="AH7" s="581"/>
      <c r="AI7" s="413"/>
      <c r="AJ7" s="413"/>
      <c r="AK7" s="333"/>
      <c r="AL7" s="333"/>
      <c r="AM7" s="333"/>
      <c r="AN7" s="464"/>
      <c r="AO7" s="64" t="s">
        <v>42</v>
      </c>
      <c r="AP7" s="70" t="s">
        <v>86</v>
      </c>
      <c r="AQ7" s="70" t="s">
        <v>87</v>
      </c>
      <c r="AR7" s="65" t="s">
        <v>88</v>
      </c>
      <c r="AS7" s="71" t="s">
        <v>89</v>
      </c>
      <c r="AT7" s="414" t="s">
        <v>90</v>
      </c>
      <c r="AU7" s="72" t="s">
        <v>81</v>
      </c>
      <c r="AV7" s="423"/>
      <c r="AW7" s="418"/>
      <c r="AX7" s="418"/>
      <c r="AY7" s="264"/>
      <c r="AZ7" s="305" t="s">
        <v>91</v>
      </c>
      <c r="BA7" s="8"/>
      <c r="BB7" s="86"/>
    </row>
    <row r="8" customFormat="false" ht="12.95" hidden="false" customHeight="true" outlineLevel="0" collapsed="false">
      <c r="A8" s="333"/>
      <c r="B8" s="412"/>
      <c r="C8" s="413"/>
      <c r="D8" s="333"/>
      <c r="E8" s="413"/>
      <c r="F8" s="333"/>
      <c r="G8" s="412"/>
      <c r="H8" s="414"/>
      <c r="I8" s="333"/>
      <c r="J8" s="333"/>
      <c r="K8" s="333"/>
      <c r="L8" s="333"/>
      <c r="M8" s="421"/>
      <c r="N8" s="61"/>
      <c r="O8" s="90" t="n">
        <v>24517</v>
      </c>
      <c r="P8" s="76"/>
      <c r="Q8" s="61" t="s">
        <v>62</v>
      </c>
      <c r="R8" s="61" t="s">
        <v>62</v>
      </c>
      <c r="S8" s="61"/>
      <c r="T8" s="61"/>
      <c r="U8" s="422"/>
      <c r="V8" s="333"/>
      <c r="W8" s="333"/>
      <c r="X8" s="68" t="s">
        <v>92</v>
      </c>
      <c r="Y8" s="60" t="s">
        <v>81</v>
      </c>
      <c r="Z8" s="64"/>
      <c r="AA8" s="60" t="s">
        <v>93</v>
      </c>
      <c r="AB8" s="64" t="s">
        <v>94</v>
      </c>
      <c r="AC8" s="413"/>
      <c r="AD8" s="413" t="n">
        <v>2353.04435564599</v>
      </c>
      <c r="AE8" s="582" t="n">
        <v>62267</v>
      </c>
      <c r="AF8" s="200"/>
      <c r="AG8" s="200"/>
      <c r="AH8" s="581"/>
      <c r="AI8" s="413"/>
      <c r="AJ8" s="413"/>
      <c r="AK8" s="333"/>
      <c r="AL8" s="333"/>
      <c r="AM8" s="333"/>
      <c r="AN8" s="464"/>
      <c r="AO8" s="64"/>
      <c r="AP8" s="70"/>
      <c r="AQ8" s="70"/>
      <c r="AR8" s="65"/>
      <c r="AS8" s="184" t="n">
        <v>1535.7</v>
      </c>
      <c r="AT8" s="201" t="n">
        <v>400</v>
      </c>
      <c r="AU8" s="72"/>
      <c r="AV8" s="423"/>
      <c r="AW8" s="418"/>
      <c r="AX8" s="418"/>
      <c r="AY8" s="264"/>
      <c r="AZ8" s="305"/>
      <c r="BA8" s="8"/>
      <c r="BB8" s="86"/>
    </row>
    <row r="9" customFormat="false" ht="12.95" hidden="false" customHeight="true" outlineLevel="0" collapsed="false">
      <c r="A9" s="333"/>
      <c r="B9" s="412"/>
      <c r="C9" s="413"/>
      <c r="D9" s="333"/>
      <c r="E9" s="413"/>
      <c r="F9" s="333"/>
      <c r="G9" s="412"/>
      <c r="H9" s="414"/>
      <c r="I9" s="333"/>
      <c r="J9" s="333"/>
      <c r="K9" s="333"/>
      <c r="L9" s="333"/>
      <c r="M9" s="421"/>
      <c r="N9" s="76"/>
      <c r="O9" s="413"/>
      <c r="P9" s="76"/>
      <c r="Q9" s="61"/>
      <c r="R9" s="87" t="n">
        <v>4.2</v>
      </c>
      <c r="S9" s="61"/>
      <c r="T9" s="61"/>
      <c r="U9" s="422"/>
      <c r="V9" s="333"/>
      <c r="W9" s="333"/>
      <c r="X9" s="68"/>
      <c r="Y9" s="60" t="s">
        <v>92</v>
      </c>
      <c r="Z9" s="64"/>
      <c r="AA9" s="60" t="s">
        <v>92</v>
      </c>
      <c r="AB9" s="64" t="s">
        <v>95</v>
      </c>
      <c r="AC9" s="413"/>
      <c r="AD9" s="413"/>
      <c r="AE9" s="333"/>
      <c r="AF9" s="425"/>
      <c r="AG9" s="426"/>
      <c r="AH9" s="418"/>
      <c r="AI9" s="413"/>
      <c r="AJ9" s="413"/>
      <c r="AK9" s="333"/>
      <c r="AL9" s="333"/>
      <c r="AM9" s="333"/>
      <c r="AN9" s="464"/>
      <c r="AO9" s="64"/>
      <c r="AP9" s="70"/>
      <c r="AQ9" s="70"/>
      <c r="AR9" s="65"/>
      <c r="AS9" s="71"/>
      <c r="AT9" s="201" t="n">
        <f aca="false">AT8/D2</f>
        <v>201.663725737333</v>
      </c>
      <c r="AU9" s="72"/>
      <c r="AV9" s="423"/>
      <c r="AW9" s="418"/>
      <c r="AX9" s="418"/>
      <c r="AY9" s="264"/>
      <c r="AZ9" s="305"/>
      <c r="BA9" s="8"/>
      <c r="BB9" s="77" t="s">
        <v>96</v>
      </c>
    </row>
    <row r="10" customFormat="false" ht="12.95" hidden="false" customHeight="true" outlineLevel="0" collapsed="false">
      <c r="A10" s="333"/>
      <c r="B10" s="412"/>
      <c r="C10" s="413" t="s">
        <v>10</v>
      </c>
      <c r="D10" s="333"/>
      <c r="E10" s="413" t="s">
        <v>98</v>
      </c>
      <c r="F10" s="333"/>
      <c r="G10" s="412" t="s">
        <v>42</v>
      </c>
      <c r="H10" s="414" t="s">
        <v>42</v>
      </c>
      <c r="I10" s="414" t="s">
        <v>42</v>
      </c>
      <c r="J10" s="414" t="s">
        <v>42</v>
      </c>
      <c r="K10" s="414" t="s">
        <v>42</v>
      </c>
      <c r="L10" s="414" t="s">
        <v>42</v>
      </c>
      <c r="M10" s="428" t="s">
        <v>42</v>
      </c>
      <c r="N10" s="414" t="s">
        <v>42</v>
      </c>
      <c r="O10" s="414" t="s">
        <v>42</v>
      </c>
      <c r="P10" s="414" t="s">
        <v>42</v>
      </c>
      <c r="Q10" s="61" t="s">
        <v>42</v>
      </c>
      <c r="R10" s="61" t="s">
        <v>42</v>
      </c>
      <c r="S10" s="61" t="s">
        <v>42</v>
      </c>
      <c r="T10" s="61" t="s">
        <v>42</v>
      </c>
      <c r="U10" s="427" t="s">
        <v>42</v>
      </c>
      <c r="V10" s="414" t="s">
        <v>42</v>
      </c>
      <c r="W10" s="414" t="s">
        <v>42</v>
      </c>
      <c r="X10" s="60" t="n">
        <v>153400</v>
      </c>
      <c r="Y10" s="60" t="n">
        <v>150400</v>
      </c>
      <c r="Z10" s="61" t="s">
        <v>42</v>
      </c>
      <c r="AA10" s="60"/>
      <c r="AB10" s="60" t="n">
        <v>72000</v>
      </c>
      <c r="AC10" s="414" t="s">
        <v>42</v>
      </c>
      <c r="AD10" s="414" t="s">
        <v>42</v>
      </c>
      <c r="AE10" s="414" t="s">
        <v>42</v>
      </c>
      <c r="AF10" s="428" t="s">
        <v>42</v>
      </c>
      <c r="AG10" s="427" t="s">
        <v>42</v>
      </c>
      <c r="AH10" s="414" t="s">
        <v>42</v>
      </c>
      <c r="AI10" s="414" t="s">
        <v>42</v>
      </c>
      <c r="AJ10" s="414" t="s">
        <v>42</v>
      </c>
      <c r="AK10" s="414" t="s">
        <v>42</v>
      </c>
      <c r="AL10" s="414" t="s">
        <v>42</v>
      </c>
      <c r="AM10" s="414" t="s">
        <v>42</v>
      </c>
      <c r="AN10" s="464" t="s">
        <v>42</v>
      </c>
      <c r="AO10" s="64" t="s">
        <v>42</v>
      </c>
      <c r="AP10" s="64" t="s">
        <v>42</v>
      </c>
      <c r="AQ10" s="70" t="s">
        <v>99</v>
      </c>
      <c r="AR10" s="65" t="s">
        <v>42</v>
      </c>
      <c r="AS10" s="64" t="s">
        <v>42</v>
      </c>
      <c r="AT10" s="64" t="s">
        <v>42</v>
      </c>
      <c r="AU10" s="64" t="s">
        <v>42</v>
      </c>
      <c r="AV10" s="423"/>
      <c r="AW10" s="418"/>
      <c r="AX10" s="418"/>
      <c r="AY10" s="264"/>
      <c r="AZ10" s="305" t="s">
        <v>100</v>
      </c>
      <c r="BA10" s="76" t="s">
        <v>42</v>
      </c>
      <c r="BB10" s="77" t="s">
        <v>98</v>
      </c>
    </row>
    <row r="11" customFormat="false" ht="12.95" hidden="false" customHeight="true" outlineLevel="0" collapsed="false">
      <c r="A11" s="333"/>
      <c r="B11" s="412"/>
      <c r="C11" s="413"/>
      <c r="D11" s="333"/>
      <c r="E11" s="413"/>
      <c r="F11" s="333"/>
      <c r="G11" s="412"/>
      <c r="H11" s="414"/>
      <c r="I11" s="333"/>
      <c r="J11" s="333"/>
      <c r="K11" s="333"/>
      <c r="L11" s="333"/>
      <c r="M11" s="421"/>
      <c r="N11" s="76" t="n">
        <v>1.03</v>
      </c>
      <c r="O11" s="430" t="n">
        <v>1.05</v>
      </c>
      <c r="P11" s="76" t="n">
        <v>1.02</v>
      </c>
      <c r="Q11" s="88" t="n">
        <v>1.02</v>
      </c>
      <c r="R11" s="89" t="n">
        <v>1.04</v>
      </c>
      <c r="S11" s="61"/>
      <c r="T11" s="88" t="n">
        <v>1.04</v>
      </c>
      <c r="U11" s="422"/>
      <c r="V11" s="333"/>
      <c r="W11" s="333"/>
      <c r="X11" s="61" t="s">
        <v>42</v>
      </c>
      <c r="Y11" s="61" t="s">
        <v>42</v>
      </c>
      <c r="Z11" s="61" t="s">
        <v>42</v>
      </c>
      <c r="AA11" s="60" t="s">
        <v>42</v>
      </c>
      <c r="AB11" s="90" t="s">
        <v>101</v>
      </c>
      <c r="AC11" s="413"/>
      <c r="AD11" s="413"/>
      <c r="AE11" s="333"/>
      <c r="AF11" s="425"/>
      <c r="AG11" s="426"/>
      <c r="AH11" s="418"/>
      <c r="AI11" s="413"/>
      <c r="AJ11" s="413"/>
      <c r="AK11" s="333"/>
      <c r="AL11" s="333"/>
      <c r="AM11" s="333"/>
      <c r="AN11" s="464"/>
      <c r="AO11" s="64"/>
      <c r="AP11" s="70"/>
      <c r="AQ11" s="70"/>
      <c r="AR11" s="65"/>
      <c r="AS11" s="93"/>
      <c r="AT11" s="335"/>
      <c r="AU11" s="189"/>
      <c r="AV11" s="423"/>
      <c r="AW11" s="418"/>
      <c r="AX11" s="418"/>
      <c r="AY11" s="264"/>
      <c r="AZ11" s="305" t="s">
        <v>42</v>
      </c>
      <c r="BA11" s="8"/>
      <c r="BB11" s="86"/>
    </row>
    <row r="12" customFormat="false" ht="12.95" hidden="false" customHeight="true" outlineLevel="0" collapsed="false">
      <c r="A12" s="197" t="s">
        <v>102</v>
      </c>
      <c r="B12" s="223"/>
      <c r="C12" s="583"/>
      <c r="D12" s="114"/>
      <c r="E12" s="114"/>
      <c r="F12" s="224" t="n">
        <f aca="false">AUG!F50</f>
        <v>47596.6725485253</v>
      </c>
      <c r="G12" s="114" t="n">
        <f aca="false">AUG!G50</f>
        <v>121188</v>
      </c>
      <c r="H12" s="114" t="n">
        <f aca="false">AUG!H50</f>
        <v>1962.931</v>
      </c>
      <c r="I12" s="114" t="n">
        <f aca="false">AUG!I50</f>
        <v>123150.931</v>
      </c>
      <c r="J12" s="114" t="n">
        <f aca="false">AUG!J50</f>
        <v>2152.97231333501</v>
      </c>
      <c r="K12" s="114" t="n">
        <f aca="false">AUG!K50</f>
        <v>125303.893313335</v>
      </c>
      <c r="L12" s="114" t="n">
        <f aca="false">AUG!L50</f>
        <v>-7446.35173556844</v>
      </c>
      <c r="M12" s="226" t="n">
        <f aca="false">AUG!M50</f>
        <v>27645.81</v>
      </c>
      <c r="N12" s="114" t="n">
        <f aca="false">AUG!N50</f>
        <v>61.7948071590623</v>
      </c>
      <c r="O12" s="114" t="n">
        <f aca="false">AUG!O50</f>
        <v>7191.471</v>
      </c>
      <c r="P12" s="171" t="n">
        <f aca="false">AUG!P50</f>
        <v>8.07</v>
      </c>
      <c r="Q12" s="171"/>
      <c r="R12" s="171"/>
      <c r="S12" s="171"/>
      <c r="T12" s="171"/>
      <c r="U12" s="227"/>
      <c r="V12" s="114" t="n">
        <f aca="false">AUG!V50</f>
        <v>8267.8</v>
      </c>
      <c r="W12" s="114" t="n">
        <f aca="false">AUG!W50</f>
        <v>7733.89</v>
      </c>
      <c r="X12" s="114" t="n">
        <f aca="false">AUG!X50</f>
        <v>37411.8192910671</v>
      </c>
      <c r="Y12" s="161" t="n">
        <f aca="false">AUG!Y50</f>
        <v>37232.5592910671</v>
      </c>
      <c r="Z12" s="114" t="n">
        <f aca="false">AUG!Z45</f>
        <v>12783.2905955464</v>
      </c>
      <c r="AA12" s="161"/>
      <c r="AB12" s="161"/>
      <c r="AC12" s="114" t="n">
        <f aca="false">AUG!AC45</f>
        <v>1174.1268255418</v>
      </c>
      <c r="AD12" s="114" t="n">
        <f aca="false">AUG!AD45</f>
        <v>2618.93636501134</v>
      </c>
      <c r="AE12" s="114" t="n">
        <f aca="false">AUG!AE50</f>
        <v>16367.97</v>
      </c>
      <c r="AF12" s="226" t="n">
        <f aca="false">AUG!AF50</f>
        <v>260.1</v>
      </c>
      <c r="AG12" s="228" t="n">
        <f aca="false">AUG!AG50</f>
        <v>198.9</v>
      </c>
      <c r="AH12" s="114"/>
      <c r="AI12" s="114"/>
      <c r="AJ12" s="114"/>
      <c r="AK12" s="114" t="n">
        <f aca="false">AUG!AK50</f>
        <v>68107.8967159062</v>
      </c>
      <c r="AL12" s="114" t="n">
        <f aca="false">AUG!AL50</f>
        <v>9599.32404890345</v>
      </c>
      <c r="AM12" s="114" t="n">
        <f aca="false">AUG!AM50</f>
        <v>77707.2207648097</v>
      </c>
      <c r="AN12" s="230"/>
      <c r="AO12" s="225"/>
      <c r="AP12" s="144"/>
      <c r="AQ12" s="144" t="n">
        <f aca="false">AUG!AQ51</f>
        <v>1766.56522425557</v>
      </c>
      <c r="AR12" s="144" t="n">
        <f aca="false">AUG!AR50</f>
        <v>2112.01008318629</v>
      </c>
      <c r="AS12" s="225" t="n">
        <f aca="false">AUG!AS50</f>
        <v>347.28</v>
      </c>
      <c r="AT12" s="225" t="n">
        <f aca="false">AUG!AT50</f>
        <v>28.454</v>
      </c>
      <c r="AU12" s="144" t="n">
        <f aca="false">AUG!AU50</f>
        <v>0</v>
      </c>
      <c r="AV12" s="232"/>
      <c r="AW12" s="225"/>
      <c r="AX12" s="225"/>
      <c r="AY12" s="264"/>
      <c r="AZ12" s="432" t="n">
        <f aca="false">AUG!AZ50</f>
        <v>1165.08594211917</v>
      </c>
      <c r="BA12" s="111" t="n">
        <f aca="false">AUG!BA50</f>
        <v>3746.343</v>
      </c>
      <c r="BB12" s="86"/>
    </row>
    <row r="13" s="243" customFormat="true" ht="12.95" hidden="false" customHeight="true" outlineLevel="0" collapsed="false">
      <c r="A13" s="237" t="s">
        <v>103</v>
      </c>
      <c r="B13" s="437" t="n">
        <f aca="false">AUG!B45</f>
        <v>6901.67</v>
      </c>
      <c r="C13" s="114" t="n">
        <f aca="false">AUG!C45</f>
        <v>289783</v>
      </c>
      <c r="D13" s="114" t="n">
        <f aca="false">AUG!D54</f>
        <v>104043</v>
      </c>
      <c r="E13" s="114" t="n">
        <f aca="false">AUG!E54</f>
        <v>137783</v>
      </c>
      <c r="F13" s="224" t="n">
        <f aca="false">AUG!F53</f>
        <v>52454.2475422234</v>
      </c>
      <c r="G13" s="114" t="n">
        <f aca="false">AUG!G53</f>
        <v>136417</v>
      </c>
      <c r="H13" s="114" t="n">
        <f aca="false">AUG!H53</f>
        <v>2080.433</v>
      </c>
      <c r="I13" s="114" t="n">
        <f aca="false">AUG!I53</f>
        <v>138496.813</v>
      </c>
      <c r="J13" s="114" t="n">
        <f aca="false">AUG!J53</f>
        <v>4498.06121880514</v>
      </c>
      <c r="K13" s="114" t="n">
        <f aca="false">AUG!K53</f>
        <v>142994.864218805</v>
      </c>
      <c r="L13" s="114" t="n">
        <f aca="false">AUG!L53</f>
        <v>-7316.90874187043</v>
      </c>
      <c r="M13" s="226" t="n">
        <f aca="false">AUG!M53</f>
        <v>28390.34</v>
      </c>
      <c r="N13" s="114" t="n">
        <f aca="false">AUG!N53</f>
        <v>61.7948071590623</v>
      </c>
      <c r="O13" s="114" t="n">
        <f aca="false">AUG!O53</f>
        <v>7191.471</v>
      </c>
      <c r="P13" s="171"/>
      <c r="Q13" s="225" t="n">
        <f aca="false">AUG!Q53</f>
        <v>580.954859601898</v>
      </c>
      <c r="R13" s="225" t="n">
        <f aca="false">AUG!R53</f>
        <v>751.12006624</v>
      </c>
      <c r="S13" s="225" t="n">
        <f aca="false">AUG!S53</f>
        <v>78.72693408</v>
      </c>
      <c r="T13" s="225" t="n">
        <f aca="false">AUG!T53</f>
        <v>226.24709536</v>
      </c>
      <c r="U13" s="327" t="n">
        <f aca="false">AUG!U53</f>
        <v>-45.366813481233</v>
      </c>
      <c r="V13" s="114" t="n">
        <f aca="false">AUG!V53</f>
        <v>13980.29</v>
      </c>
      <c r="W13" s="114" t="n">
        <f aca="false">AUG!W53</f>
        <v>7757.92</v>
      </c>
      <c r="X13" s="114" t="n">
        <f aca="false">AUG!X53</f>
        <v>43327.0515842266</v>
      </c>
      <c r="Y13" s="161" t="n">
        <f aca="false">AUG!Y53</f>
        <v>42952.1682508932</v>
      </c>
      <c r="Z13" s="114"/>
      <c r="AA13" s="161"/>
      <c r="AB13" s="114"/>
      <c r="AC13" s="114"/>
      <c r="AD13" s="114"/>
      <c r="AE13" s="114" t="n">
        <f aca="false">AUG!AE51</f>
        <v>32465.868495</v>
      </c>
      <c r="AF13" s="104" t="n">
        <f aca="false">AF12</f>
        <v>260.1</v>
      </c>
      <c r="AG13" s="105" t="n">
        <f aca="false">AG12</f>
        <v>198.9</v>
      </c>
      <c r="AH13" s="114" t="n">
        <f aca="false">AUG!AH53</f>
        <v>12258.1</v>
      </c>
      <c r="AI13" s="114" t="n">
        <f aca="false">AUG!AI53</f>
        <v>7909.85787748928</v>
      </c>
      <c r="AJ13" s="114" t="n">
        <f aca="false">AUG!AJ53</f>
        <v>0</v>
      </c>
      <c r="AK13" s="114" t="n">
        <f aca="false">AUG!AK53</f>
        <v>78725.6467159062</v>
      </c>
      <c r="AL13" s="114" t="n">
        <f aca="false">AUG!AL53</f>
        <v>11814.9699606756</v>
      </c>
      <c r="AM13" s="114" t="n">
        <f aca="false">AUG!AM53</f>
        <v>90540.6166765818</v>
      </c>
      <c r="AN13" s="230" t="n">
        <f aca="false">AUG!AN53</f>
        <v>5685.01666666667</v>
      </c>
      <c r="AO13" s="225" t="n">
        <f aca="false">AUG!AO53</f>
        <v>374.883333333333</v>
      </c>
      <c r="AP13" s="144"/>
      <c r="AQ13" s="144" t="n">
        <f aca="false">AUG!AQ54</f>
        <v>1766.56522425557</v>
      </c>
      <c r="AR13" s="171"/>
      <c r="AS13" s="225" t="n">
        <f aca="false">AUG!AS53</f>
        <v>347.28</v>
      </c>
      <c r="AT13" s="225" t="n">
        <f aca="false">AUG!AT53</f>
        <v>28.454</v>
      </c>
      <c r="AU13" s="144"/>
      <c r="AV13" s="232" t="n">
        <f aca="false">AUG!AV53</f>
        <v>15.0866666666667</v>
      </c>
      <c r="AW13" s="225"/>
      <c r="AX13" s="225"/>
      <c r="AY13" s="312"/>
      <c r="AZ13" s="348" t="n">
        <f aca="false">AUG!AZ53</f>
        <v>1661.54694895973</v>
      </c>
      <c r="BA13" s="111" t="n">
        <f aca="false">AUG!BA53</f>
        <v>3759.949</v>
      </c>
      <c r="BB13" s="115"/>
    </row>
    <row r="14" customFormat="false" ht="3" hidden="false" customHeight="true" outlineLevel="0" collapsed="false">
      <c r="A14" s="244"/>
      <c r="B14" s="245"/>
      <c r="C14" s="246"/>
      <c r="D14" s="247"/>
      <c r="E14" s="246"/>
      <c r="F14" s="248"/>
      <c r="G14" s="247"/>
      <c r="H14" s="249"/>
      <c r="I14" s="247"/>
      <c r="J14" s="247"/>
      <c r="K14" s="247"/>
      <c r="L14" s="247"/>
      <c r="M14" s="250"/>
      <c r="N14" s="247"/>
      <c r="O14" s="247"/>
      <c r="P14" s="251"/>
      <c r="Q14" s="251"/>
      <c r="R14" s="251"/>
      <c r="S14" s="251"/>
      <c r="T14" s="251"/>
      <c r="U14" s="252"/>
      <c r="V14" s="247"/>
      <c r="W14" s="247"/>
      <c r="X14" s="247"/>
      <c r="Y14" s="247"/>
      <c r="Z14" s="246"/>
      <c r="AA14" s="247"/>
      <c r="AB14" s="246"/>
      <c r="AC14" s="246"/>
      <c r="AD14" s="246"/>
      <c r="AE14" s="247"/>
      <c r="AF14" s="128"/>
      <c r="AG14" s="129"/>
      <c r="AH14" s="247"/>
      <c r="AI14" s="246"/>
      <c r="AJ14" s="246"/>
      <c r="AK14" s="247"/>
      <c r="AL14" s="247"/>
      <c r="AM14" s="247"/>
      <c r="AN14" s="255"/>
      <c r="AO14" s="256"/>
      <c r="AP14" s="253"/>
      <c r="AQ14" s="251" t="s">
        <v>151</v>
      </c>
      <c r="AR14" s="251"/>
      <c r="AS14" s="251" t="s">
        <v>151</v>
      </c>
      <c r="AT14" s="251" t="s">
        <v>151</v>
      </c>
      <c r="AU14" s="253" t="s">
        <v>151</v>
      </c>
      <c r="AV14" s="258"/>
      <c r="AW14" s="256" t="n">
        <v>0</v>
      </c>
      <c r="AX14" s="256"/>
      <c r="AY14" s="256"/>
      <c r="AZ14" s="256"/>
      <c r="BA14" s="256"/>
      <c r="BB14" s="256"/>
    </row>
    <row r="15" customFormat="false" ht="12.95" hidden="false" customHeight="true" outlineLevel="0" collapsed="false">
      <c r="A15" s="192" t="n">
        <v>1</v>
      </c>
      <c r="B15" s="113" t="n">
        <v>6901.28</v>
      </c>
      <c r="C15" s="114" t="n">
        <v>288327</v>
      </c>
      <c r="D15" s="225" t="n">
        <f aca="false">C15-C13</f>
        <v>-1456</v>
      </c>
      <c r="E15" s="114" t="n">
        <f aca="false">C15-152000</f>
        <v>136327</v>
      </c>
      <c r="F15" s="259" t="n">
        <f aca="false">D15/$D$2</f>
        <v>-734.055961683892</v>
      </c>
      <c r="G15" s="347" t="n">
        <v>85</v>
      </c>
      <c r="H15" s="584" t="n">
        <v>0</v>
      </c>
      <c r="I15" s="347" t="n">
        <f aca="false">G15+H15</f>
        <v>85</v>
      </c>
      <c r="J15" s="144" t="n">
        <f aca="false">IF(L15&gt;0,L15,0)</f>
        <v>0</v>
      </c>
      <c r="K15" s="143" t="n">
        <f aca="false">I15+J15</f>
        <v>85</v>
      </c>
      <c r="L15" s="143" t="n">
        <f aca="false">F15-(I15-AK15)</f>
        <v>-10.3439616838922</v>
      </c>
      <c r="M15" s="261" t="n">
        <v>271</v>
      </c>
      <c r="N15" s="171" t="n">
        <f aca="false">1/$D$2*1.03</f>
        <v>0.519284093773632</v>
      </c>
      <c r="O15" s="143" t="n">
        <f aca="false">76.5*1.05</f>
        <v>80.325</v>
      </c>
      <c r="P15" s="171" t="n">
        <v>0</v>
      </c>
      <c r="Q15" s="346" t="n">
        <f aca="false">1682000/325851/1.9835*1.02</f>
        <v>2.65445214548979</v>
      </c>
      <c r="R15" s="139" t="n">
        <f aca="false">IF(((5.5*1.04)-T15)&gt;=4.2,4.2,(5.5*1.04)-T15)</f>
        <v>4.2</v>
      </c>
      <c r="S15" s="139" t="n">
        <f aca="false">IF(((5.5*1.04)-T15)&gt;=4.2,((5.5*1.04)-T15)-4.2,0)</f>
        <v>0.167796160000001</v>
      </c>
      <c r="T15" s="139" t="n">
        <f aca="false">(1.2266*1.06)*1.04</f>
        <v>1.35220384</v>
      </c>
      <c r="U15" s="365" t="n">
        <v>0</v>
      </c>
      <c r="V15" s="143" t="n">
        <v>132</v>
      </c>
      <c r="W15" s="143" t="n">
        <v>72.7</v>
      </c>
      <c r="X15" s="347" t="n">
        <f aca="false">M15-N15-O15-P15-Q15-R15-S15-T15-U15+V15+W15-AT15+AR15</f>
        <v>407.841317345669</v>
      </c>
      <c r="Y15" s="347" t="n">
        <f aca="false">X15-AO15</f>
        <v>407.841317345669</v>
      </c>
      <c r="Z15" s="114" t="n">
        <f aca="false">Z12+AP15</f>
        <v>12451.8948260552</v>
      </c>
      <c r="AA15" s="143" t="n">
        <f aca="false">(-AP15)</f>
        <v>331.395769491159</v>
      </c>
      <c r="AB15" s="442"/>
      <c r="AC15" s="442" t="n">
        <f aca="false">AC12-(AUG!AQ45/1.9835)+AS15</f>
        <v>1179.96250745655</v>
      </c>
      <c r="AD15" s="450" t="n">
        <f aca="false">AD12</f>
        <v>2618.93636501134</v>
      </c>
      <c r="AE15" s="347" t="n">
        <v>256</v>
      </c>
      <c r="AF15" s="145" t="n">
        <v>1.7</v>
      </c>
      <c r="AG15" s="146" t="n">
        <v>1.3</v>
      </c>
      <c r="AH15" s="143" t="n">
        <v>77.3</v>
      </c>
      <c r="AI15" s="114" t="n">
        <f aca="false">AI13-AH15</f>
        <v>7832.55787748928</v>
      </c>
      <c r="AJ15" s="114"/>
      <c r="AK15" s="142" t="n">
        <f aca="false">N15+O15+P15+Q15+R15+S15+T15+U15+X15+AE15+AH15-AR15</f>
        <v>808.712</v>
      </c>
      <c r="AL15" s="143" t="n">
        <f aca="false">IF(L15&lt;0,L15*-1,0)</f>
        <v>10.3439616838922</v>
      </c>
      <c r="AM15" s="143" t="n">
        <f aca="false">AK15+AL15</f>
        <v>819.055961683892</v>
      </c>
      <c r="AN15" s="230"/>
      <c r="AO15" s="225"/>
      <c r="AP15" s="585" t="n">
        <f aca="false">I15-Q15-R15-X15-AF15</f>
        <v>-331.395769491159</v>
      </c>
      <c r="AQ15" s="586" t="n">
        <f aca="false">51.388*(Z15*1.9835+AC15*1.9835)/E15</f>
        <v>10.1921797605185</v>
      </c>
      <c r="AR15" s="171" t="n">
        <f aca="false">1502.862/$D$2/35</f>
        <v>21.6480535849328</v>
      </c>
      <c r="AS15" s="143" t="n">
        <f aca="false">BA15</f>
        <v>9.18</v>
      </c>
      <c r="AT15" s="56" t="n">
        <v>0.288</v>
      </c>
      <c r="AV15" s="232" t="n">
        <v>0</v>
      </c>
      <c r="AW15" s="225" t="n">
        <v>85</v>
      </c>
      <c r="AX15" s="225" t="n">
        <v>53</v>
      </c>
      <c r="AY15" s="264"/>
      <c r="AZ15" s="263" t="n">
        <f aca="false">SUM(N15,P15:U15)</f>
        <v>8.89373623926343</v>
      </c>
      <c r="BA15" s="56" t="n">
        <v>9.18</v>
      </c>
      <c r="BB15" s="86" t="n">
        <v>22384</v>
      </c>
    </row>
    <row r="16" customFormat="false" ht="12.95" hidden="false" customHeight="true" outlineLevel="0" collapsed="false">
      <c r="A16" s="192" t="n">
        <v>2</v>
      </c>
      <c r="B16" s="113" t="n">
        <v>6900.88</v>
      </c>
      <c r="C16" s="114" t="n">
        <v>286838</v>
      </c>
      <c r="D16" s="225" t="n">
        <f aca="false">C16-C15</f>
        <v>-1489</v>
      </c>
      <c r="E16" s="114" t="n">
        <f aca="false">C16-152000</f>
        <v>134838</v>
      </c>
      <c r="F16" s="259" t="n">
        <f aca="false">D16/$D$2</f>
        <v>-750.693219057222</v>
      </c>
      <c r="G16" s="347" t="n">
        <v>82</v>
      </c>
      <c r="H16" s="584" t="n">
        <v>0</v>
      </c>
      <c r="I16" s="347" t="n">
        <f aca="false">G16+H16</f>
        <v>82</v>
      </c>
      <c r="J16" s="144" t="n">
        <f aca="false">IF(L16&gt;0,L16,0)</f>
        <v>0</v>
      </c>
      <c r="K16" s="143" t="n">
        <f aca="false">I16+J16</f>
        <v>82</v>
      </c>
      <c r="L16" s="143" t="n">
        <f aca="false">F16-(I16-AK16)</f>
        <v>-31.1052190572223</v>
      </c>
      <c r="M16" s="261" t="n">
        <v>273</v>
      </c>
      <c r="N16" s="171" t="n">
        <f aca="false">1/$D$2*1.03</f>
        <v>0.519284093773632</v>
      </c>
      <c r="O16" s="143" t="n">
        <f aca="false">62.5*1.05</f>
        <v>65.625</v>
      </c>
      <c r="P16" s="171" t="n">
        <v>0</v>
      </c>
      <c r="Q16" s="346" t="n">
        <f aca="false">1609600/325851/1.9835*1.02</f>
        <v>2.54019391996455</v>
      </c>
      <c r="R16" s="139" t="n">
        <f aca="false">IF(((5.5*1.04)-T16)&gt;=4.2,4.2,(5.5*1.04)-T16)</f>
        <v>4.2</v>
      </c>
      <c r="S16" s="139" t="n">
        <f aca="false">IF(((5.5*1.04)-T16)&gt;=4.2,((5.5*1.04)-T16)-4.2,0)</f>
        <v>0.167796160000001</v>
      </c>
      <c r="T16" s="139" t="n">
        <f aca="false">(1.2266*1.06)*1.04</f>
        <v>1.35220384</v>
      </c>
      <c r="U16" s="365" t="n">
        <v>0</v>
      </c>
      <c r="V16" s="143" t="n">
        <v>131</v>
      </c>
      <c r="W16" s="143" t="n">
        <v>70.9</v>
      </c>
      <c r="X16" s="347" t="n">
        <f aca="false">M16-N16-O16-P16-Q16-R16-S16-T16-U16+V16+W16-AT16+AR16</f>
        <v>421.531575571195</v>
      </c>
      <c r="Y16" s="347" t="n">
        <f aca="false">X16-AO16</f>
        <v>421.531575571195</v>
      </c>
      <c r="Z16" s="114" t="n">
        <f aca="false">Z15+AP16</f>
        <v>12103.9230565641</v>
      </c>
      <c r="AA16" s="143" t="n">
        <f aca="false">(-AP16)</f>
        <v>347.971769491159</v>
      </c>
      <c r="AB16" s="442"/>
      <c r="AC16" s="442" t="n">
        <f aca="false">AC15-(AQ15/1.9835)+AS16</f>
        <v>1184.00402509682</v>
      </c>
      <c r="AD16" s="450" t="n">
        <f aca="false">AD15</f>
        <v>2618.93636501134</v>
      </c>
      <c r="AE16" s="347" t="n">
        <v>250</v>
      </c>
      <c r="AF16" s="145" t="n">
        <v>1.7</v>
      </c>
      <c r="AG16" s="146" t="n">
        <v>1.3</v>
      </c>
      <c r="AH16" s="143" t="n">
        <v>77.3</v>
      </c>
      <c r="AI16" s="114" t="n">
        <f aca="false">AI15-AH16</f>
        <v>7755.25787748928</v>
      </c>
      <c r="AJ16" s="114"/>
      <c r="AK16" s="142" t="n">
        <f aca="false">N16+O16+P16+Q16+R16+S16+T16+U16+X16+AE16+AH16-AR16</f>
        <v>801.588</v>
      </c>
      <c r="AL16" s="143" t="n">
        <f aca="false">IF(L16&lt;0,L16*-1,0)</f>
        <v>31.1052190572223</v>
      </c>
      <c r="AM16" s="143" t="n">
        <f aca="false">AK16+AL16</f>
        <v>832.693219057222</v>
      </c>
      <c r="AN16" s="230"/>
      <c r="AO16" s="225"/>
      <c r="AP16" s="585" t="n">
        <f aca="false">I16-Q16-R16-X16-AF16</f>
        <v>-347.971769491159</v>
      </c>
      <c r="AQ16" s="586" t="n">
        <f aca="false">57.675*(Z16*1.9835+AC16*1.9835)/E16</f>
        <v>11.2736550465107</v>
      </c>
      <c r="AR16" s="171" t="n">
        <f aca="false">1502.862/$D$2/35</f>
        <v>21.6480535849328</v>
      </c>
      <c r="AS16" s="143" t="n">
        <f aca="false">BA16</f>
        <v>9.18</v>
      </c>
      <c r="AT16" s="56" t="n">
        <v>0.612</v>
      </c>
      <c r="AV16" s="232" t="n">
        <v>0</v>
      </c>
      <c r="AW16" s="225" t="n">
        <v>84</v>
      </c>
      <c r="AX16" s="225" t="n">
        <v>56</v>
      </c>
      <c r="AY16" s="264"/>
      <c r="AZ16" s="263" t="n">
        <f aca="false">SUM(N16,P16:U16)</f>
        <v>8.77947801373818</v>
      </c>
      <c r="BA16" s="56" t="n">
        <v>9.18</v>
      </c>
      <c r="BB16" s="86" t="n">
        <v>22335</v>
      </c>
    </row>
    <row r="17" customFormat="false" ht="12.95" hidden="false" customHeight="true" outlineLevel="0" collapsed="false">
      <c r="A17" s="192" t="n">
        <v>3</v>
      </c>
      <c r="B17" s="113" t="n">
        <v>6900.49</v>
      </c>
      <c r="C17" s="114" t="n">
        <v>285394</v>
      </c>
      <c r="D17" s="225" t="n">
        <f aca="false">C17-C16</f>
        <v>-1444</v>
      </c>
      <c r="E17" s="114" t="n">
        <f aca="false">C17-152000</f>
        <v>133394</v>
      </c>
      <c r="F17" s="259" t="n">
        <f aca="false">D17/$D$2</f>
        <v>-728.006049911772</v>
      </c>
      <c r="G17" s="347" t="n">
        <v>84</v>
      </c>
      <c r="H17" s="584" t="n">
        <v>0</v>
      </c>
      <c r="I17" s="347" t="n">
        <f aca="false">G17+H17</f>
        <v>84</v>
      </c>
      <c r="J17" s="144" t="n">
        <f aca="false">IF(L17&gt;0,L17,0)</f>
        <v>0</v>
      </c>
      <c r="K17" s="143" t="n">
        <f aca="false">I17+J17</f>
        <v>84</v>
      </c>
      <c r="L17" s="143" t="n">
        <f aca="false">F17-(I17-AK17)</f>
        <v>-17.0660499117722</v>
      </c>
      <c r="M17" s="261" t="n">
        <v>273</v>
      </c>
      <c r="N17" s="171" t="n">
        <f aca="false">1/$D$2*1.03</f>
        <v>0.519284093773632</v>
      </c>
      <c r="O17" s="143" t="n">
        <f aca="false">75*1.05</f>
        <v>78.75</v>
      </c>
      <c r="P17" s="171" t="n">
        <v>0</v>
      </c>
      <c r="Q17" s="346" t="n">
        <f aca="false">1626100/325851/1.9835*1.02</f>
        <v>2.56623343268784</v>
      </c>
      <c r="R17" s="139" t="n">
        <f aca="false">IF(((6.2*1.04)-T17)&gt;=4.2,4.2,(6.2*1.04)-T17)</f>
        <v>4.2</v>
      </c>
      <c r="S17" s="139" t="n">
        <f aca="false">IF(((6.2*1.04)-T17)&gt;=4.2,((6.2*1.04)-T17)-4.2,0)</f>
        <v>0.895796160000001</v>
      </c>
      <c r="T17" s="139" t="n">
        <f aca="false">(1.2266*1.06)*1.04</f>
        <v>1.35220384</v>
      </c>
      <c r="U17" s="365" t="n">
        <v>0</v>
      </c>
      <c r="V17" s="143" t="n">
        <v>136</v>
      </c>
      <c r="W17" s="143" t="n">
        <v>70.4</v>
      </c>
      <c r="X17" s="347" t="n">
        <f aca="false">M17-N17-O17-P17-Q17-R17-S17-T17-U17+V17+W17-AT17+AR17</f>
        <v>411.004536058471</v>
      </c>
      <c r="Y17" s="347" t="n">
        <f aca="false">X17-AO17</f>
        <v>411.004536058471</v>
      </c>
      <c r="Z17" s="114" t="n">
        <f aca="false">Z16+AP17</f>
        <v>11768.4522870729</v>
      </c>
      <c r="AA17" s="143" t="n">
        <f aca="false">(-AP17)</f>
        <v>335.470769491159</v>
      </c>
      <c r="AB17" s="442"/>
      <c r="AC17" s="442" t="n">
        <f aca="false">AC16-(AQ16/1.9835)+AS17</f>
        <v>1187.50030689843</v>
      </c>
      <c r="AD17" s="450" t="n">
        <f aca="false">AD16</f>
        <v>2618.93636501134</v>
      </c>
      <c r="AE17" s="347" t="n">
        <v>240</v>
      </c>
      <c r="AF17" s="145" t="n">
        <v>1.7</v>
      </c>
      <c r="AG17" s="146" t="n">
        <v>1.3</v>
      </c>
      <c r="AH17" s="143" t="n">
        <v>77.3</v>
      </c>
      <c r="AI17" s="114" t="n">
        <f aca="false">AI16-AH17</f>
        <v>7677.95787748928</v>
      </c>
      <c r="AJ17" s="114"/>
      <c r="AK17" s="142" t="n">
        <f aca="false">N17+O17+P17+Q17+R17+S17+T17+U17+X17+AE17+AH17-AR17</f>
        <v>794.94</v>
      </c>
      <c r="AL17" s="143" t="n">
        <f aca="false">IF(L17&lt;0,L17*-1,0)</f>
        <v>17.0660499117722</v>
      </c>
      <c r="AM17" s="143" t="n">
        <f aca="false">AK17+AL17</f>
        <v>812.006049911772</v>
      </c>
      <c r="AN17" s="230"/>
      <c r="AO17" s="225"/>
      <c r="AP17" s="585" t="n">
        <f aca="false">I17-Q17-R17-X17-AF17</f>
        <v>-335.470769491159</v>
      </c>
      <c r="AQ17" s="586" t="n">
        <f aca="false">84.524*(Z17*1.9835+AC17*1.9835)/E17</f>
        <v>16.2834078492608</v>
      </c>
      <c r="AR17" s="171" t="n">
        <f aca="false">1502.862/$D$2/35</f>
        <v>21.6480535849328</v>
      </c>
      <c r="AS17" s="143" t="n">
        <f aca="false">BA17</f>
        <v>9.18</v>
      </c>
      <c r="AT17" s="56" t="n">
        <v>1.76</v>
      </c>
      <c r="AV17" s="232" t="n">
        <v>0.06</v>
      </c>
      <c r="AW17" s="225" t="n">
        <v>84</v>
      </c>
      <c r="AX17" s="225" t="n">
        <v>56</v>
      </c>
      <c r="AY17" s="264"/>
      <c r="AZ17" s="263" t="n">
        <f aca="false">SUM(N17,P17:U17)</f>
        <v>9.53351752646148</v>
      </c>
      <c r="BA17" s="56" t="n">
        <v>9.18</v>
      </c>
      <c r="BB17" s="86" t="n">
        <v>22327</v>
      </c>
    </row>
    <row r="18" customFormat="false" ht="12.95" hidden="false" customHeight="true" outlineLevel="0" collapsed="false">
      <c r="A18" s="192" t="n">
        <v>4</v>
      </c>
      <c r="B18" s="113" t="n">
        <v>6900.11</v>
      </c>
      <c r="C18" s="114" t="n">
        <v>283987</v>
      </c>
      <c r="D18" s="225" t="n">
        <f aca="false">C18-C17</f>
        <v>-1407</v>
      </c>
      <c r="E18" s="114" t="n">
        <f aca="false">C18-152000</f>
        <v>131987</v>
      </c>
      <c r="F18" s="259" t="n">
        <f aca="false">D18/$D$2</f>
        <v>-709.352155281069</v>
      </c>
      <c r="G18" s="347" t="n">
        <v>88</v>
      </c>
      <c r="H18" s="584" t="n">
        <v>0</v>
      </c>
      <c r="I18" s="347" t="n">
        <f aca="false">G18+H18</f>
        <v>88</v>
      </c>
      <c r="J18" s="144" t="n">
        <f aca="false">IF(L18&gt;0,L18,0)</f>
        <v>0</v>
      </c>
      <c r="K18" s="143" t="n">
        <f aca="false">I18+J18</f>
        <v>88</v>
      </c>
      <c r="L18" s="143" t="n">
        <f aca="false">F18-(I18-AK18)</f>
        <v>-22.0021552810689</v>
      </c>
      <c r="M18" s="261" t="n">
        <v>259</v>
      </c>
      <c r="N18" s="171" t="n">
        <f aca="false">1/$D$2*1.03</f>
        <v>0.519284093773632</v>
      </c>
      <c r="O18" s="143" t="n">
        <f aca="false">73.8*1.05</f>
        <v>77.49</v>
      </c>
      <c r="P18" s="171" t="n">
        <v>0</v>
      </c>
      <c r="Q18" s="346" t="n">
        <f aca="false">1382600/325851/1.9835*1.02</f>
        <v>2.18195335098347</v>
      </c>
      <c r="R18" s="139" t="n">
        <f aca="false">IF(((6.3*1.04)-T18)&gt;=4.2,4.2,(6.3*1.04)-T18)</f>
        <v>4.2</v>
      </c>
      <c r="S18" s="139" t="n">
        <f aca="false">IF(((6.3*1.04)-T18)&gt;=4.2,((6.3*1.04)-T18)-4.2,0)</f>
        <v>1.37097424</v>
      </c>
      <c r="T18" s="139" t="n">
        <f aca="false">(0.8899*1.06)*1.04</f>
        <v>0.98102576</v>
      </c>
      <c r="U18" s="365" t="n">
        <v>0</v>
      </c>
      <c r="V18" s="143" t="n">
        <v>134</v>
      </c>
      <c r="W18" s="143" t="n">
        <v>71.4</v>
      </c>
      <c r="X18" s="347" t="n">
        <f aca="false">M18-N18-O18-P18-Q18-R18-S18-T18-U18+V18+W18-AT18+AR18</f>
        <v>397.654816140176</v>
      </c>
      <c r="Y18" s="347" t="n">
        <f aca="false">X18-AO18</f>
        <v>397.654816140176</v>
      </c>
      <c r="Z18" s="114" t="n">
        <f aca="false">Z17+AP18</f>
        <v>11450.7155175818</v>
      </c>
      <c r="AA18" s="143" t="n">
        <f aca="false">(-AP18)</f>
        <v>317.736769491159</v>
      </c>
      <c r="AB18" s="442"/>
      <c r="AC18" s="442" t="n">
        <f aca="false">AC17-(AQ17/1.9835)+AS18</f>
        <v>1188.47087516197</v>
      </c>
      <c r="AD18" s="450" t="n">
        <f aca="false">AD17</f>
        <v>2618.93636501134</v>
      </c>
      <c r="AE18" s="347" t="n">
        <v>236</v>
      </c>
      <c r="AF18" s="145" t="n">
        <v>1.7</v>
      </c>
      <c r="AG18" s="146" t="n">
        <v>1.3</v>
      </c>
      <c r="AH18" s="143" t="n">
        <v>76.6</v>
      </c>
      <c r="AI18" s="114" t="n">
        <f aca="false">AI17-AH18</f>
        <v>7601.35787748928</v>
      </c>
      <c r="AJ18" s="114"/>
      <c r="AK18" s="142" t="n">
        <f aca="false">N18+O18+P18+Q18+R18+S18+T18+U18+X18+AE18+AH18-AR18</f>
        <v>775.35</v>
      </c>
      <c r="AL18" s="143" t="n">
        <f aca="false">IF(L18&lt;0,L18*-1,0)</f>
        <v>22.0021552810689</v>
      </c>
      <c r="AM18" s="143" t="n">
        <f aca="false">AK18+AL18</f>
        <v>797.352155281069</v>
      </c>
      <c r="AN18" s="230"/>
      <c r="AO18" s="225"/>
      <c r="AP18" s="585" t="n">
        <f aca="false">I18-Q18-R18-X18-AF18</f>
        <v>-317.736769491159</v>
      </c>
      <c r="AQ18" s="586" t="n">
        <f aca="false">84.524*(Z18*1.9835+AC18*1.9835)/E18</f>
        <v>16.0546265206016</v>
      </c>
      <c r="AR18" s="171" t="n">
        <f aca="false">1502.862/$D$2/35</f>
        <v>21.6480535849328</v>
      </c>
      <c r="AS18" s="143" t="n">
        <f aca="false">BA18</f>
        <v>9.18</v>
      </c>
      <c r="AT18" s="56" t="n">
        <v>1.65</v>
      </c>
      <c r="AV18" s="232" t="n">
        <v>0.0788461538461538</v>
      </c>
      <c r="AW18" s="225" t="n">
        <v>74</v>
      </c>
      <c r="AX18" s="225" t="n">
        <v>54</v>
      </c>
      <c r="AY18" s="264"/>
      <c r="AZ18" s="263" t="n">
        <f aca="false">SUM(N18,P18:U18)</f>
        <v>9.2532374447571</v>
      </c>
      <c r="BA18" s="56" t="n">
        <v>9.18</v>
      </c>
      <c r="BB18" s="86" t="n">
        <v>22297</v>
      </c>
    </row>
    <row r="19" customFormat="false" ht="12.95" hidden="false" customHeight="true" outlineLevel="0" collapsed="false">
      <c r="A19" s="192" t="n">
        <v>5</v>
      </c>
      <c r="B19" s="113" t="n">
        <v>6899.78</v>
      </c>
      <c r="C19" s="114" t="n">
        <v>282772</v>
      </c>
      <c r="D19" s="225" t="n">
        <f aca="false">C19-C18</f>
        <v>-1215</v>
      </c>
      <c r="E19" s="114" t="n">
        <f aca="false">C19-152000</f>
        <v>130772</v>
      </c>
      <c r="F19" s="259" t="n">
        <f aca="false">D19/$D$2</f>
        <v>-612.553566927149</v>
      </c>
      <c r="G19" s="347" t="n">
        <v>123</v>
      </c>
      <c r="H19" s="584" t="n">
        <v>0</v>
      </c>
      <c r="I19" s="347" t="n">
        <f aca="false">G19+H19</f>
        <v>123</v>
      </c>
      <c r="J19" s="144" t="n">
        <f aca="false">IF(L19&gt;0,L19,0)</f>
        <v>0</v>
      </c>
      <c r="K19" s="143" t="n">
        <f aca="false">I19+J19</f>
        <v>123</v>
      </c>
      <c r="L19" s="143" t="n">
        <f aca="false">F19-(I19-AK19)</f>
        <v>-30.0235669271489</v>
      </c>
      <c r="M19" s="261" t="n">
        <v>235</v>
      </c>
      <c r="N19" s="171" t="n">
        <f aca="false">1/$D$2*1.03</f>
        <v>0.519284093773632</v>
      </c>
      <c r="O19" s="143" t="n">
        <f aca="false">68.9*1.05</f>
        <v>72.345</v>
      </c>
      <c r="P19" s="171" t="n">
        <v>0</v>
      </c>
      <c r="Q19" s="346" t="n">
        <f aca="false">1229400/325851/1.9835*1.02</f>
        <v>1.94018042072839</v>
      </c>
      <c r="R19" s="139" t="n">
        <f aca="false">IF(((5.6*1.04)-T19)&gt;=4.2,4.2,(5.6*1.04)-T19)</f>
        <v>4.2</v>
      </c>
      <c r="S19" s="139" t="n">
        <f aca="false">IF(((5.6*1.04)-T19)&gt;=4.2,((5.6*1.04)-T19)-4.2,0)</f>
        <v>0.64297424</v>
      </c>
      <c r="T19" s="139" t="n">
        <f aca="false">(0.8899*1.06)*1.04</f>
        <v>0.98102576</v>
      </c>
      <c r="U19" s="365" t="n">
        <v>0</v>
      </c>
      <c r="V19" s="143" t="n">
        <v>130</v>
      </c>
      <c r="W19" s="143" t="n">
        <v>71.8</v>
      </c>
      <c r="X19" s="347" t="n">
        <f aca="false">M19-N19-O19-P19-Q19-R19-S19-T19-U19+V19+W19-AT19+AR19</f>
        <v>376.049589070431</v>
      </c>
      <c r="Y19" s="347" t="n">
        <f aca="false">X19-AO19</f>
        <v>376.049589070431</v>
      </c>
      <c r="Z19" s="114" t="n">
        <f aca="false">Z18+AP19</f>
        <v>11189.8257480906</v>
      </c>
      <c r="AA19" s="143" t="n">
        <f aca="false">(-AP19)</f>
        <v>260.889769491159</v>
      </c>
      <c r="AB19" s="442"/>
      <c r="AC19" s="442" t="n">
        <f aca="false">AC18-(AQ18/1.9835)+AS19</f>
        <v>1189.57678566331</v>
      </c>
      <c r="AD19" s="450" t="n">
        <f aca="false">AD18</f>
        <v>2618.93636501134</v>
      </c>
      <c r="AE19" s="347" t="n">
        <v>193</v>
      </c>
      <c r="AF19" s="145" t="n">
        <v>1.7</v>
      </c>
      <c r="AG19" s="146" t="n">
        <v>1.3</v>
      </c>
      <c r="AH19" s="143" t="n">
        <v>77.5</v>
      </c>
      <c r="AI19" s="114" t="n">
        <f aca="false">AI18-AH19</f>
        <v>7523.85787748928</v>
      </c>
      <c r="AJ19" s="114"/>
      <c r="AK19" s="142" t="n">
        <f aca="false">N19+O19+P19+Q19+R19+S19+T19+U19+X19+AE19+AH19-AR19</f>
        <v>705.53</v>
      </c>
      <c r="AL19" s="143" t="n">
        <f aca="false">IF(L19&lt;0,L19*-1,0)</f>
        <v>30.0235669271489</v>
      </c>
      <c r="AM19" s="143" t="n">
        <f aca="false">AK19+AL19</f>
        <v>735.553566927149</v>
      </c>
      <c r="AN19" s="230"/>
      <c r="AO19" s="225"/>
      <c r="AP19" s="585" t="n">
        <f aca="false">I19-Q19-R19-X19-AF19</f>
        <v>-260.889769491159</v>
      </c>
      <c r="AQ19" s="586" t="n">
        <f aca="false">0*(Z19*1.9835+AC19*1.9835)/E19</f>
        <v>0</v>
      </c>
      <c r="AR19" s="171" t="n">
        <f aca="false">1502.862/$D$2/35</f>
        <v>21.6480535849328</v>
      </c>
      <c r="AS19" s="143" t="n">
        <f aca="false">BA19</f>
        <v>9.2</v>
      </c>
      <c r="AT19" s="56" t="n">
        <v>1.77</v>
      </c>
      <c r="AV19" s="587" t="n">
        <v>0.331153846153846</v>
      </c>
      <c r="AW19" s="225" t="n">
        <v>78</v>
      </c>
      <c r="AX19" s="225" t="n">
        <v>53</v>
      </c>
      <c r="AY19" s="264"/>
      <c r="AZ19" s="263" t="n">
        <f aca="false">SUM(N19,P19:U19)</f>
        <v>8.28346451450202</v>
      </c>
      <c r="BA19" s="56" t="n">
        <v>9.2</v>
      </c>
      <c r="BB19" s="86" t="n">
        <v>22263</v>
      </c>
    </row>
    <row r="20" customFormat="false" ht="12.95" hidden="false" customHeight="true" outlineLevel="0" collapsed="false">
      <c r="A20" s="192" t="n">
        <v>6</v>
      </c>
      <c r="B20" s="113" t="n">
        <v>6899.53</v>
      </c>
      <c r="C20" s="114" t="n">
        <v>281853</v>
      </c>
      <c r="D20" s="225" t="n">
        <f aca="false">C20-C19</f>
        <v>-919</v>
      </c>
      <c r="E20" s="114" t="n">
        <f aca="false">C20-152000</f>
        <v>129853</v>
      </c>
      <c r="F20" s="259" t="n">
        <f aca="false">D20/$D$2</f>
        <v>-463.322409881523</v>
      </c>
      <c r="G20" s="347" t="n">
        <v>170</v>
      </c>
      <c r="H20" s="584" t="n">
        <v>0</v>
      </c>
      <c r="I20" s="347" t="n">
        <f aca="false">G20+H20</f>
        <v>170</v>
      </c>
      <c r="J20" s="144" t="n">
        <f aca="false">IF(L20&gt;0,L20,0)</f>
        <v>29.3675901184774</v>
      </c>
      <c r="K20" s="143" t="n">
        <f aca="false">I20+J20</f>
        <v>199.367590118477</v>
      </c>
      <c r="L20" s="143" t="n">
        <f aca="false">F20-(I20-AK20)</f>
        <v>29.3675901184774</v>
      </c>
      <c r="M20" s="261" t="n">
        <v>225</v>
      </c>
      <c r="N20" s="171" t="n">
        <f aca="false">1/$D$2*1.03</f>
        <v>0.519284093773632</v>
      </c>
      <c r="O20" s="143" t="n">
        <f aca="false">61.1*1.05</f>
        <v>64.155</v>
      </c>
      <c r="P20" s="171" t="n">
        <v>0</v>
      </c>
      <c r="Q20" s="346" t="n">
        <f aca="false">1406800/325851/1.9835*1.02</f>
        <v>2.22014463631096</v>
      </c>
      <c r="R20" s="139" t="n">
        <f aca="false">IF(((5*1.04)-T20)&gt;=4.2,4.2,(5*1.04)-T20)</f>
        <v>4.2</v>
      </c>
      <c r="S20" s="139" t="n">
        <f aca="false">IF(((5*1.04)-T20)&gt;=4.2,((5*1.04)-T20)-4.2,0)</f>
        <v>0.0189742399999995</v>
      </c>
      <c r="T20" s="139" t="n">
        <f aca="false">(0.8899*1.06)*1.04</f>
        <v>0.98102576</v>
      </c>
      <c r="U20" s="365" t="n">
        <v>0</v>
      </c>
      <c r="V20" s="143" t="n">
        <v>128</v>
      </c>
      <c r="W20" s="143" t="n">
        <v>71.2</v>
      </c>
      <c r="X20" s="347" t="n">
        <f aca="false">M20-N20-O20-P20-Q20-R20-S20-T20-U20+V20+W20-AT20+AR20</f>
        <v>371.943624854848</v>
      </c>
      <c r="Y20" s="347" t="n">
        <f aca="false">X20-AO20</f>
        <v>371.943624854848</v>
      </c>
      <c r="Z20" s="114" t="n">
        <f aca="false">Z19+AP20</f>
        <v>10979.7619785995</v>
      </c>
      <c r="AA20" s="143" t="n">
        <f aca="false">(-AP20)</f>
        <v>210.063769491159</v>
      </c>
      <c r="AB20" s="442"/>
      <c r="AC20" s="442" t="n">
        <f aca="false">AC19-(AQ19/1.9835)+AS20</f>
        <v>1198.75678566331</v>
      </c>
      <c r="AD20" s="450" t="n">
        <f aca="false">AD19</f>
        <v>2618.93636501134</v>
      </c>
      <c r="AE20" s="347" t="n">
        <v>163</v>
      </c>
      <c r="AF20" s="145" t="n">
        <v>1.7</v>
      </c>
      <c r="AG20" s="146" t="n">
        <v>1.3</v>
      </c>
      <c r="AH20" s="143" t="n">
        <v>77.3</v>
      </c>
      <c r="AI20" s="114" t="n">
        <f aca="false">AI19-AH20</f>
        <v>7446.55787748928</v>
      </c>
      <c r="AJ20" s="114"/>
      <c r="AK20" s="142" t="n">
        <f aca="false">N20+O20+P20+Q20+R20+S20+T20+U20+X20+AE20+AH20-AR20</f>
        <v>662.69</v>
      </c>
      <c r="AL20" s="143" t="n">
        <f aca="false">IF(L20&lt;0,L20*-1,0)</f>
        <v>0</v>
      </c>
      <c r="AM20" s="143" t="n">
        <f aca="false">AK20+AL20</f>
        <v>662.69</v>
      </c>
      <c r="AN20" s="230"/>
      <c r="AO20" s="225"/>
      <c r="AP20" s="585" t="n">
        <f aca="false">I20-Q20-R20-X20-AF20</f>
        <v>-210.063769491159</v>
      </c>
      <c r="AQ20" s="586" t="n">
        <f aca="false">32.691*(Z20*1.9835+AC20*1.9835)/E20</f>
        <v>6.08139051508865</v>
      </c>
      <c r="AR20" s="171" t="n">
        <f aca="false">1502.862/$D$2/35</f>
        <v>21.6480535849328</v>
      </c>
      <c r="AS20" s="143" t="n">
        <f aca="false">BA20</f>
        <v>9.18</v>
      </c>
      <c r="AT20" s="56" t="n">
        <v>1.81</v>
      </c>
      <c r="AV20" s="232" t="n">
        <v>0</v>
      </c>
      <c r="AW20" s="225" t="n">
        <v>80</v>
      </c>
      <c r="AX20" s="225" t="n">
        <v>50</v>
      </c>
      <c r="AY20" s="264"/>
      <c r="AZ20" s="263" t="n">
        <f aca="false">SUM(N20,P20:U20)</f>
        <v>7.9394287300846</v>
      </c>
      <c r="BA20" s="56" t="n">
        <v>9.18</v>
      </c>
      <c r="BB20" s="86" t="n">
        <v>22240</v>
      </c>
    </row>
    <row r="21" customFormat="false" ht="12.95" hidden="false" customHeight="true" outlineLevel="0" collapsed="false">
      <c r="A21" s="192" t="n">
        <v>7</v>
      </c>
      <c r="B21" s="113" t="n">
        <v>6899.18</v>
      </c>
      <c r="C21" s="114" t="n">
        <v>280568</v>
      </c>
      <c r="D21" s="225" t="n">
        <f aca="false">C21-C20</f>
        <v>-1285</v>
      </c>
      <c r="E21" s="114" t="n">
        <f aca="false">C21-152000</f>
        <v>128568</v>
      </c>
      <c r="F21" s="259" t="n">
        <f aca="false">D21/$D$2</f>
        <v>-647.844718931182</v>
      </c>
      <c r="G21" s="347" t="n">
        <v>137</v>
      </c>
      <c r="H21" s="584" t="n">
        <v>0</v>
      </c>
      <c r="I21" s="347" t="n">
        <f aca="false">G21+H21</f>
        <v>137</v>
      </c>
      <c r="J21" s="144" t="n">
        <f aca="false">IF(L21&gt;0,L21,0)</f>
        <v>0</v>
      </c>
      <c r="K21" s="143" t="n">
        <f aca="false">I21+J21</f>
        <v>137</v>
      </c>
      <c r="L21" s="143" t="n">
        <f aca="false">F21-(I21-AK21)</f>
        <v>-94.6947189311823</v>
      </c>
      <c r="M21" s="261" t="n">
        <v>228</v>
      </c>
      <c r="N21" s="171" t="n">
        <f aca="false">1/$D$2*1.03</f>
        <v>0.519284093773632</v>
      </c>
      <c r="O21" s="143" t="n">
        <f aca="false">66.7*1.05</f>
        <v>70.035</v>
      </c>
      <c r="P21" s="171" t="n">
        <v>0</v>
      </c>
      <c r="Q21" s="346" t="n">
        <f aca="false">1874530/325851/1.9835*1.02</f>
        <v>2.95829380516349</v>
      </c>
      <c r="R21" s="139" t="n">
        <f aca="false">IF(((5.1*1.04)-T21)&gt;=4.2,4.2,(5.1*1.04)-T21)</f>
        <v>4.2</v>
      </c>
      <c r="S21" s="139" t="n">
        <f aca="false">IF(((5.1*1.04)-T21)&gt;=4.2,((5.1*1.04)-T21)-4.2,0)</f>
        <v>0.122974239999999</v>
      </c>
      <c r="T21" s="139" t="n">
        <f aca="false">(0.8899*1.06)*1.04</f>
        <v>0.98102576</v>
      </c>
      <c r="U21" s="365" t="n">
        <v>0</v>
      </c>
      <c r="V21" s="143" t="n">
        <v>126</v>
      </c>
      <c r="W21" s="143" t="n">
        <v>69.8</v>
      </c>
      <c r="X21" s="347" t="n">
        <f aca="false">M21-N21-O21-P21-Q21-R21-S21-T21-U21+V21+W21-AT21+AR21</f>
        <v>364.681475685996</v>
      </c>
      <c r="Y21" s="347" t="n">
        <f aca="false">X21-AO21</f>
        <v>364.681475685996</v>
      </c>
      <c r="Z21" s="114" t="n">
        <f aca="false">Z20+AP21</f>
        <v>10743.2222091083</v>
      </c>
      <c r="AA21" s="143" t="n">
        <f aca="false">(-AP21)</f>
        <v>236.539769491159</v>
      </c>
      <c r="AB21" s="442"/>
      <c r="AC21" s="442" t="n">
        <f aca="false">AC20-(AQ20/1.9835)+AS21</f>
        <v>1204.87079599097</v>
      </c>
      <c r="AD21" s="450" t="n">
        <f aca="false">AD20</f>
        <v>2618.93636501134</v>
      </c>
      <c r="AE21" s="347" t="n">
        <v>191</v>
      </c>
      <c r="AF21" s="145" t="n">
        <v>1.7</v>
      </c>
      <c r="AG21" s="146" t="n">
        <v>1.3</v>
      </c>
      <c r="AH21" s="143" t="n">
        <v>77.3</v>
      </c>
      <c r="AI21" s="114" t="n">
        <f aca="false">AI20-AH21</f>
        <v>7369.25787748928</v>
      </c>
      <c r="AJ21" s="114"/>
      <c r="AK21" s="142" t="n">
        <f aca="false">N21+O21+P21+Q21+R21+S21+T21+U21+X21+AE21+AH21-AR21</f>
        <v>690.15</v>
      </c>
      <c r="AL21" s="143" t="n">
        <f aca="false">IF(L21&lt;0,L21*-1,0)</f>
        <v>94.6947189311823</v>
      </c>
      <c r="AM21" s="143" t="n">
        <f aca="false">AK21+AL21</f>
        <v>784.844718931182</v>
      </c>
      <c r="AN21" s="230"/>
      <c r="AO21" s="225"/>
      <c r="AP21" s="585" t="n">
        <f aca="false">I21-Q21-R21-X21-AF21</f>
        <v>-236.539769491159</v>
      </c>
      <c r="AQ21" s="586" t="n">
        <f aca="false">46.543*(Z21*1.9835+AC21*1.9835)/E21</f>
        <v>8.57930849000156</v>
      </c>
      <c r="AR21" s="171" t="n">
        <f aca="false">1502.862/$D$2/35</f>
        <v>21.6480535849328</v>
      </c>
      <c r="AS21" s="143" t="n">
        <f aca="false">BA21</f>
        <v>9.18</v>
      </c>
      <c r="AT21" s="56" t="n">
        <v>1.95</v>
      </c>
      <c r="AV21" s="232" t="n">
        <v>0</v>
      </c>
      <c r="AW21" s="225" t="n">
        <v>80</v>
      </c>
      <c r="AX21" s="225" t="n">
        <v>53</v>
      </c>
      <c r="AY21" s="264"/>
      <c r="AZ21" s="263" t="n">
        <f aca="false">SUM(N21,P21:U21)</f>
        <v>8.78157789893712</v>
      </c>
      <c r="BA21" s="56" t="n">
        <v>9.18</v>
      </c>
      <c r="BB21" s="86" t="n">
        <v>22260</v>
      </c>
    </row>
    <row r="22" customFormat="false" ht="12.95" hidden="false" customHeight="true" outlineLevel="0" collapsed="false">
      <c r="A22" s="192" t="n">
        <v>8</v>
      </c>
      <c r="B22" s="437" t="n">
        <v>6898.88</v>
      </c>
      <c r="C22" s="114" t="n">
        <v>279469</v>
      </c>
      <c r="D22" s="225" t="n">
        <f aca="false">C22-C21</f>
        <v>-1099</v>
      </c>
      <c r="E22" s="114" t="n">
        <f aca="false">C22-152000</f>
        <v>127469</v>
      </c>
      <c r="F22" s="259" t="n">
        <f aca="false">D22/$D$2</f>
        <v>-554.071086463322</v>
      </c>
      <c r="G22" s="347" t="n">
        <v>114</v>
      </c>
      <c r="H22" s="584" t="n">
        <v>0</v>
      </c>
      <c r="I22" s="347" t="n">
        <f aca="false">G22+H22</f>
        <v>114</v>
      </c>
      <c r="J22" s="144" t="n">
        <f aca="false">IF(L22&gt;0,L22,0)</f>
        <v>48.6089135366774</v>
      </c>
      <c r="K22" s="143" t="n">
        <f aca="false">I22+J22</f>
        <v>162.608913536677</v>
      </c>
      <c r="L22" s="143" t="n">
        <f aca="false">F22-(I22-AK22)</f>
        <v>48.6089135366774</v>
      </c>
      <c r="M22" s="261" t="n">
        <v>243</v>
      </c>
      <c r="N22" s="171" t="n">
        <f aca="false">1/$D$2*1.03</f>
        <v>0.519284093773632</v>
      </c>
      <c r="O22" s="143" t="n">
        <f aca="false">69*1.05</f>
        <v>72.45</v>
      </c>
      <c r="P22" s="171" t="n">
        <v>0</v>
      </c>
      <c r="Q22" s="346" t="n">
        <f aca="false">1304070/325851/1.9835*1.02</f>
        <v>2.05802105194345</v>
      </c>
      <c r="R22" s="139" t="n">
        <f aca="false">IF(((6.2*1.04)-T22)&gt;=4.2,4.2,(6.2*1.04)-T22)</f>
        <v>4.2</v>
      </c>
      <c r="S22" s="139" t="n">
        <f aca="false">IF(((6.2*1.04)-T22)&gt;=4.2,((6.2*1.04)-T22)-4.2,0)</f>
        <v>1.26697424</v>
      </c>
      <c r="T22" s="139" t="n">
        <f aca="false">(0.8899*1.06)*1.04</f>
        <v>0.98102576</v>
      </c>
      <c r="U22" s="365" t="n">
        <v>0</v>
      </c>
      <c r="V22" s="143" t="n">
        <v>125</v>
      </c>
      <c r="W22" s="143" t="n">
        <v>69.2</v>
      </c>
      <c r="X22" s="347" t="n">
        <f aca="false">M22-N22-O22-P22-Q22-R22-S22-T22-U22+V22+W22-AT22+AR22</f>
        <v>375.452748439216</v>
      </c>
      <c r="Y22" s="347" t="n">
        <f aca="false">X22-AO22</f>
        <v>375.452748439216</v>
      </c>
      <c r="Z22" s="114" t="n">
        <f aca="false">Z21+AP22</f>
        <v>10473.8114396171</v>
      </c>
      <c r="AA22" s="143" t="n">
        <f aca="false">(-AP22)</f>
        <v>269.410769491159</v>
      </c>
      <c r="AB22" s="442"/>
      <c r="AC22" s="442" t="n">
        <f aca="false">AC21-(AQ21/1.9835)+AS22</f>
        <v>1209.72545770511</v>
      </c>
      <c r="AD22" s="450" t="n">
        <f aca="false">AD21</f>
        <v>2618.93636501134</v>
      </c>
      <c r="AE22" s="347" t="n">
        <v>204</v>
      </c>
      <c r="AF22" s="145" t="n">
        <v>1.7</v>
      </c>
      <c r="AG22" s="146" t="n">
        <v>1.3</v>
      </c>
      <c r="AH22" s="143" t="n">
        <v>77.4</v>
      </c>
      <c r="AI22" s="114" t="n">
        <f aca="false">AI21-AH22</f>
        <v>7291.85787748928</v>
      </c>
      <c r="AJ22" s="114"/>
      <c r="AK22" s="142" t="n">
        <f aca="false">N22+O22+P22+Q22+R22+S22+T22+U22+X22+AE22+AH22-AR22</f>
        <v>716.68</v>
      </c>
      <c r="AL22" s="143" t="n">
        <f aca="false">IF(L22&lt;0,L22*-1,0)</f>
        <v>0</v>
      </c>
      <c r="AM22" s="143" t="n">
        <f aca="false">AK22+AL22</f>
        <v>716.68</v>
      </c>
      <c r="AN22" s="230"/>
      <c r="AO22" s="225"/>
      <c r="AP22" s="585" t="n">
        <f aca="false">I22-Q22-R22-X22-AF22</f>
        <v>-269.410769491159</v>
      </c>
      <c r="AQ22" s="586" t="n">
        <f aca="false">48.465*(Z22*1.9835+AC22*1.9835)/E22</f>
        <v>8.81110096021716</v>
      </c>
      <c r="AR22" s="171" t="n">
        <f aca="false">1502.862/$D$2/35</f>
        <v>21.6480535849328</v>
      </c>
      <c r="AS22" s="143" t="n">
        <f aca="false">BA22</f>
        <v>9.18</v>
      </c>
      <c r="AT22" s="56" t="n">
        <v>1.92</v>
      </c>
      <c r="AV22" s="232" t="n">
        <v>0</v>
      </c>
      <c r="AW22" s="225" t="n">
        <v>84</v>
      </c>
      <c r="AX22" s="225" t="n">
        <v>51</v>
      </c>
      <c r="AY22" s="264"/>
      <c r="AZ22" s="263" t="n">
        <f aca="false">SUM(N22,P22:U22)</f>
        <v>9.02530514571708</v>
      </c>
      <c r="BA22" s="56" t="n">
        <v>9.18</v>
      </c>
      <c r="BB22" s="86" t="n">
        <v>22257</v>
      </c>
    </row>
    <row r="23" customFormat="false" ht="12.95" hidden="false" customHeight="true" outlineLevel="0" collapsed="false">
      <c r="A23" s="192" t="n">
        <v>9</v>
      </c>
      <c r="B23" s="113" t="n">
        <v>6898.49</v>
      </c>
      <c r="C23" s="114" t="n">
        <v>278047</v>
      </c>
      <c r="D23" s="225" t="n">
        <f aca="false">C23-C22</f>
        <v>-1422</v>
      </c>
      <c r="E23" s="114" t="n">
        <f aca="false">C23-152000</f>
        <v>126047</v>
      </c>
      <c r="F23" s="259" t="n">
        <f aca="false">D23/$D$2</f>
        <v>-716.914544996219</v>
      </c>
      <c r="G23" s="347" t="n">
        <v>101</v>
      </c>
      <c r="H23" s="584" t="n">
        <v>0</v>
      </c>
      <c r="I23" s="347" t="n">
        <f aca="false">G23+H23</f>
        <v>101</v>
      </c>
      <c r="J23" s="144" t="n">
        <f aca="false">IF(L23&gt;0,L23,0)</f>
        <v>0</v>
      </c>
      <c r="K23" s="143" t="n">
        <f aca="false">I23+J23</f>
        <v>101</v>
      </c>
      <c r="L23" s="143" t="n">
        <f aca="false">F23-(I23-AK23)</f>
        <v>-65.0545449962189</v>
      </c>
      <c r="M23" s="261" t="n">
        <v>280</v>
      </c>
      <c r="N23" s="171" t="n">
        <f aca="false">1/$D$2*1.03</f>
        <v>0.519284093773632</v>
      </c>
      <c r="O23" s="143" t="n">
        <f aca="false">82.4*1.05</f>
        <v>86.52</v>
      </c>
      <c r="P23" s="171" t="n">
        <v>0</v>
      </c>
      <c r="Q23" s="346" t="n">
        <f aca="false">1306900/325851/1.9835*1.02</f>
        <v>2.06248722291356</v>
      </c>
      <c r="R23" s="139" t="n">
        <f aca="false">IF(((1.2*1.04)-T23)&gt;=4.2,4.2,(1.2*1.04)-T23)</f>
        <v>0.26697424</v>
      </c>
      <c r="S23" s="139" t="n">
        <f aca="false">IF(((1.2*1.04)-T23)&gt;=4.2,((1.2*1.04)-T23)-4.2,0)</f>
        <v>0</v>
      </c>
      <c r="T23" s="139" t="n">
        <f aca="false">(0.8899*1.06)*1.04</f>
        <v>0.98102576</v>
      </c>
      <c r="U23" s="365" t="n">
        <v>0</v>
      </c>
      <c r="V23" s="143" t="n">
        <v>126</v>
      </c>
      <c r="W23" s="143" t="n">
        <v>69.2</v>
      </c>
      <c r="X23" s="347" t="n">
        <f aca="false">M23-N23-O23-P23-Q23-R23-S23-T23-U23+V23+W23-AT23+AR23</f>
        <v>404.858282268246</v>
      </c>
      <c r="Y23" s="347" t="n">
        <f aca="false">X23-AO23</f>
        <v>404.858282268246</v>
      </c>
      <c r="Z23" s="114" t="n">
        <f aca="false">Z22+AP23</f>
        <v>10165.923695886</v>
      </c>
      <c r="AA23" s="143" t="n">
        <f aca="false">(-AP23)</f>
        <v>307.887743731159</v>
      </c>
      <c r="AB23" s="442"/>
      <c r="AC23" s="442" t="n">
        <f aca="false">AC22-(AQ22/1.9835)+AS23</f>
        <v>1214.46325908639</v>
      </c>
      <c r="AD23" s="450" t="n">
        <f aca="false">AD22</f>
        <v>2618.93636501134</v>
      </c>
      <c r="AE23" s="347" t="n">
        <v>202</v>
      </c>
      <c r="AF23" s="145" t="n">
        <v>1.7</v>
      </c>
      <c r="AG23" s="146" t="n">
        <v>1.3</v>
      </c>
      <c r="AH23" s="143" t="n">
        <v>77.3</v>
      </c>
      <c r="AI23" s="114" t="n">
        <f aca="false">AI22-AH23</f>
        <v>7214.55787748928</v>
      </c>
      <c r="AJ23" s="114"/>
      <c r="AK23" s="142" t="n">
        <f aca="false">N23+O23+P23+Q23+R23+S23+T23+U23+X23+AE23+AH23-AR23</f>
        <v>752.86</v>
      </c>
      <c r="AL23" s="143" t="n">
        <f aca="false">IF(L23&lt;0,L23*-1,0)</f>
        <v>65.0545449962189</v>
      </c>
      <c r="AM23" s="143" t="n">
        <f aca="false">AK23+AL23</f>
        <v>817.914544996219</v>
      </c>
      <c r="AN23" s="230"/>
      <c r="AO23" s="225"/>
      <c r="AP23" s="585" t="n">
        <f aca="false">I23-Q23-R23-X23-AF23</f>
        <v>-307.887743731159</v>
      </c>
      <c r="AQ23" s="586" t="n">
        <f aca="false">72.247*(Z23*1.9835+AC23*1.9835)/E23</f>
        <v>12.9382797861293</v>
      </c>
      <c r="AR23" s="171" t="n">
        <f aca="false">1502.862/$D$2/35</f>
        <v>21.6480535849328</v>
      </c>
      <c r="AS23" s="143" t="n">
        <f aca="false">BA23</f>
        <v>9.18</v>
      </c>
      <c r="AT23" s="56" t="n">
        <v>1.64</v>
      </c>
      <c r="AV23" s="232" t="n">
        <v>0</v>
      </c>
      <c r="AW23" s="225" t="n">
        <v>86</v>
      </c>
      <c r="AX23" s="225" t="n">
        <v>50</v>
      </c>
      <c r="AY23" s="264"/>
      <c r="AZ23" s="263" t="n">
        <f aca="false">SUM(N23,P23:U23)</f>
        <v>3.8297713166872</v>
      </c>
      <c r="BA23" s="56" t="n">
        <v>9.18</v>
      </c>
      <c r="BB23" s="86" t="n">
        <v>22242</v>
      </c>
    </row>
    <row r="24" customFormat="false" ht="12.95" hidden="false" customHeight="true" outlineLevel="0" collapsed="false">
      <c r="A24" s="192" t="n">
        <v>10</v>
      </c>
      <c r="B24" s="113" t="n">
        <v>6898.12</v>
      </c>
      <c r="C24" s="114" t="n">
        <v>276698</v>
      </c>
      <c r="D24" s="225" t="n">
        <f aca="false">C24-C23</f>
        <v>-1349</v>
      </c>
      <c r="E24" s="114" t="n">
        <f aca="false">C24-152000</f>
        <v>124698</v>
      </c>
      <c r="F24" s="259" t="n">
        <f aca="false">D24/$D$2</f>
        <v>-680.110915049156</v>
      </c>
      <c r="G24" s="143" t="n">
        <v>91</v>
      </c>
      <c r="H24" s="260" t="n">
        <v>0</v>
      </c>
      <c r="I24" s="143" t="n">
        <f aca="false">G24+H24</f>
        <v>91</v>
      </c>
      <c r="J24" s="144" t="n">
        <f aca="false">IF(L24&gt;0,L24,0)</f>
        <v>0</v>
      </c>
      <c r="K24" s="143" t="n">
        <f aca="false">I24+J24</f>
        <v>91</v>
      </c>
      <c r="L24" s="143" t="n">
        <f aca="false">F24-(I24-AK24)</f>
        <v>-32.8189150491556</v>
      </c>
      <c r="M24" s="261" t="n">
        <v>249</v>
      </c>
      <c r="N24" s="171" t="n">
        <f aca="false">1/$D$2*1.03</f>
        <v>0.519284093773632</v>
      </c>
      <c r="O24" s="143" t="n">
        <f aca="false">82*1.05</f>
        <v>86.1</v>
      </c>
      <c r="P24" s="171" t="n">
        <v>0</v>
      </c>
      <c r="Q24" s="346" t="n">
        <f aca="false">1897200/325851/1.9835*1.02</f>
        <v>2.99407051749301</v>
      </c>
      <c r="R24" s="139" t="n">
        <f aca="false">IF(((0*1.04)-T24)&gt;=4.2,4.2,(0*1.04)-T24)</f>
        <v>-0.98102576</v>
      </c>
      <c r="S24" s="139" t="n">
        <f aca="false">IF(((0*1.04)-T24)&gt;=4.2,((0*1.04)-T24)-4.2,0)</f>
        <v>0</v>
      </c>
      <c r="T24" s="139" t="n">
        <f aca="false">(0.8899*1.06)*1.04</f>
        <v>0.98102576</v>
      </c>
      <c r="U24" s="365" t="n">
        <v>0</v>
      </c>
      <c r="V24" s="143" t="n">
        <v>126</v>
      </c>
      <c r="W24" s="143" t="n">
        <v>68.6</v>
      </c>
      <c r="X24" s="347" t="n">
        <f aca="false">M24-N24-O24-P24-Q24-R24-S24-T24-U24+V24+W24-AT24+AR24</f>
        <v>374.726698973666</v>
      </c>
      <c r="Y24" s="347" t="n">
        <f aca="false">X24-AO24</f>
        <v>374.726698973666</v>
      </c>
      <c r="Z24" s="114" t="n">
        <f aca="false">Z23+AP24</f>
        <v>9878.48395215482</v>
      </c>
      <c r="AA24" s="143" t="n">
        <f aca="false">(-AP24)</f>
        <v>287.439743731159</v>
      </c>
      <c r="AB24" s="442"/>
      <c r="AC24" s="442" t="n">
        <f aca="false">AC23-(AQ23/1.9835)+AS24</f>
        <v>1217.12030482064</v>
      </c>
      <c r="AD24" s="450" t="n">
        <f aca="false">AD23</f>
        <v>2618.93636501134</v>
      </c>
      <c r="AE24" s="347" t="n">
        <v>226</v>
      </c>
      <c r="AF24" s="145" t="n">
        <v>1.7</v>
      </c>
      <c r="AG24" s="146" t="n">
        <v>1.3</v>
      </c>
      <c r="AH24" s="143" t="n">
        <v>69.6</v>
      </c>
      <c r="AI24" s="114" t="n">
        <f aca="false">AI23-AH24</f>
        <v>7144.95787748928</v>
      </c>
      <c r="AJ24" s="114"/>
      <c r="AK24" s="142" t="n">
        <f aca="false">N24+O24+P24+Q24+R24+S24+T24+U24+X24+AE24+AH24-AR24</f>
        <v>738.292</v>
      </c>
      <c r="AL24" s="143" t="n">
        <f aca="false">IF(L24&lt;0,L24*-1,0)</f>
        <v>32.8189150491556</v>
      </c>
      <c r="AM24" s="143" t="n">
        <f aca="false">AK24+AL24</f>
        <v>771.110915049156</v>
      </c>
      <c r="AN24" s="230"/>
      <c r="AO24" s="225"/>
      <c r="AP24" s="585" t="n">
        <f aca="false">I24-Q24-R24-X24-AF24</f>
        <v>-287.439743731159</v>
      </c>
      <c r="AQ24" s="586" t="n">
        <f aca="false">53.814*(Z24*1.9835+AC24*1.9835)/E24</f>
        <v>9.49771098162163</v>
      </c>
      <c r="AR24" s="171" t="n">
        <f aca="false">1502.862/$D$2/35</f>
        <v>21.6480535849328</v>
      </c>
      <c r="AS24" s="143" t="n">
        <f aca="false">BA24</f>
        <v>9.18</v>
      </c>
      <c r="AT24" s="56" t="n">
        <v>0.908</v>
      </c>
      <c r="AV24" s="232" t="n">
        <v>0</v>
      </c>
      <c r="AW24" s="225" t="n">
        <v>87</v>
      </c>
      <c r="AX24" s="225" t="n">
        <v>50</v>
      </c>
      <c r="AY24" s="264"/>
      <c r="AZ24" s="263" t="n">
        <f aca="false">SUM(N24,P24:U24)</f>
        <v>3.51335461126664</v>
      </c>
      <c r="BA24" s="56" t="n">
        <v>9.18</v>
      </c>
      <c r="BB24" s="86" t="n">
        <v>22212</v>
      </c>
    </row>
    <row r="25" customFormat="false" ht="12.95" hidden="false" customHeight="true" outlineLevel="0" collapsed="false">
      <c r="A25" s="192" t="n">
        <v>11</v>
      </c>
      <c r="B25" s="113" t="n">
        <v>6897.73</v>
      </c>
      <c r="C25" s="114" t="n">
        <v>275284</v>
      </c>
      <c r="D25" s="225" t="n">
        <f aca="false">C25-C24</f>
        <v>-1414</v>
      </c>
      <c r="E25" s="114" t="n">
        <f aca="false">C25-152000</f>
        <v>123284</v>
      </c>
      <c r="F25" s="259" t="n">
        <f aca="false">D25/$D$2</f>
        <v>-712.881270481472</v>
      </c>
      <c r="G25" s="143" t="n">
        <v>84</v>
      </c>
      <c r="H25" s="260" t="n">
        <v>0</v>
      </c>
      <c r="I25" s="143" t="n">
        <f aca="false">G25+H25</f>
        <v>84</v>
      </c>
      <c r="J25" s="144" t="n">
        <f aca="false">IF(L25&gt;0,L25,0)</f>
        <v>0</v>
      </c>
      <c r="K25" s="143" t="n">
        <f aca="false">I25+J25</f>
        <v>84</v>
      </c>
      <c r="L25" s="143" t="n">
        <f aca="false">F25-(I25-AK25)</f>
        <v>-47.0922704814723</v>
      </c>
      <c r="M25" s="261" t="n">
        <v>284</v>
      </c>
      <c r="N25" s="171" t="n">
        <f aca="false">1/$D$2*1.03</f>
        <v>0.519284093773632</v>
      </c>
      <c r="O25" s="143" t="n">
        <f aca="false">80.7*1.05</f>
        <v>84.735</v>
      </c>
      <c r="P25" s="171" t="n">
        <v>0</v>
      </c>
      <c r="Q25" s="346" t="n">
        <f aca="false">1682500/325851/1.9835*1.02</f>
        <v>2.65524122163292</v>
      </c>
      <c r="R25" s="139" t="n">
        <f aca="false">IF(((5.4*1.04)-T25)&gt;=4.2,4.2,(5.4*1.04)-T25)</f>
        <v>4.2</v>
      </c>
      <c r="S25" s="139" t="n">
        <f aca="false">IF(((5.4*1.04)-T25)&gt;=4.2,((5.4*1.04)-T25)-4.2,0)</f>
        <v>0.35019968</v>
      </c>
      <c r="T25" s="139" t="n">
        <f aca="false">(0.9668*1.06)*1.04</f>
        <v>1.06580032</v>
      </c>
      <c r="U25" s="365" t="n">
        <v>0</v>
      </c>
      <c r="V25" s="143" t="n">
        <v>127</v>
      </c>
      <c r="W25" s="143" t="n">
        <v>69.8</v>
      </c>
      <c r="X25" s="347" t="n">
        <f aca="false">M25-N25-O25-P25-Q25-R25-S25-T25-U25+V25+W25-AT25+AR25</f>
        <v>408.111528269526</v>
      </c>
      <c r="Y25" s="143" t="n">
        <f aca="false">X25-AO25</f>
        <v>408.111528269526</v>
      </c>
      <c r="Z25" s="114" t="n">
        <f aca="false">Z24+AP25</f>
        <v>9545.81718266366</v>
      </c>
      <c r="AA25" s="143" t="n">
        <f aca="false">(-AP25)</f>
        <v>332.666769491159</v>
      </c>
      <c r="AB25" s="114"/>
      <c r="AC25" s="442" t="n">
        <f aca="false">AC24-(AQ24/1.9835)+AS25</f>
        <v>1221.51194536431</v>
      </c>
      <c r="AD25" s="450" t="n">
        <f aca="false">AD24</f>
        <v>2618.93636501134</v>
      </c>
      <c r="AE25" s="143" t="n">
        <v>203</v>
      </c>
      <c r="AF25" s="145" t="n">
        <v>1.7</v>
      </c>
      <c r="AG25" s="146" t="n">
        <v>1.3</v>
      </c>
      <c r="AH25" s="143" t="n">
        <v>66.8</v>
      </c>
      <c r="AI25" s="114" t="n">
        <f aca="false">AI24-AH25</f>
        <v>7078.15787748928</v>
      </c>
      <c r="AJ25" s="114"/>
      <c r="AK25" s="142" t="n">
        <f aca="false">N25+O25+P25+Q25+R25+S25+T25+U25+X25+AE25+AH25-AR25</f>
        <v>749.789</v>
      </c>
      <c r="AL25" s="143" t="n">
        <f aca="false">IF(L25&lt;0,L25*-1,0)</f>
        <v>47.0922704814723</v>
      </c>
      <c r="AM25" s="143" t="n">
        <f aca="false">AK25+AL25</f>
        <v>796.881270481472</v>
      </c>
      <c r="AN25" s="230"/>
      <c r="AO25" s="225"/>
      <c r="AP25" s="585" t="n">
        <f aca="false">I25-Q25-R25-X25-AF25</f>
        <v>-332.666769491159</v>
      </c>
      <c r="AQ25" s="586" t="n">
        <f aca="false">75.001*(Z25*1.9835+AC25*1.9835)/E25</f>
        <v>12.9927334966872</v>
      </c>
      <c r="AR25" s="171" t="n">
        <f aca="false">1502.862/$D$2/35</f>
        <v>21.6480535849328</v>
      </c>
      <c r="AS25" s="143" t="n">
        <f aca="false">BA25</f>
        <v>9.18</v>
      </c>
      <c r="AT25" s="56" t="n">
        <v>0.811</v>
      </c>
      <c r="AV25" s="232" t="n">
        <v>0</v>
      </c>
      <c r="AW25" s="225" t="n">
        <v>89</v>
      </c>
      <c r="AX25" s="225" t="n">
        <v>56</v>
      </c>
      <c r="AY25" s="264"/>
      <c r="AZ25" s="263" t="n">
        <f aca="false">SUM(N25,P25:U25)</f>
        <v>8.79052531540656</v>
      </c>
      <c r="BA25" s="56" t="n">
        <v>9.18</v>
      </c>
      <c r="BB25" s="86" t="n">
        <v>22146</v>
      </c>
    </row>
    <row r="26" customFormat="false" ht="12.95" hidden="false" customHeight="true" outlineLevel="0" collapsed="false">
      <c r="A26" s="192" t="n">
        <v>12</v>
      </c>
      <c r="B26" s="113" t="n">
        <v>6897.36</v>
      </c>
      <c r="C26" s="114" t="n">
        <v>273946</v>
      </c>
      <c r="D26" s="225" t="n">
        <f aca="false">C26-C25</f>
        <v>-1338</v>
      </c>
      <c r="E26" s="114" t="n">
        <f aca="false">C26-152000</f>
        <v>121946</v>
      </c>
      <c r="F26" s="259" t="n">
        <f aca="false">D26/$D$2</f>
        <v>-674.565162591379</v>
      </c>
      <c r="G26" s="143" t="n">
        <v>79</v>
      </c>
      <c r="H26" s="260" t="n">
        <v>0</v>
      </c>
      <c r="I26" s="143" t="n">
        <f aca="false">G26+H26</f>
        <v>79</v>
      </c>
      <c r="J26" s="144" t="n">
        <f aca="false">IF(L26&gt;0,L26,0)</f>
        <v>0</v>
      </c>
      <c r="K26" s="143" t="n">
        <f aca="false">I26+J26</f>
        <v>79</v>
      </c>
      <c r="L26" s="143" t="n">
        <f aca="false">F26-(I26-AK26)</f>
        <v>-38.8451625913789</v>
      </c>
      <c r="M26" s="261" t="n">
        <v>263</v>
      </c>
      <c r="N26" s="171" t="n">
        <f aca="false">1/$D$2*1.03</f>
        <v>0.519284093773632</v>
      </c>
      <c r="O26" s="143" t="n">
        <f aca="false">82.8*1.05</f>
        <v>86.94</v>
      </c>
      <c r="P26" s="171" t="n">
        <v>0</v>
      </c>
      <c r="Q26" s="346" t="n">
        <f aca="false">1776800/325851/1.9835*1.02</f>
        <v>2.80406098222727</v>
      </c>
      <c r="R26" s="139" t="n">
        <f aca="false">IF(((12*1.04)-T26)&gt;=4.2,4.2,(12*1.04)-T26)</f>
        <v>4.2</v>
      </c>
      <c r="S26" s="139" t="n">
        <f aca="false">IF(((12*1.04)-T26)&gt;=4.2,((12*1.04)-T26)-4.2,0)</f>
        <v>7.21419968</v>
      </c>
      <c r="T26" s="139" t="n">
        <f aca="false">(0.9668*1.06)*1.04</f>
        <v>1.06580032</v>
      </c>
      <c r="U26" s="365" t="n">
        <v>0</v>
      </c>
      <c r="V26" s="143" t="n">
        <v>126</v>
      </c>
      <c r="W26" s="143" t="n">
        <v>69.9</v>
      </c>
      <c r="X26" s="347" t="n">
        <f aca="false">M26-N26-O26-P26-Q26-R26-S26-T26-U26+V26+W26-AT26+AR26</f>
        <v>377.024708508932</v>
      </c>
      <c r="Y26" s="143" t="n">
        <f aca="false">X26-AO26</f>
        <v>377.024708508932</v>
      </c>
      <c r="Z26" s="114" t="n">
        <f aca="false">Z25+AP26</f>
        <v>9239.0884131725</v>
      </c>
      <c r="AA26" s="143" t="n">
        <f aca="false">(-AP26)</f>
        <v>306.728769491159</v>
      </c>
      <c r="AB26" s="114"/>
      <c r="AC26" s="442" t="n">
        <f aca="false">AC25-(AQ25/1.9835)+AS26</f>
        <v>1224.14153775318</v>
      </c>
      <c r="AD26" s="450" t="n">
        <f aca="false">AD25</f>
        <v>2618.93636501134</v>
      </c>
      <c r="AE26" s="143" t="n">
        <v>191</v>
      </c>
      <c r="AF26" s="145" t="n">
        <v>1.7</v>
      </c>
      <c r="AG26" s="146" t="n">
        <v>1.3</v>
      </c>
      <c r="AH26" s="143" t="n">
        <v>65.6</v>
      </c>
      <c r="AI26" s="114" t="n">
        <f aca="false">AI25-AH26</f>
        <v>7012.55787748928</v>
      </c>
      <c r="AJ26" s="114"/>
      <c r="AK26" s="142" t="n">
        <f aca="false">N26+O26+P26+Q26+R26+S26+T26+U26+X26+AE26+AH26-AR26</f>
        <v>714.72</v>
      </c>
      <c r="AL26" s="143" t="n">
        <f aca="false">IF(L26&lt;0,L26*-1,0)</f>
        <v>38.8451625913789</v>
      </c>
      <c r="AM26" s="143" t="n">
        <f aca="false">AK26+AL26</f>
        <v>753.565162591379</v>
      </c>
      <c r="AN26" s="230"/>
      <c r="AO26" s="225"/>
      <c r="AP26" s="585" t="n">
        <f aca="false">I26-Q26-R26-X26-AF26</f>
        <v>-306.728769491159</v>
      </c>
      <c r="AQ26" s="586" t="n">
        <f aca="false">60.741*(Z26*1.9835+AC26*1.9835)/E26</f>
        <v>10.3374245532116</v>
      </c>
      <c r="AR26" s="171" t="n">
        <f aca="false">1502.862/$D$2/35</f>
        <v>21.6480535849328</v>
      </c>
      <c r="AS26" s="143" t="n">
        <f aca="false">BA26</f>
        <v>9.18</v>
      </c>
      <c r="AT26" s="56" t="n">
        <v>0.78</v>
      </c>
      <c r="AV26" s="232" t="n">
        <v>0</v>
      </c>
      <c r="AW26" s="225" t="n">
        <v>89</v>
      </c>
      <c r="AX26" s="225" t="n">
        <v>49</v>
      </c>
      <c r="AY26" s="264"/>
      <c r="AZ26" s="263" t="n">
        <f aca="false">SUM(N26,P26:U26)</f>
        <v>15.8033450760009</v>
      </c>
      <c r="BA26" s="56" t="n">
        <v>9.18</v>
      </c>
      <c r="BB26" s="86" t="n">
        <v>22116</v>
      </c>
    </row>
    <row r="27" customFormat="false" ht="12.95" hidden="false" customHeight="true" outlineLevel="0" collapsed="false">
      <c r="A27" s="192" t="n">
        <v>13</v>
      </c>
      <c r="B27" s="113" t="n">
        <v>6897.03</v>
      </c>
      <c r="C27" s="114" t="n">
        <v>272752</v>
      </c>
      <c r="D27" s="225" t="n">
        <f aca="false">C27-C26</f>
        <v>-1194</v>
      </c>
      <c r="E27" s="114" t="n">
        <f aca="false">C27-152000</f>
        <v>120752</v>
      </c>
      <c r="F27" s="259" t="n">
        <f aca="false">D27/$D$2</f>
        <v>-601.966221325939</v>
      </c>
      <c r="G27" s="143" t="n">
        <v>75</v>
      </c>
      <c r="H27" s="260" t="n">
        <v>0</v>
      </c>
      <c r="I27" s="143" t="n">
        <f aca="false">G27+H27</f>
        <v>75</v>
      </c>
      <c r="J27" s="144" t="n">
        <f aca="false">IF(L27&gt;0,L27,0)</f>
        <v>0</v>
      </c>
      <c r="K27" s="143" t="n">
        <f aca="false">I27+J27</f>
        <v>75</v>
      </c>
      <c r="L27" s="143" t="n">
        <f aca="false">F27-(I27-AK27)</f>
        <v>-19.5682213259389</v>
      </c>
      <c r="M27" s="261" t="n">
        <v>255</v>
      </c>
      <c r="N27" s="171" t="n">
        <f aca="false">1/$D$2*1.03</f>
        <v>0.519284093773632</v>
      </c>
      <c r="O27" s="143" t="n">
        <f aca="false">73.9*1.05</f>
        <v>77.595</v>
      </c>
      <c r="P27" s="171" t="n">
        <v>0</v>
      </c>
      <c r="Q27" s="346" t="n">
        <f aca="false">1994400/325851/1.9835*1.02</f>
        <v>3.14746691971751</v>
      </c>
      <c r="R27" s="139" t="n">
        <f aca="false">IF(((6*1.04)-T27)&gt;=4.2,4.2,(6*1.04)-T27)</f>
        <v>4.2</v>
      </c>
      <c r="S27" s="139" t="n">
        <f aca="false">IF(((6*1.04)-T27)&gt;=4.2,((6*1.04)-T27)-4.2,0)</f>
        <v>0.97419968</v>
      </c>
      <c r="T27" s="139" t="n">
        <f aca="false">(0.9668*1.06)*1.04</f>
        <v>1.06580032</v>
      </c>
      <c r="U27" s="365" t="n">
        <v>0</v>
      </c>
      <c r="V27" s="143" t="n">
        <v>127</v>
      </c>
      <c r="W27" s="143" t="n">
        <v>69.9</v>
      </c>
      <c r="X27" s="347" t="n">
        <f aca="false">M27-N27-O27-P27-Q27-R27-S27-T27-U27+V27+W27-AT27+AR27</f>
        <v>385.344302571442</v>
      </c>
      <c r="Y27" s="143" t="n">
        <f aca="false">X27-AO27</f>
        <v>385.344302571442</v>
      </c>
      <c r="Z27" s="114" t="n">
        <f aca="false">Z26+AP27</f>
        <v>8919.69664368134</v>
      </c>
      <c r="AA27" s="143" t="n">
        <f aca="false">(-AP27)</f>
        <v>319.391769491159</v>
      </c>
      <c r="AB27" s="114"/>
      <c r="AC27" s="442" t="n">
        <f aca="false">AC26-(AQ26/1.9835)+AS27</f>
        <v>1231.10982887835</v>
      </c>
      <c r="AD27" s="450" t="n">
        <f aca="false">AD26</f>
        <v>2618.93636501134</v>
      </c>
      <c r="AE27" s="143" t="n">
        <v>158</v>
      </c>
      <c r="AF27" s="145" t="n">
        <v>1.7</v>
      </c>
      <c r="AG27" s="146" t="n">
        <v>1.3</v>
      </c>
      <c r="AH27" s="143" t="n">
        <v>48.2</v>
      </c>
      <c r="AI27" s="114" t="n">
        <f aca="false">AI26-AH27</f>
        <v>6964.35787748928</v>
      </c>
      <c r="AJ27" s="114"/>
      <c r="AK27" s="142" t="n">
        <f aca="false">N27+O27+P27+Q27+R27+S27+T27+U27+X27+AE27+AH27-AR27</f>
        <v>657.398</v>
      </c>
      <c r="AL27" s="143" t="n">
        <f aca="false">IF(L27&lt;0,L27*-1,0)</f>
        <v>19.5682213259389</v>
      </c>
      <c r="AM27" s="143" t="n">
        <f aca="false">AK27+AL27</f>
        <v>676.966221325939</v>
      </c>
      <c r="AN27" s="230" t="n">
        <f aca="false">(BA27-9.18)*0.95</f>
        <v>32.794</v>
      </c>
      <c r="AO27" s="225"/>
      <c r="AP27" s="585" t="n">
        <f aca="false">I27-Q27-R27-X27-AF27</f>
        <v>-319.391769491159</v>
      </c>
      <c r="AQ27" s="586" t="n">
        <f aca="false">57.168*(Z27*1.9835+AC27*1.9835)/E27</f>
        <v>9.53216209523321</v>
      </c>
      <c r="AR27" s="171" t="n">
        <f aca="false">1502.862/$D$2/35</f>
        <v>21.6480535849328</v>
      </c>
      <c r="AS27" s="143" t="n">
        <f aca="false">9.18+3</f>
        <v>12.18</v>
      </c>
      <c r="AT27" s="56" t="n">
        <v>0.702</v>
      </c>
      <c r="AV27" s="232" t="n">
        <v>0</v>
      </c>
      <c r="AW27" s="225" t="n">
        <v>87</v>
      </c>
      <c r="AX27" s="225" t="n">
        <v>51</v>
      </c>
      <c r="AY27" s="264"/>
      <c r="AZ27" s="263" t="n">
        <f aca="false">SUM(N27,P27:U27)</f>
        <v>9.90675101349114</v>
      </c>
      <c r="BA27" s="56" t="n">
        <v>43.7</v>
      </c>
      <c r="BB27" s="86" t="n">
        <v>22066</v>
      </c>
    </row>
    <row r="28" customFormat="false" ht="12.95" hidden="false" customHeight="true" outlineLevel="0" collapsed="false">
      <c r="A28" s="192" t="n">
        <v>14</v>
      </c>
      <c r="B28" s="113" t="n">
        <v>6896.69</v>
      </c>
      <c r="C28" s="114" t="n">
        <v>271531</v>
      </c>
      <c r="D28" s="225" t="n">
        <f aca="false">C28-C27</f>
        <v>-1221</v>
      </c>
      <c r="E28" s="114" t="n">
        <f aca="false">C28-152000</f>
        <v>119531</v>
      </c>
      <c r="F28" s="259" t="n">
        <f aca="false">D28/$D$2</f>
        <v>-615.578522813209</v>
      </c>
      <c r="G28" s="143" t="n">
        <v>120</v>
      </c>
      <c r="H28" s="260" t="n">
        <v>0</v>
      </c>
      <c r="I28" s="143" t="n">
        <f aca="false">G28+H28</f>
        <v>120</v>
      </c>
      <c r="J28" s="144" t="n">
        <f aca="false">IF(L28&gt;0,L28,0)</f>
        <v>0</v>
      </c>
      <c r="K28" s="143" t="n">
        <f aca="false">I28+J28</f>
        <v>120</v>
      </c>
      <c r="L28" s="143" t="n">
        <f aca="false">F28-(I28-AK28)</f>
        <v>-59.5385228132089</v>
      </c>
      <c r="M28" s="261" t="n">
        <v>268</v>
      </c>
      <c r="N28" s="171" t="n">
        <f aca="false">1/$D$2*1.03</f>
        <v>0.519284093773632</v>
      </c>
      <c r="O28" s="143" t="n">
        <f aca="false">84.1*1.05</f>
        <v>88.305</v>
      </c>
      <c r="P28" s="171" t="n">
        <v>0</v>
      </c>
      <c r="Q28" s="346" t="n">
        <f aca="false">1419200/325851/1.9835*1.02</f>
        <v>2.23971372466059</v>
      </c>
      <c r="R28" s="139" t="n">
        <f aca="false">IF(((5.5*1.04)-T28)&gt;=4.2,4.2,(5.5*1.04)-T28)</f>
        <v>4.2</v>
      </c>
      <c r="S28" s="139" t="n">
        <f aca="false">IF(((5.5*1.04)-T28)&gt;=4.2,((5.5*1.04)-T28)-4.2,0)</f>
        <v>0.45419968</v>
      </c>
      <c r="T28" s="139" t="n">
        <f aca="false">(0.9668*1.06)*1.04</f>
        <v>1.06580032</v>
      </c>
      <c r="U28" s="365" t="n">
        <v>0</v>
      </c>
      <c r="V28" s="143" t="n">
        <v>165</v>
      </c>
      <c r="W28" s="143" t="n">
        <v>68.2</v>
      </c>
      <c r="X28" s="347" t="n">
        <f aca="false">M28-N28-O28-P28-Q28-R28-S28-T28-U28+V28+W28-AT28+AR28</f>
        <v>425.304055766499</v>
      </c>
      <c r="Y28" s="143" t="n">
        <f aca="false">X28-AO28</f>
        <v>425.304055766499</v>
      </c>
      <c r="Z28" s="114" t="n">
        <f aca="false">Z27+AP28</f>
        <v>8606.25287419018</v>
      </c>
      <c r="AA28" s="143" t="n">
        <f aca="false">(-AP28)</f>
        <v>313.443769491159</v>
      </c>
      <c r="AB28" s="114"/>
      <c r="AC28" s="442" t="n">
        <f aca="false">AC27-(AQ27/1.9835)+AS28</f>
        <v>1238.48410057221</v>
      </c>
      <c r="AD28" s="450" t="n">
        <f aca="false">AD27</f>
        <v>2618.93636501134</v>
      </c>
      <c r="AE28" s="143" t="n">
        <v>136</v>
      </c>
      <c r="AF28" s="145" t="n">
        <v>1.7</v>
      </c>
      <c r="AG28" s="146" t="n">
        <v>1.3</v>
      </c>
      <c r="AH28" s="143" t="n">
        <v>39.6</v>
      </c>
      <c r="AI28" s="114" t="n">
        <f aca="false">AI27-AH28</f>
        <v>6924.75787748928</v>
      </c>
      <c r="AJ28" s="114"/>
      <c r="AK28" s="142" t="n">
        <f aca="false">N28+O28+P28+Q28+R28+S28+T28+U28+X28+AE28+AH28-AR28</f>
        <v>676.04</v>
      </c>
      <c r="AL28" s="143" t="n">
        <f aca="false">IF(L28&lt;0,L28*-1,0)</f>
        <v>59.5385228132089</v>
      </c>
      <c r="AM28" s="143" t="n">
        <f aca="false">AK28+AL28</f>
        <v>735.578522813209</v>
      </c>
      <c r="AN28" s="230" t="n">
        <f aca="false">(BA28-9.18)*0.95</f>
        <v>67.089</v>
      </c>
      <c r="AO28" s="225"/>
      <c r="AP28" s="585" t="n">
        <f aca="false">I28-Q28-R28-X28-AF28</f>
        <v>-313.443769491159</v>
      </c>
      <c r="AQ28" s="586" t="n">
        <f aca="false">9.248*(Z28*1.9835+AC28*1.9835)/E28</f>
        <v>1.51078822214114</v>
      </c>
      <c r="AR28" s="171" t="n">
        <f aca="false">1502.862/$D$2/35</f>
        <v>21.6480535849328</v>
      </c>
      <c r="AS28" s="143" t="n">
        <f aca="false">9.18+3</f>
        <v>12.18</v>
      </c>
      <c r="AT28" s="56" t="n">
        <v>0.76</v>
      </c>
      <c r="AV28" s="232" t="n">
        <v>0.19</v>
      </c>
      <c r="AW28" s="225" t="n">
        <v>79</v>
      </c>
      <c r="AX28" s="225" t="n">
        <v>53</v>
      </c>
      <c r="AY28" s="264"/>
      <c r="AZ28" s="263" t="n">
        <f aca="false">SUM(N28,P28:U28)</f>
        <v>8.47899781843423</v>
      </c>
      <c r="BA28" s="56" t="n">
        <v>79.8</v>
      </c>
      <c r="BB28" s="86" t="n">
        <v>21921</v>
      </c>
    </row>
    <row r="29" customFormat="false" ht="12.95" hidden="false" customHeight="true" outlineLevel="0" collapsed="false">
      <c r="A29" s="192" t="n">
        <v>15</v>
      </c>
      <c r="B29" s="113" t="n">
        <v>6896.39</v>
      </c>
      <c r="C29" s="114" t="n">
        <v>270454</v>
      </c>
      <c r="D29" s="225" t="n">
        <f aca="false">C29-C28</f>
        <v>-1077</v>
      </c>
      <c r="E29" s="114" t="n">
        <f aca="false">C29-152000</f>
        <v>118454</v>
      </c>
      <c r="F29" s="259" t="n">
        <f aca="false">D29/$D$2</f>
        <v>-542.979581547769</v>
      </c>
      <c r="G29" s="143" t="n">
        <v>147</v>
      </c>
      <c r="H29" s="260" t="n">
        <v>0</v>
      </c>
      <c r="I29" s="143" t="n">
        <f aca="false">G29+H29</f>
        <v>147</v>
      </c>
      <c r="J29" s="144" t="n">
        <f aca="false">IF(L29&gt;0,L29,0)</f>
        <v>27.1484184522309</v>
      </c>
      <c r="K29" s="143" t="n">
        <f aca="false">I29+J29</f>
        <v>174.148418452231</v>
      </c>
      <c r="L29" s="143" t="n">
        <f aca="false">F29-(I29-AK29)</f>
        <v>27.1484184522309</v>
      </c>
      <c r="M29" s="261" t="n">
        <v>260</v>
      </c>
      <c r="N29" s="171" t="n">
        <f aca="false">1/$D$2*1.03</f>
        <v>0.519284093773632</v>
      </c>
      <c r="O29" s="143" t="n">
        <f aca="false">85.4*1.05</f>
        <v>89.67</v>
      </c>
      <c r="P29" s="171" t="n">
        <v>0</v>
      </c>
      <c r="Q29" s="346" t="n">
        <f aca="false">1366800/325851/1.9835*1.02</f>
        <v>2.15701854486055</v>
      </c>
      <c r="R29" s="139" t="n">
        <f aca="false">IF(((5.5*1.04)-T29)&gt;=4.2,4.2,(5.5*1.04)-T29)</f>
        <v>4.2</v>
      </c>
      <c r="S29" s="139" t="n">
        <f aca="false">IF(((5.5*1.04)-T29)&gt;=4.2,((5.5*1.04)-T29)-4.2,0)</f>
        <v>0.45419968</v>
      </c>
      <c r="T29" s="139" t="n">
        <f aca="false">(0.9668*1.06)*1.04</f>
        <v>1.06580032</v>
      </c>
      <c r="U29" s="365" t="n">
        <v>0</v>
      </c>
      <c r="V29" s="143" t="n">
        <v>198</v>
      </c>
      <c r="W29" s="143" t="n">
        <v>67.2</v>
      </c>
      <c r="X29" s="347" t="n">
        <f aca="false">M29-N29-O29-P29-Q29-R29-S29-T29-U29+V29+W29-AT29+AR29</f>
        <v>447.809750946299</v>
      </c>
      <c r="Y29" s="143" t="n">
        <f aca="false">X29-AO29</f>
        <v>447.809750946299</v>
      </c>
      <c r="Z29" s="114" t="n">
        <f aca="false">Z28+AP29</f>
        <v>8297.38610469902</v>
      </c>
      <c r="AA29" s="143" t="n">
        <f aca="false">(-AP29)</f>
        <v>308.866769491159</v>
      </c>
      <c r="AB29" s="114"/>
      <c r="AC29" s="442" t="n">
        <f aca="false">AC28-(AQ28/1.9835)+AS29</f>
        <v>1249.90242261802</v>
      </c>
      <c r="AD29" s="450" t="n">
        <f aca="false">AD28</f>
        <v>2618.93636501134</v>
      </c>
      <c r="AE29" s="143" t="n">
        <v>153</v>
      </c>
      <c r="AF29" s="145" t="n">
        <v>1.7</v>
      </c>
      <c r="AG29" s="146" t="n">
        <v>1.3</v>
      </c>
      <c r="AH29" s="143" t="n">
        <v>39.9</v>
      </c>
      <c r="AI29" s="114" t="n">
        <f aca="false">AI28-AH29</f>
        <v>6884.85787748928</v>
      </c>
      <c r="AJ29" s="114"/>
      <c r="AK29" s="142" t="n">
        <f aca="false">N29+O29+P29+Q29+R29+S29+T29+U29+X29+AE29+AH29-AR29</f>
        <v>717.128</v>
      </c>
      <c r="AL29" s="143" t="n">
        <f aca="false">IF(L29&lt;0,L29*-1,0)</f>
        <v>0</v>
      </c>
      <c r="AM29" s="143" t="n">
        <f aca="false">AK29+AL29</f>
        <v>717.128</v>
      </c>
      <c r="AN29" s="230" t="n">
        <f aca="false">(BA29-9.18)*0.95</f>
        <v>66.994</v>
      </c>
      <c r="AO29" s="225"/>
      <c r="AP29" s="585" t="n">
        <f aca="false">I29-Q29-R29-X29-AF29</f>
        <v>-308.866769491159</v>
      </c>
      <c r="AQ29" s="586" t="n">
        <f aca="false">36.693*(Z29*1.9835+AC29*1.9835)/E29</f>
        <v>5.86604975779455</v>
      </c>
      <c r="AR29" s="171" t="n">
        <f aca="false">1502.862/$D$2/35</f>
        <v>21.6480535849328</v>
      </c>
      <c r="AS29" s="143" t="n">
        <f aca="false">9.18+3</f>
        <v>12.18</v>
      </c>
      <c r="AT29" s="56" t="n">
        <v>0.972</v>
      </c>
      <c r="AV29" s="232" t="n">
        <v>0.03</v>
      </c>
      <c r="AW29" s="225" t="n">
        <v>78</v>
      </c>
      <c r="AX29" s="225" t="n">
        <v>51</v>
      </c>
      <c r="AY29" s="264"/>
      <c r="AZ29" s="263" t="n">
        <f aca="false">SUM(N29,P29:U29)</f>
        <v>8.39630263863419</v>
      </c>
      <c r="BA29" s="56" t="n">
        <v>79.7</v>
      </c>
      <c r="BB29" s="86" t="n">
        <v>21750</v>
      </c>
    </row>
    <row r="30" customFormat="false" ht="12.95" hidden="false" customHeight="true" outlineLevel="0" collapsed="false">
      <c r="A30" s="192" t="n">
        <v>16</v>
      </c>
      <c r="B30" s="113" t="n">
        <v>6896.08</v>
      </c>
      <c r="C30" s="114" t="n">
        <v>269342</v>
      </c>
      <c r="D30" s="225" t="n">
        <f aca="false">C30-C29</f>
        <v>-1112</v>
      </c>
      <c r="E30" s="114" t="n">
        <f aca="false">C30-152000</f>
        <v>117342</v>
      </c>
      <c r="F30" s="259" t="n">
        <f aca="false">D30/$D$2</f>
        <v>-560.625157549786</v>
      </c>
      <c r="G30" s="143" t="n">
        <v>167</v>
      </c>
      <c r="H30" s="260" t="n">
        <v>0</v>
      </c>
      <c r="I30" s="143" t="n">
        <f aca="false">G30+H30</f>
        <v>167</v>
      </c>
      <c r="J30" s="144" t="n">
        <f aca="false">IF(L30&gt;0,L30,0)</f>
        <v>0</v>
      </c>
      <c r="K30" s="143" t="n">
        <f aca="false">I30+J30</f>
        <v>167</v>
      </c>
      <c r="L30" s="143" t="n">
        <f aca="false">F30-(I30-AK30)</f>
        <v>-23.8071575497858</v>
      </c>
      <c r="M30" s="261" t="n">
        <v>250</v>
      </c>
      <c r="N30" s="171" t="n">
        <f aca="false">1/$D$2*1.03</f>
        <v>0.519284093773632</v>
      </c>
      <c r="O30" s="143" t="n">
        <f aca="false">83.8*1.05</f>
        <v>87.99</v>
      </c>
      <c r="P30" s="171" t="n">
        <v>0</v>
      </c>
      <c r="Q30" s="346" t="n">
        <f aca="false">1356700/325851/1.9835*1.02</f>
        <v>2.14107920676932</v>
      </c>
      <c r="R30" s="139" t="n">
        <f aca="false">IF(((5.4*1.04)-T30)&gt;=4.2,4.2,(5.4*1.04)-T30)</f>
        <v>4.2</v>
      </c>
      <c r="S30" s="139" t="n">
        <f aca="false">IF(((5.4*1.04)-T30)&gt;=4.2,((5.4*1.04)-T30)-4.2,0)</f>
        <v>0.35019968</v>
      </c>
      <c r="T30" s="139" t="n">
        <f aca="false">(0.9668*1.06)*1.04</f>
        <v>1.06580032</v>
      </c>
      <c r="U30" s="365" t="n">
        <v>0</v>
      </c>
      <c r="V30" s="143" t="n">
        <v>200</v>
      </c>
      <c r="W30" s="143" t="n">
        <v>67.6</v>
      </c>
      <c r="X30" s="347" t="n">
        <f aca="false">M30-N30-O30-P30-Q30-R30-S30-T30-U30+V30+W30-AT30+AR30</f>
        <v>442.09969028439</v>
      </c>
      <c r="Y30" s="143" t="n">
        <f aca="false">X30-AO30</f>
        <v>442.09969028439</v>
      </c>
      <c r="Z30" s="114" t="n">
        <f aca="false">Z29+AP30</f>
        <v>8014.24533520786</v>
      </c>
      <c r="AA30" s="143" t="n">
        <f aca="false">(-AP30)</f>
        <v>283.140769491159</v>
      </c>
      <c r="AB30" s="114"/>
      <c r="AC30" s="442" t="n">
        <f aca="false">AC29-(AQ29/1.9835)+AS30</f>
        <v>1259.12499899422</v>
      </c>
      <c r="AD30" s="450" t="n">
        <f aca="false">AD29</f>
        <v>2618.93636501134</v>
      </c>
      <c r="AE30" s="143" t="n">
        <v>147</v>
      </c>
      <c r="AF30" s="145" t="n">
        <v>1.7</v>
      </c>
      <c r="AG30" s="146" t="n">
        <v>1.3</v>
      </c>
      <c r="AH30" s="143" t="n">
        <v>40.1</v>
      </c>
      <c r="AI30" s="114" t="n">
        <f aca="false">AI29-AH30</f>
        <v>6844.75787748928</v>
      </c>
      <c r="AJ30" s="114"/>
      <c r="AK30" s="142" t="n">
        <f aca="false">N30+O30+P30+Q30+R30+S30+T30+U30+X30+AE30+AH30-AR30</f>
        <v>703.818</v>
      </c>
      <c r="AL30" s="143" t="n">
        <f aca="false">IF(L30&lt;0,L30*-1,0)</f>
        <v>23.8071575497858</v>
      </c>
      <c r="AM30" s="143" t="n">
        <f aca="false">AK30+AL30</f>
        <v>727.625157549786</v>
      </c>
      <c r="AN30" s="230" t="n">
        <f aca="false">(BA30-9.18)*0.95</f>
        <v>66.804</v>
      </c>
      <c r="AO30" s="225"/>
      <c r="AP30" s="585" t="n">
        <f aca="false">I30-Q30-R30-X30-AF30</f>
        <v>-283.140769491159</v>
      </c>
      <c r="AQ30" s="586" t="n">
        <f aca="false">44.198*(Z30*1.9835+AC30*1.9835)/E30</f>
        <v>6.92817645087534</v>
      </c>
      <c r="AR30" s="171" t="n">
        <f aca="false">1502.862/$D$2/35</f>
        <v>21.6480535849328</v>
      </c>
      <c r="AS30" s="143" t="n">
        <f aca="false">9.18+3</f>
        <v>12.18</v>
      </c>
      <c r="AT30" s="56" t="n">
        <v>0.882</v>
      </c>
      <c r="AV30" s="232" t="n">
        <v>0</v>
      </c>
      <c r="AW30" s="225" t="n">
        <v>78</v>
      </c>
      <c r="AX30" s="225" t="n">
        <v>53</v>
      </c>
      <c r="AY30" s="264"/>
      <c r="AZ30" s="263" t="n">
        <f aca="false">SUM(N30,P30:U30)</f>
        <v>8.27636330054296</v>
      </c>
      <c r="BA30" s="56" t="n">
        <v>79.5</v>
      </c>
      <c r="BB30" s="86" t="n">
        <v>21608</v>
      </c>
    </row>
    <row r="31" customFormat="false" ht="12.95" hidden="false" customHeight="true" outlineLevel="0" collapsed="false">
      <c r="A31" s="192" t="n">
        <v>17</v>
      </c>
      <c r="B31" s="113" t="n">
        <v>6895.75</v>
      </c>
      <c r="C31" s="114" t="n">
        <v>268165</v>
      </c>
      <c r="D31" s="225" t="n">
        <f aca="false">C31-C30</f>
        <v>-1177</v>
      </c>
      <c r="E31" s="114" t="n">
        <f aca="false">C31-152000</f>
        <v>116165</v>
      </c>
      <c r="F31" s="259" t="n">
        <f aca="false">D31/$D$2</f>
        <v>-593.395512982102</v>
      </c>
      <c r="G31" s="143" t="n">
        <v>155</v>
      </c>
      <c r="H31" s="260" t="n">
        <v>0</v>
      </c>
      <c r="I31" s="143" t="n">
        <f aca="false">G31+H31</f>
        <v>155</v>
      </c>
      <c r="J31" s="144" t="n">
        <f aca="false">IF(L31&gt;0,L31,0)</f>
        <v>0</v>
      </c>
      <c r="K31" s="143" t="n">
        <f aca="false">I31+J31</f>
        <v>155</v>
      </c>
      <c r="L31" s="143" t="n">
        <f aca="false">F31-(I31-AK31)</f>
        <v>-29.3035129821023</v>
      </c>
      <c r="M31" s="261" t="n">
        <v>256</v>
      </c>
      <c r="N31" s="171" t="n">
        <f aca="false">1/$D$2*1.03</f>
        <v>0.519284093773632</v>
      </c>
      <c r="O31" s="143" t="n">
        <f aca="false">88.1*1.05</f>
        <v>92.505</v>
      </c>
      <c r="P31" s="171" t="n">
        <v>0</v>
      </c>
      <c r="Q31" s="346" t="n">
        <f aca="false">1400900/325851/1.9835*1.02</f>
        <v>2.21083353782203</v>
      </c>
      <c r="R31" s="139" t="n">
        <f aca="false">IF(((5.6*1.04)-T31)&gt;=4.2,4.2,(5.6*1.04)-T31)</f>
        <v>4.2</v>
      </c>
      <c r="S31" s="139" t="n">
        <f aca="false">IF(((5.6*1.04)-T31)&gt;=4.2,((5.6*1.04)-T31)-4.2,0)</f>
        <v>0.55819968</v>
      </c>
      <c r="T31" s="139" t="n">
        <f aca="false">(0.9668*1.06)*1.04</f>
        <v>1.06580032</v>
      </c>
      <c r="U31" s="365" t="n">
        <v>0</v>
      </c>
      <c r="V31" s="143" t="n">
        <v>203</v>
      </c>
      <c r="W31" s="143" t="n">
        <v>66.7</v>
      </c>
      <c r="X31" s="347" t="n">
        <f aca="false">M31-N31-O31-P31-Q31-R31-S31-T31-U31+V31+W31-AT31+AR31</f>
        <v>445.480935953337</v>
      </c>
      <c r="Y31" s="143" t="n">
        <f aca="false">X31-AO31</f>
        <v>445.480935953337</v>
      </c>
      <c r="Z31" s="114" t="n">
        <f aca="false">Z30+AP31</f>
        <v>7715.6535657167</v>
      </c>
      <c r="AA31" s="143" t="n">
        <f aca="false">(-AP31)</f>
        <v>298.591769491159</v>
      </c>
      <c r="AB31" s="114"/>
      <c r="AC31" s="442" t="n">
        <f aca="false">AC30-(AQ30/1.9835)+AS31</f>
        <v>1267.8120943051</v>
      </c>
      <c r="AD31" s="450" t="n">
        <f aca="false">AD30</f>
        <v>2618.93636501134</v>
      </c>
      <c r="AE31" s="143" t="n">
        <v>154</v>
      </c>
      <c r="AF31" s="145" t="n">
        <v>1.7</v>
      </c>
      <c r="AG31" s="146" t="n">
        <v>1.3</v>
      </c>
      <c r="AH31" s="143" t="n">
        <v>40.2</v>
      </c>
      <c r="AI31" s="114" t="n">
        <f aca="false">AI30-AH31</f>
        <v>6804.55787748928</v>
      </c>
      <c r="AJ31" s="114"/>
      <c r="AK31" s="142" t="n">
        <f aca="false">N31+O31+P31+Q31+R31+S31+T31+U31+X31+AE31+AH31-AR31</f>
        <v>719.092</v>
      </c>
      <c r="AL31" s="143" t="n">
        <f aca="false">IF(L31&lt;0,L31*-1,0)</f>
        <v>29.3035129821023</v>
      </c>
      <c r="AM31" s="143" t="n">
        <f aca="false">AK31+AL31</f>
        <v>748.395512982102</v>
      </c>
      <c r="AN31" s="230" t="n">
        <f aca="false">(BA31-9.18)*0.95</f>
        <v>66.709</v>
      </c>
      <c r="AO31" s="225"/>
      <c r="AP31" s="585" t="n">
        <f aca="false">I31-Q31-R31-X31-AF31</f>
        <v>-298.591769491159</v>
      </c>
      <c r="AQ31" s="586" t="n">
        <f aca="false">44.824*(Z31*1.9835+AC31*1.9835)/E31</f>
        <v>6.87561308674166</v>
      </c>
      <c r="AR31" s="171" t="n">
        <f aca="false">1502.862/$D$2/35</f>
        <v>21.6480535849328</v>
      </c>
      <c r="AS31" s="143" t="n">
        <f aca="false">9.18+3</f>
        <v>12.18</v>
      </c>
      <c r="AT31" s="56" t="n">
        <v>0.808</v>
      </c>
      <c r="AV31" s="232" t="n">
        <v>0</v>
      </c>
      <c r="AW31" s="225" t="n">
        <v>80</v>
      </c>
      <c r="AX31" s="225" t="n">
        <v>48</v>
      </c>
      <c r="AY31" s="264"/>
      <c r="AZ31" s="263" t="n">
        <f aca="false">SUM(N31,P31:U31)</f>
        <v>8.55411763159566</v>
      </c>
      <c r="BA31" s="56" t="n">
        <v>79.4</v>
      </c>
      <c r="BB31" s="86" t="n">
        <v>21456</v>
      </c>
    </row>
    <row r="32" customFormat="false" ht="12.95" hidden="false" customHeight="true" outlineLevel="0" collapsed="false">
      <c r="A32" s="192" t="n">
        <v>18</v>
      </c>
      <c r="B32" s="113" t="n">
        <v>6895.41</v>
      </c>
      <c r="C32" s="114" t="n">
        <v>266955</v>
      </c>
      <c r="D32" s="225" t="n">
        <f aca="false">C32-C31</f>
        <v>-1210</v>
      </c>
      <c r="E32" s="114" t="n">
        <f aca="false">C32-152000</f>
        <v>114955</v>
      </c>
      <c r="F32" s="259" t="n">
        <f aca="false">D32/$D$2</f>
        <v>-610.032770355432</v>
      </c>
      <c r="G32" s="143" t="n">
        <v>147</v>
      </c>
      <c r="H32" s="260" t="n">
        <v>0</v>
      </c>
      <c r="I32" s="143" t="n">
        <f aca="false">G32+H32</f>
        <v>147</v>
      </c>
      <c r="J32" s="144" t="n">
        <f aca="false">IF(L32&gt;0,L32,0)</f>
        <v>0</v>
      </c>
      <c r="K32" s="143" t="n">
        <f aca="false">I32+J32</f>
        <v>147</v>
      </c>
      <c r="L32" s="143" t="n">
        <f aca="false">F32-(I32-AK32)</f>
        <v>-37.6097703554323</v>
      </c>
      <c r="M32" s="261" t="n">
        <v>252</v>
      </c>
      <c r="N32" s="171" t="n">
        <f aca="false">1/$D$2*1.03</f>
        <v>0.519284093773632</v>
      </c>
      <c r="O32" s="143" t="n">
        <f aca="false">87.1*1.05</f>
        <v>91.455</v>
      </c>
      <c r="P32" s="171" t="n">
        <v>0</v>
      </c>
      <c r="Q32" s="346" t="n">
        <f aca="false">1458300/325851/1.9835*1.02</f>
        <v>2.30141947905337</v>
      </c>
      <c r="R32" s="139" t="n">
        <f aca="false">IF(((5.4*1.04)-T32)&gt;=4.2,4.2,(5.4*1.04)-T32)</f>
        <v>4.2</v>
      </c>
      <c r="S32" s="139" t="n">
        <f aca="false">IF(((5.4*1.04)-T32)&gt;=4.2,((5.4*1.04)-T32)-4.2,0)</f>
        <v>0.4254936</v>
      </c>
      <c r="T32" s="139" t="n">
        <f aca="false">(0.8985*1.06)*1.04</f>
        <v>0.9905064</v>
      </c>
      <c r="U32" s="365" t="n">
        <v>0</v>
      </c>
      <c r="V32" s="143" t="n">
        <v>204</v>
      </c>
      <c r="W32" s="143" t="n">
        <v>66</v>
      </c>
      <c r="X32" s="347" t="n">
        <f aca="false">M32-N32-O32-P32-Q32-R32-S32-T32-U32+V32+W32-AT32+AR32</f>
        <v>442.979350012106</v>
      </c>
      <c r="Y32" s="143" t="n">
        <f aca="false">X32-AO32</f>
        <v>442.979350012106</v>
      </c>
      <c r="Z32" s="114" t="n">
        <f aca="false">Z31+AP32</f>
        <v>7411.47279622554</v>
      </c>
      <c r="AA32" s="143" t="n">
        <f aca="false">(-AP32)</f>
        <v>304.180769491159</v>
      </c>
      <c r="AB32" s="114"/>
      <c r="AC32" s="442" t="n">
        <f aca="false">AC31-(AQ31/1.9835)+AS32</f>
        <v>1276.5256899256</v>
      </c>
      <c r="AD32" s="450" t="n">
        <f aca="false">AD31</f>
        <v>2618.93636501134</v>
      </c>
      <c r="AE32" s="143" t="n">
        <v>158</v>
      </c>
      <c r="AF32" s="145" t="n">
        <v>1.7</v>
      </c>
      <c r="AG32" s="146" t="n">
        <v>1.3</v>
      </c>
      <c r="AH32" s="143" t="n">
        <v>40.2</v>
      </c>
      <c r="AI32" s="114" t="n">
        <f aca="false">AI31-AH32</f>
        <v>6764.35787748928</v>
      </c>
      <c r="AJ32" s="114"/>
      <c r="AK32" s="142" t="n">
        <f aca="false">N32+O32+P32+Q32+R32+S32+T32+U32+X32+AE32+AH32-AR32</f>
        <v>719.423</v>
      </c>
      <c r="AL32" s="143" t="n">
        <f aca="false">IF(L32&lt;0,L32*-1,0)</f>
        <v>37.6097703554323</v>
      </c>
      <c r="AM32" s="143" t="n">
        <f aca="false">AK32+AL32</f>
        <v>757.032770355432</v>
      </c>
      <c r="AN32" s="230" t="n">
        <f aca="false">(BA32-9.18)*0.95</f>
        <v>66.519</v>
      </c>
      <c r="AO32" s="225"/>
      <c r="AP32" s="585" t="n">
        <f aca="false">I32-Q32-R32-X32-AF32</f>
        <v>-304.180769491159</v>
      </c>
      <c r="AQ32" s="586" t="n">
        <f aca="false">39.486*(Z32*1.9835+AC32*1.9835)/E32</f>
        <v>5.91925727774024</v>
      </c>
      <c r="AR32" s="171" t="n">
        <f aca="false">1502.862/$D$2/35</f>
        <v>21.6480535849328</v>
      </c>
      <c r="AS32" s="143" t="n">
        <f aca="false">9.18+3</f>
        <v>12.18</v>
      </c>
      <c r="AT32" s="56" t="n">
        <v>0.777</v>
      </c>
      <c r="AV32" s="232" t="n">
        <v>0</v>
      </c>
      <c r="AW32" s="225" t="n">
        <v>79</v>
      </c>
      <c r="AX32" s="225" t="n">
        <v>46</v>
      </c>
      <c r="AY32" s="264"/>
      <c r="AZ32" s="263" t="n">
        <f aca="false">SUM(N32,P32:U32)</f>
        <v>8.436703572827</v>
      </c>
      <c r="BA32" s="56" t="n">
        <v>79.2</v>
      </c>
      <c r="BB32" s="86" t="n">
        <v>21306</v>
      </c>
    </row>
    <row r="33" customFormat="false" ht="12.95" hidden="false" customHeight="true" outlineLevel="0" collapsed="false">
      <c r="A33" s="192" t="n">
        <v>19</v>
      </c>
      <c r="B33" s="113" t="n">
        <v>6895.04</v>
      </c>
      <c r="C33" s="114" t="n">
        <v>265638</v>
      </c>
      <c r="D33" s="225" t="n">
        <f aca="false">C33-C32</f>
        <v>-1317</v>
      </c>
      <c r="E33" s="114" t="n">
        <f aca="false">C33-152000</f>
        <v>113638</v>
      </c>
      <c r="F33" s="259" t="n">
        <f aca="false">D33/$D$2</f>
        <v>-663.977816990169</v>
      </c>
      <c r="G33" s="143" t="n">
        <v>144</v>
      </c>
      <c r="H33" s="260" t="n">
        <v>0</v>
      </c>
      <c r="I33" s="143" t="n">
        <f aca="false">G33+H33</f>
        <v>144</v>
      </c>
      <c r="J33" s="144" t="n">
        <f aca="false">IF(L33&gt;0,L33,0)</f>
        <v>0</v>
      </c>
      <c r="K33" s="143" t="n">
        <f aca="false">I33+J33</f>
        <v>144</v>
      </c>
      <c r="L33" s="143" t="n">
        <f aca="false">F33-(I33-AK33)</f>
        <v>-102.402816990169</v>
      </c>
      <c r="M33" s="261" t="n">
        <v>242</v>
      </c>
      <c r="N33" s="171" t="n">
        <f aca="false">1/$D$2*1.03</f>
        <v>0.519284093773632</v>
      </c>
      <c r="O33" s="143" t="n">
        <f aca="false">79.4*1.05</f>
        <v>83.37</v>
      </c>
      <c r="P33" s="171" t="n">
        <v>0</v>
      </c>
      <c r="Q33" s="346" t="n">
        <f aca="false">1563600/325851/1.9835*1.02</f>
        <v>2.46759891479658</v>
      </c>
      <c r="R33" s="139" t="n">
        <f aca="false">IF(((3.5*1.04)-T33)&gt;=4.2,4.2,(3.5*1.04)-T33)</f>
        <v>2.6494936</v>
      </c>
      <c r="S33" s="139" t="n">
        <f aca="false">IF(((3.5*1.04)-T33)&gt;=4.2,((3.5*1.04)-T33)-4.2,0)</f>
        <v>0</v>
      </c>
      <c r="T33" s="139" t="n">
        <f aca="false">(0.8985*1.06)*1.04</f>
        <v>0.9905064</v>
      </c>
      <c r="U33" s="365" t="n">
        <v>0</v>
      </c>
      <c r="V33" s="143" t="n">
        <v>204</v>
      </c>
      <c r="W33" s="143" t="n">
        <v>66.1</v>
      </c>
      <c r="X33" s="347" t="n">
        <f aca="false">M33-N33-O33-P33-Q33-R33-S33-T33-U33+V33+W33-AT33+AR33</f>
        <v>443.026170576363</v>
      </c>
      <c r="Y33" s="143" t="n">
        <f aca="false">X33-AO33</f>
        <v>443.026170576363</v>
      </c>
      <c r="Z33" s="114" t="n">
        <f aca="false">Z32+AP33</f>
        <v>7105.62953313438</v>
      </c>
      <c r="AA33" s="143" t="n">
        <f aca="false">(-AP33)</f>
        <v>305.843263091159</v>
      </c>
      <c r="AB33" s="114"/>
      <c r="AC33" s="442" t="n">
        <f aca="false">AC32-(AQ32/1.9835)+AS33</f>
        <v>1285.72144123503</v>
      </c>
      <c r="AD33" s="450" t="n">
        <f aca="false">AD32</f>
        <v>2618.93636501134</v>
      </c>
      <c r="AE33" s="143" t="n">
        <v>154</v>
      </c>
      <c r="AF33" s="145" t="n">
        <v>1.7</v>
      </c>
      <c r="AG33" s="146" t="n">
        <v>1.3</v>
      </c>
      <c r="AH33" s="143" t="n">
        <v>40.2</v>
      </c>
      <c r="AI33" s="114" t="n">
        <f aca="false">AI32-AH33</f>
        <v>6724.15787748928</v>
      </c>
      <c r="AJ33" s="114"/>
      <c r="AK33" s="142" t="n">
        <f aca="false">N33+O33+P33+Q33+R33+S33+T33+U33+X33+AE33+AH33-AR33</f>
        <v>705.575</v>
      </c>
      <c r="AL33" s="143" t="n">
        <f aca="false">IF(L33&lt;0,L33*-1,0)</f>
        <v>102.402816990169</v>
      </c>
      <c r="AM33" s="143" t="n">
        <f aca="false">AK33+AL33</f>
        <v>807.977816990169</v>
      </c>
      <c r="AN33" s="230" t="n">
        <f aca="false">(BA33-9.18)*0.95</f>
        <v>66.329</v>
      </c>
      <c r="AO33" s="225"/>
      <c r="AP33" s="585" t="n">
        <f aca="false">I33-Q33-R33-X33-AF33</f>
        <v>-305.843263091159</v>
      </c>
      <c r="AQ33" s="586" t="n">
        <f aca="false">43.001*(Z33*1.9835+AC33*1.9835)/E33</f>
        <v>6.29823795318566</v>
      </c>
      <c r="AR33" s="171" t="n">
        <f aca="false">1502.862/$D$2/35</f>
        <v>21.6480535849328</v>
      </c>
      <c r="AS33" s="143" t="n">
        <f aca="false">9.18+3</f>
        <v>12.18</v>
      </c>
      <c r="AT33" s="56" t="n">
        <v>0.725</v>
      </c>
      <c r="AV33" s="232" t="n">
        <v>0</v>
      </c>
      <c r="AW33" s="225" t="n">
        <v>81</v>
      </c>
      <c r="AX33" s="225" t="n">
        <v>46</v>
      </c>
      <c r="AY33" s="264"/>
      <c r="AZ33" s="263" t="n">
        <f aca="false">SUM(N33,P33:U33)</f>
        <v>6.62688300857021</v>
      </c>
      <c r="BA33" s="56" t="n">
        <v>79</v>
      </c>
      <c r="BB33" s="86" t="n">
        <v>21141</v>
      </c>
    </row>
    <row r="34" customFormat="false" ht="12.95" hidden="false" customHeight="true" outlineLevel="0" collapsed="false">
      <c r="A34" s="192" t="n">
        <v>20</v>
      </c>
      <c r="B34" s="113" t="n">
        <v>6894.8</v>
      </c>
      <c r="C34" s="114" t="n">
        <v>264790</v>
      </c>
      <c r="D34" s="225" t="n">
        <f aca="false">C34-C33</f>
        <v>-848</v>
      </c>
      <c r="E34" s="114" t="n">
        <f aca="false">C34-152000</f>
        <v>112790</v>
      </c>
      <c r="F34" s="259" t="n">
        <f aca="false">D34/$D$2</f>
        <v>-427.527098563146</v>
      </c>
      <c r="G34" s="143" t="n">
        <v>140</v>
      </c>
      <c r="H34" s="260" t="n">
        <v>0</v>
      </c>
      <c r="I34" s="143" t="n">
        <f aca="false">G34+H34</f>
        <v>140</v>
      </c>
      <c r="J34" s="144" t="n">
        <f aca="false">IF(L34&gt;0,L34,0)</f>
        <v>92.944901436854</v>
      </c>
      <c r="K34" s="143" t="n">
        <f aca="false">I34+J34</f>
        <v>232.944901436854</v>
      </c>
      <c r="L34" s="143" t="n">
        <f aca="false">F34-(I34-AK34)</f>
        <v>92.944901436854</v>
      </c>
      <c r="M34" s="261" t="n">
        <v>222</v>
      </c>
      <c r="N34" s="171" t="n">
        <f aca="false">1/$D$2*1.03</f>
        <v>0.519284093773632</v>
      </c>
      <c r="O34" s="143" t="n">
        <f aca="false">62.9*1.05</f>
        <v>66.045</v>
      </c>
      <c r="P34" s="171" t="n">
        <v>0</v>
      </c>
      <c r="Q34" s="346" t="n">
        <f aca="false">1887700/325851/1.9835*1.02</f>
        <v>2.97907807077353</v>
      </c>
      <c r="R34" s="139" t="n">
        <f aca="false">IF(((4.4*1.04)-T34)&gt;=4.2,4.2,(4.4*1.04)-T34)</f>
        <v>3.5854936</v>
      </c>
      <c r="S34" s="139" t="n">
        <f aca="false">IF(((4.4*1.04)-T34)&gt;=4.2,((4.4*1.04)-T34)-4.2,0)</f>
        <v>0</v>
      </c>
      <c r="T34" s="139" t="n">
        <f aca="false">(0.8985*1.06)*1.04</f>
        <v>0.9905064</v>
      </c>
      <c r="U34" s="365" t="n">
        <v>0</v>
      </c>
      <c r="V34" s="143" t="n">
        <v>206</v>
      </c>
      <c r="W34" s="143" t="n">
        <v>67</v>
      </c>
      <c r="X34" s="347" t="n">
        <f aca="false">M34-N34-O34-P34-Q34-R34-S34-T34-U34+V34+W34-AT34+AR34</f>
        <v>441.800691420386</v>
      </c>
      <c r="Y34" s="143" t="n">
        <f aca="false">X34-AO34</f>
        <v>441.800691420386</v>
      </c>
      <c r="Z34" s="114" t="n">
        <f aca="false">Z33+AP34</f>
        <v>6795.56427004322</v>
      </c>
      <c r="AA34" s="143" t="n">
        <f aca="false">(-AP34)</f>
        <v>310.065263091159</v>
      </c>
      <c r="AB34" s="114"/>
      <c r="AC34" s="442" t="n">
        <f aca="false">AC33-(AQ33/1.9835)+AS34</f>
        <v>1294.72612590698</v>
      </c>
      <c r="AD34" s="450" t="n">
        <f aca="false">AD33</f>
        <v>2618.93636501134</v>
      </c>
      <c r="AE34" s="143" t="n">
        <v>126</v>
      </c>
      <c r="AF34" s="145" t="n">
        <v>1.7</v>
      </c>
      <c r="AG34" s="146" t="n">
        <v>1.3</v>
      </c>
      <c r="AH34" s="143" t="n">
        <v>40.2</v>
      </c>
      <c r="AI34" s="114" t="n">
        <f aca="false">AI33-AH34</f>
        <v>6683.95787748928</v>
      </c>
      <c r="AJ34" s="114"/>
      <c r="AK34" s="142" t="n">
        <f aca="false">N34+O34+P34+Q34+R34+S34+T34+U34+X34+AE34+AH34-AR34</f>
        <v>660.472</v>
      </c>
      <c r="AL34" s="143" t="n">
        <f aca="false">IF(L34&lt;0,L34*-1,0)</f>
        <v>0</v>
      </c>
      <c r="AM34" s="143" t="n">
        <f aca="false">AK34+AL34</f>
        <v>660.472</v>
      </c>
      <c r="AN34" s="230" t="n">
        <f aca="false">(BA34-9.18)*0.95</f>
        <v>98.629</v>
      </c>
      <c r="AO34" s="225"/>
      <c r="AP34" s="585" t="n">
        <f aca="false">I34-Q34-R34-X34-AF34</f>
        <v>-310.065263091159</v>
      </c>
      <c r="AQ34" s="586" t="n">
        <f aca="false">47.962*(Z34*1.9835+AC34*1.9835)/E34</f>
        <v>6.82374836917824</v>
      </c>
      <c r="AR34" s="171" t="n">
        <f aca="false">1502.862/$D$2/35</f>
        <v>21.6480535849328</v>
      </c>
      <c r="AS34" s="143" t="n">
        <f aca="false">9.18+3</f>
        <v>12.18</v>
      </c>
      <c r="AT34" s="56" t="n">
        <v>0.728</v>
      </c>
      <c r="AV34" s="232" t="n">
        <v>0</v>
      </c>
      <c r="AW34" s="225" t="n">
        <v>84</v>
      </c>
      <c r="AX34" s="225" t="n">
        <v>48</v>
      </c>
      <c r="AY34" s="264"/>
      <c r="AZ34" s="263" t="n">
        <f aca="false">SUM(N34,P34:U34)</f>
        <v>8.07436216454717</v>
      </c>
      <c r="BA34" s="56" t="n">
        <v>113</v>
      </c>
      <c r="BB34" s="86" t="n">
        <v>20977</v>
      </c>
    </row>
    <row r="35" customFormat="false" ht="12.95" hidden="false" customHeight="true" outlineLevel="0" collapsed="false">
      <c r="A35" s="192" t="n">
        <v>21</v>
      </c>
      <c r="B35" s="113" t="n">
        <v>6894.48</v>
      </c>
      <c r="C35" s="114" t="n">
        <v>263661</v>
      </c>
      <c r="D35" s="225" t="n">
        <f aca="false">C35-C34</f>
        <v>-1129</v>
      </c>
      <c r="E35" s="114" t="n">
        <f aca="false">C35-152000</f>
        <v>111661</v>
      </c>
      <c r="F35" s="259" t="n">
        <f aca="false">D35/$D$2</f>
        <v>-569.195865893622</v>
      </c>
      <c r="G35" s="143" t="n">
        <v>195</v>
      </c>
      <c r="H35" s="260" t="n">
        <v>0</v>
      </c>
      <c r="I35" s="143" t="n">
        <f aca="false">G35+H35</f>
        <v>195</v>
      </c>
      <c r="J35" s="144" t="n">
        <f aca="false">IF(L35&gt;0,L35,0)</f>
        <v>0</v>
      </c>
      <c r="K35" s="143" t="n">
        <f aca="false">I35+J35</f>
        <v>195</v>
      </c>
      <c r="L35" s="143" t="n">
        <f aca="false">F35-(I35-AK35)</f>
        <v>-48.0358658936224</v>
      </c>
      <c r="M35" s="261" t="n">
        <v>212</v>
      </c>
      <c r="N35" s="171" t="n">
        <f aca="false">1/$D$2*1.03</f>
        <v>0.519284093773632</v>
      </c>
      <c r="O35" s="143" t="n">
        <f aca="false">53.5*1.05</f>
        <v>56.175</v>
      </c>
      <c r="P35" s="171" t="n">
        <v>0</v>
      </c>
      <c r="Q35" s="346" t="n">
        <f aca="false">1502100/325851/1.9835*1.02</f>
        <v>2.37054254919157</v>
      </c>
      <c r="R35" s="139" t="n">
        <f aca="false">IF(((4.8*1.04)-T35)&gt;=4.2,4.2,(4.8*1.04)-T35)</f>
        <v>4.0014936</v>
      </c>
      <c r="S35" s="139" t="n">
        <f aca="false">IF(((4.8*1.04)-T35)&gt;=4.2,((4.8*1.04)-T35)-4.2,0)</f>
        <v>0</v>
      </c>
      <c r="T35" s="139" t="n">
        <f aca="false">(0.8985*1.06)*1.04</f>
        <v>0.9905064</v>
      </c>
      <c r="U35" s="365" t="n">
        <v>0</v>
      </c>
      <c r="V35" s="143" t="n">
        <v>252</v>
      </c>
      <c r="W35" s="143" t="n">
        <v>67</v>
      </c>
      <c r="X35" s="347" t="n">
        <f aca="false">M35-N35-O35-P35-Q35-R35-S35-T35-U35+V35+W35-AT35+AR35</f>
        <v>487.551226941968</v>
      </c>
      <c r="Y35" s="143" t="n">
        <f aca="false">X35-AO35</f>
        <v>487.551226941968</v>
      </c>
      <c r="Z35" s="114" t="n">
        <f aca="false">Z34+AP35</f>
        <v>6494.94100695206</v>
      </c>
      <c r="AA35" s="143" t="n">
        <f aca="false">(-AP35)</f>
        <v>300.623263091159</v>
      </c>
      <c r="AB35" s="114"/>
      <c r="AC35" s="442" t="n">
        <f aca="false">AC34-(AQ34/1.9835)+AS35</f>
        <v>1304.46586960793</v>
      </c>
      <c r="AD35" s="450" t="n">
        <f aca="false">AD34</f>
        <v>2618.93636501134</v>
      </c>
      <c r="AE35" s="143" t="n">
        <v>146</v>
      </c>
      <c r="AF35" s="145" t="n">
        <v>1.7</v>
      </c>
      <c r="AG35" s="146" t="n">
        <v>1.3</v>
      </c>
      <c r="AH35" s="143" t="n">
        <v>40.2</v>
      </c>
      <c r="AI35" s="114" t="n">
        <f aca="false">AI34-AH35</f>
        <v>6643.75787748928</v>
      </c>
      <c r="AJ35" s="114"/>
      <c r="AK35" s="142" t="n">
        <f aca="false">N35+O35+P35+Q35+R35+S35+T35+U35+X35+AE35+AH35-AR35</f>
        <v>716.16</v>
      </c>
      <c r="AL35" s="143" t="n">
        <f aca="false">IF(L35&lt;0,L35*-1,0)</f>
        <v>48.0358658936224</v>
      </c>
      <c r="AM35" s="143" t="n">
        <f aca="false">AK35+AL35</f>
        <v>764.195865893622</v>
      </c>
      <c r="AN35" s="230" t="n">
        <f aca="false">(BA35-9.18)*0.95</f>
        <v>134.729</v>
      </c>
      <c r="AO35" s="225"/>
      <c r="AP35" s="585" t="n">
        <f aca="false">I35-Q35-R35-X35-AF35</f>
        <v>-300.623263091159</v>
      </c>
      <c r="AQ35" s="586" t="n">
        <f aca="false">28.075*(Z35*1.9835+AC35*1.9835)/E35</f>
        <v>3.88966352061922</v>
      </c>
      <c r="AR35" s="171" t="n">
        <f aca="false">1502.862/$D$2/35</f>
        <v>21.6480535849328</v>
      </c>
      <c r="AS35" s="143" t="n">
        <f aca="false">9.18+4</f>
        <v>13.18</v>
      </c>
      <c r="AT35" s="56" t="n">
        <v>1.04</v>
      </c>
      <c r="AV35" s="232" t="n">
        <v>0</v>
      </c>
      <c r="AW35" s="225" t="n">
        <v>85</v>
      </c>
      <c r="AX35" s="225" t="n">
        <v>46</v>
      </c>
      <c r="AY35" s="264"/>
      <c r="AZ35" s="263" t="n">
        <f aca="false">SUM(N35,P35:U35)</f>
        <v>7.8818266429652</v>
      </c>
      <c r="BA35" s="56" t="n">
        <v>151</v>
      </c>
      <c r="BB35" s="86" t="n">
        <v>20674</v>
      </c>
    </row>
    <row r="36" customFormat="false" ht="12.95" hidden="false" customHeight="true" outlineLevel="0" collapsed="false">
      <c r="A36" s="192" t="n">
        <v>22</v>
      </c>
      <c r="B36" s="113" t="n">
        <v>6894.19</v>
      </c>
      <c r="C36" s="114" t="n">
        <v>262637</v>
      </c>
      <c r="D36" s="225" t="n">
        <f aca="false">C36-C35</f>
        <v>-1024</v>
      </c>
      <c r="E36" s="114" t="n">
        <f aca="false">C36-152000</f>
        <v>110637</v>
      </c>
      <c r="F36" s="259" t="n">
        <f aca="false">D36/$D$2</f>
        <v>-516.259137887572</v>
      </c>
      <c r="G36" s="143" t="n">
        <v>196</v>
      </c>
      <c r="H36" s="260" t="n">
        <v>0</v>
      </c>
      <c r="I36" s="143" t="n">
        <f aca="false">G36+H36</f>
        <v>196</v>
      </c>
      <c r="J36" s="144" t="n">
        <f aca="false">IF(L36&gt;0,L36,0)</f>
        <v>0</v>
      </c>
      <c r="K36" s="143" t="n">
        <f aca="false">I36+J36</f>
        <v>196</v>
      </c>
      <c r="L36" s="143" t="n">
        <f aca="false">F36-(I36-AK36)</f>
        <v>-5.50913788757248</v>
      </c>
      <c r="M36" s="261" t="n">
        <v>213</v>
      </c>
      <c r="N36" s="171" t="n">
        <f aca="false">1/$D$2*1.03</f>
        <v>0.519284093773632</v>
      </c>
      <c r="O36" s="143" t="n">
        <f aca="false">59.5*1.05</f>
        <v>62.475</v>
      </c>
      <c r="P36" s="171" t="n">
        <v>0</v>
      </c>
      <c r="Q36" s="346" t="n">
        <f aca="false">1315300/325851/1.9835*1.02</f>
        <v>2.07574370211815</v>
      </c>
      <c r="R36" s="139" t="n">
        <f aca="false">IF(((5.9*1.04)-T36)&gt;=4.2,4.2,(5.9*1.04)-T36)</f>
        <v>4.2</v>
      </c>
      <c r="S36" s="139" t="n">
        <f aca="false">IF(((5.9*1.04)-T36)&gt;=4.2,((5.9*1.04)-T36)-4.2,0)</f>
        <v>0.945493600000001</v>
      </c>
      <c r="T36" s="139" t="n">
        <f aca="false">(0.8985*1.06)*1.04</f>
        <v>0.9905064</v>
      </c>
      <c r="U36" s="365" t="n">
        <v>0</v>
      </c>
      <c r="V36" s="143" t="n">
        <v>276</v>
      </c>
      <c r="W36" s="143" t="n">
        <v>64.9</v>
      </c>
      <c r="X36" s="347" t="n">
        <f aca="false">M36-N36-O36-P36-Q36-R36-S36-T36-U36+V36+W36-AT36+AR36</f>
        <v>502.992025789041</v>
      </c>
      <c r="Y36" s="143" t="n">
        <f aca="false">X36-AO36</f>
        <v>502.992025789041</v>
      </c>
      <c r="Z36" s="114" t="n">
        <f aca="false">Z35+AP36</f>
        <v>6179.9732374609</v>
      </c>
      <c r="AA36" s="143" t="n">
        <f aca="false">(-AP36)</f>
        <v>314.967769491159</v>
      </c>
      <c r="AB36" s="114"/>
      <c r="AC36" s="442" t="n">
        <f aca="false">AC35-(AQ35/1.9835)+AS36</f>
        <v>1315.68485951435</v>
      </c>
      <c r="AD36" s="450" t="n">
        <f aca="false">AD35</f>
        <v>2618.93636501134</v>
      </c>
      <c r="AE36" s="143" t="n">
        <v>114</v>
      </c>
      <c r="AF36" s="145" t="n">
        <v>1.7</v>
      </c>
      <c r="AG36" s="146" t="n">
        <v>1.3</v>
      </c>
      <c r="AH36" s="143" t="n">
        <v>40.2</v>
      </c>
      <c r="AI36" s="114" t="n">
        <f aca="false">AI35-AH36</f>
        <v>6603.55787748928</v>
      </c>
      <c r="AJ36" s="114"/>
      <c r="AK36" s="142" t="n">
        <f aca="false">N36+O36+P36+Q36+R36+S36+T36+U36+X36+AE36+AH36-AR36</f>
        <v>706.75</v>
      </c>
      <c r="AL36" s="143" t="n">
        <f aca="false">IF(L36&lt;0,L36*-1,0)</f>
        <v>5.50913788757248</v>
      </c>
      <c r="AM36" s="143" t="n">
        <f aca="false">AK36+AL36</f>
        <v>712.259137887572</v>
      </c>
      <c r="AN36" s="230" t="n">
        <f aca="false">(BA36-9.18)*0.95</f>
        <v>134.729</v>
      </c>
      <c r="AO36" s="225"/>
      <c r="AP36" s="585" t="n">
        <f aca="false">I36-Q36-R36-X36-AF36</f>
        <v>-314.967769491159</v>
      </c>
      <c r="AQ36" s="586" t="n">
        <f aca="false">7.377*(Z36*1.9835+AC36*1.9835)/E36</f>
        <v>0.991337114269005</v>
      </c>
      <c r="AR36" s="171" t="n">
        <f aca="false">1502.862/$D$2/35</f>
        <v>21.6480535849328</v>
      </c>
      <c r="AS36" s="143" t="n">
        <f aca="false">9.18+4</f>
        <v>13.18</v>
      </c>
      <c r="AT36" s="56" t="n">
        <v>1.35</v>
      </c>
      <c r="AV36" s="232" t="n">
        <v>0.03</v>
      </c>
      <c r="AW36" s="225" t="n">
        <v>71</v>
      </c>
      <c r="AX36" s="225" t="n">
        <v>53</v>
      </c>
      <c r="AY36" s="264"/>
      <c r="AZ36" s="263" t="n">
        <f aca="false">SUM(N36,P36:U36)</f>
        <v>8.73102779589178</v>
      </c>
      <c r="BA36" s="56" t="n">
        <v>151</v>
      </c>
      <c r="BB36" s="86" t="n">
        <v>20348</v>
      </c>
    </row>
    <row r="37" customFormat="false" ht="12.95" hidden="false" customHeight="true" outlineLevel="0" collapsed="false">
      <c r="A37" s="192" t="n">
        <v>23</v>
      </c>
      <c r="B37" s="113" t="n">
        <v>6893.89</v>
      </c>
      <c r="C37" s="114" t="n">
        <v>261582</v>
      </c>
      <c r="D37" s="225" t="n">
        <f aca="false">C37-C36</f>
        <v>-1055</v>
      </c>
      <c r="E37" s="114" t="n">
        <f aca="false">C37-152000</f>
        <v>109582</v>
      </c>
      <c r="F37" s="259" t="n">
        <f aca="false">D37/$D$2</f>
        <v>-531.888076632216</v>
      </c>
      <c r="G37" s="143" t="n">
        <v>199</v>
      </c>
      <c r="H37" s="260" t="n">
        <v>0</v>
      </c>
      <c r="I37" s="143" t="n">
        <f aca="false">G37+H37</f>
        <v>199</v>
      </c>
      <c r="J37" s="144" t="n">
        <f aca="false">IF(L37&gt;0,L37,0)</f>
        <v>0</v>
      </c>
      <c r="K37" s="143" t="n">
        <f aca="false">I37+J37</f>
        <v>199</v>
      </c>
      <c r="L37" s="143" t="n">
        <f aca="false">F37-(I37-AK37)</f>
        <v>-29.4280766322157</v>
      </c>
      <c r="M37" s="261" t="n">
        <v>216</v>
      </c>
      <c r="N37" s="171" t="n">
        <f aca="false">1/$D$2*1.03</f>
        <v>0.519284093773632</v>
      </c>
      <c r="O37" s="143" t="n">
        <f aca="false">64.2*1.05</f>
        <v>67.41</v>
      </c>
      <c r="P37" s="171" t="n">
        <v>0</v>
      </c>
      <c r="Q37" s="346" t="n">
        <f aca="false">1396100/325851/1.9835*1.02</f>
        <v>2.20325840684798</v>
      </c>
      <c r="R37" s="139" t="n">
        <f aca="false">IF(((6.1*1.04)-T37)&gt;=4.2,4.2,(6.1*1.04)-T37)</f>
        <v>4.2</v>
      </c>
      <c r="S37" s="139" t="n">
        <f aca="false">IF(((6.1*1.04)-T37)&gt;=4.2,((6.1*1.04)-T37)-4.2,0)</f>
        <v>1.1534936</v>
      </c>
      <c r="T37" s="139" t="n">
        <f aca="false">(0.8985*1.06)*1.04</f>
        <v>0.9905064</v>
      </c>
      <c r="U37" s="365" t="n">
        <v>0</v>
      </c>
      <c r="V37" s="143" t="n">
        <v>276</v>
      </c>
      <c r="W37" s="143" t="n">
        <v>63.9</v>
      </c>
      <c r="X37" s="347" t="n">
        <f aca="false">M37-N37-O37-P37-Q37-R37-S37-T37-U37+V37+W37-AT37+AR37</f>
        <v>499.731511084311</v>
      </c>
      <c r="Y37" s="143" t="n">
        <f aca="false">X37-AO37</f>
        <v>499.731511084311</v>
      </c>
      <c r="Z37" s="114" t="n">
        <f aca="false">Z36+AP37</f>
        <v>5871.13846796974</v>
      </c>
      <c r="AA37" s="143" t="n">
        <f aca="false">(-AP37)</f>
        <v>308.834769491159</v>
      </c>
      <c r="AB37" s="114"/>
      <c r="AC37" s="442" t="n">
        <f aca="false">AC36-(AQ36/1.9835)+AS37</f>
        <v>1328.36506767453</v>
      </c>
      <c r="AD37" s="450" t="n">
        <f aca="false">AD36</f>
        <v>2618.93636501134</v>
      </c>
      <c r="AE37" s="143" t="n">
        <v>106</v>
      </c>
      <c r="AF37" s="145" t="n">
        <v>1.7</v>
      </c>
      <c r="AG37" s="146" t="n">
        <v>1.3</v>
      </c>
      <c r="AH37" s="143" t="n">
        <v>40.9</v>
      </c>
      <c r="AI37" s="114" t="n">
        <f aca="false">AI36-AH37</f>
        <v>6562.65787748928</v>
      </c>
      <c r="AJ37" s="114"/>
      <c r="AK37" s="142" t="n">
        <f aca="false">N37+O37+P37+Q37+R37+S37+T37+U37+X37+AE37+AH37-AR37</f>
        <v>701.46</v>
      </c>
      <c r="AL37" s="143" t="n">
        <f aca="false">IF(L37&lt;0,L37*-1,0)</f>
        <v>29.4280766322157</v>
      </c>
      <c r="AM37" s="143" t="n">
        <f aca="false">AK37+AL37</f>
        <v>730.888076632216</v>
      </c>
      <c r="AN37" s="230" t="n">
        <f aca="false">(BA37-9.18)*0.95</f>
        <v>134.729</v>
      </c>
      <c r="AO37" s="225"/>
      <c r="AP37" s="585" t="n">
        <f aca="false">I37-Q37-R37-X37-AF37</f>
        <v>-308.834769491159</v>
      </c>
      <c r="AQ37" s="586" t="n">
        <f aca="false">34.632*(Z37*1.9835+AC37*1.9835)/E37</f>
        <v>4.51308075219013</v>
      </c>
      <c r="AR37" s="171" t="n">
        <f aca="false">1502.862/$D$2/35</f>
        <v>21.6480535849328</v>
      </c>
      <c r="AS37" s="143" t="n">
        <f aca="false">9.18+4</f>
        <v>13.18</v>
      </c>
      <c r="AT37" s="56" t="n">
        <v>1.34</v>
      </c>
      <c r="AV37" s="232" t="n">
        <v>0</v>
      </c>
      <c r="AW37" s="225" t="n">
        <v>83</v>
      </c>
      <c r="AX37" s="225" t="n">
        <v>49</v>
      </c>
      <c r="AY37" s="264"/>
      <c r="AZ37" s="263" t="n">
        <f aca="false">SUM(N37,P37:U37)</f>
        <v>9.06654250062161</v>
      </c>
      <c r="BA37" s="56" t="n">
        <v>151</v>
      </c>
      <c r="BB37" s="86" t="n">
        <v>20043</v>
      </c>
    </row>
    <row r="38" customFormat="false" ht="12.75" hidden="false" customHeight="true" outlineLevel="0" collapsed="false">
      <c r="A38" s="192" t="n">
        <v>24</v>
      </c>
      <c r="B38" s="113" t="n">
        <v>6893.61</v>
      </c>
      <c r="C38" s="114" t="n">
        <v>260603</v>
      </c>
      <c r="D38" s="225" t="n">
        <f aca="false">C38-C37</f>
        <v>-979</v>
      </c>
      <c r="E38" s="114" t="n">
        <f aca="false">C38-152000</f>
        <v>108603</v>
      </c>
      <c r="F38" s="259" t="n">
        <f aca="false">D38/$D$2</f>
        <v>-493.571968742123</v>
      </c>
      <c r="G38" s="143" t="n">
        <v>196</v>
      </c>
      <c r="H38" s="260" t="n">
        <v>0</v>
      </c>
      <c r="I38" s="143" t="n">
        <f aca="false">G38+H38</f>
        <v>196</v>
      </c>
      <c r="J38" s="144" t="n">
        <f aca="false">IF(L38&gt;0,L38,0)</f>
        <v>13.4080312578775</v>
      </c>
      <c r="K38" s="143" t="n">
        <f aca="false">I38+J38</f>
        <v>209.408031257877</v>
      </c>
      <c r="L38" s="143" t="n">
        <f aca="false">F38-(I38-AK38)</f>
        <v>13.4080312578775</v>
      </c>
      <c r="M38" s="261" t="n">
        <v>215</v>
      </c>
      <c r="N38" s="171" t="n">
        <f aca="false">1/$D$2*1.03</f>
        <v>0.519284093773632</v>
      </c>
      <c r="O38" s="143" t="n">
        <f aca="false">57.4*1.05</f>
        <v>60.27</v>
      </c>
      <c r="P38" s="171" t="n">
        <v>0</v>
      </c>
      <c r="Q38" s="346" t="n">
        <f aca="false">1501200/325851/1.9835*1.02</f>
        <v>2.36912221213394</v>
      </c>
      <c r="R38" s="139" t="n">
        <f aca="false">IF(((5.9*1.04)-T38)&gt;=4.2,4.2,(5.9*1.04)-T38)</f>
        <v>4.2</v>
      </c>
      <c r="S38" s="139" t="n">
        <f aca="false">IF(((5.9*1.04)-T38)&gt;=4.2,((5.9*1.04)-T38)-4.2,0)</f>
        <v>0.945493600000001</v>
      </c>
      <c r="T38" s="139" t="n">
        <f aca="false">(0.8985*1.06)*1.04</f>
        <v>0.9905064</v>
      </c>
      <c r="U38" s="365" t="n">
        <v>0</v>
      </c>
      <c r="V38" s="143" t="n">
        <v>277</v>
      </c>
      <c r="W38" s="143" t="n">
        <v>64.8</v>
      </c>
      <c r="X38" s="347" t="n">
        <f aca="false">M38-N38-O38-P38-Q38-R38-S38-T38-U38+V38+W38-AT38+AR38</f>
        <v>507.833647279025</v>
      </c>
      <c r="Y38" s="143" t="n">
        <f aca="false">X38-AO38</f>
        <v>507.833647279025</v>
      </c>
      <c r="Z38" s="114" t="n">
        <f aca="false">Z37+AP38</f>
        <v>5551.03569847858</v>
      </c>
      <c r="AA38" s="143" t="n">
        <f aca="false">(-AP38)</f>
        <v>320.102769491159</v>
      </c>
      <c r="AB38" s="114"/>
      <c r="AC38" s="442" t="n">
        <f aca="false">AC37-(AQ37/1.9835)+AS38</f>
        <v>1338.26975597693</v>
      </c>
      <c r="AD38" s="450" t="n">
        <f aca="false">AD37</f>
        <v>2618.93636501134</v>
      </c>
      <c r="AE38" s="143" t="n">
        <v>106</v>
      </c>
      <c r="AF38" s="145" t="n">
        <v>1.7</v>
      </c>
      <c r="AG38" s="146" t="n">
        <v>1.3</v>
      </c>
      <c r="AH38" s="143" t="n">
        <v>41.5</v>
      </c>
      <c r="AI38" s="114" t="n">
        <f aca="false">AI37-AH38</f>
        <v>6521.15787748928</v>
      </c>
      <c r="AJ38" s="114"/>
      <c r="AK38" s="142" t="n">
        <f aca="false">N38+O38+P38+Q38+R38+S38+T38+U38+X38+AE38+AH38-AR38</f>
        <v>702.98</v>
      </c>
      <c r="AL38" s="143" t="n">
        <f aca="false">IF(L38&lt;0,L38*-1,0)</f>
        <v>0</v>
      </c>
      <c r="AM38" s="143" t="n">
        <f aca="false">AK38+AL38</f>
        <v>702.98</v>
      </c>
      <c r="AN38" s="230" t="n">
        <f aca="false">(BA38-9.18)*0.95</f>
        <v>133.779</v>
      </c>
      <c r="AO38" s="225"/>
      <c r="AP38" s="585" t="n">
        <f aca="false">I38-Q38-R38-X38-AF38</f>
        <v>-320.102769491159</v>
      </c>
      <c r="AQ38" s="586" t="n">
        <f aca="false">41.6*(Z38*1.9835+AC38*1.9835)/E38</f>
        <v>5.23430655273575</v>
      </c>
      <c r="AR38" s="171" t="n">
        <f aca="false">1502.862/$D$2/35</f>
        <v>21.6480535849328</v>
      </c>
      <c r="AS38" s="143" t="n">
        <f aca="false">9.18+3</f>
        <v>12.18</v>
      </c>
      <c r="AT38" s="56" t="n">
        <v>1.32</v>
      </c>
      <c r="AV38" s="232" t="n">
        <v>0</v>
      </c>
      <c r="AW38" s="225" t="n">
        <v>85</v>
      </c>
      <c r="AX38" s="225" t="n">
        <v>47</v>
      </c>
      <c r="AY38" s="264"/>
      <c r="AZ38" s="263" t="n">
        <f aca="false">SUM(N38,P38:U38)</f>
        <v>9.02440630590757</v>
      </c>
      <c r="BA38" s="56" t="n">
        <v>150</v>
      </c>
      <c r="BB38" s="86" t="n">
        <v>19719</v>
      </c>
    </row>
    <row r="39" customFormat="false" ht="12.95" hidden="false" customHeight="true" outlineLevel="0" collapsed="false">
      <c r="A39" s="192" t="n">
        <v>25</v>
      </c>
      <c r="B39" s="113" t="n">
        <v>6893.31</v>
      </c>
      <c r="C39" s="114" t="n">
        <v>259553</v>
      </c>
      <c r="D39" s="225" t="n">
        <f aca="false">C39-C38</f>
        <v>-1050</v>
      </c>
      <c r="E39" s="114" t="n">
        <f aca="false">C39-152000</f>
        <v>107553</v>
      </c>
      <c r="F39" s="259" t="n">
        <f aca="false">D39/$D$2</f>
        <v>-529.367280060499</v>
      </c>
      <c r="G39" s="143" t="n">
        <v>193</v>
      </c>
      <c r="H39" s="260" t="n">
        <v>0</v>
      </c>
      <c r="I39" s="143" t="n">
        <f aca="false">G39+H39</f>
        <v>193</v>
      </c>
      <c r="J39" s="144" t="n">
        <f aca="false">IF(L39&gt;0,L39,0)</f>
        <v>0</v>
      </c>
      <c r="K39" s="143" t="n">
        <f aca="false">I39+J39</f>
        <v>193</v>
      </c>
      <c r="L39" s="143" t="n">
        <f aca="false">F39-(I39-AK39)</f>
        <v>-23.817280060499</v>
      </c>
      <c r="M39" s="261" t="n">
        <v>195</v>
      </c>
      <c r="N39" s="171" t="n">
        <f aca="false">1/$D$2*1.03</f>
        <v>0.519284093773632</v>
      </c>
      <c r="O39" s="143" t="n">
        <f aca="false">42*1.05</f>
        <v>44.1</v>
      </c>
      <c r="P39" s="171" t="n">
        <v>0</v>
      </c>
      <c r="Q39" s="346" t="n">
        <f aca="false">1558500/325851/1.9835*1.02</f>
        <v>2.45955033813665</v>
      </c>
      <c r="R39" s="139" t="n">
        <f aca="false">IF(((5*1.04)-T39)&gt;=4.2,4.2,(5*1.04)-T39)</f>
        <v>4.2</v>
      </c>
      <c r="S39" s="139" t="n">
        <f aca="false">IF(((5*1.04)-T39)&gt;=4.2,((5*1.04)-T39)-4.2,0)</f>
        <v>0.00949359999999988</v>
      </c>
      <c r="T39" s="139" t="n">
        <f aca="false">(0.8985*1.06)*1.04</f>
        <v>0.9905064</v>
      </c>
      <c r="U39" s="365" t="n">
        <v>0</v>
      </c>
      <c r="V39" s="143" t="n">
        <v>277</v>
      </c>
      <c r="W39" s="143" t="n">
        <v>63.6</v>
      </c>
      <c r="X39" s="347" t="n">
        <f aca="false">M39-N39-O39-P39-Q39-R39-S39-T39-U39+V39+W39-AT39+AR39</f>
        <v>503.719219153023</v>
      </c>
      <c r="Y39" s="143" t="n">
        <f aca="false">X39-AO39</f>
        <v>503.719219153023</v>
      </c>
      <c r="Z39" s="114" t="n">
        <f aca="false">Z38+AP39</f>
        <v>5231.95692898742</v>
      </c>
      <c r="AA39" s="143" t="n">
        <f aca="false">(-AP39)</f>
        <v>319.078769491159</v>
      </c>
      <c r="AB39" s="114"/>
      <c r="AC39" s="442" t="n">
        <f aca="false">AC38-(AQ38/1.9835)+AS39</f>
        <v>1347.81083157424</v>
      </c>
      <c r="AD39" s="450" t="n">
        <f aca="false">AD38</f>
        <v>2618.93636501134</v>
      </c>
      <c r="AE39" s="143" t="n">
        <v>123</v>
      </c>
      <c r="AF39" s="145" t="n">
        <v>1.7</v>
      </c>
      <c r="AG39" s="146" t="n">
        <v>1.3</v>
      </c>
      <c r="AH39" s="143" t="n">
        <v>41.2</v>
      </c>
      <c r="AI39" s="114" t="n">
        <f aca="false">AI38-AH39</f>
        <v>6479.95787748928</v>
      </c>
      <c r="AJ39" s="114"/>
      <c r="AK39" s="142" t="n">
        <f aca="false">N39+O39+P39+Q39+R39+S39+T39+U39+X39+AE39+AH39-AR39</f>
        <v>698.55</v>
      </c>
      <c r="AL39" s="143" t="n">
        <f aca="false">IF(L39&lt;0,L39*-1,0)</f>
        <v>23.817280060499</v>
      </c>
      <c r="AM39" s="143" t="n">
        <f aca="false">AK39+AL39</f>
        <v>722.367280060499</v>
      </c>
      <c r="AN39" s="230" t="n">
        <f aca="false">(BA39-9.18)*0.95</f>
        <v>132.829</v>
      </c>
      <c r="AO39" s="225"/>
      <c r="AP39" s="585" t="n">
        <f aca="false">I39-Q39-R39-X39-AF39</f>
        <v>-319.078769491159</v>
      </c>
      <c r="AQ39" s="586" t="n">
        <f aca="false">48.139*(Z39*1.9835+AC39*1.9835)/E39</f>
        <v>5.84140483006176</v>
      </c>
      <c r="AR39" s="171" t="n">
        <f aca="false">1502.862/$D$2/35</f>
        <v>21.6480535849328</v>
      </c>
      <c r="AS39" s="143" t="n">
        <f aca="false">9.18+3</f>
        <v>12.18</v>
      </c>
      <c r="AT39" s="56" t="n">
        <v>1.25</v>
      </c>
      <c r="AV39" s="232" t="n">
        <v>0</v>
      </c>
      <c r="AW39" s="225" t="n">
        <v>83</v>
      </c>
      <c r="AX39" s="225" t="n">
        <v>51</v>
      </c>
      <c r="AY39" s="264"/>
      <c r="AZ39" s="263" t="n">
        <f aca="false">SUM(N39,P39:U39)</f>
        <v>8.17883443191028</v>
      </c>
      <c r="BA39" s="56" t="n">
        <v>149</v>
      </c>
      <c r="BB39" s="86" t="n">
        <v>19433</v>
      </c>
    </row>
    <row r="40" customFormat="false" ht="12.95" hidden="false" customHeight="true" outlineLevel="0" collapsed="false">
      <c r="A40" s="192" t="n">
        <v>26</v>
      </c>
      <c r="B40" s="113" t="n">
        <v>6892.99</v>
      </c>
      <c r="C40" s="114" t="n">
        <v>258434</v>
      </c>
      <c r="D40" s="225" t="n">
        <f aca="false">C40-C39</f>
        <v>-1119</v>
      </c>
      <c r="E40" s="114" t="n">
        <f aca="false">C40-152000</f>
        <v>106434</v>
      </c>
      <c r="F40" s="259" t="n">
        <f aca="false">D40/$D$2</f>
        <v>-564.154272750189</v>
      </c>
      <c r="G40" s="143" t="n">
        <v>188</v>
      </c>
      <c r="H40" s="260" t="n">
        <v>0</v>
      </c>
      <c r="I40" s="143" t="n">
        <f aca="false">G40+H40</f>
        <v>188</v>
      </c>
      <c r="J40" s="144" t="n">
        <f aca="false">IF(L40&gt;0,L40,0)</f>
        <v>0</v>
      </c>
      <c r="K40" s="143" t="n">
        <f aca="false">I40+J40</f>
        <v>188</v>
      </c>
      <c r="L40" s="143" t="n">
        <f aca="false">F40-(I40-AK40)</f>
        <v>-72.3642727501891</v>
      </c>
      <c r="M40" s="261" t="n">
        <v>206</v>
      </c>
      <c r="N40" s="171" t="n">
        <f aca="false">1/$D$2*1.03</f>
        <v>0.519284093773632</v>
      </c>
      <c r="O40" s="143" t="n">
        <f aca="false">34.9*1.05</f>
        <v>36.645</v>
      </c>
      <c r="P40" s="171" t="n">
        <v>0</v>
      </c>
      <c r="Q40" s="346" t="n">
        <f aca="false">1557400/325851/1.9835*1.02</f>
        <v>2.45781437062176</v>
      </c>
      <c r="R40" s="139" t="n">
        <f aca="false">IF(((5*1.04)-T40)&gt;=4.2,4.2,(5*1.04)-T40)</f>
        <v>4.2</v>
      </c>
      <c r="S40" s="139" t="n">
        <f aca="false">IF(((5*1.04)-T40)&gt;=4.2,((5*1.04)-T40)-4.2,0)</f>
        <v>0.00949359999999988</v>
      </c>
      <c r="T40" s="139" t="n">
        <f aca="false">(0.8985*1.06)*1.04</f>
        <v>0.9905064</v>
      </c>
      <c r="U40" s="365" t="n">
        <v>0</v>
      </c>
      <c r="V40" s="143" t="n">
        <v>278</v>
      </c>
      <c r="W40" s="143" t="n">
        <v>62.5</v>
      </c>
      <c r="X40" s="347" t="n">
        <f aca="false">M40-N40-O40-P40-Q40-R40-S40-T40-U40+V40+W40-AT40+AR40</f>
        <v>522.115955120538</v>
      </c>
      <c r="Y40" s="143" t="n">
        <f aca="false">X40-AO40</f>
        <v>522.115955120538</v>
      </c>
      <c r="Z40" s="114" t="n">
        <f aca="false">Z39+AP40</f>
        <v>4889.48315949627</v>
      </c>
      <c r="AA40" s="143" t="n">
        <f aca="false">(-AP40)</f>
        <v>342.473769491159</v>
      </c>
      <c r="AB40" s="114"/>
      <c r="AC40" s="442" t="n">
        <f aca="false">AC39-(AQ39/1.9835)+AS40</f>
        <v>1357.04583292032</v>
      </c>
      <c r="AD40" s="450" t="n">
        <f aca="false">AD39</f>
        <v>2618.93636501134</v>
      </c>
      <c r="AE40" s="143" t="n">
        <v>93</v>
      </c>
      <c r="AF40" s="145" t="n">
        <v>1.7</v>
      </c>
      <c r="AG40" s="146" t="n">
        <v>1.3</v>
      </c>
      <c r="AH40" s="143" t="n">
        <v>41.5</v>
      </c>
      <c r="AI40" s="114" t="n">
        <f aca="false">AI39-AH40</f>
        <v>6438.45787748928</v>
      </c>
      <c r="AJ40" s="114"/>
      <c r="AK40" s="142" t="n">
        <f aca="false">N40+O40+P40+Q40+R40+S40+T40+U40+X40+AE40+AH40-AR40</f>
        <v>679.79</v>
      </c>
      <c r="AL40" s="143" t="n">
        <f aca="false">IF(L40&lt;0,L40*-1,0)</f>
        <v>72.3642727501891</v>
      </c>
      <c r="AM40" s="143" t="n">
        <f aca="false">AK40+AL40</f>
        <v>752.154272750189</v>
      </c>
      <c r="AN40" s="230" t="n">
        <f aca="false">(BA40-9.18)*0.95</f>
        <v>132.829</v>
      </c>
      <c r="AO40" s="225"/>
      <c r="AP40" s="585" t="n">
        <f aca="false">I40-Q40-R40-X40-AF40</f>
        <v>-342.473769491159</v>
      </c>
      <c r="AQ40" s="586" t="n">
        <f aca="false">44.686*(Z40*1.9835+AC40*1.9835)/E40</f>
        <v>5.20190075164041</v>
      </c>
      <c r="AR40" s="171" t="n">
        <f aca="false">1502.862/$D$2/35</f>
        <v>21.6480535849328</v>
      </c>
      <c r="AS40" s="143" t="n">
        <f aca="false">9.18+3</f>
        <v>12.18</v>
      </c>
      <c r="AT40" s="56" t="n">
        <v>1.21</v>
      </c>
      <c r="AV40" s="232" t="n">
        <v>0</v>
      </c>
      <c r="AW40" s="225" t="n">
        <v>86</v>
      </c>
      <c r="AX40" s="225" t="n">
        <v>51</v>
      </c>
      <c r="AY40" s="264"/>
      <c r="AZ40" s="263" t="n">
        <f aca="false">SUM(N40,P40:U40)</f>
        <v>8.1770984643954</v>
      </c>
      <c r="BA40" s="56" t="n">
        <v>149</v>
      </c>
      <c r="BB40" s="86" t="n">
        <v>19145</v>
      </c>
    </row>
    <row r="41" customFormat="false" ht="12.95" hidden="false" customHeight="true" outlineLevel="0" collapsed="false">
      <c r="A41" s="192" t="n">
        <v>27</v>
      </c>
      <c r="B41" s="113" t="n">
        <v>6892.74</v>
      </c>
      <c r="C41" s="114" t="n">
        <v>257568</v>
      </c>
      <c r="D41" s="225" t="n">
        <f aca="false">C41-C40</f>
        <v>-866</v>
      </c>
      <c r="E41" s="114" t="n">
        <f aca="false">C41-152000</f>
        <v>105568</v>
      </c>
      <c r="F41" s="259" t="n">
        <f aca="false">D41/$D$2</f>
        <v>-436.601966221326</v>
      </c>
      <c r="G41" s="143" t="n">
        <v>181</v>
      </c>
      <c r="H41" s="260" t="n">
        <v>0</v>
      </c>
      <c r="I41" s="143" t="n">
        <f aca="false">G41+H41</f>
        <v>181</v>
      </c>
      <c r="J41" s="144" t="n">
        <f aca="false">IF(L41&gt;0,L41,0)</f>
        <v>37.8980337786741</v>
      </c>
      <c r="K41" s="143" t="n">
        <f aca="false">I41+J41</f>
        <v>218.898033778674</v>
      </c>
      <c r="L41" s="143" t="n">
        <f aca="false">F41-(I41-AK41)</f>
        <v>37.8980337786741</v>
      </c>
      <c r="M41" s="261" t="n">
        <v>197</v>
      </c>
      <c r="N41" s="171" t="n">
        <f aca="false">1/$D$2*1.03</f>
        <v>0.519284093773632</v>
      </c>
      <c r="O41" s="143" t="n">
        <f aca="false">36.9*1.05</f>
        <v>38.745</v>
      </c>
      <c r="P41" s="171" t="n">
        <v>0</v>
      </c>
      <c r="Q41" s="346" t="n">
        <f aca="false">1664200/325851/1.9835*1.02</f>
        <v>2.62636103479436</v>
      </c>
      <c r="R41" s="139" t="n">
        <f aca="false">IF(((5.1*1.04)-T41)&gt;=4.2,4.2,(5.1*1.04)-T41)</f>
        <v>4.2</v>
      </c>
      <c r="S41" s="139" t="n">
        <f aca="false">IF(((5.1*1.04)-T41)&gt;=4.2,((5.1*1.04)-T41)-4.2,0)</f>
        <v>0.113493599999999</v>
      </c>
      <c r="T41" s="139" t="n">
        <f aca="false">(0.8985*1.06)*1.04</f>
        <v>0.9905064</v>
      </c>
      <c r="U41" s="365" t="n">
        <v>0</v>
      </c>
      <c r="V41" s="143" t="n">
        <v>276</v>
      </c>
      <c r="W41" s="143" t="n">
        <v>61.7</v>
      </c>
      <c r="X41" s="347" t="n">
        <f aca="false">M41-N41-O41-P41-Q41-R41-S41-T41-U41+V41+W41-AT41+AR41</f>
        <v>507.953408456365</v>
      </c>
      <c r="Y41" s="143" t="n">
        <f aca="false">X41-AO41</f>
        <v>507.953408456365</v>
      </c>
      <c r="Z41" s="114" t="n">
        <f aca="false">Z40+AP41</f>
        <v>4554.00339000511</v>
      </c>
      <c r="AA41" s="143" t="n">
        <f aca="false">(-AP41)</f>
        <v>335.479769491159</v>
      </c>
      <c r="AB41" s="114"/>
      <c r="AC41" s="442" t="n">
        <f aca="false">AC40-(AQ40/1.9835)+AS41</f>
        <v>1366.60324620409</v>
      </c>
      <c r="AD41" s="450" t="n">
        <f aca="false">AD40</f>
        <v>2618.93636501134</v>
      </c>
      <c r="AE41" s="143" t="n">
        <v>80.3</v>
      </c>
      <c r="AF41" s="145" t="n">
        <v>1.7</v>
      </c>
      <c r="AG41" s="146" t="n">
        <v>1.3</v>
      </c>
      <c r="AH41" s="143" t="n">
        <v>41.7</v>
      </c>
      <c r="AI41" s="114" t="n">
        <f aca="false">AI40-AH41</f>
        <v>6396.75787748928</v>
      </c>
      <c r="AJ41" s="114"/>
      <c r="AK41" s="142" t="n">
        <f aca="false">N41+O41+P41+Q41+R41+S41+T41+U41+X41+AE41+AH41-AR41</f>
        <v>655.5</v>
      </c>
      <c r="AL41" s="143" t="n">
        <f aca="false">IF(L41&lt;0,L41*-1,0)</f>
        <v>0</v>
      </c>
      <c r="AM41" s="143" t="n">
        <f aca="false">AK41+AL41</f>
        <v>655.5</v>
      </c>
      <c r="AN41" s="230" t="n">
        <f aca="false">(BA41-9.18)*0.95</f>
        <v>65.284</v>
      </c>
      <c r="AO41" s="225"/>
      <c r="AP41" s="585" t="n">
        <f aca="false">I41-Q41-R41-X41-AF41</f>
        <v>-335.479769491159</v>
      </c>
      <c r="AQ41" s="586" t="n">
        <f aca="false">39.811*(Z41*1.9835+AC41*1.9835)/E41</f>
        <v>4.42862803709595</v>
      </c>
      <c r="AR41" s="171" t="n">
        <f aca="false">1502.862/$D$2/35</f>
        <v>21.6480535849328</v>
      </c>
      <c r="AS41" s="143" t="n">
        <f aca="false">9.18+3</f>
        <v>12.18</v>
      </c>
      <c r="AT41" s="56" t="n">
        <v>1.2</v>
      </c>
      <c r="AV41" s="232" t="n">
        <v>0</v>
      </c>
      <c r="AW41" s="225" t="n">
        <v>85</v>
      </c>
      <c r="AX41" s="225" t="n">
        <v>51</v>
      </c>
      <c r="AY41" s="264"/>
      <c r="AZ41" s="263" t="n">
        <f aca="false">SUM(N41,P41:U41)</f>
        <v>8.44964512856799</v>
      </c>
      <c r="BA41" s="56" t="n">
        <v>77.9</v>
      </c>
      <c r="BB41" s="86" t="n">
        <v>18886</v>
      </c>
    </row>
    <row r="42" customFormat="false" ht="12.95" hidden="false" customHeight="true" outlineLevel="0" collapsed="false">
      <c r="A42" s="192" t="n">
        <v>28</v>
      </c>
      <c r="B42" s="113" t="n">
        <v>6892.47</v>
      </c>
      <c r="C42" s="114" t="n">
        <v>256637</v>
      </c>
      <c r="D42" s="225" t="n">
        <f aca="false">C42-C41</f>
        <v>-931</v>
      </c>
      <c r="E42" s="114" t="n">
        <f aca="false">C42-152000</f>
        <v>104637</v>
      </c>
      <c r="F42" s="259" t="n">
        <f aca="false">D42/$D$2</f>
        <v>-469.372321653643</v>
      </c>
      <c r="G42" s="143" t="n">
        <v>80</v>
      </c>
      <c r="H42" s="260" t="n">
        <v>0</v>
      </c>
      <c r="I42" s="143" t="n">
        <f aca="false">G42+H42</f>
        <v>80</v>
      </c>
      <c r="J42" s="144" t="n">
        <f aca="false">IF(L42&gt;0,L42,0)</f>
        <v>0</v>
      </c>
      <c r="K42" s="143" t="n">
        <f aca="false">I42+J42</f>
        <v>80</v>
      </c>
      <c r="L42" s="143" t="n">
        <f aca="false">F42-(I42-AK42)</f>
        <v>-6.27232165364251</v>
      </c>
      <c r="M42" s="261" t="n">
        <v>191</v>
      </c>
      <c r="N42" s="171" t="n">
        <f aca="false">1/$D$2*1.03</f>
        <v>0.519284093773632</v>
      </c>
      <c r="O42" s="143" t="n">
        <f aca="false">43.8*1.05</f>
        <v>45.99</v>
      </c>
      <c r="P42" s="171" t="n">
        <v>0</v>
      </c>
      <c r="Q42" s="346" t="n">
        <f aca="false">1602300/325851/1.9835*1.02</f>
        <v>2.52867340827485</v>
      </c>
      <c r="R42" s="139" t="n">
        <f aca="false">IF(((4.8*1.04)-T42)&gt;=4.2,4.2,(4.8*1.04)-T42)</f>
        <v>3.98969792</v>
      </c>
      <c r="S42" s="139" t="n">
        <f aca="false">IF(((4.8*1.04)-T42)&gt;=4.2,((4.8*1.04)-T42)-4.2,0)</f>
        <v>0</v>
      </c>
      <c r="T42" s="139" t="n">
        <f aca="false">(0.9092*1.06)*1.04</f>
        <v>1.00230208</v>
      </c>
      <c r="U42" s="365" t="n">
        <v>0</v>
      </c>
      <c r="V42" s="143" t="n">
        <v>168</v>
      </c>
      <c r="W42" s="143" t="n">
        <v>62.2</v>
      </c>
      <c r="X42" s="347" t="n">
        <f aca="false">M42-N42-O42-P42-Q42-R42-S42-T42-U42+V42+W42-AT42+AR42</f>
        <v>387.718096082884</v>
      </c>
      <c r="Y42" s="143" t="n">
        <f aca="false">X42-AO42</f>
        <v>387.718096082884</v>
      </c>
      <c r="Z42" s="114" t="n">
        <f aca="false">Z41+AP42</f>
        <v>4238.06692259395</v>
      </c>
      <c r="AA42" s="143" t="n">
        <f aca="false">(-AP42)</f>
        <v>315.936467411159</v>
      </c>
      <c r="AB42" s="114"/>
      <c r="AC42" s="442" t="n">
        <f aca="false">AC41-(AQ41/1.9835)+AS42</f>
        <v>1373.64051212942</v>
      </c>
      <c r="AD42" s="450" t="n">
        <f aca="false">AD41</f>
        <v>2618.93636501134</v>
      </c>
      <c r="AE42" s="143" t="n">
        <v>81.8</v>
      </c>
      <c r="AF42" s="145" t="n">
        <v>1.7</v>
      </c>
      <c r="AG42" s="146" t="n">
        <v>1.3</v>
      </c>
      <c r="AH42" s="143" t="n">
        <v>41.2</v>
      </c>
      <c r="AI42" s="114" t="n">
        <f aca="false">AI41-AH42</f>
        <v>6355.55787748928</v>
      </c>
      <c r="AJ42" s="114"/>
      <c r="AK42" s="142" t="n">
        <f aca="false">N42+O42+P42+Q42+R42+S42+T42+U42+X42+AE42+AH42-AR42</f>
        <v>543.1</v>
      </c>
      <c r="AL42" s="143" t="n">
        <f aca="false">IF(L42&lt;0,L42*-1,0)</f>
        <v>6.27232165364251</v>
      </c>
      <c r="AM42" s="143" t="n">
        <f aca="false">AK42+AL42</f>
        <v>549.372321653643</v>
      </c>
      <c r="AN42" s="230"/>
      <c r="AO42" s="225"/>
      <c r="AP42" s="585" t="n">
        <f aca="false">I42-Q42-R42-X42-AF42</f>
        <v>-315.936467411159</v>
      </c>
      <c r="AQ42" s="586" t="n">
        <f aca="false">29.785*(Z42*1.9835+AC42*1.9835)/E42</f>
        <v>3.16839668796322</v>
      </c>
      <c r="AR42" s="171" t="n">
        <f aca="false">1502.862/$D$2/35</f>
        <v>21.6480535849328</v>
      </c>
      <c r="AS42" s="143" t="n">
        <f aca="false">BA42</f>
        <v>9.27</v>
      </c>
      <c r="AT42" s="56" t="n">
        <v>1.1</v>
      </c>
      <c r="AV42" s="232" t="n">
        <v>0</v>
      </c>
      <c r="AW42" s="225" t="n">
        <v>83</v>
      </c>
      <c r="AX42" s="225" t="n">
        <v>51</v>
      </c>
      <c r="AY42" s="264"/>
      <c r="AZ42" s="263" t="n">
        <f aca="false">SUM(N42,P42:U42)</f>
        <v>8.03995750204848</v>
      </c>
      <c r="BA42" s="556" t="n">
        <v>9.27</v>
      </c>
      <c r="BB42" s="86" t="n">
        <v>18829</v>
      </c>
    </row>
    <row r="43" customFormat="false" ht="12.95" hidden="false" customHeight="true" outlineLevel="0" collapsed="false">
      <c r="A43" s="192" t="n">
        <v>29</v>
      </c>
      <c r="B43" s="113" t="n">
        <v>6892.19</v>
      </c>
      <c r="C43" s="114" t="n">
        <v>255661</v>
      </c>
      <c r="D43" s="225" t="n">
        <f aca="false">C43-C42</f>
        <v>-976</v>
      </c>
      <c r="E43" s="114" t="n">
        <f aca="false">C43-152000</f>
        <v>103661</v>
      </c>
      <c r="F43" s="259" t="n">
        <f aca="false">D43/$D$2</f>
        <v>-492.059490799092</v>
      </c>
      <c r="G43" s="143" t="n">
        <v>65</v>
      </c>
      <c r="H43" s="260" t="n">
        <v>0</v>
      </c>
      <c r="I43" s="143" t="n">
        <f aca="false">G43+H43</f>
        <v>65</v>
      </c>
      <c r="J43" s="144" t="n">
        <f aca="false">IF(L43&gt;0,L43,0)</f>
        <v>0</v>
      </c>
      <c r="K43" s="143" t="n">
        <f aca="false">I43+J43</f>
        <v>65</v>
      </c>
      <c r="L43" s="143" t="n">
        <f aca="false">F43-(I43-AK43)</f>
        <v>-30.2294907990924</v>
      </c>
      <c r="M43" s="261" t="n">
        <v>199</v>
      </c>
      <c r="N43" s="171" t="n">
        <f aca="false">1/$D$2*1.03</f>
        <v>0.519284093773632</v>
      </c>
      <c r="O43" s="143" t="n">
        <f aca="false">45.4*1.05</f>
        <v>47.67</v>
      </c>
      <c r="P43" s="171" t="n">
        <v>0</v>
      </c>
      <c r="Q43" s="346" t="n">
        <f aca="false">1523500/325851/1.9835*1.02</f>
        <v>2.40431500811754</v>
      </c>
      <c r="R43" s="139" t="n">
        <f aca="false">IF(((5*1.04)-T43)&gt;=4.2,4.2,(5*1.04)-T43)</f>
        <v>4.19769792</v>
      </c>
      <c r="S43" s="139" t="n">
        <f aca="false">IF(((5*1.04)-T43)&gt;=4.2,((5*1.04)-T43)-4.2,0)</f>
        <v>0</v>
      </c>
      <c r="T43" s="139" t="n">
        <f aca="false">(0.9092*1.06)*1.04</f>
        <v>1.00230208</v>
      </c>
      <c r="U43" s="365" t="n">
        <v>0</v>
      </c>
      <c r="V43" s="143" t="n">
        <v>120</v>
      </c>
      <c r="W43" s="143" t="n">
        <v>59.8</v>
      </c>
      <c r="X43" s="347" t="n">
        <f aca="false">M43-N43-O43-P43-Q43-R43-S43-T43-U43+V43+W43-AT43+AR43</f>
        <v>343.484454483042</v>
      </c>
      <c r="Y43" s="143" t="n">
        <f aca="false">X43-AO43</f>
        <v>343.484454483042</v>
      </c>
      <c r="Z43" s="114" t="n">
        <f aca="false">Z42+AP43</f>
        <v>3951.28045518279</v>
      </c>
      <c r="AA43" s="143" t="n">
        <f aca="false">(-AP43)</f>
        <v>286.786467411159</v>
      </c>
      <c r="AB43" s="114"/>
      <c r="AC43" s="442" t="n">
        <f aca="false">AC42-(AQ42/1.9835)+AS43</f>
        <v>1381.68313542765</v>
      </c>
      <c r="AD43" s="450" t="n">
        <f aca="false">AD42</f>
        <v>2618.93636501134</v>
      </c>
      <c r="AE43" s="143" t="n">
        <v>109</v>
      </c>
      <c r="AF43" s="145" t="n">
        <v>1.7</v>
      </c>
      <c r="AG43" s="146" t="n">
        <v>1.3</v>
      </c>
      <c r="AH43" s="143" t="n">
        <v>40.2</v>
      </c>
      <c r="AI43" s="114" t="n">
        <f aca="false">AI42-AH43</f>
        <v>6315.35787748928</v>
      </c>
      <c r="AJ43" s="114"/>
      <c r="AK43" s="142" t="n">
        <f aca="false">N43+O43+P43+Q43+R43+S43+T43+U43+X43+AE43+AH43-AR43</f>
        <v>526.83</v>
      </c>
      <c r="AL43" s="143" t="n">
        <f aca="false">IF(L43&lt;0,L43*-1,0)</f>
        <v>30.2294907990924</v>
      </c>
      <c r="AM43" s="143" t="n">
        <f aca="false">AK43+AL43</f>
        <v>557.059490799093</v>
      </c>
      <c r="AN43" s="230"/>
      <c r="AO43" s="225"/>
      <c r="AP43" s="585" t="n">
        <f aca="false">I43-Q43-R43-X43-AF43</f>
        <v>-286.786467411159</v>
      </c>
      <c r="AQ43" s="586" t="n">
        <f aca="false">54.539*(Z43*1.9835+AC43*1.9835)/E43</f>
        <v>5.56535151373881</v>
      </c>
      <c r="AR43" s="171" t="n">
        <f aca="false">1502.862/$D$2/35</f>
        <v>21.6480535849328</v>
      </c>
      <c r="AS43" s="143" t="n">
        <f aca="false">BA43</f>
        <v>9.64</v>
      </c>
      <c r="AT43" s="56" t="n">
        <v>1.17</v>
      </c>
      <c r="AV43" s="232" t="n">
        <v>0</v>
      </c>
      <c r="AW43" s="225" t="n">
        <v>86</v>
      </c>
      <c r="AX43" s="225" t="n">
        <v>53</v>
      </c>
      <c r="AY43" s="264"/>
      <c r="AZ43" s="263" t="n">
        <f aca="false">SUM(N43,P43:U43)</f>
        <v>8.12359910189117</v>
      </c>
      <c r="BA43" s="56" t="n">
        <v>9.64</v>
      </c>
      <c r="BB43" s="86" t="n">
        <v>18793</v>
      </c>
    </row>
    <row r="44" customFormat="false" ht="12.95" hidden="false" customHeight="true" outlineLevel="0" collapsed="false">
      <c r="A44" s="192" t="n">
        <v>30</v>
      </c>
      <c r="B44" s="113" t="n">
        <v>6891.91</v>
      </c>
      <c r="C44" s="114" t="n">
        <v>254694</v>
      </c>
      <c r="D44" s="225" t="n">
        <f aca="false">C44-C43</f>
        <v>-967</v>
      </c>
      <c r="E44" s="114" t="n">
        <f aca="false">C44-152000</f>
        <v>102694</v>
      </c>
      <c r="F44" s="259" t="n">
        <f aca="false">D44/$D$2</f>
        <v>-487.522056970002</v>
      </c>
      <c r="G44" s="143" t="n">
        <v>64</v>
      </c>
      <c r="H44" s="260" t="n">
        <v>0</v>
      </c>
      <c r="I44" s="143" t="n">
        <f aca="false">G44+H44</f>
        <v>64</v>
      </c>
      <c r="J44" s="144" t="n">
        <f aca="false">IF(L44&gt;0,L44,0)</f>
        <v>0</v>
      </c>
      <c r="K44" s="143" t="n">
        <f aca="false">I44+J44</f>
        <v>64</v>
      </c>
      <c r="L44" s="143" t="n">
        <f aca="false">F44-(I44-AK44)</f>
        <v>-39.7820569700024</v>
      </c>
      <c r="M44" s="261" t="n">
        <v>199</v>
      </c>
      <c r="N44" s="171" t="n">
        <f aca="false">1/$D$2*1.03</f>
        <v>0.519284093773632</v>
      </c>
      <c r="O44" s="143" t="n">
        <f aca="false">44.8*1.05</f>
        <v>47.04</v>
      </c>
      <c r="P44" s="171" t="n">
        <v>0</v>
      </c>
      <c r="Q44" s="346" t="n">
        <f aca="false">1524300/325851/1.9835*1.02</f>
        <v>2.40557752994655</v>
      </c>
      <c r="R44" s="139" t="n">
        <f aca="false">IF(((4.9*1.04)-T44)&gt;=4.2,4.2,(4.9*1.04)-T44)</f>
        <v>4.09369792</v>
      </c>
      <c r="S44" s="139" t="n">
        <f aca="false">IF(((4.9*1.04)-T44)&gt;=4.2,((4.9*1.04)-T44)-4.2,0)</f>
        <v>0</v>
      </c>
      <c r="T44" s="139" t="n">
        <f aca="false">(0.9092*1.06)*1.04</f>
        <v>1.00230208</v>
      </c>
      <c r="U44" s="365" t="n">
        <v>0</v>
      </c>
      <c r="V44" s="143" t="n">
        <v>119</v>
      </c>
      <c r="W44" s="143" t="n">
        <v>58.8</v>
      </c>
      <c r="X44" s="347" t="n">
        <f aca="false">M44-N44-O44-P44-Q44-R44-S44-T44-U44+V44+W44-AT44+AR44</f>
        <v>342.127191961213</v>
      </c>
      <c r="Y44" s="143" t="n">
        <f aca="false">X44-AO44</f>
        <v>342.127191961213</v>
      </c>
      <c r="Z44" s="114" t="n">
        <f aca="false">Z43+AP44</f>
        <v>3664.95398777163</v>
      </c>
      <c r="AA44" s="143" t="n">
        <f aca="false">(-AP44)</f>
        <v>286.326467411159</v>
      </c>
      <c r="AB44" s="114"/>
      <c r="AC44" s="442" t="n">
        <f aca="false">AC43-(AQ43/1.9835)+AS44</f>
        <v>1388.51731162441</v>
      </c>
      <c r="AD44" s="450" t="n">
        <f aca="false">AD43</f>
        <v>2618.93636501134</v>
      </c>
      <c r="AE44" s="143" t="n">
        <v>96</v>
      </c>
      <c r="AF44" s="145" t="n">
        <v>1.7</v>
      </c>
      <c r="AG44" s="146" t="n">
        <v>1.3</v>
      </c>
      <c r="AH44" s="143" t="n">
        <v>40.2</v>
      </c>
      <c r="AI44" s="114" t="n">
        <f aca="false">AI43-AH44</f>
        <v>6275.15787748928</v>
      </c>
      <c r="AJ44" s="114"/>
      <c r="AK44" s="142" t="n">
        <f aca="false">N44+O44+P44+Q44+R44+S44+T44+U44+X44+AE44+AH44-AR44</f>
        <v>511.74</v>
      </c>
      <c r="AL44" s="143" t="n">
        <f aca="false">IF(L44&lt;0,L44*-1,0)</f>
        <v>39.7820569700024</v>
      </c>
      <c r="AM44" s="143" t="n">
        <f aca="false">AK44+AL44</f>
        <v>551.522056970003</v>
      </c>
      <c r="AN44" s="230"/>
      <c r="AO44" s="225"/>
      <c r="AP44" s="585" t="n">
        <f aca="false">I44-Q44-R44-X44-AF44</f>
        <v>-286.326467411159</v>
      </c>
      <c r="AQ44" s="586" t="n">
        <f aca="false">37.03*(Z44*1.9835+AC44*1.9835)/E44</f>
        <v>3.61435369872335</v>
      </c>
      <c r="AR44" s="171" t="n">
        <f aca="false">1502.862/$D$2/35</f>
        <v>21.6480535849328</v>
      </c>
      <c r="AS44" s="143" t="n">
        <f aca="false">BA44</f>
        <v>9.64</v>
      </c>
      <c r="AT44" s="56" t="n">
        <v>1.26</v>
      </c>
      <c r="AV44" s="232" t="n">
        <v>0</v>
      </c>
      <c r="AW44" s="521" t="n">
        <v>85</v>
      </c>
      <c r="AX44" s="225" t="n">
        <v>53</v>
      </c>
      <c r="AY44" s="264"/>
      <c r="AZ44" s="263" t="n">
        <f aca="false">SUM(N44,P44:U44)</f>
        <v>8.02086162372018</v>
      </c>
      <c r="BA44" s="56" t="n">
        <v>9.64</v>
      </c>
      <c r="BB44" s="86" t="n">
        <v>18774</v>
      </c>
    </row>
    <row r="45" customFormat="false" ht="3" hidden="false" customHeight="true" outlineLevel="0" collapsed="false">
      <c r="A45" s="244"/>
      <c r="B45" s="266"/>
      <c r="C45" s="246"/>
      <c r="D45" s="247"/>
      <c r="E45" s="246"/>
      <c r="F45" s="248"/>
      <c r="G45" s="247"/>
      <c r="H45" s="249"/>
      <c r="I45" s="247"/>
      <c r="J45" s="247"/>
      <c r="K45" s="247"/>
      <c r="L45" s="247"/>
      <c r="M45" s="250"/>
      <c r="N45" s="247"/>
      <c r="O45" s="247"/>
      <c r="P45" s="251"/>
      <c r="Q45" s="251"/>
      <c r="R45" s="251"/>
      <c r="S45" s="251"/>
      <c r="T45" s="251"/>
      <c r="U45" s="252"/>
      <c r="V45" s="247"/>
      <c r="W45" s="247"/>
      <c r="X45" s="247"/>
      <c r="Y45" s="247"/>
      <c r="Z45" s="246"/>
      <c r="AA45" s="247"/>
      <c r="AB45" s="246"/>
      <c r="AC45" s="246"/>
      <c r="AD45" s="246"/>
      <c r="AE45" s="247"/>
      <c r="AF45" s="128"/>
      <c r="AG45" s="129"/>
      <c r="AH45" s="247"/>
      <c r="AI45" s="247"/>
      <c r="AJ45" s="247"/>
      <c r="AK45" s="247"/>
      <c r="AL45" s="247"/>
      <c r="AM45" s="247"/>
      <c r="AN45" s="255"/>
      <c r="AO45" s="256"/>
      <c r="AP45" s="253"/>
      <c r="AQ45" s="251"/>
      <c r="AR45" s="251"/>
      <c r="AS45" s="251"/>
      <c r="AT45" s="251"/>
      <c r="AU45" s="253"/>
      <c r="AV45" s="258"/>
      <c r="AW45" s="256"/>
      <c r="AX45" s="256"/>
      <c r="AY45" s="256"/>
      <c r="AZ45" s="256"/>
      <c r="BA45" s="256"/>
      <c r="BB45" s="256"/>
    </row>
    <row r="46" customFormat="false" ht="12.95" hidden="false" customHeight="true" outlineLevel="0" collapsed="false">
      <c r="A46" s="194" t="s">
        <v>104</v>
      </c>
      <c r="B46" s="223"/>
      <c r="C46" s="114"/>
      <c r="D46" s="114"/>
      <c r="E46" s="114"/>
      <c r="F46" s="224" t="n">
        <f aca="false">SUM(F15:F44)</f>
        <v>-17690.4461809932</v>
      </c>
      <c r="G46" s="114" t="n">
        <f aca="false">SUM(G15:G44)</f>
        <v>3890</v>
      </c>
      <c r="H46" s="114" t="n">
        <f aca="false">SUM(H15:H44)</f>
        <v>0</v>
      </c>
      <c r="I46" s="114" t="n">
        <f aca="false">SUM(I15:I44)</f>
        <v>3890</v>
      </c>
      <c r="J46" s="114" t="n">
        <f aca="false">SUM(J15:J44)</f>
        <v>249.375888580791</v>
      </c>
      <c r="K46" s="114" t="n">
        <f aca="false">SUM(K15:K44)</f>
        <v>4139.37588858079</v>
      </c>
      <c r="L46" s="114" t="n">
        <f aca="false">SUM(L15:L44)</f>
        <v>-667.339180993194</v>
      </c>
      <c r="M46" s="226" t="n">
        <f aca="false">SUM(M15:M44)</f>
        <v>7131</v>
      </c>
      <c r="N46" s="114" t="n">
        <f aca="false">SUM(N15:N44)</f>
        <v>15.578522813209</v>
      </c>
      <c r="O46" s="114" t="n">
        <f aca="false">SUM(O15:O44)</f>
        <v>2108.925</v>
      </c>
      <c r="P46" s="171" t="n">
        <f aca="false">SUM(P15:P44)</f>
        <v>0</v>
      </c>
      <c r="Q46" s="225" t="n">
        <f aca="false">SUM(Q15:Q44)</f>
        <v>73.1804996661755</v>
      </c>
      <c r="R46" s="225" t="n">
        <f aca="false">SUM(R15:R44)</f>
        <v>114.20352304</v>
      </c>
      <c r="S46" s="225" t="n">
        <f aca="false">SUM(S15:S44)</f>
        <v>18.61211264</v>
      </c>
      <c r="T46" s="225" t="n">
        <f aca="false">SUM(T15:T44)</f>
        <v>31.29636432</v>
      </c>
      <c r="U46" s="227" t="n">
        <f aca="false">SUM(U15:U44)</f>
        <v>0</v>
      </c>
      <c r="V46" s="114" t="n">
        <f aca="false">SUM(V15:V44)</f>
        <v>5373</v>
      </c>
      <c r="W46" s="114" t="n">
        <f aca="false">SUM(W15:W44)</f>
        <v>2012.8</v>
      </c>
      <c r="X46" s="114" t="n">
        <f aca="false">SUM(X15:X44)</f>
        <v>12769.9525850686</v>
      </c>
      <c r="Y46" s="114" t="n">
        <f aca="false">SUM(Y15:Y44)</f>
        <v>12769.9525850686</v>
      </c>
      <c r="Z46" s="114"/>
      <c r="AA46" s="114"/>
      <c r="AB46" s="114"/>
      <c r="AC46" s="114"/>
      <c r="AE46" s="114" t="n">
        <f aca="false">SUM(AE15:AE44)</f>
        <v>4796.1</v>
      </c>
      <c r="AF46" s="226" t="n">
        <f aca="false">SUM(AF15:AF44)</f>
        <v>51</v>
      </c>
      <c r="AG46" s="228" t="n">
        <f aca="false">SUM(AG15:AG44)</f>
        <v>39</v>
      </c>
      <c r="AH46" s="114" t="n">
        <f aca="false">SUM(AH15:AH44)</f>
        <v>1634.7</v>
      </c>
      <c r="AI46" s="114"/>
      <c r="AJ46" s="114" t="n">
        <f aca="false">SUM(AJ15:AJ44)</f>
        <v>0</v>
      </c>
      <c r="AK46" s="114" t="n">
        <f aca="false">SUM(AK15:AK44)</f>
        <v>20913.107</v>
      </c>
      <c r="AL46" s="114" t="n">
        <f aca="false">SUM(AL15:AL44)</f>
        <v>916.715069573985</v>
      </c>
      <c r="AM46" s="523" t="n">
        <f aca="false">SUM(AM15:AM44)</f>
        <v>21829.822069574</v>
      </c>
      <c r="AN46" s="114" t="n">
        <f aca="false">SUM(AN15:AN44)</f>
        <v>1400.775</v>
      </c>
      <c r="AO46" s="114" t="n">
        <f aca="false">SUM(AO15:AO44)</f>
        <v>0</v>
      </c>
      <c r="AP46" s="144"/>
      <c r="AQ46" s="171"/>
      <c r="AR46" s="171" t="n">
        <f aca="false">SUM(AR15:AR44)</f>
        <v>649.441607547985</v>
      </c>
      <c r="AS46" s="225" t="n">
        <f aca="false">SUM(AS15:AS44)</f>
        <v>324.43</v>
      </c>
      <c r="AT46" s="225" t="n">
        <f aca="false">SUM(AT15:AT44)</f>
        <v>34.493</v>
      </c>
      <c r="AU46" s="225" t="n">
        <f aca="false">SUM(AU15:AU44)</f>
        <v>0</v>
      </c>
      <c r="AV46" s="232" t="n">
        <f aca="false">SUM(AV15:AV44)</f>
        <v>0.72</v>
      </c>
      <c r="AW46" s="225" t="n">
        <f aca="false">AVERAGE(AW15:AW44)</f>
        <v>82.6</v>
      </c>
      <c r="AX46" s="225" t="n">
        <f aca="false">AVERAGE(AX15:AX44)</f>
        <v>51.0666666666667</v>
      </c>
      <c r="AY46" s="233" t="s">
        <v>130</v>
      </c>
      <c r="AZ46" s="348" t="n">
        <f aca="false">SUM(AZ15:AZ44)</f>
        <v>252.871022479384</v>
      </c>
      <c r="BA46" s="161" t="n">
        <f aca="false">SUM(BA14:BA44)</f>
        <v>1750.93</v>
      </c>
      <c r="BB46" s="86"/>
    </row>
    <row r="47" customFormat="false" ht="12.95" hidden="false" customHeight="true" outlineLevel="0" collapsed="false">
      <c r="A47" s="194" t="s">
        <v>106</v>
      </c>
      <c r="B47" s="223"/>
      <c r="C47" s="114"/>
      <c r="D47" s="114" t="n">
        <f aca="false">SUM(D15:D44)</f>
        <v>-35089</v>
      </c>
      <c r="E47" s="114"/>
      <c r="F47" s="224" t="n">
        <f aca="false">F46*$D$2</f>
        <v>-35089</v>
      </c>
      <c r="G47" s="114" t="n">
        <f aca="false">G46*$D$2</f>
        <v>7715.815</v>
      </c>
      <c r="H47" s="114" t="n">
        <f aca="false">H46*$D$2</f>
        <v>0</v>
      </c>
      <c r="I47" s="114" t="n">
        <f aca="false">I46*$D$2</f>
        <v>7715.815</v>
      </c>
      <c r="J47" s="114" t="n">
        <f aca="false">J46*$D$2</f>
        <v>494.637074999999</v>
      </c>
      <c r="K47" s="114" t="n">
        <f aca="false">K46*$D$2</f>
        <v>8210.452075</v>
      </c>
      <c r="L47" s="114" t="n">
        <f aca="false">L46*$D$2</f>
        <v>-1323.6672655</v>
      </c>
      <c r="M47" s="226" t="n">
        <f aca="false">M46*$D$2</f>
        <v>14144.3385</v>
      </c>
      <c r="N47" s="114" t="n">
        <f aca="false">N46*$D$2</f>
        <v>30.9</v>
      </c>
      <c r="O47" s="114" t="n">
        <f aca="false">O46*$D$2</f>
        <v>4183.0527375</v>
      </c>
      <c r="P47" s="171" t="n">
        <f aca="false">P46*$D$2</f>
        <v>0</v>
      </c>
      <c r="Q47" s="225" t="n">
        <f aca="false">Q46*$D$2</f>
        <v>145.153521087859</v>
      </c>
      <c r="R47" s="225" t="n">
        <f aca="false">R46*$D$2</f>
        <v>226.52268794984</v>
      </c>
      <c r="S47" s="225" t="n">
        <f aca="false">S46*$D$2</f>
        <v>36.91712542144</v>
      </c>
      <c r="T47" s="225" t="n">
        <f aca="false">T46*$D$2</f>
        <v>62.07633862872</v>
      </c>
      <c r="U47" s="227" t="n">
        <f aca="false">U46*$D$2</f>
        <v>0</v>
      </c>
      <c r="V47" s="114" t="n">
        <f aca="false">V46*$D$2</f>
        <v>10657.3455</v>
      </c>
      <c r="W47" s="114" t="n">
        <f aca="false">W46*$D$2</f>
        <v>3992.3888</v>
      </c>
      <c r="X47" s="114" t="n">
        <f aca="false">X46*$D$2</f>
        <v>25329.2009524836</v>
      </c>
      <c r="Y47" s="114" t="n">
        <f aca="false">Y46*$D$2</f>
        <v>25329.2009524836</v>
      </c>
      <c r="Z47" s="114"/>
      <c r="AA47" s="114"/>
      <c r="AB47" s="114"/>
      <c r="AC47" s="114"/>
      <c r="AE47" s="114" t="n">
        <f aca="false">AE46*$D$2</f>
        <v>9513.06435</v>
      </c>
      <c r="AF47" s="226" t="n">
        <f aca="false">AF46*$D$2</f>
        <v>101.1585</v>
      </c>
      <c r="AG47" s="228" t="n">
        <f aca="false">AG46*$D$2</f>
        <v>77.3565</v>
      </c>
      <c r="AH47" s="114" t="n">
        <f aca="false">AH46*$D$2</f>
        <v>3242.42745</v>
      </c>
      <c r="AI47" s="114"/>
      <c r="AJ47" s="114" t="n">
        <f aca="false">AJ46*$D$2</f>
        <v>0</v>
      </c>
      <c r="AK47" s="114" t="n">
        <f aca="false">AK46*$D$2</f>
        <v>41481.1477345</v>
      </c>
      <c r="AL47" s="114" t="n">
        <f aca="false">AL46*$D$2</f>
        <v>1818.3043405</v>
      </c>
      <c r="AM47" s="279" t="n">
        <f aca="false">AM46*$D$2</f>
        <v>43299.452075</v>
      </c>
      <c r="AN47" s="114" t="n">
        <f aca="false">AN46*$D$2</f>
        <v>2778.4372125</v>
      </c>
      <c r="AO47" s="114" t="n">
        <f aca="false">AO46*$D$2</f>
        <v>0</v>
      </c>
      <c r="AP47" s="144"/>
      <c r="AQ47" s="171" t="n">
        <f aca="false">SUM(AQ15:AQ44)</f>
        <v>215.244274631776</v>
      </c>
      <c r="AR47" s="144" t="n">
        <f aca="false">AR46*$D$2</f>
        <v>1288.16742857143</v>
      </c>
      <c r="AS47" s="225" t="n">
        <f aca="false">AS46*$D$2</f>
        <v>643.506905</v>
      </c>
      <c r="AT47" s="225" t="n">
        <f aca="false">AT46*$D$2</f>
        <v>68.4168655</v>
      </c>
      <c r="AU47" s="225" t="n">
        <f aca="false">AU46*$D$2</f>
        <v>0</v>
      </c>
      <c r="AV47" s="232"/>
      <c r="AW47" s="225" t="n">
        <f aca="false">MAX(AW15:AW44)</f>
        <v>89</v>
      </c>
      <c r="AX47" s="225" t="n">
        <f aca="false">MAX(AX15:AX44)</f>
        <v>56</v>
      </c>
      <c r="AY47" s="233" t="s">
        <v>107</v>
      </c>
      <c r="AZ47" s="348" t="n">
        <f aca="false">AZ46*$D$2</f>
        <v>501.569673087859</v>
      </c>
      <c r="BA47" s="161" t="n">
        <f aca="false">BA46*$D$2</f>
        <v>3472.969655</v>
      </c>
      <c r="BB47" s="86"/>
    </row>
    <row r="48" customFormat="false" ht="3" hidden="false" customHeight="true" outlineLevel="0" collapsed="false">
      <c r="A48" s="244"/>
      <c r="B48" s="266"/>
      <c r="C48" s="246"/>
      <c r="D48" s="246"/>
      <c r="E48" s="246"/>
      <c r="F48" s="270"/>
      <c r="G48" s="246"/>
      <c r="H48" s="246"/>
      <c r="I48" s="246"/>
      <c r="J48" s="246"/>
      <c r="K48" s="246"/>
      <c r="L48" s="246"/>
      <c r="M48" s="271"/>
      <c r="N48" s="246"/>
      <c r="O48" s="246"/>
      <c r="P48" s="251"/>
      <c r="Q48" s="256"/>
      <c r="R48" s="256"/>
      <c r="S48" s="256"/>
      <c r="T48" s="256"/>
      <c r="U48" s="252"/>
      <c r="V48" s="246"/>
      <c r="W48" s="246"/>
      <c r="X48" s="246"/>
      <c r="Y48" s="246"/>
      <c r="Z48" s="246"/>
      <c r="AA48" s="246"/>
      <c r="AB48" s="246"/>
      <c r="AC48" s="246"/>
      <c r="AD48" s="525"/>
      <c r="AE48" s="246"/>
      <c r="AF48" s="271"/>
      <c r="AG48" s="272"/>
      <c r="AH48" s="246"/>
      <c r="AI48" s="247"/>
      <c r="AJ48" s="246"/>
      <c r="AK48" s="246"/>
      <c r="AL48" s="246"/>
      <c r="AM48" s="246"/>
      <c r="AN48" s="274"/>
      <c r="AO48" s="246"/>
      <c r="AP48" s="253"/>
      <c r="AQ48" s="251"/>
      <c r="AR48" s="251"/>
      <c r="AS48" s="256"/>
      <c r="AT48" s="256"/>
      <c r="AU48" s="253"/>
      <c r="AV48" s="274"/>
      <c r="AW48" s="246"/>
      <c r="AX48" s="246"/>
      <c r="AY48" s="246"/>
      <c r="AZ48" s="246"/>
      <c r="BA48" s="246"/>
      <c r="BB48" s="246"/>
    </row>
    <row r="49" customFormat="false" ht="12.95" hidden="false" customHeight="true" outlineLevel="0" collapsed="false">
      <c r="A49" s="194" t="s">
        <v>108</v>
      </c>
      <c r="B49" s="223"/>
      <c r="C49" s="114"/>
      <c r="D49" s="114"/>
      <c r="E49" s="114"/>
      <c r="F49" s="224" t="n">
        <f aca="false">F12+F46</f>
        <v>29906.2263675321</v>
      </c>
      <c r="G49" s="114" t="n">
        <f aca="false">G12+G46</f>
        <v>125078</v>
      </c>
      <c r="H49" s="114" t="n">
        <f aca="false">H12+H46</f>
        <v>1962.931</v>
      </c>
      <c r="I49" s="114" t="n">
        <f aca="false">I12+I46</f>
        <v>127040.931</v>
      </c>
      <c r="J49" s="114" t="n">
        <f aca="false">J12+J46</f>
        <v>2402.3482019158</v>
      </c>
      <c r="K49" s="114" t="n">
        <f aca="false">K12+K46</f>
        <v>129443.269201916</v>
      </c>
      <c r="L49" s="114" t="n">
        <f aca="false">L12+L46</f>
        <v>-8113.69091656163</v>
      </c>
      <c r="M49" s="226" t="n">
        <f aca="false">M12+M46</f>
        <v>34776.81</v>
      </c>
      <c r="N49" s="114" t="n">
        <f aca="false">N12+N46</f>
        <v>77.3733299722713</v>
      </c>
      <c r="O49" s="114" t="n">
        <f aca="false">O12+O46</f>
        <v>9300.396</v>
      </c>
      <c r="P49" s="171" t="n">
        <f aca="false">P12+P46</f>
        <v>8.07</v>
      </c>
      <c r="Q49" s="225"/>
      <c r="R49" s="225"/>
      <c r="S49" s="225"/>
      <c r="T49" s="225"/>
      <c r="U49" s="227"/>
      <c r="V49" s="114" t="n">
        <f aca="false">V12+V46</f>
        <v>13640.8</v>
      </c>
      <c r="W49" s="114" t="n">
        <f aca="false">W12+W46</f>
        <v>9746.69</v>
      </c>
      <c r="X49" s="114" t="n">
        <f aca="false">X12+X46</f>
        <v>50181.7718761357</v>
      </c>
      <c r="Y49" s="114" t="n">
        <f aca="false">Y12+Y46</f>
        <v>50002.5118761357</v>
      </c>
      <c r="Z49" s="85" t="n">
        <f aca="false">Z44</f>
        <v>3664.95398777163</v>
      </c>
      <c r="AA49" s="114"/>
      <c r="AB49" s="114"/>
      <c r="AC49" s="114"/>
      <c r="AE49" s="114" t="n">
        <f aca="false">AE12+AE46</f>
        <v>21164.07</v>
      </c>
      <c r="AF49" s="226" t="n">
        <f aca="false">AF12+AF46</f>
        <v>311.1</v>
      </c>
      <c r="AG49" s="228" t="n">
        <f aca="false">AG12+AG46</f>
        <v>237.9</v>
      </c>
      <c r="AH49" s="114"/>
      <c r="AI49" s="114"/>
      <c r="AJ49" s="114" t="n">
        <f aca="false">AJ12+AJ46</f>
        <v>0</v>
      </c>
      <c r="AK49" s="114" t="n">
        <f aca="false">AK12+AK46</f>
        <v>89021.0037159062</v>
      </c>
      <c r="AL49" s="114" t="n">
        <f aca="false">AL12+AL46</f>
        <v>10516.0391184774</v>
      </c>
      <c r="AM49" s="114" t="n">
        <f aca="false">AM12+AM46</f>
        <v>99537.0428343837</v>
      </c>
      <c r="AN49" s="230"/>
      <c r="AO49" s="225"/>
      <c r="AP49" s="144"/>
      <c r="AQ49" s="171"/>
      <c r="AR49" s="144" t="n">
        <f aca="false">AR12+AR46</f>
        <v>2761.45169073427</v>
      </c>
      <c r="AS49" s="225" t="n">
        <f aca="false">AS12+AS46</f>
        <v>671.71</v>
      </c>
      <c r="AT49" s="225" t="n">
        <f aca="false">AT12+AT46</f>
        <v>62.947</v>
      </c>
      <c r="AU49" s="225" t="n">
        <f aca="false">AU12+AU46</f>
        <v>0</v>
      </c>
      <c r="AV49" s="232" t="s">
        <v>136</v>
      </c>
      <c r="AW49" s="225" t="n">
        <f aca="false">MIN(AW15:AW44)</f>
        <v>71</v>
      </c>
      <c r="AX49" s="225" t="n">
        <f aca="false">MIN(AX15:AX44)</f>
        <v>46</v>
      </c>
      <c r="AY49" s="233" t="s">
        <v>109</v>
      </c>
      <c r="AZ49" s="348" t="n">
        <f aca="false">AZ12+AZ46</f>
        <v>1417.95696459856</v>
      </c>
      <c r="BA49" s="161" t="n">
        <f aca="false">BA12+BA46</f>
        <v>5497.273</v>
      </c>
      <c r="BB49" s="86"/>
    </row>
    <row r="50" customFormat="false" ht="12.95" hidden="false" customHeight="true" outlineLevel="0" collapsed="false">
      <c r="A50" s="194" t="s">
        <v>110</v>
      </c>
      <c r="B50" s="223"/>
      <c r="C50" s="114"/>
      <c r="D50" s="114"/>
      <c r="E50" s="114"/>
      <c r="F50" s="224" t="n">
        <f aca="false">F49*$D$2</f>
        <v>59319</v>
      </c>
      <c r="G50" s="114" t="n">
        <f aca="false">G49*$D$2</f>
        <v>248092.213</v>
      </c>
      <c r="H50" s="114" t="n">
        <f aca="false">H49*$D$2</f>
        <v>3893.4736385</v>
      </c>
      <c r="I50" s="114" t="n">
        <f aca="false">I49*$D$2</f>
        <v>251985.6866385</v>
      </c>
      <c r="J50" s="114" t="n">
        <f aca="false">J49*$D$2</f>
        <v>4765.0576585</v>
      </c>
      <c r="K50" s="114" t="n">
        <f aca="false">K49*$D$2</f>
        <v>256750.724462</v>
      </c>
      <c r="L50" s="114" t="n">
        <f aca="false">L49*$D$2</f>
        <v>-16093.505933</v>
      </c>
      <c r="M50" s="226" t="n">
        <f aca="false">M49*$D$2</f>
        <v>68979.802635</v>
      </c>
      <c r="N50" s="114" t="n">
        <f aca="false">N49*$D$2</f>
        <v>153.47</v>
      </c>
      <c r="O50" s="114" t="n">
        <f aca="false">O49*$D$2</f>
        <v>18447.335466</v>
      </c>
      <c r="P50" s="171" t="n">
        <f aca="false">P49*$D$2</f>
        <v>16.006845</v>
      </c>
      <c r="Q50" s="225"/>
      <c r="R50" s="225"/>
      <c r="S50" s="225"/>
      <c r="T50" s="225"/>
      <c r="U50" s="227"/>
      <c r="V50" s="114" t="n">
        <f aca="false">V49*$D$2</f>
        <v>27056.5268</v>
      </c>
      <c r="W50" s="114" t="n">
        <f aca="false">W49*$D$2</f>
        <v>19332.559615</v>
      </c>
      <c r="X50" s="114" t="n">
        <f aca="false">X49*$D$2</f>
        <v>99535.5445163152</v>
      </c>
      <c r="Y50" s="114" t="n">
        <f aca="false">Y49*$D$2</f>
        <v>99179.9823063152</v>
      </c>
      <c r="Z50" s="85" t="n">
        <f aca="false">Z49*$D$2</f>
        <v>7269.43623474502</v>
      </c>
      <c r="AA50" s="114"/>
      <c r="AB50" s="114"/>
      <c r="AC50" s="114"/>
      <c r="AE50" s="228" t="n">
        <f aca="false">AE49*$D$2</f>
        <v>41978.932845</v>
      </c>
      <c r="AF50" s="114" t="n">
        <f aca="false">AF49*$D$2</f>
        <v>617.06685</v>
      </c>
      <c r="AG50" s="228" t="n">
        <f aca="false">AG49*$D$2</f>
        <v>471.87465</v>
      </c>
      <c r="AH50" s="114"/>
      <c r="AI50" s="114"/>
      <c r="AJ50" s="114" t="n">
        <f aca="false">AJ49*$D$2</f>
        <v>0</v>
      </c>
      <c r="AK50" s="114" t="n">
        <f aca="false">AK49*$D$2</f>
        <v>176573.1608705</v>
      </c>
      <c r="AL50" s="114" t="n">
        <f aca="false">AL49*$D$2</f>
        <v>20858.5635915</v>
      </c>
      <c r="AM50" s="114" t="n">
        <f aca="false">AM49*$D$2</f>
        <v>197431.724462</v>
      </c>
      <c r="AN50" s="230"/>
      <c r="AO50" s="225"/>
      <c r="AP50" s="144"/>
      <c r="AQ50" s="171" t="n">
        <f aca="false">AQ12+AQ47</f>
        <v>1981.80949888735</v>
      </c>
      <c r="AR50" s="144" t="n">
        <f aca="false">AR49*$D$2</f>
        <v>5477.33942857143</v>
      </c>
      <c r="AS50" s="144" t="n">
        <f aca="false">AS49*$D$2</f>
        <v>1332.336785</v>
      </c>
      <c r="AT50" s="225" t="n">
        <f aca="false">AT49*$D$2</f>
        <v>124.8553745</v>
      </c>
      <c r="AU50" s="225" t="n">
        <f aca="false">AU49*$D$2</f>
        <v>0</v>
      </c>
      <c r="AV50" s="232" t="n">
        <f aca="false">AUG!AV51+AV46</f>
        <v>9.52666666666667</v>
      </c>
      <c r="AW50" s="225"/>
      <c r="AX50" s="225"/>
      <c r="AY50" s="264"/>
      <c r="AZ50" s="348" t="n">
        <f aca="false">AZ49*$D$2</f>
        <v>2812.51763928124</v>
      </c>
      <c r="BA50" s="161" t="n">
        <f aca="false">BA49*$D$2</f>
        <v>10903.8409955</v>
      </c>
      <c r="BB50" s="86"/>
    </row>
    <row r="51" customFormat="false" ht="3" hidden="false" customHeight="true" outlineLevel="0" collapsed="false">
      <c r="A51" s="244"/>
      <c r="B51" s="266"/>
      <c r="C51" s="246"/>
      <c r="D51" s="246"/>
      <c r="E51" s="246"/>
      <c r="F51" s="270"/>
      <c r="G51" s="246"/>
      <c r="H51" s="256"/>
      <c r="I51" s="246"/>
      <c r="J51" s="246"/>
      <c r="K51" s="246"/>
      <c r="L51" s="246"/>
      <c r="M51" s="271"/>
      <c r="N51" s="246"/>
      <c r="O51" s="246"/>
      <c r="P51" s="251"/>
      <c r="Q51" s="256"/>
      <c r="R51" s="256"/>
      <c r="S51" s="256"/>
      <c r="T51" s="256"/>
      <c r="U51" s="252"/>
      <c r="V51" s="246"/>
      <c r="W51" s="246"/>
      <c r="X51" s="246"/>
      <c r="Y51" s="246"/>
      <c r="Z51" s="246"/>
      <c r="AA51" s="246"/>
      <c r="AB51" s="246"/>
      <c r="AC51" s="246"/>
      <c r="AD51" s="246"/>
      <c r="AE51" s="272"/>
      <c r="AF51" s="127"/>
      <c r="AG51" s="168"/>
      <c r="AH51" s="246"/>
      <c r="AI51" s="246"/>
      <c r="AJ51" s="246"/>
      <c r="AK51" s="246"/>
      <c r="AL51" s="246"/>
      <c r="AM51" s="246"/>
      <c r="AN51" s="258"/>
      <c r="AO51" s="275"/>
      <c r="AP51" s="253"/>
      <c r="AQ51" s="251"/>
      <c r="AR51" s="251"/>
      <c r="AS51" s="256"/>
      <c r="AT51" s="256"/>
      <c r="AU51" s="253"/>
      <c r="AV51" s="258"/>
      <c r="AW51" s="275"/>
      <c r="AX51" s="275"/>
      <c r="AY51" s="275"/>
      <c r="AZ51" s="275"/>
      <c r="BA51" s="275"/>
      <c r="BB51" s="275"/>
    </row>
    <row r="52" customFormat="false" ht="12.95" hidden="false" customHeight="true" outlineLevel="0" collapsed="false">
      <c r="A52" s="194" t="s">
        <v>111</v>
      </c>
      <c r="B52" s="223"/>
      <c r="C52" s="114"/>
      <c r="D52" s="114"/>
      <c r="E52" s="114"/>
      <c r="F52" s="224" t="n">
        <f aca="false">F13+F46</f>
        <v>34763.8013612302</v>
      </c>
      <c r="G52" s="114" t="n">
        <f aca="false">G13+G46</f>
        <v>140307</v>
      </c>
      <c r="H52" s="225" t="n">
        <f aca="false">H13+H46</f>
        <v>2080.433</v>
      </c>
      <c r="I52" s="114" t="n">
        <f aca="false">I13+I46</f>
        <v>142386.813</v>
      </c>
      <c r="J52" s="114" t="n">
        <f aca="false">J13+J46</f>
        <v>4747.43710738593</v>
      </c>
      <c r="K52" s="114" t="n">
        <f aca="false">K13+K46</f>
        <v>147134.240107386</v>
      </c>
      <c r="L52" s="114" t="n">
        <f aca="false">L13+L46</f>
        <v>-7984.24792286362</v>
      </c>
      <c r="M52" s="226" t="n">
        <f aca="false">M13+M46</f>
        <v>35521.34</v>
      </c>
      <c r="N52" s="114" t="n">
        <f aca="false">N13+N46</f>
        <v>77.3733299722713</v>
      </c>
      <c r="O52" s="114" t="n">
        <f aca="false">O13+O46</f>
        <v>9300.396</v>
      </c>
      <c r="P52" s="171"/>
      <c r="Q52" s="225" t="n">
        <f aca="false">Q13+Q46</f>
        <v>654.135359268074</v>
      </c>
      <c r="R52" s="225" t="n">
        <f aca="false">R13+R46</f>
        <v>865.32358928</v>
      </c>
      <c r="S52" s="225" t="n">
        <f aca="false">S13+S46</f>
        <v>97.33904672</v>
      </c>
      <c r="T52" s="225" t="n">
        <f aca="false">T13+T46</f>
        <v>257.54345968</v>
      </c>
      <c r="U52" s="327" t="n">
        <f aca="false">U13+U46</f>
        <v>-45.366813481233</v>
      </c>
      <c r="V52" s="114" t="n">
        <f aca="false">V13+V46</f>
        <v>19353.29</v>
      </c>
      <c r="W52" s="114" t="n">
        <f aca="false">W13+W46</f>
        <v>9770.72</v>
      </c>
      <c r="X52" s="114" t="n">
        <f aca="false">X13+X46</f>
        <v>56097.0041692952</v>
      </c>
      <c r="Y52" s="114" t="n">
        <f aca="false">Y13+Y46</f>
        <v>55722.1208359618</v>
      </c>
      <c r="Z52" s="114"/>
      <c r="AA52" s="114"/>
      <c r="AB52" s="114"/>
      <c r="AC52" s="114"/>
      <c r="AD52" s="114"/>
      <c r="AE52" s="228"/>
      <c r="AF52" s="114" t="n">
        <f aca="false">AF13+AF46</f>
        <v>311.1</v>
      </c>
      <c r="AG52" s="228" t="n">
        <f aca="false">AG13+AG46</f>
        <v>237.9</v>
      </c>
      <c r="AH52" s="114" t="n">
        <f aca="false">AH13+AH46</f>
        <v>13892.8</v>
      </c>
      <c r="AI52" s="114" t="n">
        <f aca="false">AI44</f>
        <v>6275.15787748928</v>
      </c>
      <c r="AJ52" s="114" t="n">
        <f aca="false">AJ13+AJ46</f>
        <v>0</v>
      </c>
      <c r="AK52" s="114" t="n">
        <f aca="false">AK13+AK46</f>
        <v>99638.7537159062</v>
      </c>
      <c r="AL52" s="114" t="n">
        <f aca="false">AL13+AL46</f>
        <v>12731.6850302496</v>
      </c>
      <c r="AM52" s="523" t="n">
        <f aca="false">AM13+AM46</f>
        <v>112370.438746156</v>
      </c>
      <c r="AN52" s="114" t="n">
        <f aca="false">AN13+AN46</f>
        <v>7085.79166666667</v>
      </c>
      <c r="AO52" s="114" t="n">
        <f aca="false">AO13+AO46</f>
        <v>374.883333333333</v>
      </c>
      <c r="AP52" s="144"/>
      <c r="AQ52" s="171"/>
      <c r="AR52" s="171"/>
      <c r="AS52" s="225"/>
      <c r="AT52" s="225"/>
      <c r="AV52" s="232" t="n">
        <f aca="false">AV13+AV46</f>
        <v>15.8066666666667</v>
      </c>
      <c r="AW52" s="225"/>
      <c r="AX52" s="225"/>
      <c r="AY52" s="264"/>
      <c r="AZ52" s="348" t="n">
        <f aca="false">AZ13+AZ46</f>
        <v>1914.41797143911</v>
      </c>
      <c r="BA52" s="161" t="n">
        <f aca="false">BA13+BA46</f>
        <v>5510.879</v>
      </c>
      <c r="BB52" s="86"/>
    </row>
    <row r="53" customFormat="false" ht="12.95" hidden="false" customHeight="true" outlineLevel="0" collapsed="false">
      <c r="A53" s="194" t="s">
        <v>112</v>
      </c>
      <c r="B53" s="223"/>
      <c r="C53" s="114"/>
      <c r="D53" s="114" t="n">
        <f aca="false">D13+D47</f>
        <v>68954</v>
      </c>
      <c r="E53" s="114" t="n">
        <f aca="false">E44</f>
        <v>102694</v>
      </c>
      <c r="F53" s="224" t="n">
        <f aca="false">F52*$D$2</f>
        <v>68954</v>
      </c>
      <c r="G53" s="114" t="n">
        <f aca="false">G52*$D$2</f>
        <v>278298.9345</v>
      </c>
      <c r="H53" s="225" t="n">
        <f aca="false">H52*$D$2</f>
        <v>4126.5388555</v>
      </c>
      <c r="I53" s="114" t="n">
        <f aca="false">I52*$D$2</f>
        <v>282424.2435855</v>
      </c>
      <c r="J53" s="114" t="n">
        <f aca="false">J52*$D$2</f>
        <v>9416.5415025</v>
      </c>
      <c r="K53" s="114" t="n">
        <f aca="false">K52*$D$2</f>
        <v>291840.765253</v>
      </c>
      <c r="L53" s="114" t="n">
        <f aca="false">L52*$D$2</f>
        <v>-15836.755755</v>
      </c>
      <c r="M53" s="226" t="n">
        <f aca="false">M52*$D$2</f>
        <v>70456.57789</v>
      </c>
      <c r="N53" s="114" t="n">
        <f aca="false">N52*$D$2</f>
        <v>153.47</v>
      </c>
      <c r="O53" s="114" t="n">
        <f aca="false">O52*$D$2</f>
        <v>18447.335466</v>
      </c>
      <c r="P53" s="171"/>
      <c r="Q53" s="225" t="n">
        <f aca="false">Q52*$D$2</f>
        <v>1297.47748510822</v>
      </c>
      <c r="R53" s="225" t="n">
        <f aca="false">R52*$D$2</f>
        <v>1716.36933933688</v>
      </c>
      <c r="S53" s="225" t="n">
        <f aca="false">S52*$D$2</f>
        <v>193.07199916912</v>
      </c>
      <c r="T53" s="225" t="n">
        <f aca="false">T52*$D$2</f>
        <v>510.83745227528</v>
      </c>
      <c r="U53" s="327" t="n">
        <f aca="false">U52*$D$2</f>
        <v>-89.9850745400256</v>
      </c>
      <c r="V53" s="114" t="n">
        <f aca="false">V52*$D$2</f>
        <v>38387.250715</v>
      </c>
      <c r="W53" s="114" t="n">
        <f aca="false">W52*$D$2</f>
        <v>19380.22312</v>
      </c>
      <c r="X53" s="114" t="n">
        <f aca="false">X52*$D$2</f>
        <v>111268.407769797</v>
      </c>
      <c r="Y53" s="114" t="n">
        <f aca="false">Y52*$D$2</f>
        <v>110524.82667813</v>
      </c>
      <c r="Z53" s="114"/>
      <c r="AA53" s="114"/>
      <c r="AB53" s="114"/>
      <c r="AC53" s="114"/>
      <c r="AD53" s="114"/>
      <c r="AE53" s="278"/>
      <c r="AF53" s="114" t="n">
        <f aca="false">AF52*$D$2</f>
        <v>617.06685</v>
      </c>
      <c r="AG53" s="278" t="n">
        <f aca="false">AG52*$D$2</f>
        <v>471.87465</v>
      </c>
      <c r="AH53" s="114" t="n">
        <f aca="false">AH52*$D$2</f>
        <v>27556.3688</v>
      </c>
      <c r="AI53" s="114" t="n">
        <f aca="false">AI52*$D$2</f>
        <v>12446.77565</v>
      </c>
      <c r="AJ53" s="114" t="n">
        <f aca="false">AJ52*$D$2</f>
        <v>0</v>
      </c>
      <c r="AK53" s="114" t="n">
        <f aca="false">AK52*$D$2</f>
        <v>197633.4679955</v>
      </c>
      <c r="AL53" s="114" t="n">
        <f aca="false">AL52*$D$2</f>
        <v>25253.2972575</v>
      </c>
      <c r="AM53" s="224" t="n">
        <f aca="false">AM52*$D$2</f>
        <v>222886.765253</v>
      </c>
      <c r="AN53" s="114" t="n">
        <f aca="false">AN52*$D$2</f>
        <v>14054.6677708333</v>
      </c>
      <c r="AO53" s="114" t="n">
        <f aca="false">AO52*$D$2</f>
        <v>743.581091666667</v>
      </c>
      <c r="AP53" s="144"/>
      <c r="AQ53" s="171" t="n">
        <f aca="false">AQ13+AQ47</f>
        <v>1981.80949888735</v>
      </c>
      <c r="AR53" s="171"/>
      <c r="AS53" s="225"/>
      <c r="AT53" s="225"/>
      <c r="AV53" s="232"/>
      <c r="AW53" s="225"/>
      <c r="AX53" s="225"/>
      <c r="AY53" s="264"/>
      <c r="AZ53" s="348" t="n">
        <f aca="false">AZ52*$D$2</f>
        <v>3797.24804634948</v>
      </c>
      <c r="BA53" s="161" t="n">
        <f aca="false">BA52*$D$2</f>
        <v>10930.8284965</v>
      </c>
      <c r="BB53" s="86"/>
    </row>
    <row r="54" customFormat="false" ht="3" hidden="false" customHeight="true" outlineLevel="0" collapsed="false">
      <c r="A54" s="244"/>
      <c r="B54" s="266"/>
      <c r="C54" s="246"/>
      <c r="D54" s="247"/>
      <c r="E54" s="246"/>
      <c r="F54" s="248"/>
      <c r="G54" s="247"/>
      <c r="H54" s="249"/>
      <c r="I54" s="247"/>
      <c r="J54" s="247"/>
      <c r="K54" s="247"/>
      <c r="L54" s="247"/>
      <c r="M54" s="250"/>
      <c r="N54" s="247"/>
      <c r="O54" s="247"/>
      <c r="P54" s="251"/>
      <c r="Q54" s="251"/>
      <c r="R54" s="251"/>
      <c r="S54" s="251"/>
      <c r="T54" s="251"/>
      <c r="U54" s="252"/>
      <c r="V54" s="247"/>
      <c r="W54" s="247"/>
      <c r="X54" s="247"/>
      <c r="Y54" s="247"/>
      <c r="Z54" s="246"/>
      <c r="AA54" s="247"/>
      <c r="AB54" s="246"/>
      <c r="AC54" s="246"/>
      <c r="AD54" s="246"/>
      <c r="AE54" s="247"/>
      <c r="AF54" s="122"/>
      <c r="AG54" s="178"/>
      <c r="AH54" s="247"/>
      <c r="AI54" s="246"/>
      <c r="AJ54" s="314"/>
      <c r="AK54" s="247"/>
      <c r="AL54" s="247"/>
      <c r="AM54" s="248"/>
      <c r="AN54" s="247"/>
      <c r="AO54" s="247"/>
      <c r="AP54" s="253"/>
      <c r="AQ54" s="251"/>
      <c r="AR54" s="251"/>
      <c r="AS54" s="251"/>
      <c r="AT54" s="251"/>
      <c r="AU54" s="253"/>
      <c r="AV54" s="266"/>
      <c r="AW54" s="247"/>
      <c r="AX54" s="247"/>
      <c r="AY54" s="247"/>
      <c r="AZ54" s="247"/>
      <c r="BA54" s="247"/>
      <c r="BB54" s="247"/>
    </row>
    <row r="55" customFormat="false" ht="11.1" hidden="false" customHeight="true" outlineLevel="0" collapsed="false">
      <c r="G55" s="195"/>
      <c r="I55" s="186"/>
      <c r="N55" s="2"/>
      <c r="W55" s="56"/>
      <c r="X55" s="1"/>
      <c r="Y55" s="1"/>
      <c r="Z55" s="161"/>
      <c r="AA55" s="1"/>
      <c r="AB55" s="161"/>
      <c r="AE55" s="111"/>
      <c r="AF55" s="111"/>
      <c r="AG55" s="111"/>
      <c r="AH55" s="161"/>
      <c r="AK55" s="56"/>
      <c r="AL55" s="56"/>
      <c r="AM55" s="8"/>
      <c r="AN55" s="189"/>
      <c r="AO55" s="189"/>
      <c r="AP55" s="335"/>
      <c r="AQ55" s="300"/>
      <c r="AR55" s="300"/>
      <c r="AV55" s="188"/>
      <c r="AW55" s="191"/>
      <c r="AX55" s="192"/>
    </row>
    <row r="56" customFormat="false" ht="11.1" hidden="false" customHeight="true" outlineLevel="0" collapsed="false">
      <c r="A56" s="194"/>
      <c r="B56" s="574"/>
      <c r="C56" s="2"/>
      <c r="D56" s="1"/>
      <c r="E56" s="390"/>
      <c r="F56" s="197"/>
      <c r="G56" s="1"/>
      <c r="H56" s="3"/>
      <c r="I56" s="12"/>
      <c r="J56" s="11"/>
      <c r="K56" s="186"/>
      <c r="L56" s="111"/>
      <c r="M56" s="11"/>
      <c r="N56" s="0"/>
      <c r="O56" s="2"/>
      <c r="P56" s="497"/>
      <c r="Q56" s="497"/>
      <c r="R56" s="99"/>
      <c r="S56" s="99"/>
      <c r="T56" s="99"/>
      <c r="U56" s="99"/>
      <c r="V56" s="26"/>
      <c r="W56" s="138"/>
      <c r="X56" s="96"/>
      <c r="Y56" s="96"/>
      <c r="Z56" s="161"/>
      <c r="AA56" s="96"/>
      <c r="AB56" s="161"/>
      <c r="AC56" s="90"/>
      <c r="AD56" s="90"/>
      <c r="AE56" s="2"/>
      <c r="AF56" s="2"/>
      <c r="AG56" s="2"/>
      <c r="AH56" s="11"/>
      <c r="AI56" s="2"/>
      <c r="AJ56" s="112"/>
      <c r="AK56" s="2"/>
      <c r="AL56" s="194"/>
      <c r="AM56" s="8"/>
      <c r="AN56" s="588"/>
      <c r="AO56" s="588"/>
      <c r="AP56" s="335"/>
      <c r="AQ56" s="392"/>
      <c r="AR56" s="392"/>
      <c r="AS56" s="201"/>
      <c r="AV56" s="191"/>
      <c r="AW56" s="191"/>
      <c r="AX56" s="191"/>
    </row>
    <row r="57" customFormat="false" ht="11.1" hidden="false" customHeight="true" outlineLevel="0" collapsed="false">
      <c r="B57" s="161"/>
      <c r="E57" s="390"/>
      <c r="F57" s="237"/>
      <c r="G57" s="1"/>
      <c r="H57" s="3"/>
      <c r="I57" s="1"/>
      <c r="J57" s="1"/>
      <c r="K57" s="391"/>
      <c r="L57" s="450"/>
      <c r="M57" s="4"/>
      <c r="N57" s="4"/>
      <c r="O57" s="96"/>
      <c r="R57" s="99"/>
      <c r="S57" s="99"/>
      <c r="T57" s="99"/>
      <c r="U57" s="99"/>
      <c r="V57" s="26"/>
      <c r="W57" s="26"/>
      <c r="X57" s="96"/>
      <c r="Y57" s="96"/>
      <c r="Z57" s="161"/>
      <c r="AA57" s="96"/>
      <c r="AB57" s="161"/>
      <c r="AE57" s="161"/>
      <c r="AF57" s="161"/>
      <c r="AG57" s="161"/>
      <c r="AH57" s="2"/>
      <c r="AI57" s="26"/>
      <c r="AJ57" s="498"/>
      <c r="AK57" s="26"/>
      <c r="AL57" s="56"/>
      <c r="AM57" s="8"/>
      <c r="AN57" s="189"/>
      <c r="AO57" s="189"/>
      <c r="AP57" s="335"/>
      <c r="AS57" s="201"/>
      <c r="AV57" s="191"/>
      <c r="AW57" s="191"/>
      <c r="AX57" s="192"/>
    </row>
    <row r="58" customFormat="false" ht="11.1" hidden="false" customHeight="true" outlineLevel="0" collapsed="false">
      <c r="D58" s="161"/>
      <c r="E58" s="390"/>
      <c r="F58" s="1"/>
      <c r="G58" s="1"/>
      <c r="H58" s="161"/>
      <c r="I58" s="1"/>
      <c r="J58" s="1"/>
      <c r="K58" s="391"/>
      <c r="L58" s="191"/>
      <c r="M58" s="4"/>
      <c r="N58" s="4"/>
      <c r="O58" s="191"/>
      <c r="W58" s="56"/>
      <c r="X58" s="1"/>
      <c r="Y58" s="1"/>
      <c r="Z58" s="191"/>
      <c r="AA58" s="1"/>
      <c r="AB58" s="191"/>
      <c r="AC58" s="191"/>
      <c r="AD58" s="191"/>
      <c r="AE58" s="161"/>
      <c r="AF58" s="161"/>
      <c r="AG58" s="161"/>
      <c r="AH58" s="2"/>
      <c r="AI58" s="161"/>
      <c r="AJ58" s="237"/>
      <c r="AK58" s="161"/>
      <c r="AL58" s="56"/>
      <c r="AM58" s="390"/>
      <c r="AN58" s="189"/>
      <c r="AO58" s="189"/>
      <c r="AP58" s="335"/>
      <c r="AS58" s="201"/>
      <c r="AV58" s="191"/>
      <c r="AW58" s="191"/>
      <c r="AX58" s="192"/>
    </row>
    <row r="59" customFormat="false" ht="11.1" hidden="false" customHeight="true" outlineLevel="0" collapsed="false">
      <c r="G59" s="283"/>
      <c r="O59" s="191"/>
      <c r="W59" s="56"/>
      <c r="X59" s="1"/>
      <c r="Y59" s="1"/>
      <c r="Z59" s="161"/>
      <c r="AA59" s="1"/>
      <c r="AB59" s="161"/>
      <c r="AH59" s="589"/>
      <c r="AK59" s="56"/>
      <c r="AL59" s="56"/>
      <c r="AM59" s="8"/>
      <c r="AN59" s="189"/>
      <c r="AO59" s="189"/>
      <c r="AP59" s="335"/>
      <c r="AS59" s="201"/>
      <c r="AV59" s="188"/>
      <c r="AW59" s="191"/>
      <c r="AX59" s="192"/>
    </row>
    <row r="60" customFormat="false" ht="11.1" hidden="false" customHeight="true" outlineLevel="0" collapsed="false">
      <c r="W60" s="56"/>
      <c r="X60" s="161"/>
      <c r="Y60" s="161"/>
      <c r="Z60" s="161"/>
      <c r="AA60" s="161"/>
      <c r="AB60" s="161"/>
      <c r="AH60" s="589"/>
      <c r="AK60" s="56"/>
      <c r="AL60" s="56"/>
      <c r="AM60" s="8"/>
      <c r="AN60" s="189"/>
      <c r="AO60" s="189"/>
      <c r="AS60" s="201"/>
      <c r="AV60" s="188"/>
      <c r="AW60" s="191"/>
      <c r="AX60" s="192"/>
    </row>
    <row r="61" customFormat="false" ht="11.1" hidden="false" customHeight="true" outlineLevel="0" collapsed="false">
      <c r="W61" s="56"/>
      <c r="X61" s="161"/>
      <c r="Y61" s="161"/>
      <c r="AA61" s="161"/>
      <c r="AC61" s="56"/>
      <c r="AD61" s="56"/>
      <c r="AH61" s="161"/>
      <c r="AK61" s="56"/>
      <c r="AL61" s="56"/>
      <c r="AM61" s="8"/>
      <c r="AQ61" s="300"/>
      <c r="AR61" s="300"/>
      <c r="AV61" s="188"/>
      <c r="AW61" s="191"/>
      <c r="AX61" s="192"/>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84"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C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 activeCellId="0" sqref="A1"/>
    </sheetView>
  </sheetViews>
  <sheetFormatPr defaultColWidth="9.328125" defaultRowHeight="11.1" zeroHeight="false" outlineLevelRow="0" outlineLevelCol="0"/>
  <cols>
    <col collapsed="false" customWidth="true" hidden="false" outlineLevel="0" max="1" min="1" style="56" width="4.66"/>
    <col collapsed="false" customWidth="true" hidden="false" outlineLevel="0" max="2" min="2" style="56" width="6.99"/>
    <col collapsed="false" customWidth="true" hidden="false" outlineLevel="0" max="3" min="3" style="161" width="6.32"/>
    <col collapsed="false" customWidth="true" hidden="false" outlineLevel="0" max="4" min="4" style="56" width="6.32"/>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590" width="5.66"/>
    <col collapsed="false" customWidth="true" hidden="false" outlineLevel="0" max="11" min="9" style="56" width="6.32"/>
    <col collapsed="false" customWidth="true" hidden="false" outlineLevel="0" max="12" min="12" style="56" width="6.82"/>
    <col collapsed="false" customWidth="true" hidden="false" outlineLevel="0" max="13" min="13" style="111" width="5.49"/>
    <col collapsed="false" customWidth="true" hidden="false" outlineLevel="0" max="14" min="14" style="111" width="4.49"/>
    <col collapsed="false" customWidth="true" hidden="false" outlineLevel="0" max="15" min="15" style="111" width="5.49"/>
    <col collapsed="false" customWidth="true" hidden="false" outlineLevel="0" max="16" min="16" style="8" width="4.82"/>
    <col collapsed="false" customWidth="true" hidden="false" outlineLevel="0" max="20" min="17" style="56" width="4.32"/>
    <col collapsed="false" customWidth="true" hidden="false" outlineLevel="0" max="21" min="21" style="8" width="5.16"/>
    <col collapsed="false" customWidth="true" hidden="false" outlineLevel="0" max="22" min="22" style="56" width="5.49"/>
    <col collapsed="false" customWidth="true" hidden="false" outlineLevel="0" max="23" min="23" style="161" width="5.49"/>
    <col collapsed="false" customWidth="true" hidden="false" outlineLevel="0" max="25" min="24" style="56" width="6.32"/>
    <col collapsed="false" customWidth="true" hidden="false" outlineLevel="0" max="26" min="26" style="56" width="5.49"/>
    <col collapsed="false" customWidth="true" hidden="false" outlineLevel="0" max="27" min="27" style="56" width="6.32"/>
    <col collapsed="false" customWidth="true" hidden="false" outlineLevel="0" max="28" min="28" style="56" width="5.49"/>
    <col collapsed="false" customWidth="true" hidden="false" outlineLevel="0" max="29" min="29" style="161" width="5.82"/>
    <col collapsed="false" customWidth="true" hidden="false" outlineLevel="0" max="30" min="30" style="161" width="5.49"/>
    <col collapsed="false" customWidth="true" hidden="false" outlineLevel="0" max="33" min="31" style="56" width="5.49"/>
    <col collapsed="false" customWidth="true" hidden="false" outlineLevel="0" max="34" min="34" style="56" width="6.32"/>
    <col collapsed="false" customWidth="true" hidden="false" outlineLevel="0" max="35" min="35" style="56" width="5.49"/>
    <col collapsed="false" customWidth="true" hidden="false" outlineLevel="0" max="36" min="36" style="189" width="6.32"/>
    <col collapsed="false" customWidth="true" hidden="false" outlineLevel="0" max="37" min="37" style="392" width="6.32"/>
    <col collapsed="false" customWidth="true" hidden="false" outlineLevel="0" max="39" min="38" style="296" width="6.82"/>
    <col collapsed="false" customWidth="true" hidden="false" outlineLevel="0" max="40" min="40" style="189" width="5.49"/>
    <col collapsed="false" customWidth="true" hidden="false" outlineLevel="0" max="41" min="41" style="335" width="5.49"/>
    <col collapsed="false" customWidth="true" hidden="false" outlineLevel="0" max="42" min="42" style="335" width="6.32"/>
    <col collapsed="false" customWidth="true" hidden="false" outlineLevel="0" max="43" min="43" style="392" width="6.32"/>
    <col collapsed="false" customWidth="true" hidden="false" outlineLevel="0" max="44" min="44" style="392" width="5.49"/>
    <col collapsed="false" customWidth="true" hidden="false" outlineLevel="0" max="45" min="45" style="392" width="4.32"/>
    <col collapsed="false" customWidth="true" hidden="false" outlineLevel="0" max="46" min="46" style="189" width="5.49"/>
    <col collapsed="false" customWidth="true" hidden="false" outlineLevel="0" max="47" min="47" style="189" width="5.82"/>
    <col collapsed="false" customWidth="true" hidden="false" outlineLevel="0" max="48" min="48" style="296" width="5.82"/>
    <col collapsed="false" customWidth="true" hidden="false" outlineLevel="0" max="49" min="49" style="418" width="5.32"/>
    <col collapsed="false" customWidth="true" hidden="false" outlineLevel="0" max="50" min="50" style="189" width="3.82"/>
    <col collapsed="false" customWidth="true" hidden="false" outlineLevel="0" max="51" min="51" style="392" width="3.82"/>
    <col collapsed="false" customWidth="true" hidden="false" outlineLevel="0" max="52" min="52" style="193" width="3.82"/>
    <col collapsed="false" customWidth="true" hidden="false" outlineLevel="0" max="53" min="53" style="193" width="5.49"/>
    <col collapsed="false" customWidth="false" hidden="false" outlineLevel="0" max="257" min="54" style="193" width="9.32"/>
  </cols>
  <sheetData>
    <row r="1" customFormat="false" ht="14.1" hidden="false" customHeight="true" outlineLevel="0" collapsed="false">
      <c r="A1" s="194"/>
      <c r="B1" s="194"/>
      <c r="D1" s="194"/>
      <c r="F1" s="194"/>
      <c r="G1" s="194"/>
      <c r="I1" s="194"/>
      <c r="J1" s="194"/>
      <c r="K1" s="196" t="s">
        <v>0</v>
      </c>
      <c r="L1" s="194"/>
      <c r="M1" s="194"/>
      <c r="N1" s="194"/>
      <c r="O1" s="194"/>
      <c r="Q1" s="194"/>
      <c r="R1" s="194"/>
      <c r="S1" s="194"/>
      <c r="T1" s="194"/>
      <c r="V1" s="194"/>
      <c r="W1" s="194"/>
      <c r="X1" s="161"/>
      <c r="Y1" s="450"/>
      <c r="Z1" s="194"/>
      <c r="AA1" s="161"/>
      <c r="AB1" s="194"/>
      <c r="AC1" s="194"/>
      <c r="AD1" s="194"/>
      <c r="AE1" s="194"/>
      <c r="AF1" s="194"/>
      <c r="AG1" s="194"/>
      <c r="AH1" s="161"/>
      <c r="AI1" s="194"/>
      <c r="AJ1" s="197"/>
      <c r="AK1" s="197"/>
      <c r="AL1" s="197"/>
      <c r="AM1" s="392"/>
      <c r="AN1" s="197"/>
      <c r="AW1" s="296"/>
      <c r="AX1" s="296"/>
      <c r="AY1" s="418"/>
    </row>
    <row r="2" customFormat="false" ht="14.1" hidden="false" customHeight="true" outlineLevel="0" collapsed="false">
      <c r="A2" s="197" t="s">
        <v>1</v>
      </c>
      <c r="B2" s="194"/>
      <c r="D2" s="198" t="n">
        <v>1.9835</v>
      </c>
      <c r="F2" s="194"/>
      <c r="G2" s="194"/>
      <c r="I2" s="194"/>
      <c r="J2" s="194"/>
      <c r="K2" s="199" t="s">
        <v>152</v>
      </c>
      <c r="L2" s="199"/>
      <c r="M2" s="199"/>
      <c r="N2" s="199"/>
      <c r="O2" s="199"/>
      <c r="P2" s="199"/>
      <c r="Q2" s="199"/>
      <c r="R2" s="199"/>
      <c r="S2" s="199"/>
      <c r="T2" s="199"/>
      <c r="U2" s="199"/>
      <c r="V2" s="199"/>
      <c r="W2" s="200"/>
      <c r="X2" s="90"/>
      <c r="Y2" s="90"/>
      <c r="Z2" s="200"/>
      <c r="AA2" s="90"/>
      <c r="AB2" s="200"/>
      <c r="AC2" s="200"/>
      <c r="AD2" s="200"/>
      <c r="AE2" s="194"/>
      <c r="AF2" s="194"/>
      <c r="AG2" s="194"/>
      <c r="AH2" s="161"/>
      <c r="AI2" s="194"/>
      <c r="AJ2" s="197"/>
      <c r="AK2" s="197"/>
      <c r="AL2" s="197"/>
      <c r="AM2" s="392"/>
      <c r="AN2" s="197"/>
      <c r="AW2" s="296"/>
      <c r="AX2" s="296"/>
      <c r="AY2" s="418"/>
    </row>
    <row r="3" customFormat="false" ht="14.1" hidden="false" customHeight="true" outlineLevel="0" collapsed="false">
      <c r="A3" s="202"/>
      <c r="B3" s="202"/>
      <c r="C3" s="203"/>
      <c r="D3" s="204"/>
      <c r="E3" s="203"/>
      <c r="F3" s="202"/>
      <c r="G3" s="202"/>
      <c r="H3" s="591"/>
      <c r="I3" s="202"/>
      <c r="J3" s="202"/>
      <c r="K3" s="202"/>
      <c r="L3" s="202"/>
      <c r="M3" s="202"/>
      <c r="N3" s="202"/>
      <c r="O3" s="202"/>
      <c r="P3" s="206"/>
      <c r="Q3" s="202"/>
      <c r="R3" s="202"/>
      <c r="S3" s="202"/>
      <c r="T3" s="202"/>
      <c r="U3" s="206"/>
      <c r="V3" s="202"/>
      <c r="W3" s="202"/>
      <c r="X3" s="203"/>
      <c r="Y3" s="203"/>
      <c r="Z3" s="202"/>
      <c r="AA3" s="203"/>
      <c r="AB3" s="202"/>
      <c r="AC3" s="202"/>
      <c r="AD3" s="202"/>
      <c r="AE3" s="202"/>
      <c r="AF3" s="202"/>
      <c r="AG3" s="202"/>
      <c r="AH3" s="203"/>
      <c r="AI3" s="202"/>
      <c r="AJ3" s="208"/>
      <c r="AK3" s="208"/>
      <c r="AL3" s="208"/>
      <c r="AM3" s="533"/>
      <c r="AN3" s="208"/>
      <c r="AO3" s="337"/>
      <c r="AP3" s="337"/>
      <c r="AQ3" s="533"/>
      <c r="AW3" s="302"/>
      <c r="AX3" s="302"/>
      <c r="AY3" s="532"/>
      <c r="BB3" s="214"/>
    </row>
    <row r="4" s="56" customFormat="true" ht="14.1" hidden="false" customHeight="true" outlineLevel="0" collapsed="false">
      <c r="A4" s="194"/>
      <c r="B4" s="396"/>
      <c r="C4" s="397"/>
      <c r="D4" s="398" t="s">
        <v>3</v>
      </c>
      <c r="E4" s="397"/>
      <c r="F4" s="576"/>
      <c r="G4" s="194"/>
      <c r="H4" s="195"/>
      <c r="I4" s="573" t="s">
        <v>4</v>
      </c>
      <c r="J4" s="194"/>
      <c r="K4" s="194"/>
      <c r="L4" s="401"/>
      <c r="M4" s="194"/>
      <c r="N4" s="194"/>
      <c r="O4" s="194"/>
      <c r="P4" s="8"/>
      <c r="Q4" s="8"/>
      <c r="R4" s="8"/>
      <c r="S4" s="8"/>
      <c r="T4" s="8"/>
      <c r="U4" s="8"/>
      <c r="V4" s="406"/>
      <c r="W4" s="194"/>
      <c r="X4" s="406" t="s">
        <v>5</v>
      </c>
      <c r="Y4" s="161"/>
      <c r="Z4" s="194"/>
      <c r="AA4" s="161"/>
      <c r="AB4" s="194"/>
      <c r="AC4" s="194"/>
      <c r="AD4" s="194"/>
      <c r="AE4" s="194"/>
      <c r="AF4" s="194"/>
      <c r="AG4" s="194"/>
      <c r="AH4" s="161"/>
      <c r="AI4" s="194"/>
      <c r="AJ4" s="197"/>
      <c r="AK4" s="197"/>
      <c r="AL4" s="197"/>
      <c r="AM4" s="392"/>
      <c r="AN4" s="592"/>
      <c r="AO4" s="335"/>
      <c r="AP4" s="593" t="s">
        <v>6</v>
      </c>
      <c r="AQ4" s="593"/>
      <c r="AR4" s="594"/>
      <c r="AS4" s="594"/>
      <c r="AT4" s="595"/>
      <c r="AU4" s="596"/>
      <c r="AV4" s="597"/>
      <c r="AW4" s="598"/>
      <c r="AX4" s="599" t="s">
        <v>7</v>
      </c>
      <c r="AY4" s="600"/>
      <c r="AZ4" s="57"/>
      <c r="BA4" s="411"/>
      <c r="BC4" s="57"/>
    </row>
    <row r="5" customFormat="false" ht="12.95" hidden="false" customHeight="true" outlineLevel="0" collapsed="false">
      <c r="A5" s="333" t="s">
        <v>8</v>
      </c>
      <c r="B5" s="412" t="s">
        <v>9</v>
      </c>
      <c r="C5" s="413" t="s">
        <v>9</v>
      </c>
      <c r="D5" s="333" t="s">
        <v>10</v>
      </c>
      <c r="E5" s="413" t="s">
        <v>11</v>
      </c>
      <c r="F5" s="333" t="s">
        <v>12</v>
      </c>
      <c r="G5" s="412" t="s">
        <v>13</v>
      </c>
      <c r="H5" s="414" t="s">
        <v>14</v>
      </c>
      <c r="I5" s="333" t="s">
        <v>15</v>
      </c>
      <c r="J5" s="333" t="s">
        <v>16</v>
      </c>
      <c r="K5" s="333" t="s">
        <v>17</v>
      </c>
      <c r="L5" s="333" t="s">
        <v>16</v>
      </c>
      <c r="M5" s="415" t="s">
        <v>18</v>
      </c>
      <c r="N5" s="415"/>
      <c r="O5" s="415"/>
      <c r="P5" s="415"/>
      <c r="Q5" s="415"/>
      <c r="R5" s="415"/>
      <c r="S5" s="415"/>
      <c r="T5" s="415"/>
      <c r="U5" s="415"/>
      <c r="V5" s="333" t="s">
        <v>19</v>
      </c>
      <c r="W5" s="333" t="s">
        <v>20</v>
      </c>
      <c r="X5" s="58" t="s">
        <v>17</v>
      </c>
      <c r="Y5" s="58" t="s">
        <v>17</v>
      </c>
      <c r="Z5" s="64" t="s">
        <v>21</v>
      </c>
      <c r="AA5" s="58" t="s">
        <v>21</v>
      </c>
      <c r="AB5" s="64" t="s">
        <v>21</v>
      </c>
      <c r="AC5" s="413" t="s">
        <v>22</v>
      </c>
      <c r="AD5" s="413" t="s">
        <v>21</v>
      </c>
      <c r="AE5" s="333" t="s">
        <v>23</v>
      </c>
      <c r="AF5" s="415" t="s">
        <v>153</v>
      </c>
      <c r="AG5" s="415"/>
      <c r="AH5" s="418" t="s">
        <v>25</v>
      </c>
      <c r="AI5" s="413" t="s">
        <v>133</v>
      </c>
      <c r="AJ5" s="413" t="s">
        <v>27</v>
      </c>
      <c r="AK5" s="333" t="s">
        <v>15</v>
      </c>
      <c r="AL5" s="333" t="s">
        <v>16</v>
      </c>
      <c r="AM5" s="333" t="s">
        <v>17</v>
      </c>
      <c r="AN5" s="464" t="s">
        <v>28</v>
      </c>
      <c r="AO5" s="64" t="s">
        <v>21</v>
      </c>
      <c r="AP5" s="70" t="s">
        <v>29</v>
      </c>
      <c r="AQ5" s="70" t="s">
        <v>29</v>
      </c>
      <c r="AR5" s="65" t="s">
        <v>30</v>
      </c>
      <c r="AS5" s="65" t="s">
        <v>21</v>
      </c>
      <c r="AT5" s="71" t="s">
        <v>31</v>
      </c>
      <c r="AU5" s="414" t="s">
        <v>32</v>
      </c>
      <c r="AV5" s="72" t="s">
        <v>33</v>
      </c>
      <c r="AW5" s="419" t="s">
        <v>34</v>
      </c>
      <c r="AX5" s="418" t="s">
        <v>35</v>
      </c>
      <c r="AY5" s="418" t="s">
        <v>36</v>
      </c>
      <c r="AZ5" s="264"/>
      <c r="BA5" s="305" t="s">
        <v>17</v>
      </c>
      <c r="BB5" s="76" t="s">
        <v>37</v>
      </c>
      <c r="BC5" s="77" t="s">
        <v>37</v>
      </c>
    </row>
    <row r="6" customFormat="false" ht="12.95" hidden="false" customHeight="true" outlineLevel="0" collapsed="false">
      <c r="A6" s="420" t="s">
        <v>154</v>
      </c>
      <c r="B6" s="412" t="s">
        <v>39</v>
      </c>
      <c r="C6" s="413"/>
      <c r="D6" s="333" t="s">
        <v>40</v>
      </c>
      <c r="E6" s="413" t="s">
        <v>41</v>
      </c>
      <c r="F6" s="333" t="s">
        <v>42</v>
      </c>
      <c r="G6" s="412" t="s">
        <v>43</v>
      </c>
      <c r="H6" s="414" t="s">
        <v>44</v>
      </c>
      <c r="I6" s="333" t="s">
        <v>45</v>
      </c>
      <c r="J6" s="333" t="s">
        <v>45</v>
      </c>
      <c r="K6" s="333" t="s">
        <v>45</v>
      </c>
      <c r="L6" s="333" t="s">
        <v>46</v>
      </c>
      <c r="M6" s="421" t="s">
        <v>47</v>
      </c>
      <c r="N6" s="76" t="s">
        <v>48</v>
      </c>
      <c r="O6" s="333" t="s">
        <v>49</v>
      </c>
      <c r="P6" s="76" t="s">
        <v>135</v>
      </c>
      <c r="Q6" s="61" t="s">
        <v>51</v>
      </c>
      <c r="R6" s="61" t="s">
        <v>52</v>
      </c>
      <c r="S6" s="61"/>
      <c r="T6" s="61" t="s">
        <v>49</v>
      </c>
      <c r="U6" s="422" t="s">
        <v>53</v>
      </c>
      <c r="V6" s="333" t="s">
        <v>54</v>
      </c>
      <c r="W6" s="333" t="s">
        <v>55</v>
      </c>
      <c r="X6" s="58" t="s">
        <v>21</v>
      </c>
      <c r="Y6" s="58" t="s">
        <v>21</v>
      </c>
      <c r="Z6" s="64" t="s">
        <v>56</v>
      </c>
      <c r="AA6" s="58" t="s">
        <v>56</v>
      </c>
      <c r="AB6" s="64" t="s">
        <v>57</v>
      </c>
      <c r="AC6" s="413" t="s">
        <v>58</v>
      </c>
      <c r="AD6" s="413" t="s">
        <v>59</v>
      </c>
      <c r="AE6" s="424" t="s">
        <v>60</v>
      </c>
      <c r="AF6" s="61" t="s">
        <v>61</v>
      </c>
      <c r="AG6" s="61" t="s">
        <v>62</v>
      </c>
      <c r="AH6" s="581" t="s">
        <v>63</v>
      </c>
      <c r="AI6" s="413" t="s">
        <v>64</v>
      </c>
      <c r="AJ6" s="413"/>
      <c r="AK6" s="333" t="s">
        <v>65</v>
      </c>
      <c r="AL6" s="333" t="s">
        <v>65</v>
      </c>
      <c r="AM6" s="333" t="s">
        <v>65</v>
      </c>
      <c r="AN6" s="464" t="s">
        <v>66</v>
      </c>
      <c r="AO6" s="64" t="s">
        <v>67</v>
      </c>
      <c r="AP6" s="70" t="s">
        <v>68</v>
      </c>
      <c r="AQ6" s="70" t="s">
        <v>68</v>
      </c>
      <c r="AR6" s="65" t="s">
        <v>69</v>
      </c>
      <c r="AS6" s="601" t="n">
        <v>0.3</v>
      </c>
      <c r="AT6" s="71" t="s">
        <v>70</v>
      </c>
      <c r="AU6" s="414" t="s">
        <v>71</v>
      </c>
      <c r="AV6" s="72" t="s">
        <v>72</v>
      </c>
      <c r="AW6" s="423"/>
      <c r="AX6" s="418" t="s">
        <v>73</v>
      </c>
      <c r="AY6" s="418" t="s">
        <v>73</v>
      </c>
      <c r="AZ6" s="264"/>
      <c r="BA6" s="305" t="s">
        <v>74</v>
      </c>
      <c r="BB6" s="76" t="s">
        <v>75</v>
      </c>
      <c r="BC6" s="77" t="s">
        <v>76</v>
      </c>
    </row>
    <row r="7" customFormat="false" ht="12.95" hidden="false" customHeight="true" outlineLevel="0" collapsed="false">
      <c r="A7" s="333"/>
      <c r="B7" s="412"/>
      <c r="C7" s="413"/>
      <c r="D7" s="333"/>
      <c r="E7" s="413"/>
      <c r="F7" s="333"/>
      <c r="G7" s="412"/>
      <c r="H7" s="414"/>
      <c r="I7" s="333"/>
      <c r="J7" s="333"/>
      <c r="K7" s="333"/>
      <c r="L7" s="333"/>
      <c r="M7" s="421"/>
      <c r="N7" s="76" t="s">
        <v>77</v>
      </c>
      <c r="O7" s="333" t="s">
        <v>78</v>
      </c>
      <c r="P7" s="76"/>
      <c r="Q7" s="61" t="s">
        <v>79</v>
      </c>
      <c r="R7" s="61" t="s">
        <v>79</v>
      </c>
      <c r="S7" s="61" t="s">
        <v>62</v>
      </c>
      <c r="T7" s="61" t="s">
        <v>62</v>
      </c>
      <c r="U7" s="422" t="s">
        <v>80</v>
      </c>
      <c r="V7" s="333"/>
      <c r="W7" s="333"/>
      <c r="X7" s="68" t="s">
        <v>81</v>
      </c>
      <c r="Y7" s="60" t="s">
        <v>82</v>
      </c>
      <c r="Z7" s="64" t="s">
        <v>83</v>
      </c>
      <c r="AA7" s="58" t="s">
        <v>84</v>
      </c>
      <c r="AB7" s="64" t="s">
        <v>85</v>
      </c>
      <c r="AC7" s="413"/>
      <c r="AD7" s="413"/>
      <c r="AE7" s="424"/>
      <c r="AF7" s="84" t="n">
        <v>1.7</v>
      </c>
      <c r="AG7" s="84" t="n">
        <v>1.3</v>
      </c>
      <c r="AH7" s="581"/>
      <c r="AI7" s="85" t="n">
        <v>31798</v>
      </c>
      <c r="AJ7" s="413"/>
      <c r="AK7" s="333"/>
      <c r="AL7" s="333"/>
      <c r="AM7" s="333"/>
      <c r="AN7" s="464"/>
      <c r="AO7" s="64" t="s">
        <v>42</v>
      </c>
      <c r="AP7" s="70" t="s">
        <v>86</v>
      </c>
      <c r="AQ7" s="70" t="s">
        <v>87</v>
      </c>
      <c r="AR7" s="65" t="s">
        <v>88</v>
      </c>
      <c r="AS7" s="65" t="s">
        <v>155</v>
      </c>
      <c r="AT7" s="71" t="s">
        <v>89</v>
      </c>
      <c r="AU7" s="414" t="s">
        <v>90</v>
      </c>
      <c r="AV7" s="72" t="s">
        <v>81</v>
      </c>
      <c r="AW7" s="423"/>
      <c r="AX7" s="418"/>
      <c r="AY7" s="418"/>
      <c r="AZ7" s="264"/>
      <c r="BA7" s="305" t="s">
        <v>91</v>
      </c>
      <c r="BB7" s="8"/>
      <c r="BC7" s="86"/>
    </row>
    <row r="8" customFormat="false" ht="12.95" hidden="false" customHeight="true" outlineLevel="0" collapsed="false">
      <c r="A8" s="333"/>
      <c r="B8" s="412"/>
      <c r="C8" s="413"/>
      <c r="D8" s="333"/>
      <c r="E8" s="413"/>
      <c r="F8" s="333"/>
      <c r="G8" s="412"/>
      <c r="H8" s="414"/>
      <c r="I8" s="333"/>
      <c r="J8" s="333"/>
      <c r="K8" s="333"/>
      <c r="L8" s="333"/>
      <c r="M8" s="421"/>
      <c r="N8" s="61"/>
      <c r="O8" s="413" t="n">
        <v>24517</v>
      </c>
      <c r="P8" s="76"/>
      <c r="Q8" s="61" t="s">
        <v>62</v>
      </c>
      <c r="R8" s="61" t="s">
        <v>62</v>
      </c>
      <c r="S8" s="61"/>
      <c r="T8" s="61"/>
      <c r="U8" s="422"/>
      <c r="V8" s="333"/>
      <c r="W8" s="333"/>
      <c r="X8" s="68" t="s">
        <v>92</v>
      </c>
      <c r="Y8" s="60" t="s">
        <v>81</v>
      </c>
      <c r="Z8" s="64"/>
      <c r="AA8" s="60" t="s">
        <v>93</v>
      </c>
      <c r="AB8" s="64" t="s">
        <v>94</v>
      </c>
      <c r="AC8" s="413"/>
      <c r="AD8" s="413" t="n">
        <v>2353.04435564599</v>
      </c>
      <c r="AE8" s="582" t="n">
        <v>62267</v>
      </c>
      <c r="AF8" s="200"/>
      <c r="AG8" s="200"/>
      <c r="AH8" s="581"/>
      <c r="AI8" s="413"/>
      <c r="AJ8" s="413"/>
      <c r="AK8" s="333"/>
      <c r="AL8" s="333"/>
      <c r="AM8" s="333"/>
      <c r="AN8" s="464"/>
      <c r="AO8" s="64"/>
      <c r="AP8" s="70"/>
      <c r="AQ8" s="70"/>
      <c r="AR8" s="65"/>
      <c r="AS8" s="65" t="s">
        <v>156</v>
      </c>
      <c r="AT8" s="184" t="n">
        <v>1535.7</v>
      </c>
      <c r="AU8" s="201" t="n">
        <v>800</v>
      </c>
      <c r="AV8" s="72"/>
      <c r="AW8" s="423"/>
      <c r="AX8" s="418"/>
      <c r="AY8" s="418"/>
      <c r="AZ8" s="264"/>
      <c r="BA8" s="305"/>
      <c r="BB8" s="8"/>
      <c r="BC8" s="86"/>
    </row>
    <row r="9" customFormat="false" ht="12.95" hidden="false" customHeight="true" outlineLevel="0" collapsed="false">
      <c r="A9" s="333"/>
      <c r="B9" s="412"/>
      <c r="C9" s="413"/>
      <c r="D9" s="333"/>
      <c r="E9" s="413"/>
      <c r="F9" s="333"/>
      <c r="G9" s="412"/>
      <c r="H9" s="414"/>
      <c r="I9" s="333"/>
      <c r="J9" s="333"/>
      <c r="K9" s="333"/>
      <c r="L9" s="333"/>
      <c r="M9" s="421"/>
      <c r="N9" s="76"/>
      <c r="O9" s="413"/>
      <c r="P9" s="76"/>
      <c r="Q9" s="61"/>
      <c r="R9" s="87" t="n">
        <v>4.2</v>
      </c>
      <c r="S9" s="61"/>
      <c r="T9" s="61"/>
      <c r="U9" s="422"/>
      <c r="V9" s="333"/>
      <c r="W9" s="333"/>
      <c r="X9" s="68"/>
      <c r="Y9" s="60" t="s">
        <v>92</v>
      </c>
      <c r="Z9" s="64"/>
      <c r="AA9" s="60" t="s">
        <v>92</v>
      </c>
      <c r="AB9" s="64" t="s">
        <v>95</v>
      </c>
      <c r="AC9" s="413"/>
      <c r="AD9" s="413"/>
      <c r="AE9" s="333"/>
      <c r="AF9" s="425"/>
      <c r="AG9" s="426"/>
      <c r="AH9" s="418"/>
      <c r="AI9" s="413"/>
      <c r="AJ9" s="413"/>
      <c r="AK9" s="333"/>
      <c r="AL9" s="333"/>
      <c r="AM9" s="333"/>
      <c r="AN9" s="464"/>
      <c r="AO9" s="64"/>
      <c r="AP9" s="70"/>
      <c r="AQ9" s="70"/>
      <c r="AR9" s="65"/>
      <c r="AS9" s="65"/>
      <c r="AT9" s="71"/>
      <c r="AU9" s="201" t="n">
        <f aca="false">AU8/D2</f>
        <v>403.327451474666</v>
      </c>
      <c r="AV9" s="72"/>
      <c r="AW9" s="423"/>
      <c r="AX9" s="418"/>
      <c r="AY9" s="418"/>
      <c r="AZ9" s="264"/>
      <c r="BA9" s="305"/>
      <c r="BB9" s="8"/>
      <c r="BC9" s="77" t="s">
        <v>96</v>
      </c>
    </row>
    <row r="10" customFormat="false" ht="12.95" hidden="false" customHeight="true" outlineLevel="0" collapsed="false">
      <c r="A10" s="333"/>
      <c r="B10" s="412"/>
      <c r="C10" s="413" t="s">
        <v>10</v>
      </c>
      <c r="D10" s="333"/>
      <c r="E10" s="413" t="s">
        <v>98</v>
      </c>
      <c r="F10" s="333"/>
      <c r="G10" s="412" t="s">
        <v>42</v>
      </c>
      <c r="H10" s="414" t="s">
        <v>42</v>
      </c>
      <c r="I10" s="414" t="s">
        <v>42</v>
      </c>
      <c r="J10" s="414" t="s">
        <v>42</v>
      </c>
      <c r="K10" s="414" t="s">
        <v>42</v>
      </c>
      <c r="L10" s="414" t="s">
        <v>42</v>
      </c>
      <c r="M10" s="428" t="s">
        <v>42</v>
      </c>
      <c r="N10" s="414" t="s">
        <v>42</v>
      </c>
      <c r="O10" s="414" t="s">
        <v>42</v>
      </c>
      <c r="P10" s="414" t="s">
        <v>42</v>
      </c>
      <c r="Q10" s="61" t="s">
        <v>42</v>
      </c>
      <c r="R10" s="61" t="s">
        <v>42</v>
      </c>
      <c r="S10" s="61" t="s">
        <v>42</v>
      </c>
      <c r="T10" s="61" t="s">
        <v>42</v>
      </c>
      <c r="U10" s="427" t="s">
        <v>42</v>
      </c>
      <c r="V10" s="414" t="s">
        <v>42</v>
      </c>
      <c r="W10" s="414" t="s">
        <v>42</v>
      </c>
      <c r="X10" s="60" t="n">
        <v>153400</v>
      </c>
      <c r="Y10" s="60" t="n">
        <v>150400</v>
      </c>
      <c r="Z10" s="61" t="s">
        <v>42</v>
      </c>
      <c r="AA10" s="60"/>
      <c r="AB10" s="60" t="n">
        <v>72000</v>
      </c>
      <c r="AC10" s="414" t="s">
        <v>42</v>
      </c>
      <c r="AD10" s="414" t="s">
        <v>42</v>
      </c>
      <c r="AE10" s="414" t="s">
        <v>42</v>
      </c>
      <c r="AF10" s="428" t="s">
        <v>42</v>
      </c>
      <c r="AG10" s="427" t="s">
        <v>42</v>
      </c>
      <c r="AH10" s="414" t="s">
        <v>42</v>
      </c>
      <c r="AI10" s="414" t="s">
        <v>42</v>
      </c>
      <c r="AJ10" s="414" t="s">
        <v>42</v>
      </c>
      <c r="AK10" s="414" t="s">
        <v>42</v>
      </c>
      <c r="AL10" s="414" t="s">
        <v>42</v>
      </c>
      <c r="AM10" s="414" t="s">
        <v>42</v>
      </c>
      <c r="AN10" s="464" t="s">
        <v>42</v>
      </c>
      <c r="AO10" s="64" t="s">
        <v>42</v>
      </c>
      <c r="AP10" s="64" t="s">
        <v>42</v>
      </c>
      <c r="AQ10" s="70" t="s">
        <v>99</v>
      </c>
      <c r="AR10" s="65" t="s">
        <v>42</v>
      </c>
      <c r="AS10" s="65" t="s">
        <v>42</v>
      </c>
      <c r="AT10" s="64" t="s">
        <v>42</v>
      </c>
      <c r="AU10" s="64" t="s">
        <v>42</v>
      </c>
      <c r="AV10" s="64" t="s">
        <v>42</v>
      </c>
      <c r="AW10" s="423"/>
      <c r="AX10" s="418"/>
      <c r="AY10" s="418"/>
      <c r="AZ10" s="264"/>
      <c r="BA10" s="305" t="s">
        <v>100</v>
      </c>
      <c r="BB10" s="76" t="s">
        <v>42</v>
      </c>
      <c r="BC10" s="77" t="s">
        <v>98</v>
      </c>
    </row>
    <row r="11" customFormat="false" ht="12.95" hidden="false" customHeight="true" outlineLevel="0" collapsed="false">
      <c r="A11" s="333"/>
      <c r="B11" s="412"/>
      <c r="C11" s="413"/>
      <c r="D11" s="333"/>
      <c r="E11" s="413"/>
      <c r="F11" s="333"/>
      <c r="G11" s="412"/>
      <c r="H11" s="414"/>
      <c r="I11" s="333"/>
      <c r="J11" s="333"/>
      <c r="K11" s="333"/>
      <c r="L11" s="333"/>
      <c r="M11" s="421"/>
      <c r="N11" s="76" t="n">
        <v>1.03</v>
      </c>
      <c r="O11" s="430" t="n">
        <v>1.05</v>
      </c>
      <c r="P11" s="76" t="n">
        <v>1.02</v>
      </c>
      <c r="Q11" s="602" t="n">
        <v>1.02</v>
      </c>
      <c r="R11" s="603" t="n">
        <v>1.04</v>
      </c>
      <c r="S11" s="61"/>
      <c r="T11" s="602" t="n">
        <v>1.04</v>
      </c>
      <c r="U11" s="422"/>
      <c r="V11" s="333"/>
      <c r="W11" s="333"/>
      <c r="X11" s="61" t="s">
        <v>42</v>
      </c>
      <c r="Y11" s="61" t="s">
        <v>42</v>
      </c>
      <c r="Z11" s="61" t="s">
        <v>42</v>
      </c>
      <c r="AA11" s="60" t="s">
        <v>42</v>
      </c>
      <c r="AB11" s="90" t="s">
        <v>101</v>
      </c>
      <c r="AC11" s="413"/>
      <c r="AD11" s="413"/>
      <c r="AE11" s="333"/>
      <c r="AF11" s="425"/>
      <c r="AG11" s="426"/>
      <c r="AH11" s="418"/>
      <c r="AI11" s="413"/>
      <c r="AJ11" s="413"/>
      <c r="AK11" s="333"/>
      <c r="AL11" s="333"/>
      <c r="AM11" s="333"/>
      <c r="AN11" s="464"/>
      <c r="AO11" s="64"/>
      <c r="AP11" s="70"/>
      <c r="AQ11" s="70"/>
      <c r="AR11" s="65"/>
      <c r="AS11" s="65"/>
      <c r="AT11" s="93"/>
      <c r="AU11" s="335"/>
      <c r="AV11" s="189"/>
      <c r="AW11" s="423"/>
      <c r="AX11" s="418"/>
      <c r="AY11" s="418"/>
      <c r="AZ11" s="264"/>
      <c r="BA11" s="305" t="s">
        <v>42</v>
      </c>
      <c r="BB11" s="8"/>
      <c r="BC11" s="86"/>
    </row>
    <row r="12" customFormat="false" ht="12.95" hidden="false" customHeight="true" outlineLevel="0" collapsed="false">
      <c r="A12" s="197" t="s">
        <v>102</v>
      </c>
      <c r="B12" s="223"/>
      <c r="C12" s="114"/>
      <c r="D12" s="114"/>
      <c r="E12" s="114"/>
      <c r="F12" s="224" t="n">
        <f aca="false">SEP!F49</f>
        <v>29906.2263675321</v>
      </c>
      <c r="G12" s="114" t="n">
        <f aca="false">SEP!G49</f>
        <v>125078</v>
      </c>
      <c r="H12" s="604" t="n">
        <f aca="false">SEP!H49</f>
        <v>1962.931</v>
      </c>
      <c r="I12" s="114" t="n">
        <f aca="false">SEP!I49</f>
        <v>127040.931</v>
      </c>
      <c r="J12" s="114" t="n">
        <f aca="false">SEP!J49</f>
        <v>2402.3482019158</v>
      </c>
      <c r="K12" s="114" t="n">
        <f aca="false">SEP!K49</f>
        <v>129443.269201916</v>
      </c>
      <c r="L12" s="114" t="n">
        <f aca="false">SEP!L49</f>
        <v>-8113.69091656163</v>
      </c>
      <c r="M12" s="226" t="n">
        <f aca="false">SEP!M49</f>
        <v>34776.81</v>
      </c>
      <c r="N12" s="114" t="n">
        <f aca="false">SEP!N49</f>
        <v>77.3733299722713</v>
      </c>
      <c r="O12" s="114" t="n">
        <f aca="false">SEP!O49</f>
        <v>9300.396</v>
      </c>
      <c r="P12" s="171" t="n">
        <f aca="false">SEP!P49</f>
        <v>8.07</v>
      </c>
      <c r="Q12" s="114"/>
      <c r="R12" s="114"/>
      <c r="S12" s="114"/>
      <c r="T12" s="114"/>
      <c r="U12" s="227"/>
      <c r="V12" s="114" t="n">
        <f aca="false">SEP!V49</f>
        <v>13640.8</v>
      </c>
      <c r="W12" s="114" t="n">
        <f aca="false">SEP!W49</f>
        <v>9746.69</v>
      </c>
      <c r="X12" s="114" t="n">
        <f aca="false">SEP!X49</f>
        <v>50181.7718761357</v>
      </c>
      <c r="Y12" s="114" t="n">
        <f aca="false">SEP!Y49</f>
        <v>50002.5118761357</v>
      </c>
      <c r="Z12" s="114" t="n">
        <f aca="false">SEP!Z44</f>
        <v>3664.95398777163</v>
      </c>
      <c r="AA12" s="114"/>
      <c r="AB12" s="114" t="n">
        <f aca="false">SEP!AB12</f>
        <v>0</v>
      </c>
      <c r="AC12" s="114" t="n">
        <f aca="false">SEP!AC44</f>
        <v>1388.51731162441</v>
      </c>
      <c r="AD12" s="114" t="n">
        <f aca="false">SEP!AD44</f>
        <v>2618.93636501134</v>
      </c>
      <c r="AE12" s="114" t="n">
        <f aca="false">SEP!AE49</f>
        <v>21164.07</v>
      </c>
      <c r="AF12" s="226" t="n">
        <f aca="false">SEP!AF49</f>
        <v>311.1</v>
      </c>
      <c r="AG12" s="228" t="n">
        <f aca="false">SEP!AG49</f>
        <v>237.9</v>
      </c>
      <c r="AH12" s="114"/>
      <c r="AI12" s="114"/>
      <c r="AJ12" s="114"/>
      <c r="AK12" s="114" t="n">
        <f aca="false">SEP!AK49</f>
        <v>89021.0037159062</v>
      </c>
      <c r="AL12" s="114" t="n">
        <f aca="false">SEP!AL49</f>
        <v>10516.0391184774</v>
      </c>
      <c r="AM12" s="114" t="n">
        <f aca="false">SEP!AM49</f>
        <v>99537.0428343837</v>
      </c>
      <c r="AN12" s="230"/>
      <c r="AO12" s="144"/>
      <c r="AP12" s="144"/>
      <c r="AQ12" s="144" t="n">
        <f aca="false">SEP!AQ50</f>
        <v>1981.80949888735</v>
      </c>
      <c r="AR12" s="144" t="n">
        <f aca="false">SEP!AR49</f>
        <v>2761.45169073427</v>
      </c>
      <c r="AS12" s="144"/>
      <c r="AT12" s="225" t="n">
        <f aca="false">SEP!AS49</f>
        <v>671.71</v>
      </c>
      <c r="AU12" s="225" t="n">
        <f aca="false">SEP!AT49</f>
        <v>62.947</v>
      </c>
      <c r="AV12" s="225"/>
      <c r="AW12" s="330"/>
      <c r="AX12" s="225"/>
      <c r="AY12" s="225"/>
      <c r="AZ12" s="264"/>
      <c r="BA12" s="432" t="n">
        <f aca="false">SEP!AZ49</f>
        <v>1417.95696459856</v>
      </c>
      <c r="BB12" s="111" t="n">
        <f aca="false">SEP!BA49</f>
        <v>5497.273</v>
      </c>
      <c r="BC12" s="86"/>
    </row>
    <row r="13" s="243" customFormat="true" ht="12.95" hidden="false" customHeight="true" outlineLevel="0" collapsed="false">
      <c r="A13" s="161" t="s">
        <v>103</v>
      </c>
      <c r="B13" s="113" t="n">
        <f aca="false">SEP!B44</f>
        <v>6891.91</v>
      </c>
      <c r="C13" s="114" t="n">
        <f aca="false">SEP!C44</f>
        <v>254694</v>
      </c>
      <c r="D13" s="114" t="n">
        <f aca="false">SEP!D53</f>
        <v>68954</v>
      </c>
      <c r="E13" s="114" t="n">
        <f aca="false">SEP!E53</f>
        <v>102694</v>
      </c>
      <c r="F13" s="224" t="n">
        <f aca="false">SEP!F52</f>
        <v>34763.8013612302</v>
      </c>
      <c r="G13" s="114" t="n">
        <f aca="false">SEP!G52</f>
        <v>140307</v>
      </c>
      <c r="H13" s="604" t="n">
        <f aca="false">SEP!H52</f>
        <v>2080.433</v>
      </c>
      <c r="I13" s="114" t="n">
        <f aca="false">SEP!I52</f>
        <v>142386.813</v>
      </c>
      <c r="J13" s="114" t="n">
        <f aca="false">SEP!J52</f>
        <v>4747.43710738593</v>
      </c>
      <c r="K13" s="114" t="n">
        <f aca="false">SEP!K52</f>
        <v>147134.240107386</v>
      </c>
      <c r="L13" s="114" t="n">
        <f aca="false">SEP!L52</f>
        <v>-7984.24792286362</v>
      </c>
      <c r="M13" s="226" t="n">
        <f aca="false">SEP!M52</f>
        <v>35521.34</v>
      </c>
      <c r="N13" s="114" t="n">
        <f aca="false">SEP!N52</f>
        <v>77.3733299722713</v>
      </c>
      <c r="O13" s="114" t="n">
        <f aca="false">SEP!O52</f>
        <v>9300.396</v>
      </c>
      <c r="P13" s="171"/>
      <c r="Q13" s="114" t="n">
        <f aca="false">SEP!Q52</f>
        <v>654.135359268074</v>
      </c>
      <c r="R13" s="225" t="n">
        <f aca="false">SEP!R52</f>
        <v>865.32358928</v>
      </c>
      <c r="S13" s="114" t="n">
        <f aca="false">SEP!S52</f>
        <v>97.33904672</v>
      </c>
      <c r="T13" s="114" t="n">
        <f aca="false">SEP!T52</f>
        <v>257.54345968</v>
      </c>
      <c r="U13" s="327" t="n">
        <f aca="false">SEP!U52</f>
        <v>-45.366813481233</v>
      </c>
      <c r="V13" s="114" t="n">
        <f aca="false">SEP!V52</f>
        <v>19353.29</v>
      </c>
      <c r="W13" s="114" t="n">
        <f aca="false">SEP!W52</f>
        <v>9770.72</v>
      </c>
      <c r="X13" s="114" t="n">
        <f aca="false">SEP!X52</f>
        <v>56097.0041692952</v>
      </c>
      <c r="Y13" s="114" t="n">
        <f aca="false">SEP!Y52</f>
        <v>55722.1208359618</v>
      </c>
      <c r="Z13" s="114"/>
      <c r="AA13" s="114"/>
      <c r="AB13" s="114"/>
      <c r="AC13" s="114"/>
      <c r="AD13" s="114"/>
      <c r="AE13" s="114" t="n">
        <f aca="false">SEP!AE52</f>
        <v>0</v>
      </c>
      <c r="AF13" s="277" t="n">
        <f aca="false">AF12</f>
        <v>311.1</v>
      </c>
      <c r="AG13" s="278" t="n">
        <f aca="false">AG12</f>
        <v>237.9</v>
      </c>
      <c r="AH13" s="114" t="n">
        <f aca="false">SEP!AH52</f>
        <v>13892.8</v>
      </c>
      <c r="AI13" s="114" t="n">
        <f aca="false">SEP!AI52</f>
        <v>6275.15787748928</v>
      </c>
      <c r="AJ13" s="114" t="n">
        <f aca="false">SEP!AJ52</f>
        <v>0</v>
      </c>
      <c r="AK13" s="114" t="n">
        <f aca="false">SEP!AK52</f>
        <v>99638.7537159062</v>
      </c>
      <c r="AL13" s="114" t="n">
        <f aca="false">SEP!AL52</f>
        <v>12731.6850302496</v>
      </c>
      <c r="AM13" s="114" t="n">
        <f aca="false">SEP!AM52</f>
        <v>112370.438746156</v>
      </c>
      <c r="AN13" s="230" t="n">
        <f aca="false">SEP!AN52</f>
        <v>7085.79166666667</v>
      </c>
      <c r="AO13" s="144" t="n">
        <f aca="false">SEP!AO52</f>
        <v>374.883333333333</v>
      </c>
      <c r="AP13" s="144"/>
      <c r="AQ13" s="144" t="n">
        <f aca="false">SEP!AQ53</f>
        <v>1981.80949888735</v>
      </c>
      <c r="AR13" s="171"/>
      <c r="AS13" s="171"/>
      <c r="AT13" s="225" t="n">
        <f aca="false">SEP!AS52</f>
        <v>0</v>
      </c>
      <c r="AU13" s="225" t="n">
        <f aca="false">SEP!AT52</f>
        <v>0</v>
      </c>
      <c r="AV13" s="225" t="n">
        <f aca="false">SEP!AU49</f>
        <v>0</v>
      </c>
      <c r="AW13" s="330" t="n">
        <f aca="false">SEP!AV52</f>
        <v>15.8066666666667</v>
      </c>
      <c r="AX13" s="225"/>
      <c r="AY13" s="225"/>
      <c r="AZ13" s="312"/>
      <c r="BA13" s="348" t="n">
        <f aca="false">SEP!AZ52</f>
        <v>1914.41797143911</v>
      </c>
      <c r="BB13" s="111" t="n">
        <f aca="false">SEP!BA52</f>
        <v>5510.879</v>
      </c>
      <c r="BC13" s="115"/>
    </row>
    <row r="14" customFormat="false" ht="3" hidden="false" customHeight="true" outlineLevel="0" collapsed="false">
      <c r="A14" s="244"/>
      <c r="B14" s="245"/>
      <c r="C14" s="246"/>
      <c r="D14" s="247"/>
      <c r="E14" s="246"/>
      <c r="F14" s="248"/>
      <c r="G14" s="247"/>
      <c r="H14" s="605"/>
      <c r="I14" s="247"/>
      <c r="J14" s="247"/>
      <c r="K14" s="247"/>
      <c r="L14" s="247"/>
      <c r="M14" s="250"/>
      <c r="N14" s="247"/>
      <c r="O14" s="247"/>
      <c r="P14" s="251"/>
      <c r="Q14" s="247"/>
      <c r="R14" s="247"/>
      <c r="S14" s="247"/>
      <c r="T14" s="247"/>
      <c r="U14" s="252"/>
      <c r="V14" s="247"/>
      <c r="W14" s="247"/>
      <c r="X14" s="247"/>
      <c r="Y14" s="247"/>
      <c r="Z14" s="246"/>
      <c r="AA14" s="247"/>
      <c r="AB14" s="246"/>
      <c r="AC14" s="246"/>
      <c r="AD14" s="246"/>
      <c r="AE14" s="247"/>
      <c r="AF14" s="250"/>
      <c r="AG14" s="254"/>
      <c r="AH14" s="247"/>
      <c r="AI14" s="246"/>
      <c r="AJ14" s="246"/>
      <c r="AK14" s="247"/>
      <c r="AL14" s="247"/>
      <c r="AM14" s="247"/>
      <c r="AN14" s="255"/>
      <c r="AO14" s="253"/>
      <c r="AP14" s="253"/>
      <c r="AQ14" s="251"/>
      <c r="AR14" s="251"/>
      <c r="AS14" s="251"/>
      <c r="AT14" s="251"/>
      <c r="AU14" s="251"/>
      <c r="AV14" s="256" t="s">
        <v>151</v>
      </c>
      <c r="AW14" s="519"/>
      <c r="AX14" s="256"/>
      <c r="AY14" s="256"/>
      <c r="AZ14" s="256"/>
      <c r="BA14" s="256"/>
      <c r="BB14" s="256"/>
      <c r="BC14" s="256"/>
    </row>
    <row r="15" customFormat="false" ht="12.95" hidden="false" customHeight="true" outlineLevel="0" collapsed="false">
      <c r="A15" s="192" t="n">
        <v>1</v>
      </c>
      <c r="B15" s="113" t="n">
        <v>6891.67</v>
      </c>
      <c r="C15" s="114" t="n">
        <v>253870</v>
      </c>
      <c r="D15" s="225" t="n">
        <f aca="false">C15-C13</f>
        <v>-824</v>
      </c>
      <c r="E15" s="114" t="n">
        <f aca="false">C15-152000</f>
        <v>101870</v>
      </c>
      <c r="F15" s="259" t="n">
        <f aca="false">D15/$D$2</f>
        <v>-415.427275018906</v>
      </c>
      <c r="G15" s="143" t="n">
        <v>63</v>
      </c>
      <c r="H15" s="606" t="n">
        <v>0</v>
      </c>
      <c r="I15" s="143" t="n">
        <f aca="false">G15+H15</f>
        <v>63</v>
      </c>
      <c r="J15" s="144" t="n">
        <f aca="false">IF(L15&gt;0,L15,0)</f>
        <v>10.040778566027</v>
      </c>
      <c r="K15" s="143" t="n">
        <f aca="false">I15+J15</f>
        <v>73.040778566027</v>
      </c>
      <c r="L15" s="143" t="n">
        <f aca="false">F15-(I15-AK15)</f>
        <v>10.040778566027</v>
      </c>
      <c r="M15" s="261" t="n">
        <v>173</v>
      </c>
      <c r="N15" s="171" t="n">
        <v>0.519284093773632</v>
      </c>
      <c r="O15" s="143" t="n">
        <f aca="false">19.1*1.05</f>
        <v>20.055</v>
      </c>
      <c r="P15" s="171" t="n">
        <v>0</v>
      </c>
      <c r="Q15" s="346" t="n">
        <f aca="false">1399400/325851/1.9835*1.02</f>
        <v>2.20846630939264</v>
      </c>
      <c r="R15" s="139" t="n">
        <f aca="false">IF(((5.1*1.04)-T15)&gt;=4.2,4.2,(5.1*1.04)-T15)</f>
        <v>4.2</v>
      </c>
      <c r="S15" s="139" t="n">
        <f aca="false">IF(((5.1*1.04)-T15)&gt;=4.2,((5.1*1.04)-T15)-4.2,0)</f>
        <v>0.136864479999999</v>
      </c>
      <c r="T15" s="139" t="n">
        <f aca="false">(0.8773*1.06)*1.04</f>
        <v>0.96713552</v>
      </c>
      <c r="U15" s="365" t="n">
        <v>0</v>
      </c>
      <c r="V15" s="143" t="n">
        <v>119</v>
      </c>
      <c r="W15" s="143" t="n">
        <v>58.4</v>
      </c>
      <c r="X15" s="143" t="n">
        <f aca="false">M15-N15-O15-P15-Q15-R15-S15-T15-U15+V15+W15-AU15+AR15</f>
        <v>342.681303181767</v>
      </c>
      <c r="Y15" s="143" t="n">
        <f aca="false">X15-AO15</f>
        <v>342.681303181767</v>
      </c>
      <c r="Z15" s="114" t="n">
        <f aca="false">Z12+AP15</f>
        <v>3377.16421828047</v>
      </c>
      <c r="AA15" s="143" t="n">
        <f aca="false">(-AP15)</f>
        <v>287.789769491159</v>
      </c>
      <c r="AB15" s="114"/>
      <c r="AC15" s="442" t="n">
        <f aca="false">AC12-(SEP!AQ44/1.9835)+AS15</f>
        <v>1386.69510154186</v>
      </c>
      <c r="AD15" s="442" t="n">
        <f aca="false">AD12</f>
        <v>2618.93636501134</v>
      </c>
      <c r="AE15" s="143" t="n">
        <v>78.6</v>
      </c>
      <c r="AF15" s="145" t="n">
        <v>1.7</v>
      </c>
      <c r="AG15" s="146" t="n">
        <v>1.3</v>
      </c>
      <c r="AH15" s="143" t="n">
        <v>39.1</v>
      </c>
      <c r="AI15" s="114" t="n">
        <f aca="false">AI13-AH15</f>
        <v>6236.05787748928</v>
      </c>
      <c r="AJ15" s="114"/>
      <c r="AK15" s="142" t="n">
        <f aca="false">N15+O15+P15+Q15+R15+S15+T15+U15+X15+AE15+AH15</f>
        <v>488.468053584933</v>
      </c>
      <c r="AL15" s="143" t="n">
        <f aca="false">IF(L15&lt;0,L15*-1,0)</f>
        <v>0</v>
      </c>
      <c r="AM15" s="143" t="n">
        <f aca="false">AK15+AL15</f>
        <v>488.468053584933</v>
      </c>
      <c r="AN15" s="147"/>
      <c r="AO15" s="144"/>
      <c r="AP15" s="585" t="n">
        <f aca="false">I15-Q15-R15-X15-AF15</f>
        <v>-287.789769491159</v>
      </c>
      <c r="AQ15" s="171" t="n">
        <f aca="false">49.105*(Z15*1.9835+AC15*1.9835)/E15</f>
        <v>4.55481290029845</v>
      </c>
      <c r="AR15" s="171" t="n">
        <f aca="false">1502.862/$D$2/35</f>
        <v>21.6480535849328</v>
      </c>
      <c r="AS15" s="171"/>
      <c r="AT15" s="114" t="n">
        <f aca="false">BB15</f>
        <v>9.73</v>
      </c>
      <c r="AU15" s="56" t="n">
        <v>1.28</v>
      </c>
      <c r="AV15" s="111"/>
      <c r="AW15" s="330" t="n">
        <v>0</v>
      </c>
      <c r="AX15" s="225" t="n">
        <v>86</v>
      </c>
      <c r="AY15" s="225" t="n">
        <v>53</v>
      </c>
      <c r="AZ15" s="264"/>
      <c r="BA15" s="263" t="n">
        <f aca="false">SUM(N15,P15:U15)</f>
        <v>8.03175040316627</v>
      </c>
      <c r="BB15" s="193" t="n">
        <v>9.73</v>
      </c>
      <c r="BC15" s="264" t="n">
        <v>18752</v>
      </c>
    </row>
    <row r="16" customFormat="false" ht="12.95" hidden="false" customHeight="true" outlineLevel="0" collapsed="false">
      <c r="A16" s="192" t="n">
        <f aca="false">A15+1</f>
        <v>2</v>
      </c>
      <c r="B16" s="113" t="n">
        <v>6891.38</v>
      </c>
      <c r="C16" s="114" t="n">
        <v>252874</v>
      </c>
      <c r="D16" s="225" t="n">
        <f aca="false">C16-C15</f>
        <v>-996</v>
      </c>
      <c r="E16" s="114" t="n">
        <f aca="false">C16-152000</f>
        <v>100874</v>
      </c>
      <c r="F16" s="259" t="n">
        <f aca="false">D16/$D$2</f>
        <v>-502.142677085959</v>
      </c>
      <c r="G16" s="143" t="n">
        <v>62</v>
      </c>
      <c r="H16" s="606" t="n">
        <v>0</v>
      </c>
      <c r="I16" s="143" t="n">
        <f aca="false">G16+H16</f>
        <v>62</v>
      </c>
      <c r="J16" s="144" t="n">
        <f aca="false">IF(L16&gt;0,L16,0)</f>
        <v>0</v>
      </c>
      <c r="K16" s="143" t="n">
        <f aca="false">I16+J16</f>
        <v>62</v>
      </c>
      <c r="L16" s="143" t="n">
        <f aca="false">F16-(I16-AK16)</f>
        <v>-72.1746235010263</v>
      </c>
      <c r="M16" s="261" t="n">
        <v>176</v>
      </c>
      <c r="N16" s="171" t="n">
        <v>0.519284093773632</v>
      </c>
      <c r="O16" s="143" t="n">
        <f aca="false">27.7*1.05</f>
        <v>29.085</v>
      </c>
      <c r="P16" s="171" t="n">
        <v>0</v>
      </c>
      <c r="Q16" s="346" t="n">
        <f aca="false">1421000/325851/1.9835*1.02</f>
        <v>2.24255439877586</v>
      </c>
      <c r="R16" s="139" t="n">
        <f aca="false">IF(((5*1.04)-T16)&gt;=4.2,4.2,(5*1.04)-T16)</f>
        <v>4.2</v>
      </c>
      <c r="S16" s="139" t="n">
        <f aca="false">IF(((5*1.04)-T16)&gt;=4.2,((5*1.04)-T16)-4.2,0)</f>
        <v>0.17286928</v>
      </c>
      <c r="T16" s="139" t="n">
        <f aca="false">(0.7503*1.06)*1.04</f>
        <v>0.82713072</v>
      </c>
      <c r="U16" s="365" t="n">
        <v>0</v>
      </c>
      <c r="V16" s="143" t="n">
        <v>119</v>
      </c>
      <c r="W16" s="143" t="n">
        <v>57</v>
      </c>
      <c r="X16" s="143" t="n">
        <f aca="false">M16-N16-O16-P16-Q16-R16-S16-T16-U16+V16+W16-AU16+AR16</f>
        <v>335.421215092383</v>
      </c>
      <c r="Y16" s="143" t="n">
        <f aca="false">X16-AO16</f>
        <v>335.421215092383</v>
      </c>
      <c r="Z16" s="114" t="n">
        <f aca="false">Z15+AP16</f>
        <v>3095.60044878931</v>
      </c>
      <c r="AA16" s="143" t="n">
        <f aca="false">(-AP16)</f>
        <v>281.563769491159</v>
      </c>
      <c r="AB16" s="114"/>
      <c r="AC16" s="442" t="n">
        <f aca="false">AC15-(AQ15/1.9835)+AS16</f>
        <v>1384.39875019309</v>
      </c>
      <c r="AD16" s="442" t="n">
        <f aca="false">AD15</f>
        <v>2618.93636501134</v>
      </c>
      <c r="AE16" s="143" t="n">
        <v>80.7</v>
      </c>
      <c r="AF16" s="145" t="n">
        <v>1.7</v>
      </c>
      <c r="AG16" s="146" t="n">
        <v>1.3</v>
      </c>
      <c r="AH16" s="143" t="n">
        <v>38.8</v>
      </c>
      <c r="AI16" s="114" t="n">
        <f aca="false">AI15-AH16</f>
        <v>6197.25787748928</v>
      </c>
      <c r="AJ16" s="114"/>
      <c r="AK16" s="142" t="n">
        <f aca="false">N16+O16+P16+Q16+R16+S16+T16+U16+X16+AE16+AH16</f>
        <v>491.968053584933</v>
      </c>
      <c r="AL16" s="143" t="n">
        <f aca="false">IF(L16&lt;0,L16*-1,0)</f>
        <v>72.1746235010263</v>
      </c>
      <c r="AM16" s="143" t="n">
        <f aca="false">AK16+AL16</f>
        <v>564.142677085959</v>
      </c>
      <c r="AN16" s="147"/>
      <c r="AO16" s="144"/>
      <c r="AP16" s="585" t="n">
        <f aca="false">I16-Q16-R16-X16-AF16</f>
        <v>-281.563769491159</v>
      </c>
      <c r="AQ16" s="171" t="n">
        <f aca="false">56.01*(Z16*1.9835+AC16*1.9835)/E16</f>
        <v>4.93396962359261</v>
      </c>
      <c r="AR16" s="171" t="n">
        <f aca="false">1502.862/$D$2/35</f>
        <v>21.6480535849328</v>
      </c>
      <c r="AS16" s="171"/>
      <c r="AT16" s="114" t="n">
        <f aca="false">BB16</f>
        <v>9.86</v>
      </c>
      <c r="AU16" s="56" t="n">
        <v>1.18</v>
      </c>
      <c r="AV16" s="111"/>
      <c r="AW16" s="330" t="n">
        <v>0</v>
      </c>
      <c r="AX16" s="225" t="n">
        <v>80</v>
      </c>
      <c r="AY16" s="225" t="n">
        <v>52</v>
      </c>
      <c r="AZ16" s="264"/>
      <c r="BA16" s="263" t="n">
        <f aca="false">SUM(N16,P16:U16)</f>
        <v>7.96183849254949</v>
      </c>
      <c r="BB16" s="193" t="n">
        <v>9.86</v>
      </c>
      <c r="BC16" s="264" t="n">
        <v>18721</v>
      </c>
    </row>
    <row r="17" customFormat="false" ht="12.95" hidden="false" customHeight="true" outlineLevel="0" collapsed="false">
      <c r="A17" s="192" t="n">
        <f aca="false">A16+1</f>
        <v>3</v>
      </c>
      <c r="B17" s="113" t="n">
        <v>6891.14</v>
      </c>
      <c r="C17" s="114" t="n">
        <v>252050</v>
      </c>
      <c r="D17" s="225" t="n">
        <f aca="false">C17-C16</f>
        <v>-824</v>
      </c>
      <c r="E17" s="114" t="n">
        <f aca="false">C17-152000</f>
        <v>100050</v>
      </c>
      <c r="F17" s="259" t="n">
        <f aca="false">D17/$D$2</f>
        <v>-415.427275018906</v>
      </c>
      <c r="G17" s="143" t="n">
        <v>60</v>
      </c>
      <c r="H17" s="606" t="n">
        <v>0</v>
      </c>
      <c r="I17" s="143" t="n">
        <f aca="false">G17+H17</f>
        <v>60</v>
      </c>
      <c r="J17" s="144" t="n">
        <f aca="false">IF(L17&gt;0,L17,0)</f>
        <v>13.5707785660269</v>
      </c>
      <c r="K17" s="143" t="n">
        <f aca="false">I17+J17</f>
        <v>73.5707785660269</v>
      </c>
      <c r="L17" s="143" t="n">
        <f aca="false">F17-(I17-AK17)</f>
        <v>13.5707785660269</v>
      </c>
      <c r="M17" s="261" t="n">
        <v>178</v>
      </c>
      <c r="N17" s="171" t="n">
        <v>0.519284093773632</v>
      </c>
      <c r="O17" s="143" t="n">
        <f aca="false">32.1*1.05</f>
        <v>33.705</v>
      </c>
      <c r="P17" s="171" t="n">
        <v>0</v>
      </c>
      <c r="Q17" s="346" t="n">
        <f aca="false">1489600/325851/1.9835*1.02</f>
        <v>2.35081564561332</v>
      </c>
      <c r="R17" s="139" t="n">
        <f aca="false">IF(((5*1.04)-T17)&gt;=4.2,4.2,(5*1.04)-T17)</f>
        <v>4.2</v>
      </c>
      <c r="S17" s="139" t="n">
        <f aca="false">IF(((5*1.04)-T17)&gt;=4.2,((5*1.04)-T17)-4.2,0)</f>
        <v>0.17286928</v>
      </c>
      <c r="T17" s="139" t="n">
        <f aca="false">(0.7503*1.06)*1.04</f>
        <v>0.82713072</v>
      </c>
      <c r="U17" s="365" t="n">
        <v>0</v>
      </c>
      <c r="V17" s="143" t="n">
        <v>119</v>
      </c>
      <c r="W17" s="143" t="n">
        <v>56</v>
      </c>
      <c r="X17" s="143" t="n">
        <f aca="false">M17-N17-O17-P17-Q17-R17-S17-T17-U17+V17+W17-AU17+AR17</f>
        <v>331.422953845546</v>
      </c>
      <c r="Y17" s="143" t="n">
        <f aca="false">X17-AO17</f>
        <v>331.422953845546</v>
      </c>
      <c r="Z17" s="114" t="n">
        <f aca="false">Z16+AP17</f>
        <v>2815.92667929815</v>
      </c>
      <c r="AA17" s="143" t="n">
        <f aca="false">(-AP17)</f>
        <v>279.673769491159</v>
      </c>
      <c r="AB17" s="114"/>
      <c r="AC17" s="442" t="n">
        <f aca="false">AC16-(AQ16/1.9835)+AS17</f>
        <v>1381.91124345067</v>
      </c>
      <c r="AD17" s="442" t="n">
        <f aca="false">AD16</f>
        <v>2618.93636501134</v>
      </c>
      <c r="AE17" s="143" t="n">
        <v>77</v>
      </c>
      <c r="AF17" s="145" t="n">
        <v>1.7</v>
      </c>
      <c r="AG17" s="146" t="n">
        <v>1.3</v>
      </c>
      <c r="AH17" s="143" t="n">
        <v>38.8</v>
      </c>
      <c r="AI17" s="114" t="n">
        <f aca="false">AI16-AH17</f>
        <v>6158.45787748928</v>
      </c>
      <c r="AJ17" s="114"/>
      <c r="AK17" s="142" t="n">
        <f aca="false">N17+O17+P17+Q17+R17+S17+T17+U17+X17+AE17+AH17</f>
        <v>488.998053584933</v>
      </c>
      <c r="AL17" s="143" t="n">
        <f aca="false">IF(L17&lt;0,L17*-1,0)</f>
        <v>0</v>
      </c>
      <c r="AM17" s="143" t="n">
        <f aca="false">AK17+AL17</f>
        <v>488.998053584933</v>
      </c>
      <c r="AN17" s="147"/>
      <c r="AO17" s="144"/>
      <c r="AP17" s="585" t="n">
        <f aca="false">I17-Q17-R17-X17-AF17</f>
        <v>-279.673769491159</v>
      </c>
      <c r="AQ17" s="171" t="n">
        <f aca="false">23.919*(Z17*1.9835+AC17*1.9835)/E17</f>
        <v>1.99059907187839</v>
      </c>
      <c r="AR17" s="171" t="n">
        <f aca="false">1502.862/$D$2/35</f>
        <v>21.6480535849328</v>
      </c>
      <c r="AS17" s="171"/>
      <c r="AT17" s="114" t="n">
        <f aca="false">BB17</f>
        <v>9.66</v>
      </c>
      <c r="AU17" s="56" t="n">
        <v>1.45</v>
      </c>
      <c r="AV17" s="111"/>
      <c r="AW17" s="330" t="n">
        <v>0</v>
      </c>
      <c r="AX17" s="225" t="n">
        <v>74</v>
      </c>
      <c r="AY17" s="225" t="n">
        <v>42</v>
      </c>
      <c r="AZ17" s="264"/>
      <c r="BA17" s="263" t="n">
        <f aca="false">SUM(N17,P17:U17)</f>
        <v>8.07009973938695</v>
      </c>
      <c r="BB17" s="193" t="n">
        <v>9.66</v>
      </c>
      <c r="BC17" s="264" t="n">
        <v>18669</v>
      </c>
    </row>
    <row r="18" customFormat="false" ht="12.95" hidden="false" customHeight="true" outlineLevel="0" collapsed="false">
      <c r="A18" s="192" t="n">
        <f aca="false">A17+1</f>
        <v>4</v>
      </c>
      <c r="B18" s="113" t="n">
        <v>6890.92</v>
      </c>
      <c r="C18" s="114" t="n">
        <v>251297</v>
      </c>
      <c r="D18" s="225" t="n">
        <f aca="false">C18-C17</f>
        <v>-753</v>
      </c>
      <c r="E18" s="114" t="n">
        <f aca="false">C18-152000</f>
        <v>99297</v>
      </c>
      <c r="F18" s="259" t="n">
        <f aca="false">D18/$D$2</f>
        <v>-379.631963700529</v>
      </c>
      <c r="G18" s="143" t="n">
        <v>62</v>
      </c>
      <c r="H18" s="606" t="n">
        <v>0</v>
      </c>
      <c r="I18" s="143" t="n">
        <f aca="false">G18+H18</f>
        <v>62</v>
      </c>
      <c r="J18" s="144" t="n">
        <f aca="false">IF(L18&gt;0,L18,0)</f>
        <v>17.9760898844035</v>
      </c>
      <c r="K18" s="143" t="n">
        <f aca="false">I18+J18</f>
        <v>79.9760898844035</v>
      </c>
      <c r="L18" s="143" t="n">
        <f aca="false">F18-(I18-AK18)</f>
        <v>17.9760898844035</v>
      </c>
      <c r="M18" s="261" t="n">
        <v>176</v>
      </c>
      <c r="N18" s="171" t="n">
        <v>0.519284093773632</v>
      </c>
      <c r="O18" s="143" t="n">
        <f aca="false">28.3*1.05</f>
        <v>29.715</v>
      </c>
      <c r="P18" s="171" t="n">
        <v>0</v>
      </c>
      <c r="Q18" s="346" t="n">
        <f aca="false">1471500/325851/1.9835*1.02</f>
        <v>2.322251089232</v>
      </c>
      <c r="R18" s="139" t="n">
        <f aca="false">IF(((4.9*1.04)-T18)&gt;=4.2,4.2,(4.9*1.04)-T18)</f>
        <v>4.2</v>
      </c>
      <c r="S18" s="139" t="n">
        <f aca="false">IF(((4.9*1.04)-T18)&gt;=4.2,((4.9*1.04)-T18)-4.2,0)</f>
        <v>0.0688692800000004</v>
      </c>
      <c r="T18" s="139" t="n">
        <f aca="false">(0.7503*1.06)*1.04</f>
        <v>0.82713072</v>
      </c>
      <c r="U18" s="365" t="n">
        <v>0</v>
      </c>
      <c r="V18" s="143" t="n">
        <v>119</v>
      </c>
      <c r="W18" s="143" t="n">
        <v>55.8</v>
      </c>
      <c r="X18" s="143" t="n">
        <f aca="false">M18-N18-O18-P18-Q18-R18-S18-T18-U18+V18+W18-AU18+AR18</f>
        <v>333.455518401927</v>
      </c>
      <c r="Y18" s="143" t="n">
        <f aca="false">X18-AO18</f>
        <v>333.455518401927</v>
      </c>
      <c r="Z18" s="114" t="n">
        <f aca="false">Z17+AP18</f>
        <v>2536.24890980699</v>
      </c>
      <c r="AA18" s="143" t="n">
        <f aca="false">(-AP18)</f>
        <v>279.677769491159</v>
      </c>
      <c r="AB18" s="114"/>
      <c r="AC18" s="442" t="n">
        <f aca="false">AC17-(AQ17/1.9835)+AS18</f>
        <v>1380.90766438746</v>
      </c>
      <c r="AD18" s="442" t="n">
        <f aca="false">AD17</f>
        <v>2618.93636501134</v>
      </c>
      <c r="AE18" s="143" t="n">
        <v>49.7</v>
      </c>
      <c r="AF18" s="145" t="n">
        <v>1.7</v>
      </c>
      <c r="AG18" s="146" t="n">
        <v>1.3</v>
      </c>
      <c r="AH18" s="143" t="n">
        <v>38.8</v>
      </c>
      <c r="AI18" s="114" t="n">
        <f aca="false">AI17-AH18</f>
        <v>6119.65787748928</v>
      </c>
      <c r="AJ18" s="114"/>
      <c r="AK18" s="142" t="n">
        <f aca="false">N18+O18+P18+Q18+R18+S18+T18+U18+X18+AE18+AH18</f>
        <v>459.608053584933</v>
      </c>
      <c r="AL18" s="143" t="n">
        <f aca="false">IF(L18&lt;0,L18*-1,0)</f>
        <v>0</v>
      </c>
      <c r="AM18" s="143" t="n">
        <f aca="false">AK18+AL18</f>
        <v>459.608053584933</v>
      </c>
      <c r="AN18" s="147"/>
      <c r="AO18" s="144"/>
      <c r="AP18" s="585" t="n">
        <f aca="false">I18-Q18-R18-X18-AF18</f>
        <v>-279.677769491159</v>
      </c>
      <c r="AQ18" s="171" t="n">
        <f aca="false">30.696*(Z18*1.9835+AC18*1.9835)/E18</f>
        <v>2.40186611148999</v>
      </c>
      <c r="AR18" s="171" t="n">
        <f aca="false">1502.862/$D$2/35</f>
        <v>21.6480535849328</v>
      </c>
      <c r="AS18" s="171"/>
      <c r="AT18" s="114" t="n">
        <f aca="false">BB18</f>
        <v>7.16</v>
      </c>
      <c r="AU18" s="56" t="n">
        <v>1.34</v>
      </c>
      <c r="AV18" s="111"/>
      <c r="AW18" s="330" t="n">
        <v>0.02</v>
      </c>
      <c r="AX18" s="225" t="n">
        <v>74</v>
      </c>
      <c r="AY18" s="225" t="n">
        <v>46</v>
      </c>
      <c r="AZ18" s="264"/>
      <c r="BA18" s="263" t="n">
        <f aca="false">SUM(N18,P18:U18)</f>
        <v>7.93753518300564</v>
      </c>
      <c r="BB18" s="193" t="n">
        <v>7.16</v>
      </c>
      <c r="BC18" s="264" t="n">
        <v>18652</v>
      </c>
    </row>
    <row r="19" customFormat="false" ht="12.95" hidden="false" customHeight="true" outlineLevel="0" collapsed="false">
      <c r="A19" s="192" t="n">
        <f aca="false">A18+1</f>
        <v>5</v>
      </c>
      <c r="B19" s="113" t="n">
        <v>6890.7</v>
      </c>
      <c r="C19" s="114" t="n">
        <v>250549</v>
      </c>
      <c r="D19" s="225" t="n">
        <f aca="false">C19-C18</f>
        <v>-748</v>
      </c>
      <c r="E19" s="114" t="n">
        <f aca="false">C19-152000</f>
        <v>98549</v>
      </c>
      <c r="F19" s="259" t="n">
        <f aca="false">D19/$D$2</f>
        <v>-377.111167128813</v>
      </c>
      <c r="G19" s="143" t="n">
        <v>65</v>
      </c>
      <c r="H19" s="606" t="n">
        <v>0</v>
      </c>
      <c r="I19" s="143" t="n">
        <f aca="false">G19+H19</f>
        <v>65</v>
      </c>
      <c r="J19" s="144" t="n">
        <f aca="false">IF(L19&gt;0,L19,0)</f>
        <v>45.4068864561201</v>
      </c>
      <c r="K19" s="143" t="n">
        <f aca="false">I19+J19</f>
        <v>110.40688645612</v>
      </c>
      <c r="L19" s="143" t="n">
        <f aca="false">F19-(I19-AK19)</f>
        <v>45.4068864561201</v>
      </c>
      <c r="M19" s="261" t="n">
        <v>162</v>
      </c>
      <c r="N19" s="171" t="n">
        <v>0.519284093773632</v>
      </c>
      <c r="O19" s="143" t="n">
        <f aca="false">26.3*1.05</f>
        <v>27.615</v>
      </c>
      <c r="P19" s="171" t="n">
        <v>0</v>
      </c>
      <c r="Q19" s="346" t="n">
        <f aca="false">1343100/325851/1.9835*1.02</f>
        <v>2.11961633567618</v>
      </c>
      <c r="R19" s="139" t="n">
        <f aca="false">IF(((5.1*1.04)-T19)&gt;=4.2,4.2,(5.1*1.04)-T19)</f>
        <v>4.2</v>
      </c>
      <c r="S19" s="139" t="n">
        <f aca="false">IF(((5.1*1.04)-T19)&gt;=4.2,((5.1*1.04)-T19)-4.2,0)</f>
        <v>0.276869279999999</v>
      </c>
      <c r="T19" s="139" t="n">
        <f aca="false">(0.7503*1.06)*1.04</f>
        <v>0.82713072</v>
      </c>
      <c r="U19" s="365" t="n">
        <v>0</v>
      </c>
      <c r="V19" s="143" t="n">
        <v>183</v>
      </c>
      <c r="W19" s="143" t="n">
        <v>53.9</v>
      </c>
      <c r="X19" s="143" t="n">
        <f aca="false">M19-N19-O19-P19-Q19-R19-S19-T19-U19+V19+W19-AU19+AR19</f>
        <v>383.760153155483</v>
      </c>
      <c r="Y19" s="143" t="n">
        <f aca="false">X19-AO19</f>
        <v>383.760153155483</v>
      </c>
      <c r="Z19" s="114" t="n">
        <f aca="false">Z18+AP19</f>
        <v>2209.46914031583</v>
      </c>
      <c r="AA19" s="143" t="n">
        <f aca="false">(-AP19)</f>
        <v>326.779769491159</v>
      </c>
      <c r="AB19" s="114"/>
      <c r="AC19" s="442" t="n">
        <f aca="false">AC18-(AQ18/1.9835)+AS19</f>
        <v>1379.69674121554</v>
      </c>
      <c r="AD19" s="442" t="n">
        <f aca="false">AD18</f>
        <v>2618.93636501134</v>
      </c>
      <c r="AE19" s="143" t="n">
        <v>28.8</v>
      </c>
      <c r="AF19" s="145" t="n">
        <v>1.7</v>
      </c>
      <c r="AG19" s="146" t="n">
        <v>1.3</v>
      </c>
      <c r="AH19" s="143" t="n">
        <v>39.4</v>
      </c>
      <c r="AI19" s="114" t="n">
        <f aca="false">AI18-AH19</f>
        <v>6080.25787748928</v>
      </c>
      <c r="AJ19" s="114"/>
      <c r="AK19" s="142" t="n">
        <f aca="false">N19+O19+P19+Q19+R19+S19+T19+U19+X19+AE19+AH19</f>
        <v>487.518053584933</v>
      </c>
      <c r="AL19" s="143" t="n">
        <f aca="false">IF(L19&lt;0,L19*-1,0)</f>
        <v>0</v>
      </c>
      <c r="AM19" s="143" t="n">
        <f aca="false">AK19+AL19</f>
        <v>487.518053584933</v>
      </c>
      <c r="AN19" s="147" t="n">
        <f aca="false">V19-119</f>
        <v>64</v>
      </c>
      <c r="AO19" s="144"/>
      <c r="AP19" s="585" t="n">
        <f aca="false">I19-Q19-R19-X19-AF19</f>
        <v>-326.779769491159</v>
      </c>
      <c r="AQ19" s="171" t="n">
        <f aca="false">0*(Z19*1.9835+AC19*1.9835)/E19</f>
        <v>0</v>
      </c>
      <c r="AR19" s="171" t="n">
        <f aca="false">1502.862/$D$2/35</f>
        <v>21.6480535849328</v>
      </c>
      <c r="AS19" s="171"/>
      <c r="AT19" s="114" t="n">
        <f aca="false">BB19</f>
        <v>7.98</v>
      </c>
      <c r="AU19" s="56" t="n">
        <v>1.23</v>
      </c>
      <c r="AV19" s="111"/>
      <c r="AW19" s="330" t="n">
        <v>1.12</v>
      </c>
      <c r="AX19" s="225" t="n">
        <v>66</v>
      </c>
      <c r="AY19" s="225" t="n">
        <v>46</v>
      </c>
      <c r="AZ19" s="264"/>
      <c r="BA19" s="263" t="n">
        <f aca="false">SUM(N19,P19:U19)</f>
        <v>7.94290042944982</v>
      </c>
      <c r="BB19" s="193" t="n">
        <v>7.98</v>
      </c>
      <c r="BC19" s="264" t="n">
        <v>18644</v>
      </c>
    </row>
    <row r="20" customFormat="false" ht="12.95" hidden="false" customHeight="true" outlineLevel="0" collapsed="false">
      <c r="A20" s="192" t="n">
        <f aca="false">A19+1</f>
        <v>6</v>
      </c>
      <c r="B20" s="113" t="n">
        <v>6890.61</v>
      </c>
      <c r="C20" s="114" t="n">
        <v>250243</v>
      </c>
      <c r="D20" s="225" t="n">
        <f aca="false">C20-C19</f>
        <v>-306</v>
      </c>
      <c r="E20" s="114" t="n">
        <f aca="false">C20-152000</f>
        <v>98243</v>
      </c>
      <c r="F20" s="259" t="n">
        <f aca="false">D20/$D$2</f>
        <v>-154.27275018906</v>
      </c>
      <c r="G20" s="143" t="n">
        <v>165</v>
      </c>
      <c r="H20" s="606" t="n">
        <v>0</v>
      </c>
      <c r="I20" s="143" t="n">
        <f aca="false">G20+H20</f>
        <v>165</v>
      </c>
      <c r="J20" s="144" t="n">
        <f aca="false">IF(L20&gt;0,L20,0)</f>
        <v>86.6272498109403</v>
      </c>
      <c r="K20" s="143" t="n">
        <f aca="false">I20+J20</f>
        <v>251.62724981094</v>
      </c>
      <c r="L20" s="143" t="n">
        <f aca="false">F20-(I20-AK20)</f>
        <v>86.6272498109403</v>
      </c>
      <c r="M20" s="261" t="n">
        <v>111</v>
      </c>
      <c r="N20" s="171" t="n">
        <v>0.519284093773632</v>
      </c>
      <c r="O20" s="143" t="n">
        <f aca="false">27.8*1.05</f>
        <v>29.19</v>
      </c>
      <c r="P20" s="171" t="n">
        <v>0</v>
      </c>
      <c r="Q20" s="346" t="n">
        <f aca="false">960300/325851/1.9835*1.02</f>
        <v>1.51549964049575</v>
      </c>
      <c r="R20" s="139" t="n">
        <f aca="false">IF(((3.2*1.04)-T20)&gt;=4.2,4.2,(3.2*1.04)-T20)</f>
        <v>2.50086928</v>
      </c>
      <c r="S20" s="139" t="n">
        <f aca="false">IF(((3.2*1.04)-T20)&gt;=4.2,((3.2*1.04)-T20)-4.2,0)</f>
        <v>0</v>
      </c>
      <c r="T20" s="139" t="n">
        <f aca="false">(0.7503*1.06)*1.04</f>
        <v>0.82713072</v>
      </c>
      <c r="U20" s="365" t="n">
        <v>0</v>
      </c>
      <c r="V20" s="143" t="n">
        <v>211</v>
      </c>
      <c r="W20" s="143" t="n">
        <v>46.1</v>
      </c>
      <c r="X20" s="143" t="n">
        <f aca="false">M20-N20-O20-P20-Q20-R20-S20-T20-U20+V20+W20-AU20+AR20</f>
        <v>332.347216265731</v>
      </c>
      <c r="Y20" s="143" t="n">
        <f aca="false">X20-AO20</f>
        <v>332.347216265731</v>
      </c>
      <c r="Z20" s="114" t="n">
        <f aca="false">Z19+AP20</f>
        <v>2036.4055551296</v>
      </c>
      <c r="AA20" s="143" t="n">
        <f aca="false">(-AP20)</f>
        <v>173.063585186226</v>
      </c>
      <c r="AB20" s="114"/>
      <c r="AC20" s="442" t="n">
        <f aca="false">AC19-(AQ19/1.9835)+AS20</f>
        <v>1379.69674121554</v>
      </c>
      <c r="AD20" s="442" t="n">
        <f aca="false">AD19</f>
        <v>2618.93636501134</v>
      </c>
      <c r="AE20" s="143" t="n">
        <v>0</v>
      </c>
      <c r="AF20" s="145" t="n">
        <v>1.7</v>
      </c>
      <c r="AG20" s="146" t="n">
        <v>1.3</v>
      </c>
      <c r="AH20" s="143" t="n">
        <v>39</v>
      </c>
      <c r="AI20" s="114" t="n">
        <f aca="false">AI19-AH20</f>
        <v>6041.25787748928</v>
      </c>
      <c r="AJ20" s="114"/>
      <c r="AK20" s="142" t="n">
        <f aca="false">N20+O20+P20+Q20+R20+S20+T20+U20+X20+AE20+AH20</f>
        <v>405.9</v>
      </c>
      <c r="AL20" s="143" t="n">
        <f aca="false">IF(L20&lt;0,L20*-1,0)</f>
        <v>0</v>
      </c>
      <c r="AM20" s="143" t="n">
        <f aca="false">AK20+AL20</f>
        <v>405.9</v>
      </c>
      <c r="AN20" s="147" t="n">
        <f aca="false">V20-119</f>
        <v>92</v>
      </c>
      <c r="AO20" s="144"/>
      <c r="AP20" s="585" t="n">
        <f aca="false">I20-Q20-R20-X20-AF20</f>
        <v>-173.063585186226</v>
      </c>
      <c r="AQ20" s="171" t="n">
        <f aca="false">0*(Z20*1.9835+AC20*1.9835)/E20</f>
        <v>0</v>
      </c>
      <c r="AR20" s="171"/>
      <c r="AS20" s="171"/>
      <c r="AT20" s="114" t="n">
        <f aca="false">BB20</f>
        <v>13.4</v>
      </c>
      <c r="AU20" s="56" t="n">
        <v>1.2</v>
      </c>
      <c r="AV20" s="111"/>
      <c r="AW20" s="330" t="n">
        <v>0.06</v>
      </c>
      <c r="AX20" s="225" t="n">
        <v>67</v>
      </c>
      <c r="AY20" s="225" t="n">
        <v>44</v>
      </c>
      <c r="AZ20" s="264"/>
      <c r="BA20" s="263" t="n">
        <f aca="false">SUM(N20,P20:U20)</f>
        <v>5.36278373426938</v>
      </c>
      <c r="BB20" s="193" t="n">
        <v>13.4</v>
      </c>
      <c r="BC20" s="264" t="n">
        <v>18639</v>
      </c>
    </row>
    <row r="21" customFormat="false" ht="12.95" hidden="false" customHeight="true" outlineLevel="0" collapsed="false">
      <c r="A21" s="192" t="n">
        <f aca="false">A20+1</f>
        <v>7</v>
      </c>
      <c r="B21" s="113" t="n">
        <v>6890.44</v>
      </c>
      <c r="C21" s="114" t="n">
        <v>249664</v>
      </c>
      <c r="D21" s="225" t="n">
        <f aca="false">C21-C20</f>
        <v>-579</v>
      </c>
      <c r="E21" s="114" t="n">
        <f aca="false">C21-152000</f>
        <v>97664</v>
      </c>
      <c r="F21" s="259" t="n">
        <f aca="false">D21/$D$2</f>
        <v>-291.908243004789</v>
      </c>
      <c r="G21" s="143" t="n">
        <v>148</v>
      </c>
      <c r="H21" s="606" t="n">
        <v>0</v>
      </c>
      <c r="I21" s="143" t="n">
        <f aca="false">G21+H21</f>
        <v>148</v>
      </c>
      <c r="J21" s="144" t="n">
        <f aca="false">IF(L21&gt;0,L21,0)</f>
        <v>0</v>
      </c>
      <c r="K21" s="143" t="n">
        <f aca="false">I21+J21</f>
        <v>148</v>
      </c>
      <c r="L21" s="143" t="n">
        <f aca="false">F21-(I21-AK21)</f>
        <v>-44.3082430047895</v>
      </c>
      <c r="M21" s="261" t="n">
        <v>102</v>
      </c>
      <c r="N21" s="171" t="n">
        <v>0.519284093773632</v>
      </c>
      <c r="O21" s="143" t="n">
        <f aca="false">6.54*1.05</f>
        <v>6.867</v>
      </c>
      <c r="P21" s="171" t="n">
        <v>0</v>
      </c>
      <c r="Q21" s="346" t="n">
        <f aca="false">1024700/325851/1.9835*1.02</f>
        <v>1.61713264773091</v>
      </c>
      <c r="R21" s="139" t="n">
        <f aca="false">IF(((2.5*1.04)-T21)&gt;=4.2,4.2,(2.5*1.04)-T21)</f>
        <v>1.77286928</v>
      </c>
      <c r="S21" s="139" t="n">
        <f aca="false">IF(((2.5*1.04)-T21)&gt;=4.2,((2.5*1.04)-T21)-4.2,0)</f>
        <v>0</v>
      </c>
      <c r="T21" s="139" t="n">
        <f aca="false">(0.7503*1.06)*1.04</f>
        <v>0.82713072</v>
      </c>
      <c r="U21" s="365" t="n">
        <v>0</v>
      </c>
      <c r="V21" s="607" t="n">
        <v>210</v>
      </c>
      <c r="W21" s="143" t="n">
        <v>45.7</v>
      </c>
      <c r="X21" s="143" t="n">
        <f aca="false">M21-N21-O21-P21-Q21-R21-S21-T21-U21+V21+W21-AU21+AR21</f>
        <v>344.796583258495</v>
      </c>
      <c r="Y21" s="143" t="n">
        <f aca="false">X21-AO21</f>
        <v>344.796583258495</v>
      </c>
      <c r="Z21" s="114" t="n">
        <f aca="false">Z20+AP21</f>
        <v>1834.51896994338</v>
      </c>
      <c r="AA21" s="143" t="n">
        <f aca="false">(-AP21)</f>
        <v>201.886585186226</v>
      </c>
      <c r="AB21" s="114"/>
      <c r="AC21" s="442" t="n">
        <f aca="false">AC20-(AQ20/1.9835)+AS21</f>
        <v>1379.69674121554</v>
      </c>
      <c r="AD21" s="442" t="n">
        <f aca="false">AD20</f>
        <v>2618.93636501134</v>
      </c>
      <c r="AE21" s="143" t="n">
        <v>0</v>
      </c>
      <c r="AF21" s="145" t="n">
        <v>1.7</v>
      </c>
      <c r="AG21" s="146" t="n">
        <v>1.3</v>
      </c>
      <c r="AH21" s="143" t="n">
        <v>39.2</v>
      </c>
      <c r="AI21" s="114" t="n">
        <f aca="false">AI20-AH21</f>
        <v>6002.05787748928</v>
      </c>
      <c r="AJ21" s="114"/>
      <c r="AK21" s="142" t="n">
        <f aca="false">N21+O21+P21+Q21+R21+S21+T21+U21+X21+AE21+AH21</f>
        <v>395.6</v>
      </c>
      <c r="AL21" s="143" t="n">
        <f aca="false">IF(L21&lt;0,L21*-1,0)</f>
        <v>44.3082430047895</v>
      </c>
      <c r="AM21" s="143" t="n">
        <f aca="false">AK21+AL21</f>
        <v>439.90824300479</v>
      </c>
      <c r="AN21" s="147" t="n">
        <f aca="false">V21-119</f>
        <v>91</v>
      </c>
      <c r="AO21" s="144"/>
      <c r="AP21" s="585" t="n">
        <f aca="false">I21-Q21-R21-X21-AF21</f>
        <v>-201.886585186226</v>
      </c>
      <c r="AQ21" s="171" t="n">
        <f aca="false">11.252*(Z21*1.9835+AC21*1.9835)/E21</f>
        <v>0.734517995406885</v>
      </c>
      <c r="AR21" s="171"/>
      <c r="AS21" s="171"/>
      <c r="AT21" s="114" t="n">
        <f aca="false">BB21</f>
        <v>12</v>
      </c>
      <c r="AU21" s="56" t="n">
        <v>1.3</v>
      </c>
      <c r="AV21" s="111"/>
      <c r="AW21" s="330" t="n">
        <v>0.01</v>
      </c>
      <c r="AX21" s="225" t="n">
        <v>67</v>
      </c>
      <c r="AY21" s="225" t="n">
        <v>46</v>
      </c>
      <c r="AZ21" s="264"/>
      <c r="BA21" s="263" t="n">
        <f aca="false">SUM(N21,P21:U21)</f>
        <v>4.73641674150454</v>
      </c>
      <c r="BB21" s="193" t="n">
        <v>12</v>
      </c>
      <c r="BC21" s="264" t="n">
        <v>18624</v>
      </c>
    </row>
    <row r="22" customFormat="false" ht="12.95" hidden="false" customHeight="true" outlineLevel="0" collapsed="false">
      <c r="A22" s="192" t="n">
        <f aca="false">A21+1</f>
        <v>8</v>
      </c>
      <c r="B22" s="113" t="n">
        <v>6890.25</v>
      </c>
      <c r="C22" s="114" t="n">
        <v>249018</v>
      </c>
      <c r="D22" s="225" t="n">
        <f aca="false">C22-C21</f>
        <v>-646</v>
      </c>
      <c r="E22" s="114" t="n">
        <f aca="false">C22-152000</f>
        <v>97018</v>
      </c>
      <c r="F22" s="259" t="n">
        <f aca="false">D22/$D$2</f>
        <v>-325.686917065793</v>
      </c>
      <c r="G22" s="143" t="n">
        <v>120</v>
      </c>
      <c r="H22" s="606" t="n">
        <v>0</v>
      </c>
      <c r="I22" s="143" t="n">
        <f aca="false">G22+H22</f>
        <v>120</v>
      </c>
      <c r="J22" s="144" t="n">
        <f aca="false">IF(L22&gt;0,L22,0)</f>
        <v>0</v>
      </c>
      <c r="K22" s="143" t="n">
        <f aca="false">I22+J22</f>
        <v>120</v>
      </c>
      <c r="L22" s="143" t="n">
        <f aca="false">F22-(I22-AK22)</f>
        <v>-81.6599170657927</v>
      </c>
      <c r="M22" s="261" t="n">
        <v>89.5</v>
      </c>
      <c r="N22" s="171" t="n">
        <v>0.519284093773632</v>
      </c>
      <c r="O22" s="143" t="n">
        <f aca="false">0*1.05</f>
        <v>0</v>
      </c>
      <c r="P22" s="171" t="n">
        <v>0</v>
      </c>
      <c r="Q22" s="346" t="n">
        <f aca="false">1076800/325851/1.9835*1.02</f>
        <v>1.69935438184507</v>
      </c>
      <c r="R22" s="139" t="n">
        <f aca="false">IF(((2.5*1.04)-T22)&gt;=4.2,4.2,(2.5*1.04)-T22)</f>
        <v>1.77286928</v>
      </c>
      <c r="S22" s="139" t="n">
        <f aca="false">IF(((2.5*1.04)-T22)&gt;=4.2,((2.5*1.04)-T22)-4.2,0)</f>
        <v>0</v>
      </c>
      <c r="T22" s="139" t="n">
        <f aca="false">(0.7503*1.06)*1.04</f>
        <v>0.82713072</v>
      </c>
      <c r="U22" s="365" t="n">
        <v>0</v>
      </c>
      <c r="V22" s="143" t="n">
        <v>196</v>
      </c>
      <c r="W22" s="143" t="n">
        <v>41.6</v>
      </c>
      <c r="X22" s="143" t="n">
        <f aca="false">M22-N22-O22-P22-Q22-R22-S22-T22-U22+V22+W22-AU22+AR22</f>
        <v>321.408361524381</v>
      </c>
      <c r="Y22" s="143" t="n">
        <f aca="false">X22-AO22</f>
        <v>321.408361524381</v>
      </c>
      <c r="Z22" s="114" t="n">
        <f aca="false">Z21+AP22</f>
        <v>1627.93838475715</v>
      </c>
      <c r="AA22" s="143" t="n">
        <f aca="false">(-AP22)</f>
        <v>206.580585186226</v>
      </c>
      <c r="AB22" s="114"/>
      <c r="AC22" s="442" t="n">
        <f aca="false">AC21-(AQ21/1.9835)+AS22</f>
        <v>1379.3264271266</v>
      </c>
      <c r="AD22" s="442" t="n">
        <f aca="false">AD21</f>
        <v>2618.93636501134</v>
      </c>
      <c r="AE22" s="143" t="n">
        <v>0</v>
      </c>
      <c r="AF22" s="145" t="n">
        <v>1.7</v>
      </c>
      <c r="AG22" s="146" t="n">
        <v>1.3</v>
      </c>
      <c r="AH22" s="143" t="n">
        <v>37.8</v>
      </c>
      <c r="AI22" s="114" t="n">
        <f aca="false">AI21-AH22</f>
        <v>5964.25787748928</v>
      </c>
      <c r="AJ22" s="114"/>
      <c r="AK22" s="142" t="n">
        <f aca="false">N22+O22+P22+Q22+R22+S22+T22+U22+X22+AE22+AH22</f>
        <v>364.027</v>
      </c>
      <c r="AL22" s="143" t="n">
        <f aca="false">IF(L22&lt;0,L22*-1,0)</f>
        <v>81.6599170657927</v>
      </c>
      <c r="AM22" s="143" t="n">
        <f aca="false">AK22+AL22</f>
        <v>445.686917065793</v>
      </c>
      <c r="AN22" s="147" t="n">
        <f aca="false">V22-119</f>
        <v>77</v>
      </c>
      <c r="AO22" s="144"/>
      <c r="AP22" s="585" t="n">
        <f aca="false">I22-Q22-R22-X22-AF22</f>
        <v>-206.580585186226</v>
      </c>
      <c r="AQ22" s="171" t="n">
        <f aca="false">32.571*(Z22*1.9835+AC22*1.9835)/E22</f>
        <v>2.00254669865006</v>
      </c>
      <c r="AR22" s="171"/>
      <c r="AS22" s="171"/>
      <c r="AT22" s="114" t="n">
        <f aca="false">BB22</f>
        <v>10.5</v>
      </c>
      <c r="AU22" s="56" t="n">
        <v>0.873</v>
      </c>
      <c r="AV22" s="111"/>
      <c r="AW22" s="330" t="n">
        <v>0</v>
      </c>
      <c r="AX22" s="225" t="n">
        <v>75</v>
      </c>
      <c r="AY22" s="225" t="n">
        <v>45</v>
      </c>
      <c r="AZ22" s="264"/>
      <c r="BA22" s="263" t="n">
        <f aca="false">SUM(N22,P22:U22)</f>
        <v>4.8186384756187</v>
      </c>
      <c r="BB22" s="193" t="n">
        <v>10.5</v>
      </c>
      <c r="BC22" s="264" t="n">
        <v>18602</v>
      </c>
    </row>
    <row r="23" customFormat="false" ht="12.95" hidden="false" customHeight="true" outlineLevel="0" collapsed="false">
      <c r="A23" s="192" t="n">
        <f aca="false">A22+1</f>
        <v>9</v>
      </c>
      <c r="B23" s="113" t="n">
        <v>6890.1</v>
      </c>
      <c r="C23" s="114" t="n">
        <v>248508</v>
      </c>
      <c r="D23" s="225" t="n">
        <f aca="false">C23-C22</f>
        <v>-510</v>
      </c>
      <c r="E23" s="114" t="n">
        <f aca="false">C23-152000</f>
        <v>96508</v>
      </c>
      <c r="F23" s="259" t="n">
        <f aca="false">D23/$D$2</f>
        <v>-257.1212503151</v>
      </c>
      <c r="G23" s="143" t="n">
        <v>105</v>
      </c>
      <c r="H23" s="606" t="n">
        <v>0</v>
      </c>
      <c r="I23" s="143" t="n">
        <f aca="false">G23+H23</f>
        <v>105</v>
      </c>
      <c r="J23" s="144" t="n">
        <f aca="false">IF(L23&gt;0,L23,0)</f>
        <v>0</v>
      </c>
      <c r="K23" s="143" t="n">
        <f aca="false">I23+J23</f>
        <v>105</v>
      </c>
      <c r="L23" s="143" t="n">
        <f aca="false">F23-(I23-AK23)</f>
        <v>-2.32125031509958</v>
      </c>
      <c r="M23" s="261" t="n">
        <v>97.9</v>
      </c>
      <c r="N23" s="171" t="n">
        <v>0.519284093773632</v>
      </c>
      <c r="O23" s="143" t="n">
        <f aca="false">0*1.05</f>
        <v>0</v>
      </c>
      <c r="P23" s="171" t="n">
        <v>0</v>
      </c>
      <c r="Q23" s="346" t="n">
        <f aca="false">1085200/325851/1.9835*1.02</f>
        <v>1.71261086104966</v>
      </c>
      <c r="R23" s="139" t="n">
        <f aca="false">IF(((2.5*1.04)-T23)&gt;=4.2,4.2,(2.5*1.04)-T23)</f>
        <v>1.77882224</v>
      </c>
      <c r="S23" s="139" t="n">
        <f aca="false">IF(((2.5*1.04)-T23)&gt;=4.2,((2.5*1.04)-T23)-4.2,0)</f>
        <v>0</v>
      </c>
      <c r="T23" s="139" t="n">
        <f aca="false">(0.7449*1.06)*1.04</f>
        <v>0.82117776</v>
      </c>
      <c r="U23" s="365" t="n">
        <v>0</v>
      </c>
      <c r="V23" s="143" t="n">
        <v>187</v>
      </c>
      <c r="W23" s="143" t="n">
        <v>40.8</v>
      </c>
      <c r="X23" s="143" t="n">
        <f aca="false">M23-N23-O23-P23-Q23-R23-S23-T23-U23+V23+W23-AU23+AR23</f>
        <v>320.868105045177</v>
      </c>
      <c r="Y23" s="143" t="n">
        <f aca="false">X23-AO23</f>
        <v>320.868105045177</v>
      </c>
      <c r="Z23" s="114" t="n">
        <f aca="false">Z22+AP23</f>
        <v>1406.87884661093</v>
      </c>
      <c r="AA23" s="143" t="n">
        <f aca="false">(-AP23)</f>
        <v>221.059538146226</v>
      </c>
      <c r="AB23" s="114"/>
      <c r="AC23" s="442" t="n">
        <f aca="false">AC22-(AQ22/1.9835)+AS23</f>
        <v>1378.31682455607</v>
      </c>
      <c r="AD23" s="442" t="n">
        <f aca="false">AD22</f>
        <v>2618.93636501134</v>
      </c>
      <c r="AE23" s="143" t="n">
        <v>0</v>
      </c>
      <c r="AF23" s="145" t="n">
        <v>1.7</v>
      </c>
      <c r="AG23" s="146" t="n">
        <v>1.3</v>
      </c>
      <c r="AH23" s="143" t="n">
        <v>34.1</v>
      </c>
      <c r="AI23" s="114" t="n">
        <f aca="false">AI22-AH23</f>
        <v>5930.15787748928</v>
      </c>
      <c r="AJ23" s="114"/>
      <c r="AK23" s="142" t="n">
        <f aca="false">N23+O23+P23+Q23+R23+S23+T23+U23+X23+AE23+AH23</f>
        <v>359.8</v>
      </c>
      <c r="AL23" s="143" t="n">
        <f aca="false">IF(L23&lt;0,L23*-1,0)</f>
        <v>2.32125031509958</v>
      </c>
      <c r="AM23" s="143" t="n">
        <f aca="false">AK23+AL23</f>
        <v>362.1212503151</v>
      </c>
      <c r="AN23" s="147" t="n">
        <f aca="false">V23-119</f>
        <v>68</v>
      </c>
      <c r="AO23" s="144"/>
      <c r="AP23" s="585" t="n">
        <f aca="false">I23-Q23-R23-X23-AF23</f>
        <v>-221.059538146226</v>
      </c>
      <c r="AQ23" s="171" t="n">
        <f aca="false">43.231*(Z23*1.9835+AC23*1.9835)/E23</f>
        <v>2.47468475171434</v>
      </c>
      <c r="AR23" s="171"/>
      <c r="AS23" s="171"/>
      <c r="AT23" s="114" t="n">
        <f aca="false">BB23</f>
        <v>10.2</v>
      </c>
      <c r="AU23" s="56"/>
      <c r="AV23" s="111"/>
      <c r="AW23" s="330" t="n">
        <v>0</v>
      </c>
      <c r="AX23" s="231" t="n">
        <v>75</v>
      </c>
      <c r="AY23" s="225" t="n">
        <v>45</v>
      </c>
      <c r="AZ23" s="264"/>
      <c r="BA23" s="263" t="n">
        <f aca="false">SUM(N23,P23:U23)</f>
        <v>4.83189495482329</v>
      </c>
      <c r="BB23" s="193" t="n">
        <v>10.2</v>
      </c>
      <c r="BC23" s="264" t="n">
        <v>18591</v>
      </c>
    </row>
    <row r="24" customFormat="false" ht="12.95" hidden="false" customHeight="true" outlineLevel="0" collapsed="false">
      <c r="A24" s="192" t="n">
        <f aca="false">A23+1</f>
        <v>10</v>
      </c>
      <c r="B24" s="113" t="n">
        <v>6889.95</v>
      </c>
      <c r="C24" s="114" t="n">
        <v>248000</v>
      </c>
      <c r="D24" s="225" t="n">
        <f aca="false">C24-C23</f>
        <v>-508</v>
      </c>
      <c r="E24" s="114" t="n">
        <f aca="false">C24-152000</f>
        <v>96000</v>
      </c>
      <c r="F24" s="259" t="n">
        <f aca="false">D24/$D$2</f>
        <v>-256.112931686413</v>
      </c>
      <c r="G24" s="143" t="n">
        <v>98</v>
      </c>
      <c r="H24" s="606" t="n">
        <v>0</v>
      </c>
      <c r="I24" s="143" t="n">
        <f aca="false">G24+H24</f>
        <v>98</v>
      </c>
      <c r="J24" s="144" t="n">
        <f aca="false">IF(L24&gt;0,L24,0)</f>
        <v>43.6870683135871</v>
      </c>
      <c r="K24" s="143" t="n">
        <f aca="false">I24+J24</f>
        <v>141.687068313587</v>
      </c>
      <c r="L24" s="143" t="n">
        <f aca="false">F24-(I24-AK24)</f>
        <v>43.6870683135871</v>
      </c>
      <c r="M24" s="261" t="n">
        <v>135</v>
      </c>
      <c r="N24" s="171" t="n">
        <v>0.519284093773632</v>
      </c>
      <c r="O24" s="143" t="n">
        <f aca="false">18.2*1.05</f>
        <v>19.11</v>
      </c>
      <c r="P24" s="171" t="n">
        <v>0</v>
      </c>
      <c r="Q24" s="346" t="n">
        <f aca="false">1130400/325851/1.9835*1.02</f>
        <v>1.78394334438862</v>
      </c>
      <c r="R24" s="139" t="n">
        <f aca="false">IF(((3.1*1.04)-T24)&gt;=4.2,4.2,(3.1*1.04)-T24)</f>
        <v>2.40282224</v>
      </c>
      <c r="S24" s="139" t="n">
        <f aca="false">IF(((3.1*1.04)-T24)&gt;=4.2,((3.1*1.04)-T24)-4.2,0)</f>
        <v>0</v>
      </c>
      <c r="T24" s="139" t="n">
        <f aca="false">(0.7449*1.06)*1.04</f>
        <v>0.82117776</v>
      </c>
      <c r="U24" s="365" t="n">
        <v>0</v>
      </c>
      <c r="V24" s="143" t="n">
        <v>187</v>
      </c>
      <c r="W24" s="143" t="n">
        <v>41.7</v>
      </c>
      <c r="X24" s="143" t="n">
        <f aca="false">M24-N24-O24-P24-Q24-R24-S24-T24-U24+V24+W24-AU24+AR24</f>
        <v>339.062772561838</v>
      </c>
      <c r="Y24" s="143" t="n">
        <f aca="false">X24-AO24</f>
        <v>339.062772561838</v>
      </c>
      <c r="Z24" s="114" t="n">
        <f aca="false">Z23+AP24</f>
        <v>1159.9293084647</v>
      </c>
      <c r="AA24" s="143" t="n">
        <f aca="false">(-AP24)</f>
        <v>246.949538146226</v>
      </c>
      <c r="AB24" s="114"/>
      <c r="AC24" s="442" t="n">
        <f aca="false">AC23-(AQ23/1.9835)+AS24</f>
        <v>1377.06918918843</v>
      </c>
      <c r="AD24" s="442" t="n">
        <f aca="false">AD23</f>
        <v>2618.93636501134</v>
      </c>
      <c r="AE24" s="143" t="n">
        <v>0</v>
      </c>
      <c r="AF24" s="145" t="n">
        <v>1.7</v>
      </c>
      <c r="AG24" s="146" t="n">
        <v>1.3</v>
      </c>
      <c r="AH24" s="143" t="n">
        <v>34.1</v>
      </c>
      <c r="AI24" s="114" t="n">
        <f aca="false">AI23-AH24</f>
        <v>5896.05787748928</v>
      </c>
      <c r="AJ24" s="114"/>
      <c r="AK24" s="142" t="n">
        <f aca="false">N24+O24+P24+Q24+R24+S24+T24+U24+X24+AE24+AH24</f>
        <v>397.8</v>
      </c>
      <c r="AL24" s="143" t="n">
        <f aca="false">IF(L24&lt;0,L24*-1,0)</f>
        <v>0</v>
      </c>
      <c r="AM24" s="143" t="n">
        <f aca="false">AK24+AL24</f>
        <v>397.8</v>
      </c>
      <c r="AN24" s="147" t="n">
        <f aca="false">V24-119</f>
        <v>68</v>
      </c>
      <c r="AO24" s="144"/>
      <c r="AP24" s="585" t="n">
        <f aca="false">I24-Q24-R24-X24-AF24</f>
        <v>-246.949538146226</v>
      </c>
      <c r="AQ24" s="171" t="n">
        <f aca="false">28.031*(Z24*1.9835+AC24*1.9835)/E24</f>
        <v>1.46933144577899</v>
      </c>
      <c r="AR24" s="171"/>
      <c r="AS24" s="171"/>
      <c r="AT24" s="114" t="n">
        <f aca="false">BB24</f>
        <v>10.1</v>
      </c>
      <c r="AU24" s="56"/>
      <c r="AV24" s="111"/>
      <c r="AW24" s="330" t="n">
        <v>0</v>
      </c>
      <c r="AX24" s="225" t="n">
        <v>75</v>
      </c>
      <c r="AY24" s="225" t="n">
        <v>46</v>
      </c>
      <c r="AZ24" s="264"/>
      <c r="BA24" s="263" t="n">
        <f aca="false">SUM(N24,P24:U24)</f>
        <v>5.52722743816226</v>
      </c>
      <c r="BB24" s="193" t="n">
        <v>10.1</v>
      </c>
      <c r="BC24" s="264" t="n">
        <v>18575</v>
      </c>
    </row>
    <row r="25" customFormat="false" ht="12.75" hidden="false" customHeight="true" outlineLevel="0" collapsed="false">
      <c r="A25" s="192" t="n">
        <f aca="false">A24+1</f>
        <v>11</v>
      </c>
      <c r="B25" s="113" t="n">
        <v>6889.73</v>
      </c>
      <c r="C25" s="114" t="n">
        <v>247259</v>
      </c>
      <c r="D25" s="225" t="n">
        <f aca="false">C25-C24</f>
        <v>-741</v>
      </c>
      <c r="E25" s="114" t="n">
        <f aca="false">C25-152000</f>
        <v>95259</v>
      </c>
      <c r="F25" s="259" t="n">
        <f aca="false">D25/$D$2</f>
        <v>-373.582051928409</v>
      </c>
      <c r="G25" s="143" t="n">
        <v>94</v>
      </c>
      <c r="H25" s="606" t="n">
        <v>0</v>
      </c>
      <c r="I25" s="143" t="n">
        <f aca="false">G25+H25</f>
        <v>94</v>
      </c>
      <c r="J25" s="144" t="n">
        <f aca="false">IF(L25&gt;0,L25,0)</f>
        <v>0</v>
      </c>
      <c r="K25" s="143" t="n">
        <f aca="false">I25+J25</f>
        <v>94</v>
      </c>
      <c r="L25" s="143" t="n">
        <f aca="false">F25-(I25-AK25)</f>
        <v>-70.5820519284094</v>
      </c>
      <c r="M25" s="261" t="n">
        <v>133</v>
      </c>
      <c r="N25" s="171" t="n">
        <v>0.519284093773632</v>
      </c>
      <c r="O25" s="143" t="n">
        <f aca="false">33.2*1.05</f>
        <v>34.86</v>
      </c>
      <c r="P25" s="171" t="n">
        <v>0</v>
      </c>
      <c r="Q25" s="346" t="n">
        <f aca="false">1134600/325851/1.9835*1.02</f>
        <v>1.79057158399092</v>
      </c>
      <c r="R25" s="139" t="n">
        <f aca="false">IF(((2.8*1.04)-T25)&gt;=4.2,4.2,(2.8*1.04)-T25)</f>
        <v>2.09082224</v>
      </c>
      <c r="S25" s="139" t="n">
        <f aca="false">IF(((2.8*1.04)-T25)&gt;=4.2,((2.8*1.04)-T25)-4.2,0)</f>
        <v>0</v>
      </c>
      <c r="T25" s="139" t="n">
        <f aca="false">(0.7449*1.06)*1.04</f>
        <v>0.82117776</v>
      </c>
      <c r="U25" s="365" t="n">
        <v>0</v>
      </c>
      <c r="V25" s="143" t="n">
        <v>187</v>
      </c>
      <c r="W25" s="143" t="n">
        <v>42</v>
      </c>
      <c r="X25" s="143" t="n">
        <f aca="false">M25-N25-O25-P25-Q25-R25-S25-T25-U25+V25+W25-AU25+AR25</f>
        <v>321.918144322235</v>
      </c>
      <c r="Y25" s="143" t="n">
        <f aca="false">X25-AO25</f>
        <v>321.918144322235</v>
      </c>
      <c r="Z25" s="114" t="n">
        <f aca="false">Z24+AP25</f>
        <v>926.429770318473</v>
      </c>
      <c r="AA25" s="143" t="n">
        <f aca="false">(-AP25)</f>
        <v>233.499538146226</v>
      </c>
      <c r="AB25" s="114"/>
      <c r="AC25" s="442" t="n">
        <f aca="false">AC24-(AQ24/1.9835)+AS25</f>
        <v>1376.32841205419</v>
      </c>
      <c r="AD25" s="442" t="n">
        <f aca="false">AD24</f>
        <v>2618.93636501134</v>
      </c>
      <c r="AE25" s="143" t="n">
        <v>0</v>
      </c>
      <c r="AF25" s="145" t="n">
        <v>1.7</v>
      </c>
      <c r="AG25" s="146" t="n">
        <v>1.3</v>
      </c>
      <c r="AH25" s="143" t="n">
        <v>35</v>
      </c>
      <c r="AI25" s="114" t="n">
        <f aca="false">AI24-AH25</f>
        <v>5861.05787748928</v>
      </c>
      <c r="AJ25" s="114"/>
      <c r="AK25" s="142" t="n">
        <f aca="false">N25+O25+P25+Q25+R25+S25+T25+U25+X25+AE25+AH25</f>
        <v>397</v>
      </c>
      <c r="AL25" s="143" t="n">
        <f aca="false">IF(L25&lt;0,L25*-1,0)</f>
        <v>70.5820519284094</v>
      </c>
      <c r="AM25" s="143" t="n">
        <f aca="false">AK25+AL25</f>
        <v>467.582051928409</v>
      </c>
      <c r="AN25" s="147" t="n">
        <f aca="false">V25-119</f>
        <v>68</v>
      </c>
      <c r="AO25" s="144"/>
      <c r="AP25" s="585" t="n">
        <f aca="false">I25-Q25-R25-X25-AF25</f>
        <v>-233.499538146226</v>
      </c>
      <c r="AQ25" s="171" t="n">
        <f aca="false">60.602*(Z25*1.9835+AC25*1.9835)/E25</f>
        <v>2.90577162093578</v>
      </c>
      <c r="AR25" s="171"/>
      <c r="AS25" s="171"/>
      <c r="AT25" s="114" t="n">
        <f aca="false">BB25</f>
        <v>4.16</v>
      </c>
      <c r="AU25" s="56"/>
      <c r="AV25" s="111"/>
      <c r="AW25" s="330" t="n">
        <v>0</v>
      </c>
      <c r="AX25" s="225" t="n">
        <v>78</v>
      </c>
      <c r="AY25" s="225" t="n">
        <v>45</v>
      </c>
      <c r="AZ25" s="264"/>
      <c r="BA25" s="263" t="n">
        <f aca="false">SUM(N25,P25:U25)</f>
        <v>5.22185567776455</v>
      </c>
      <c r="BB25" s="193" t="n">
        <v>4.16</v>
      </c>
      <c r="BC25" s="264" t="n">
        <v>18521</v>
      </c>
    </row>
    <row r="26" customFormat="false" ht="12.95" hidden="false" customHeight="true" outlineLevel="0" collapsed="false">
      <c r="A26" s="192" t="n">
        <f aca="false">A25+1</f>
        <v>12</v>
      </c>
      <c r="B26" s="113" t="n">
        <v>6889.52</v>
      </c>
      <c r="C26" s="114" t="n">
        <v>246552</v>
      </c>
      <c r="D26" s="225" t="n">
        <f aca="false">C26-C25</f>
        <v>-707</v>
      </c>
      <c r="E26" s="114" t="n">
        <f aca="false">C26-152000</f>
        <v>94552</v>
      </c>
      <c r="F26" s="259" t="n">
        <f aca="false">D26/$D$2</f>
        <v>-356.440635240736</v>
      </c>
      <c r="G26" s="143" t="n">
        <v>88</v>
      </c>
      <c r="H26" s="606" t="n">
        <v>0</v>
      </c>
      <c r="I26" s="143" t="n">
        <f aca="false">G26+H26</f>
        <v>88</v>
      </c>
      <c r="J26" s="144" t="n">
        <f aca="false">IF(L26&gt;0,L26,0)</f>
        <v>0</v>
      </c>
      <c r="K26" s="143" t="n">
        <f aca="false">I26+J26</f>
        <v>88</v>
      </c>
      <c r="L26" s="143" t="n">
        <f aca="false">F26-(I26-AK26)</f>
        <v>-2.54063524073609</v>
      </c>
      <c r="M26" s="261" t="n">
        <v>175</v>
      </c>
      <c r="N26" s="171" t="n">
        <v>0.519284093773632</v>
      </c>
      <c r="O26" s="143" t="n">
        <f aca="false">47.9*1.05</f>
        <v>50.295</v>
      </c>
      <c r="P26" s="171" t="n">
        <v>0</v>
      </c>
      <c r="Q26" s="346" t="n">
        <f aca="false">1404400/325851/1.9835*1.02</f>
        <v>2.21635707082394</v>
      </c>
      <c r="R26" s="139" t="n">
        <f aca="false">IF(((4.6*1.04)-T26)&gt;=4.2,4.2,(4.6*1.04)-T26)</f>
        <v>3.96282224</v>
      </c>
      <c r="S26" s="139" t="n">
        <f aca="false">IF(((4.6*1.04)-T26)&gt;=4.2,((4.6*1.04)-T26)-4.2,0)</f>
        <v>0</v>
      </c>
      <c r="T26" s="139" t="n">
        <f aca="false">(0.7449*1.06)*1.04</f>
        <v>0.82117776</v>
      </c>
      <c r="U26" s="365" t="n">
        <v>0</v>
      </c>
      <c r="V26" s="143" t="n">
        <v>187</v>
      </c>
      <c r="W26" s="143" t="n">
        <v>41.7</v>
      </c>
      <c r="X26" s="143" t="n">
        <f aca="false">M26-N26-O26-P26-Q26-R26-S26-T26-U26+V26+W26-AU26+AR26</f>
        <v>345.885358835402</v>
      </c>
      <c r="Y26" s="143" t="n">
        <f aca="false">X26-AO26</f>
        <v>345.885358835402</v>
      </c>
      <c r="Z26" s="114" t="n">
        <f aca="false">Z25+AP26</f>
        <v>660.665232172247</v>
      </c>
      <c r="AA26" s="143" t="n">
        <f aca="false">(-AP26)</f>
        <v>265.764538146226</v>
      </c>
      <c r="AB26" s="114"/>
      <c r="AC26" s="442" t="n">
        <f aca="false">AC25-(AQ25/1.9835)+AS26</f>
        <v>1374.86344022614</v>
      </c>
      <c r="AD26" s="442" t="n">
        <f aca="false">AD25</f>
        <v>2618.93636501134</v>
      </c>
      <c r="AE26" s="143" t="n">
        <v>0</v>
      </c>
      <c r="AF26" s="145" t="n">
        <v>1.7</v>
      </c>
      <c r="AG26" s="146" t="n">
        <v>1.3</v>
      </c>
      <c r="AH26" s="143" t="n">
        <v>38.2</v>
      </c>
      <c r="AI26" s="114" t="n">
        <f aca="false">AI25-AH26</f>
        <v>5822.85787748928</v>
      </c>
      <c r="AJ26" s="114"/>
      <c r="AK26" s="142" t="n">
        <f aca="false">N26+O26+P26+Q26+R26+S26+T26+U26+X26+AE26+AH26</f>
        <v>441.9</v>
      </c>
      <c r="AL26" s="143" t="n">
        <f aca="false">IF(L26&lt;0,L26*-1,0)</f>
        <v>2.54063524073609</v>
      </c>
      <c r="AM26" s="143" t="n">
        <f aca="false">AK26+AL26</f>
        <v>444.440635240736</v>
      </c>
      <c r="AN26" s="147" t="n">
        <f aca="false">V26-119</f>
        <v>68</v>
      </c>
      <c r="AO26" s="144"/>
      <c r="AP26" s="585" t="n">
        <f aca="false">I26-Q26-R26-X26-AF26</f>
        <v>-265.764538146226</v>
      </c>
      <c r="AQ26" s="171" t="n">
        <f aca="false">20.727*(Z26*1.9835+AC26*1.9835)/E26</f>
        <v>0.885064979477127</v>
      </c>
      <c r="AR26" s="171"/>
      <c r="AS26" s="171"/>
      <c r="AT26" s="114" t="n">
        <f aca="false">BB26</f>
        <v>0.602</v>
      </c>
      <c r="AU26" s="56"/>
      <c r="AV26" s="111"/>
      <c r="AW26" s="330" t="n">
        <v>0</v>
      </c>
      <c r="AX26" s="225" t="n">
        <v>82</v>
      </c>
      <c r="AY26" s="225" t="n">
        <v>45</v>
      </c>
      <c r="AZ26" s="264"/>
      <c r="BA26" s="263" t="n">
        <f aca="false">SUM(N26,P26:U26)</f>
        <v>7.51964116459757</v>
      </c>
      <c r="BB26" s="608" t="n">
        <v>0.602</v>
      </c>
      <c r="BC26" s="264" t="n">
        <v>18509</v>
      </c>
    </row>
    <row r="27" customFormat="false" ht="12.95" hidden="false" customHeight="true" outlineLevel="0" collapsed="false">
      <c r="A27" s="192" t="n">
        <f aca="false">A26+1</f>
        <v>13</v>
      </c>
      <c r="B27" s="113" t="n">
        <v>6889.29</v>
      </c>
      <c r="C27" s="114" t="n">
        <v>245778</v>
      </c>
      <c r="D27" s="225" t="n">
        <f aca="false">C27-C26</f>
        <v>-774</v>
      </c>
      <c r="E27" s="114" t="n">
        <f aca="false">C27-152000</f>
        <v>93778</v>
      </c>
      <c r="F27" s="259" t="n">
        <f aca="false">D27/$D$2</f>
        <v>-390.219309301739</v>
      </c>
      <c r="G27" s="143" t="n">
        <v>81</v>
      </c>
      <c r="H27" s="606" t="n">
        <v>0</v>
      </c>
      <c r="I27" s="143" t="n">
        <f aca="false">G27+H27</f>
        <v>81</v>
      </c>
      <c r="J27" s="144" t="n">
        <f aca="false">IF(L27&gt;0,L27,0)</f>
        <v>0</v>
      </c>
      <c r="K27" s="143" t="n">
        <f aca="false">I27+J27</f>
        <v>81</v>
      </c>
      <c r="L27" s="143" t="n">
        <f aca="false">F27-(I27-AK27)</f>
        <v>-31.9193093017393</v>
      </c>
      <c r="M27" s="261" t="n">
        <v>173</v>
      </c>
      <c r="N27" s="171" t="n">
        <v>0.519284093773632</v>
      </c>
      <c r="O27" s="143" t="n">
        <f aca="false">57.3*1.05</f>
        <v>60.165</v>
      </c>
      <c r="P27" s="171" t="n">
        <v>0</v>
      </c>
      <c r="Q27" s="346" t="n">
        <f aca="false">1205500/325851/1.9835*1.02</f>
        <v>1.90246258108677</v>
      </c>
      <c r="R27" s="139" t="n">
        <f aca="false">IF(((4.7*1.04)-T27)&gt;=4.2,4.2,(4.7*1.04)-T27)</f>
        <v>4.06682224</v>
      </c>
      <c r="S27" s="139" t="n">
        <f aca="false">IF(((4.7*1.04)-T27)&gt;=4.2,((4.7*1.04)-T27)-4.2,0)</f>
        <v>0</v>
      </c>
      <c r="T27" s="139" t="n">
        <f aca="false">(0.7449*1.06)*1.04</f>
        <v>0.82117776</v>
      </c>
      <c r="U27" s="365" t="n">
        <v>0</v>
      </c>
      <c r="V27" s="143" t="n">
        <v>186</v>
      </c>
      <c r="W27" s="143" t="n">
        <v>41.5</v>
      </c>
      <c r="X27" s="143" t="n">
        <f aca="false">M27-N27-O27-P27-Q27-R27-S27-T27-U27+V27+W27-AU27+AR27</f>
        <v>333.02525332514</v>
      </c>
      <c r="Y27" s="143" t="n">
        <f aca="false">X27-AO27</f>
        <v>333.02525332514</v>
      </c>
      <c r="Z27" s="114" t="n">
        <f aca="false">Z26+AP27</f>
        <v>400.97069402602</v>
      </c>
      <c r="AA27" s="143" t="n">
        <f aca="false">(-AP27)</f>
        <v>259.694538146226</v>
      </c>
      <c r="AB27" s="114"/>
      <c r="AC27" s="442" t="n">
        <f aca="false">AC26-(AQ26/1.9835)+AS27</f>
        <v>1374.41722647293</v>
      </c>
      <c r="AD27" s="442" t="n">
        <f aca="false">AD26</f>
        <v>2618.93636501134</v>
      </c>
      <c r="AE27" s="143" t="n">
        <v>0</v>
      </c>
      <c r="AF27" s="145" t="n">
        <v>1.7</v>
      </c>
      <c r="AG27" s="146" t="n">
        <v>1.3</v>
      </c>
      <c r="AH27" s="143" t="n">
        <v>38.8</v>
      </c>
      <c r="AI27" s="114" t="n">
        <f aca="false">AI26-AH27</f>
        <v>5784.05787748928</v>
      </c>
      <c r="AJ27" s="114"/>
      <c r="AK27" s="142" t="n">
        <f aca="false">N27+O27+P27+Q27+R27+S27+T27+U27+X27+AE27+AH27</f>
        <v>439.3</v>
      </c>
      <c r="AL27" s="143" t="n">
        <f aca="false">IF(L27&lt;0,L27*-1,0)</f>
        <v>31.9193093017393</v>
      </c>
      <c r="AM27" s="143" t="n">
        <f aca="false">AK27+AL27</f>
        <v>471.219309301739</v>
      </c>
      <c r="AN27" s="147" t="n">
        <f aca="false">V27-119</f>
        <v>67</v>
      </c>
      <c r="AO27" s="144"/>
      <c r="AP27" s="585" t="n">
        <f aca="false">I27-Q27-R27-X27-AF27</f>
        <v>-259.694538146226</v>
      </c>
      <c r="AQ27" s="171" t="n">
        <f aca="false">42.992*(Z27*1.9835+AC27*1.9835)/E27</f>
        <v>1.61440371492028</v>
      </c>
      <c r="AR27" s="171"/>
      <c r="AS27" s="171"/>
      <c r="AT27" s="114" t="n">
        <f aca="false">BB27</f>
        <v>0.54</v>
      </c>
      <c r="AU27" s="56"/>
      <c r="AV27" s="111"/>
      <c r="AW27" s="330" t="n">
        <v>0</v>
      </c>
      <c r="AX27" s="225" t="n">
        <v>81</v>
      </c>
      <c r="AY27" s="225" t="n">
        <v>45</v>
      </c>
      <c r="AZ27" s="264"/>
      <c r="BA27" s="263" t="n">
        <f aca="false">SUM(N27,P27:U27)</f>
        <v>7.3097466748604</v>
      </c>
      <c r="BB27" s="193" t="n">
        <v>0.54</v>
      </c>
      <c r="BC27" s="264" t="n">
        <v>18510</v>
      </c>
    </row>
    <row r="28" customFormat="false" ht="12.95" hidden="false" customHeight="true" outlineLevel="0" collapsed="false">
      <c r="A28" s="192" t="n">
        <f aca="false">A27+1</f>
        <v>14</v>
      </c>
      <c r="B28" s="113" t="n">
        <v>6889.03</v>
      </c>
      <c r="C28" s="114" t="n">
        <v>244902</v>
      </c>
      <c r="D28" s="225" t="n">
        <f aca="false">C28-C27</f>
        <v>-876</v>
      </c>
      <c r="E28" s="114" t="n">
        <f aca="false">C28-152000</f>
        <v>92902</v>
      </c>
      <c r="F28" s="259" t="n">
        <f aca="false">D28/$D$2</f>
        <v>-441.643559364759</v>
      </c>
      <c r="G28" s="143" t="n">
        <v>78</v>
      </c>
      <c r="H28" s="606" t="n">
        <v>0</v>
      </c>
      <c r="I28" s="143" t="n">
        <f aca="false">G28+H28</f>
        <v>78</v>
      </c>
      <c r="J28" s="144" t="n">
        <f aca="false">IF(L28&gt;0,L28,0)</f>
        <v>0</v>
      </c>
      <c r="K28" s="143" t="n">
        <f aca="false">I28+J28</f>
        <v>78</v>
      </c>
      <c r="L28" s="143" t="n">
        <f aca="false">F28-(I28-AK28)</f>
        <v>-57.1435593647593</v>
      </c>
      <c r="M28" s="261" t="n">
        <v>157</v>
      </c>
      <c r="N28" s="171" t="n">
        <v>0.519284093773632</v>
      </c>
      <c r="O28" s="143" t="n">
        <f aca="false">(($O$30-$O$27)/3+O27)</f>
        <v>62.685</v>
      </c>
      <c r="P28" s="171" t="n">
        <v>0</v>
      </c>
      <c r="Q28" s="346" t="n">
        <f aca="false">1171500/325851/1.9835*1.02</f>
        <v>1.84880540335392</v>
      </c>
      <c r="R28" s="139" t="n">
        <f aca="false">IF(((5*1.04)-T28)&gt;=4.2,4.2,(5*1.04)-T28)</f>
        <v>4.2</v>
      </c>
      <c r="S28" s="139" t="n">
        <f aca="false">IF(((5*1.04)-T28)&gt;=4.2,((5*1.04)-T28)-4.2,0)</f>
        <v>0.17882224</v>
      </c>
      <c r="T28" s="139" t="n">
        <f aca="false">(0.7449*1.06)*1.04</f>
        <v>0.82117776</v>
      </c>
      <c r="U28" s="365" t="n">
        <v>0</v>
      </c>
      <c r="V28" s="143" t="n">
        <v>226</v>
      </c>
      <c r="W28" s="143" t="n">
        <v>40.7</v>
      </c>
      <c r="X28" s="143" t="n">
        <f aca="false">M28-N28-O28-P28-Q28-R28-S28-T28-U28+V28+W28-AU28+AR28</f>
        <v>353.446910502872</v>
      </c>
      <c r="Y28" s="143" t="n">
        <f aca="false">X28-AO28</f>
        <v>353.446910502872</v>
      </c>
      <c r="Z28" s="114" t="n">
        <f aca="false">Z27+AP28</f>
        <v>117.774978119794</v>
      </c>
      <c r="AA28" s="143" t="n">
        <f aca="false">(-AP28)</f>
        <v>283.195715906226</v>
      </c>
      <c r="AB28" s="114"/>
      <c r="AC28" s="442" t="n">
        <f aca="false">AC27-(AQ27/1.9835)+AS28</f>
        <v>1373.60330980295</v>
      </c>
      <c r="AD28" s="442" t="n">
        <f aca="false">AD27</f>
        <v>2618.93636501134</v>
      </c>
      <c r="AE28" s="143" t="n">
        <v>0</v>
      </c>
      <c r="AF28" s="145" t="n">
        <v>1.7</v>
      </c>
      <c r="AG28" s="146" t="n">
        <v>1.3</v>
      </c>
      <c r="AH28" s="143" t="n">
        <v>38.8</v>
      </c>
      <c r="AI28" s="114" t="n">
        <f aca="false">AI27-AH28</f>
        <v>5745.25787748928</v>
      </c>
      <c r="AJ28" s="114"/>
      <c r="AK28" s="142" t="n">
        <f aca="false">N28+O28+P28+Q28+R28+S28+T28+U28+X28+AE28+AH28</f>
        <v>462.5</v>
      </c>
      <c r="AL28" s="143" t="n">
        <f aca="false">IF(L28&lt;0,L28*-1,0)</f>
        <v>57.1435593647593</v>
      </c>
      <c r="AM28" s="143" t="n">
        <f aca="false">AK28+AL28</f>
        <v>519.643559364759</v>
      </c>
      <c r="AN28" s="147" t="n">
        <f aca="false">V28-119</f>
        <v>107</v>
      </c>
      <c r="AO28" s="144"/>
      <c r="AP28" s="585" t="n">
        <f aca="false">I28-Q28-R28-X28-AF28</f>
        <v>-283.195715906226</v>
      </c>
      <c r="AQ28" s="171" t="n">
        <f aca="false">40.451*(Z28*1.9835+AC28*1.9835)/E28</f>
        <v>1.28802478405166</v>
      </c>
      <c r="AR28" s="171"/>
      <c r="AS28" s="171"/>
      <c r="AT28" s="114" t="n">
        <f aca="false">BB28</f>
        <v>0.267</v>
      </c>
      <c r="AU28" s="56"/>
      <c r="AV28" s="111"/>
      <c r="AW28" s="330" t="n">
        <v>0</v>
      </c>
      <c r="AX28" s="231" t="n">
        <v>81</v>
      </c>
      <c r="AY28" s="225" t="n">
        <v>47</v>
      </c>
      <c r="AZ28" s="264"/>
      <c r="BA28" s="263" t="n">
        <f aca="false">SUM(N28,P28:U28)</f>
        <v>7.56808949712755</v>
      </c>
      <c r="BB28" s="193" t="n">
        <v>0.267</v>
      </c>
      <c r="BC28" s="264" t="n">
        <v>18519</v>
      </c>
    </row>
    <row r="29" customFormat="false" ht="12.95" hidden="false" customHeight="true" outlineLevel="0" collapsed="false">
      <c r="A29" s="192" t="n">
        <f aca="false">A28+1</f>
        <v>15</v>
      </c>
      <c r="B29" s="113" t="n">
        <v>6888.82</v>
      </c>
      <c r="C29" s="114" t="n">
        <v>244201</v>
      </c>
      <c r="D29" s="225" t="n">
        <f aca="false">C29-C28</f>
        <v>-701</v>
      </c>
      <c r="E29" s="114" t="n">
        <f aca="false">C29-152000</f>
        <v>92201</v>
      </c>
      <c r="F29" s="259" t="n">
        <f aca="false">D29/$D$2</f>
        <v>-353.415679354676</v>
      </c>
      <c r="G29" s="143" t="n">
        <v>75</v>
      </c>
      <c r="H29" s="606" t="n">
        <v>0</v>
      </c>
      <c r="I29" s="143" t="n">
        <f aca="false">G29+H29</f>
        <v>75</v>
      </c>
      <c r="J29" s="144" t="n">
        <f aca="false">IF(L29&gt;0,L29,0)</f>
        <v>0</v>
      </c>
      <c r="K29" s="143" t="n">
        <f aca="false">I29+J29</f>
        <v>75</v>
      </c>
      <c r="L29" s="143" t="n">
        <f aca="false">F29-(I29-AK29)</f>
        <v>-29.215679354676</v>
      </c>
      <c r="M29" s="261" t="n">
        <v>170</v>
      </c>
      <c r="N29" s="171" t="n">
        <v>0.519284093773632</v>
      </c>
      <c r="O29" s="143" t="n">
        <f aca="false">(($O$30-$O$27)/3+O28)</f>
        <v>65.205</v>
      </c>
      <c r="P29" s="171" t="n">
        <v>0</v>
      </c>
      <c r="Q29" s="346" t="n">
        <f aca="false">1181200/325851/1.9835*1.02</f>
        <v>1.86411348053065</v>
      </c>
      <c r="R29" s="139" t="n">
        <f aca="false">IF(((3.7*1.04)-T29)&gt;=4.2,4.2,(3.7*1.04)-T29)</f>
        <v>3.02682224</v>
      </c>
      <c r="S29" s="139" t="n">
        <f aca="false">IF(((3.7*1.04)-T29)&gt;=4.2,((3.7*1.04)-T29)-4.2,0)</f>
        <v>0</v>
      </c>
      <c r="T29" s="139" t="n">
        <f aca="false">(0.7449*1.06)*1.04</f>
        <v>0.82117776</v>
      </c>
      <c r="U29" s="365" t="n">
        <v>0</v>
      </c>
      <c r="V29" s="143" t="n">
        <v>149</v>
      </c>
      <c r="W29" s="143" t="n">
        <v>42.6</v>
      </c>
      <c r="X29" s="143" t="n">
        <f aca="false">M29-N29-O29-P29-Q29-R29-S29-T29-U29+V29+W29-AU29+AR29</f>
        <v>290.163602425696</v>
      </c>
      <c r="Y29" s="143" t="n">
        <f aca="false">X29-AO29</f>
        <v>290.163602425696</v>
      </c>
      <c r="Z29" s="114" t="n">
        <v>0</v>
      </c>
      <c r="AA29" s="143" t="n">
        <f aca="false">(-AP29)</f>
        <v>221.754538146226</v>
      </c>
      <c r="AB29" s="114"/>
      <c r="AC29" s="442" t="n">
        <f aca="false">AC28-(AQ28/1.9835)+AS29+(Z28+AP29)</f>
        <v>1268.97438008453</v>
      </c>
      <c r="AD29" s="442" t="n">
        <f aca="false">AD28</f>
        <v>2618.93636501134</v>
      </c>
      <c r="AE29" s="143" t="n">
        <v>0</v>
      </c>
      <c r="AF29" s="145" t="n">
        <v>1.7</v>
      </c>
      <c r="AG29" s="146" t="n">
        <v>1.3</v>
      </c>
      <c r="AH29" s="143" t="n">
        <v>37.6</v>
      </c>
      <c r="AI29" s="114" t="n">
        <f aca="false">AI28-AH29</f>
        <v>5707.65787748928</v>
      </c>
      <c r="AJ29" s="114"/>
      <c r="AK29" s="142" t="n">
        <f aca="false">N29+O29+P29+Q29+R29+S29+T29+U29+X29+AE29+AH29</f>
        <v>399.2</v>
      </c>
      <c r="AL29" s="143" t="n">
        <f aca="false">IF(L29&lt;0,L29*-1,0)</f>
        <v>29.215679354676</v>
      </c>
      <c r="AM29" s="143" t="n">
        <f aca="false">AK29+AL29</f>
        <v>428.415679354676</v>
      </c>
      <c r="AN29" s="147" t="n">
        <f aca="false">V29-119</f>
        <v>30</v>
      </c>
      <c r="AO29" s="144"/>
      <c r="AP29" s="585" t="n">
        <f aca="false">I29-Q29-R29-X29-AF29</f>
        <v>-221.754538146226</v>
      </c>
      <c r="AQ29" s="171" t="n">
        <f aca="false">84.811*(Z29*1.9835+AC29*1.9835)/E29</f>
        <v>2.31526982383308</v>
      </c>
      <c r="AR29" s="171"/>
      <c r="AS29" s="171"/>
      <c r="AT29" s="114" t="n">
        <f aca="false">BB29</f>
        <v>0.333</v>
      </c>
      <c r="AU29" s="56"/>
      <c r="AV29" s="111"/>
      <c r="AW29" s="330" t="n">
        <v>0</v>
      </c>
      <c r="AX29" s="231" t="n">
        <v>82</v>
      </c>
      <c r="AY29" s="225" t="n">
        <v>44</v>
      </c>
      <c r="AZ29" s="264"/>
      <c r="BA29" s="263" t="n">
        <f aca="false">SUM(N29,P29:U29)</f>
        <v>6.23139757430428</v>
      </c>
      <c r="BB29" s="193" t="n">
        <v>0.333</v>
      </c>
      <c r="BC29" s="264" t="n">
        <v>18516</v>
      </c>
    </row>
    <row r="30" customFormat="false" ht="12.95" hidden="false" customHeight="true" outlineLevel="0" collapsed="false">
      <c r="A30" s="192" t="n">
        <f aca="false">A29+1</f>
        <v>16</v>
      </c>
      <c r="B30" s="113" t="n">
        <v>6888.78</v>
      </c>
      <c r="C30" s="114" t="n">
        <v>244068</v>
      </c>
      <c r="D30" s="225" t="n">
        <f aca="false">C30-C29</f>
        <v>-133</v>
      </c>
      <c r="E30" s="114" t="n">
        <f aca="false">C30-152000</f>
        <v>92068</v>
      </c>
      <c r="F30" s="259" t="n">
        <f aca="false">D30/$D$2</f>
        <v>-67.0531888076632</v>
      </c>
      <c r="G30" s="143" t="n">
        <v>73</v>
      </c>
      <c r="H30" s="606" t="n">
        <v>0</v>
      </c>
      <c r="I30" s="143" t="n">
        <f aca="false">G30+H30</f>
        <v>73</v>
      </c>
      <c r="J30" s="144" t="n">
        <f aca="false">IF(L30&gt;0,L30,0)</f>
        <v>0</v>
      </c>
      <c r="K30" s="143" t="n">
        <f aca="false">I30+J30</f>
        <v>73</v>
      </c>
      <c r="L30" s="143" t="n">
        <f aca="false">F30-(I30-AK30)</f>
        <v>-17.1511888076632</v>
      </c>
      <c r="M30" s="261" t="n">
        <v>80.2</v>
      </c>
      <c r="N30" s="171" t="n">
        <v>0.519284093773632</v>
      </c>
      <c r="O30" s="143" t="n">
        <f aca="false">64.5*1.05</f>
        <v>67.725</v>
      </c>
      <c r="P30" s="171" t="n">
        <v>0</v>
      </c>
      <c r="Q30" s="346" t="n">
        <f aca="false">1142800/325851/1.9835*1.02</f>
        <v>1.80351243273825</v>
      </c>
      <c r="R30" s="139" t="n">
        <f aca="false">IF(((4*1.04)-T30)&gt;=4.2,4.2,(4*1.04)-T30)</f>
        <v>3.48378784</v>
      </c>
      <c r="S30" s="139" t="n">
        <f aca="false">IF(((4*1.04)-T30)&gt;=4.2,((4*1.04)-T30)-4.2,0)</f>
        <v>0</v>
      </c>
      <c r="T30" s="139" t="n">
        <f aca="false">(0.6134*1.06)*1.04</f>
        <v>0.67621216</v>
      </c>
      <c r="U30" s="365" t="n">
        <v>0</v>
      </c>
      <c r="V30" s="143" t="n">
        <v>3.3</v>
      </c>
      <c r="W30" s="143" t="n">
        <v>0.702</v>
      </c>
      <c r="X30" s="143" t="n">
        <f aca="false">M30-N30-O30-P30-Q30-R30-S30-T30-U30+V30+W30-AU30+AR30</f>
        <v>9.99420347348811</v>
      </c>
      <c r="Y30" s="143" t="n">
        <f aca="false">X30-AO30</f>
        <v>9.99420347348811</v>
      </c>
      <c r="Z30" s="114"/>
      <c r="AA30" s="143"/>
      <c r="AB30" s="114"/>
      <c r="AC30" s="442"/>
      <c r="AD30" s="442"/>
      <c r="AE30" s="143" t="n">
        <v>0</v>
      </c>
      <c r="AF30" s="145" t="n">
        <v>1.7</v>
      </c>
      <c r="AG30" s="146" t="n">
        <v>1.3</v>
      </c>
      <c r="AH30" s="143" t="n">
        <v>38.7</v>
      </c>
      <c r="AI30" s="114" t="n">
        <f aca="false">AI29-AH30</f>
        <v>5668.95787748928</v>
      </c>
      <c r="AJ30" s="114"/>
      <c r="AK30" s="142" t="n">
        <f aca="false">N30+O30+P30+Q30+R30+S30+T30+U30+X30+AE30+AH30</f>
        <v>122.902</v>
      </c>
      <c r="AL30" s="143" t="n">
        <f aca="false">IF(L30&lt;0,L30*-1,0)</f>
        <v>17.1511888076632</v>
      </c>
      <c r="AM30" s="143" t="n">
        <f aca="false">AK30+AL30</f>
        <v>140.053188807663</v>
      </c>
      <c r="AN30" s="147"/>
      <c r="AO30" s="144"/>
      <c r="AP30" s="585" t="n">
        <f aca="false">I30-Q30-R30-X30-AF30</f>
        <v>56.0184962537736</v>
      </c>
      <c r="AQ30" s="171" t="n">
        <f aca="false">20.128*(Z30*1.9835+AC30*1.9835)/E30</f>
        <v>0</v>
      </c>
      <c r="AR30" s="171"/>
      <c r="AS30" s="144"/>
      <c r="AT30" s="114" t="n">
        <f aca="false">BB30</f>
        <v>0.463</v>
      </c>
      <c r="AU30" s="56"/>
      <c r="AV30" s="111"/>
      <c r="AW30" s="330" t="n">
        <v>0</v>
      </c>
      <c r="AX30" s="231" t="n">
        <v>72</v>
      </c>
      <c r="AY30" s="225" t="n">
        <v>48</v>
      </c>
      <c r="AZ30" s="264"/>
      <c r="BA30" s="263" t="n">
        <f aca="false">SUM(N30,P30:U30)</f>
        <v>6.48279652651188</v>
      </c>
      <c r="BB30" s="193" t="n">
        <v>0.463</v>
      </c>
      <c r="BC30" s="264" t="n">
        <v>18474</v>
      </c>
    </row>
    <row r="31" customFormat="false" ht="12.95" hidden="false" customHeight="true" outlineLevel="0" collapsed="false">
      <c r="A31" s="192" t="n">
        <f aca="false">A30+1</f>
        <v>17</v>
      </c>
      <c r="B31" s="113" t="n">
        <v>6888.73</v>
      </c>
      <c r="C31" s="114" t="n">
        <v>243902</v>
      </c>
      <c r="D31" s="225" t="n">
        <f aca="false">C31-C30</f>
        <v>-166</v>
      </c>
      <c r="E31" s="114" t="n">
        <f aca="false">C31-152000</f>
        <v>91902</v>
      </c>
      <c r="F31" s="259" t="n">
        <f aca="false">D31/$D$2</f>
        <v>-83.6904461809932</v>
      </c>
      <c r="G31" s="143" t="n">
        <v>73</v>
      </c>
      <c r="H31" s="606" t="n">
        <v>0</v>
      </c>
      <c r="I31" s="143" t="n">
        <f aca="false">G31+H31</f>
        <v>73</v>
      </c>
      <c r="J31" s="144" t="n">
        <f aca="false">IF(L31&gt;0,L31,0)</f>
        <v>0</v>
      </c>
      <c r="K31" s="143" t="n">
        <f aca="false">I31+J31</f>
        <v>73</v>
      </c>
      <c r="L31" s="143" t="n">
        <f aca="false">F31-(I31-AK31)</f>
        <v>-31.5474461809932</v>
      </c>
      <c r="M31" s="261" t="n">
        <v>85.7</v>
      </c>
      <c r="N31" s="171" t="n">
        <v>0.519284093773632</v>
      </c>
      <c r="O31" s="143" t="n">
        <f aca="false">77.6*1.05</f>
        <v>81.48</v>
      </c>
      <c r="P31" s="171" t="n">
        <v>0</v>
      </c>
      <c r="Q31" s="346" t="n">
        <f aca="false">1127000/325851/1.9835*1.02</f>
        <v>1.77857762661534</v>
      </c>
      <c r="R31" s="139" t="n">
        <f aca="false">IF(((3.9*1.04)-T31)&gt;=4.2,4.2,(3.9*1.04)-T31)</f>
        <v>3.37978784</v>
      </c>
      <c r="S31" s="139" t="n">
        <f aca="false">IF(((3.9*1.04)-T31)&gt;=4.2,((3.9*1.04)-T31)-4.2,0)</f>
        <v>0</v>
      </c>
      <c r="T31" s="139" t="n">
        <f aca="false">(0.6134*1.06)*1.04</f>
        <v>0.67621216</v>
      </c>
      <c r="U31" s="365" t="n">
        <v>0</v>
      </c>
      <c r="V31" s="143" t="n">
        <v>0.643</v>
      </c>
      <c r="W31" s="143" t="n">
        <v>0</v>
      </c>
      <c r="X31" s="143" t="n">
        <f aca="false">M31-N31-O31-P31-Q31-R31-S31-T31-U31+V31+W31-AU31+AR31</f>
        <v>-1.49086172038897</v>
      </c>
      <c r="Y31" s="143" t="n">
        <f aca="false">X31-AO31</f>
        <v>-1.49086172038897</v>
      </c>
      <c r="Z31" s="114"/>
      <c r="AA31" s="143"/>
      <c r="AB31" s="114"/>
      <c r="AC31" s="442"/>
      <c r="AD31" s="442"/>
      <c r="AE31" s="143" t="n">
        <v>0</v>
      </c>
      <c r="AF31" s="145" t="n">
        <v>1.7</v>
      </c>
      <c r="AG31" s="146" t="n">
        <v>1.3</v>
      </c>
      <c r="AH31" s="143" t="n">
        <v>38.8</v>
      </c>
      <c r="AI31" s="114" t="n">
        <f aca="false">AI30-AH31</f>
        <v>5630.15787748928</v>
      </c>
      <c r="AJ31" s="114"/>
      <c r="AK31" s="142" t="n">
        <f aca="false">N31+O31+P31+Q31+R31+S31+T31+U31+X31+AE31+AH31</f>
        <v>125.143</v>
      </c>
      <c r="AL31" s="143" t="n">
        <f aca="false">IF(L31&lt;0,L31*-1,0)</f>
        <v>31.5474461809932</v>
      </c>
      <c r="AM31" s="143" t="n">
        <f aca="false">AK31+AL31</f>
        <v>156.690446180993</v>
      </c>
      <c r="AN31" s="147"/>
      <c r="AO31" s="144"/>
      <c r="AP31" s="585" t="n">
        <f aca="false">I31-Q31-R31-X31-AF31</f>
        <v>67.6324962537736</v>
      </c>
      <c r="AQ31" s="171" t="n">
        <f aca="false">21.691*(Z31*1.9835+AC31*1.9835)/E31</f>
        <v>0</v>
      </c>
      <c r="AR31" s="171"/>
      <c r="AS31" s="144"/>
      <c r="AT31" s="114" t="n">
        <f aca="false">BB31</f>
        <v>0.479</v>
      </c>
      <c r="AU31" s="56"/>
      <c r="AV31" s="111"/>
      <c r="AW31" s="330" t="n">
        <v>0</v>
      </c>
      <c r="AX31" s="231" t="n">
        <v>70</v>
      </c>
      <c r="AY31" s="225" t="n">
        <v>44</v>
      </c>
      <c r="AZ31" s="264"/>
      <c r="BA31" s="263" t="n">
        <f aca="false">SUM(N31,P31:U31)</f>
        <v>6.35386172038897</v>
      </c>
      <c r="BB31" s="193" t="n">
        <v>0.479</v>
      </c>
      <c r="BC31" s="264" t="n">
        <v>18518</v>
      </c>
    </row>
    <row r="32" customFormat="false" ht="12.95" hidden="false" customHeight="true" outlineLevel="0" collapsed="false">
      <c r="A32" s="192" t="n">
        <f aca="false">A31+1</f>
        <v>18</v>
      </c>
      <c r="B32" s="113" t="n">
        <v>6888.72</v>
      </c>
      <c r="C32" s="114" t="n">
        <v>243868</v>
      </c>
      <c r="D32" s="225" t="n">
        <f aca="false">C32-C31</f>
        <v>-34</v>
      </c>
      <c r="E32" s="114" t="n">
        <f aca="false">C32-152000</f>
        <v>91868</v>
      </c>
      <c r="F32" s="259" t="n">
        <f aca="false">D32/$D$2</f>
        <v>-17.1414166876733</v>
      </c>
      <c r="G32" s="143" t="n">
        <v>78</v>
      </c>
      <c r="H32" s="606" t="n">
        <v>0</v>
      </c>
      <c r="I32" s="143" t="n">
        <f aca="false">G32+H32</f>
        <v>78</v>
      </c>
      <c r="J32" s="144" t="n">
        <f aca="false">IF(L32&gt;0,L32,0)</f>
        <v>23.5705833123267</v>
      </c>
      <c r="K32" s="143" t="n">
        <f aca="false">I32+J32</f>
        <v>101.570583312327</v>
      </c>
      <c r="L32" s="143" t="n">
        <f aca="false">F32-(I32-AK32)</f>
        <v>23.5705833123267</v>
      </c>
      <c r="M32" s="261" t="n">
        <v>79.8</v>
      </c>
      <c r="N32" s="171" t="n">
        <v>0.519284093773632</v>
      </c>
      <c r="O32" s="143" t="n">
        <f aca="false">76.2*1.05</f>
        <v>80.01</v>
      </c>
      <c r="P32" s="171" t="n">
        <v>0</v>
      </c>
      <c r="Q32" s="346" t="n">
        <f aca="false">1134700/325851/1.9835*1.02</f>
        <v>1.79072939921954</v>
      </c>
      <c r="R32" s="139" t="n">
        <f aca="false">IF(((3.3*1.04)-T32)&gt;=4.2,4.2,(3.3*1.04)-T32)</f>
        <v>2.75578784</v>
      </c>
      <c r="S32" s="139" t="n">
        <f aca="false">IF(((3.3*1.04)-T32)&gt;=4.2,((3.3*1.04)-T32)-4.2,0)</f>
        <v>0</v>
      </c>
      <c r="T32" s="139" t="n">
        <f aca="false">(0.6134*1.06)*1.04</f>
        <v>0.67621216</v>
      </c>
      <c r="U32" s="365" t="n">
        <v>0</v>
      </c>
      <c r="V32" s="143" t="n">
        <v>0</v>
      </c>
      <c r="W32" s="143" t="n">
        <v>0.012</v>
      </c>
      <c r="X32" s="143" t="n">
        <f aca="false">M32-N32-O32-P32-Q32-R32-S32-T32-U32+V32+W32-AU32+AR32</f>
        <v>-5.94001349299319</v>
      </c>
      <c r="Y32" s="143" t="n">
        <f aca="false">X32-AO32</f>
        <v>-5.94001349299319</v>
      </c>
      <c r="Z32" s="114"/>
      <c r="AA32" s="143"/>
      <c r="AB32" s="114"/>
      <c r="AC32" s="442"/>
      <c r="AD32" s="442"/>
      <c r="AE32" s="143" t="n">
        <v>0</v>
      </c>
      <c r="AF32" s="145" t="n">
        <v>1.7</v>
      </c>
      <c r="AG32" s="146" t="n">
        <v>1.3</v>
      </c>
      <c r="AH32" s="143" t="n">
        <v>38.9</v>
      </c>
      <c r="AI32" s="114" t="n">
        <f aca="false">AI31-AH32</f>
        <v>5591.25787748928</v>
      </c>
      <c r="AJ32" s="114"/>
      <c r="AK32" s="142" t="n">
        <f aca="false">N32+O32+P32+Q32+R32+S32+T32+U32+X32+AE32+AH32</f>
        <v>118.712</v>
      </c>
      <c r="AL32" s="143" t="n">
        <f aca="false">IF(L32&lt;0,L32*-1,0)</f>
        <v>0</v>
      </c>
      <c r="AM32" s="143" t="n">
        <f aca="false">AK32+AL32</f>
        <v>118.712</v>
      </c>
      <c r="AN32" s="147"/>
      <c r="AO32" s="144"/>
      <c r="AP32" s="585" t="n">
        <f aca="false">I32-Q32-R32-X32-AF32</f>
        <v>77.6934962537736</v>
      </c>
      <c r="AQ32" s="171" t="n">
        <f aca="false">1.173*(Z32*1.9835+AC32*1.9835)/E32</f>
        <v>0</v>
      </c>
      <c r="AR32" s="171"/>
      <c r="AS32" s="144"/>
      <c r="AT32" s="114" t="n">
        <f aca="false">BB32</f>
        <v>0.357</v>
      </c>
      <c r="AU32" s="56"/>
      <c r="AV32" s="111"/>
      <c r="AW32" s="330" t="n">
        <v>0.155</v>
      </c>
      <c r="AX32" s="231" t="n">
        <v>70</v>
      </c>
      <c r="AY32" s="225" t="n">
        <v>49</v>
      </c>
      <c r="AZ32" s="264"/>
      <c r="BA32" s="263" t="n">
        <f aca="false">SUM(N32,P32:U32)</f>
        <v>5.74201349299317</v>
      </c>
      <c r="BB32" s="193" t="n">
        <v>0.357</v>
      </c>
      <c r="BC32" s="264" t="n">
        <v>18510</v>
      </c>
    </row>
    <row r="33" customFormat="false" ht="12.95" hidden="false" customHeight="true" outlineLevel="0" collapsed="false">
      <c r="A33" s="192" t="n">
        <f aca="false">A32+1</f>
        <v>19</v>
      </c>
      <c r="B33" s="113" t="n">
        <v>6888.75</v>
      </c>
      <c r="C33" s="114" t="n">
        <v>243968</v>
      </c>
      <c r="D33" s="225" t="n">
        <f aca="false">C33-C32</f>
        <v>100</v>
      </c>
      <c r="E33" s="114" t="n">
        <f aca="false">C33-152000</f>
        <v>91968</v>
      </c>
      <c r="F33" s="259" t="n">
        <f aca="false">D33/$D$2</f>
        <v>50.4159314343332</v>
      </c>
      <c r="G33" s="143" t="n">
        <v>122</v>
      </c>
      <c r="H33" s="606" t="n">
        <v>0</v>
      </c>
      <c r="I33" s="143" t="n">
        <f aca="false">G33+H33</f>
        <v>122</v>
      </c>
      <c r="J33" s="144" t="n">
        <f aca="false">IF(L33&gt;0,L33,0)</f>
        <v>77.0159314343332</v>
      </c>
      <c r="K33" s="143" t="n">
        <f aca="false">I33+J33</f>
        <v>199.015931434333</v>
      </c>
      <c r="L33" s="143" t="n">
        <f aca="false">F33-(I33-AK33)</f>
        <v>77.0159314343332</v>
      </c>
      <c r="M33" s="261" t="n">
        <v>74.8</v>
      </c>
      <c r="N33" s="171" t="n">
        <v>0.519284093773632</v>
      </c>
      <c r="O33" s="143" t="n">
        <f aca="false">76.2*1.05</f>
        <v>80.01</v>
      </c>
      <c r="P33" s="171" t="n">
        <v>0</v>
      </c>
      <c r="Q33" s="346" t="n">
        <f aca="false">1063400/325851/1.9835*1.02</f>
        <v>1.67820714120918</v>
      </c>
      <c r="R33" s="139" t="n">
        <f aca="false">IF(((3.5*1.04)-T33)&gt;=4.2,4.2,(3.5*1.04)-T33)</f>
        <v>2.96378784</v>
      </c>
      <c r="S33" s="139" t="n">
        <f aca="false">IF(((3.5*1.04)-T33)&gt;=4.2,((3.5*1.04)-T33)-4.2,0)</f>
        <v>0</v>
      </c>
      <c r="T33" s="139" t="n">
        <f aca="false">(0.6134*1.06)*1.04</f>
        <v>0.67621216</v>
      </c>
      <c r="U33" s="365" t="n">
        <v>0</v>
      </c>
      <c r="V33" s="143" t="n">
        <v>35</v>
      </c>
      <c r="W33" s="143" t="n">
        <v>0</v>
      </c>
      <c r="X33" s="143" t="n">
        <f aca="false">M33-N33-O33-P33-Q33-R33-S33-T33-U33+V33+W33-AU33+AR33</f>
        <v>23.9525087650172</v>
      </c>
      <c r="Y33" s="143" t="n">
        <f aca="false">X33-AO33</f>
        <v>23.9525087650172</v>
      </c>
      <c r="Z33" s="114"/>
      <c r="AA33" s="143"/>
      <c r="AB33" s="114"/>
      <c r="AC33" s="442"/>
      <c r="AD33" s="442"/>
      <c r="AE33" s="143" t="n">
        <v>0</v>
      </c>
      <c r="AF33" s="145" t="n">
        <v>1.7</v>
      </c>
      <c r="AG33" s="146" t="n">
        <v>1.3</v>
      </c>
      <c r="AH33" s="143" t="n">
        <v>38.8</v>
      </c>
      <c r="AI33" s="114" t="n">
        <f aca="false">AI32-AH33</f>
        <v>5552.45787748928</v>
      </c>
      <c r="AJ33" s="114"/>
      <c r="AK33" s="142" t="n">
        <f aca="false">N33+O33+P33+Q33+R33+S33+T33+U33+X33+AE33+AH33</f>
        <v>148.6</v>
      </c>
      <c r="AL33" s="143" t="n">
        <f aca="false">IF(L33&lt;0,L33*-1,0)</f>
        <v>0</v>
      </c>
      <c r="AM33" s="143" t="n">
        <f aca="false">AK33+AL33</f>
        <v>148.6</v>
      </c>
      <c r="AN33" s="147" t="n">
        <f aca="false">V33</f>
        <v>35</v>
      </c>
      <c r="AO33" s="144"/>
      <c r="AP33" s="585" t="n">
        <f aca="false">I33-Q33-R33-X33-AF33</f>
        <v>91.7054962537737</v>
      </c>
      <c r="AQ33" s="171" t="n">
        <f aca="false">0*(Z33*1.9835+AC33*1.9835)/E33</f>
        <v>0</v>
      </c>
      <c r="AR33" s="171"/>
      <c r="AS33" s="171"/>
      <c r="AT33" s="114" t="n">
        <f aca="false">BB33</f>
        <v>0.445</v>
      </c>
      <c r="AU33" s="56"/>
      <c r="AV33" s="111"/>
      <c r="AW33" s="330" t="n">
        <v>0.823333333333333</v>
      </c>
      <c r="AX33" s="231" t="n">
        <v>68</v>
      </c>
      <c r="AY33" s="225" t="n">
        <v>44</v>
      </c>
      <c r="AZ33" s="264"/>
      <c r="BA33" s="263" t="n">
        <f aca="false">SUM(N33,P33:U33)</f>
        <v>5.83749123498282</v>
      </c>
      <c r="BB33" s="193" t="n">
        <v>0.445</v>
      </c>
      <c r="BC33" s="264" t="n">
        <v>18514</v>
      </c>
    </row>
    <row r="34" customFormat="false" ht="12.95" hidden="false" customHeight="true" outlineLevel="0" collapsed="false">
      <c r="A34" s="192" t="n">
        <f aca="false">A33+1</f>
        <v>20</v>
      </c>
      <c r="B34" s="113" t="n">
        <v>6888.79</v>
      </c>
      <c r="C34" s="114" t="n">
        <v>244101</v>
      </c>
      <c r="D34" s="225" t="n">
        <f aca="false">C34-C33</f>
        <v>133</v>
      </c>
      <c r="E34" s="114" t="n">
        <f aca="false">C34-152000</f>
        <v>92101</v>
      </c>
      <c r="F34" s="259" t="n">
        <f aca="false">D34/$D$2</f>
        <v>67.0531888076632</v>
      </c>
      <c r="G34" s="143" t="n">
        <v>210</v>
      </c>
      <c r="H34" s="606" t="n">
        <v>0</v>
      </c>
      <c r="I34" s="143" t="n">
        <f aca="false">G34+H34</f>
        <v>210</v>
      </c>
      <c r="J34" s="144" t="n">
        <f aca="false">IF(L34&gt;0,L34,0)</f>
        <v>33.5531888076632</v>
      </c>
      <c r="K34" s="143" t="n">
        <f aca="false">I34+J34</f>
        <v>243.553188807663</v>
      </c>
      <c r="L34" s="143" t="n">
        <f aca="false">F34-(I34-AK34)</f>
        <v>33.5531888076632</v>
      </c>
      <c r="M34" s="261" t="n">
        <v>73.6</v>
      </c>
      <c r="N34" s="171" t="n">
        <v>0.519284093773632</v>
      </c>
      <c r="O34" s="143" t="n">
        <f aca="false">72.8*1.05</f>
        <v>76.44</v>
      </c>
      <c r="P34" s="171" t="n">
        <v>0</v>
      </c>
      <c r="Q34" s="346" t="n">
        <f aca="false">1091000/325851/1.9835*1.02</f>
        <v>1.72176414430997</v>
      </c>
      <c r="R34" s="139" t="n">
        <f aca="false">IF(((3.1*1.04)-T34)&gt;=4.2,4.2,(3.1*1.04)-T34)</f>
        <v>2.54778784</v>
      </c>
      <c r="S34" s="139" t="n">
        <f aca="false">IF(((3.1*1.04)-T34)&gt;=4.2,((3.1*1.04)-T34)-4.2,0)</f>
        <v>0</v>
      </c>
      <c r="T34" s="139" t="n">
        <f aca="false">(0.6134*1.06)*1.04</f>
        <v>0.67621216</v>
      </c>
      <c r="U34" s="365" t="n">
        <v>0</v>
      </c>
      <c r="V34" s="143" t="n">
        <v>68.8</v>
      </c>
      <c r="W34" s="143" t="n">
        <v>0</v>
      </c>
      <c r="X34" s="143" t="n">
        <f aca="false">M34-N34-O34-P34-Q34-R34-S34-T34-U34+V34+W34-AU34+AR34</f>
        <v>60.4949517619164</v>
      </c>
      <c r="Y34" s="143" t="n">
        <f aca="false">X34-AO34</f>
        <v>60.4949517619164</v>
      </c>
      <c r="Z34" s="114"/>
      <c r="AA34" s="143"/>
      <c r="AB34" s="114"/>
      <c r="AC34" s="442"/>
      <c r="AD34" s="442"/>
      <c r="AE34" s="143" t="n">
        <v>0</v>
      </c>
      <c r="AF34" s="145" t="n">
        <v>1.7</v>
      </c>
      <c r="AG34" s="146" t="n">
        <v>1.3</v>
      </c>
      <c r="AH34" s="143" t="n">
        <v>34.1</v>
      </c>
      <c r="AI34" s="114" t="n">
        <f aca="false">AI33-AH34</f>
        <v>5518.35787748928</v>
      </c>
      <c r="AJ34" s="114"/>
      <c r="AK34" s="142" t="n">
        <f aca="false">N34+O34+P34+Q34+R34+S34+T34+U34+X34+AE34+AH34</f>
        <v>176.5</v>
      </c>
      <c r="AL34" s="143" t="n">
        <f aca="false">IF(L34&lt;0,L34*-1,0)</f>
        <v>0</v>
      </c>
      <c r="AM34" s="143" t="n">
        <f aca="false">AK34+AL34</f>
        <v>176.5</v>
      </c>
      <c r="AN34" s="147" t="n">
        <f aca="false">V34</f>
        <v>68.8</v>
      </c>
      <c r="AO34" s="144"/>
      <c r="AP34" s="585" t="n">
        <f aca="false">I34-Q34-R34-X34-AF34</f>
        <v>143.535496253774</v>
      </c>
      <c r="AQ34" s="171" t="n">
        <f aca="false">0*(Z34*1.9835+AC34*1.9835)/E34</f>
        <v>0</v>
      </c>
      <c r="AR34" s="171"/>
      <c r="AS34" s="171"/>
      <c r="AT34" s="114" t="n">
        <f aca="false">BB34</f>
        <v>0.441</v>
      </c>
      <c r="AU34" s="56"/>
      <c r="AV34" s="111"/>
      <c r="AW34" s="330" t="n">
        <v>0.25</v>
      </c>
      <c r="AX34" s="231" t="n">
        <v>63</v>
      </c>
      <c r="AY34" s="225" t="n">
        <v>40</v>
      </c>
      <c r="AZ34" s="264"/>
      <c r="BA34" s="263" t="n">
        <f aca="false">SUM(N34,P34:U34)</f>
        <v>5.4650482380836</v>
      </c>
      <c r="BB34" s="193" t="n">
        <v>0.441</v>
      </c>
      <c r="BC34" s="264" t="n">
        <v>18547</v>
      </c>
    </row>
    <row r="35" customFormat="false" ht="12.95" hidden="false" customHeight="true" outlineLevel="0" collapsed="false">
      <c r="A35" s="192" t="n">
        <f aca="false">A34+1</f>
        <v>21</v>
      </c>
      <c r="B35" s="113" t="n">
        <v>6888.8</v>
      </c>
      <c r="C35" s="114" t="n">
        <v>244135</v>
      </c>
      <c r="D35" s="225" t="n">
        <f aca="false">C35-C34</f>
        <v>34</v>
      </c>
      <c r="E35" s="114" t="n">
        <f aca="false">C35-152000</f>
        <v>92135</v>
      </c>
      <c r="F35" s="259" t="n">
        <f aca="false">D35/$D$2</f>
        <v>17.1414166876733</v>
      </c>
      <c r="G35" s="143" t="n">
        <v>179</v>
      </c>
      <c r="H35" s="606" t="n">
        <v>0</v>
      </c>
      <c r="I35" s="143" t="n">
        <f aca="false">G35+H35</f>
        <v>179</v>
      </c>
      <c r="J35" s="144" t="n">
        <f aca="false">IF(L35&gt;0,L35,0)</f>
        <v>12.5414166876733</v>
      </c>
      <c r="K35" s="143" t="n">
        <f aca="false">I35+J35</f>
        <v>191.541416687673</v>
      </c>
      <c r="L35" s="143" t="n">
        <f aca="false">F35-(I35-AK35)</f>
        <v>12.5414166876733</v>
      </c>
      <c r="M35" s="261" t="n">
        <v>66.2</v>
      </c>
      <c r="N35" s="171" t="n">
        <v>0.519284093773632</v>
      </c>
      <c r="O35" s="143" t="n">
        <f aca="false">61.3*1.05</f>
        <v>64.365</v>
      </c>
      <c r="P35" s="171" t="n">
        <v>0</v>
      </c>
      <c r="Q35" s="346" t="n">
        <f aca="false">1034000/325851/1.9835*1.02</f>
        <v>1.63180946399313</v>
      </c>
      <c r="R35" s="139" t="n">
        <f aca="false">IF(((3.2*1.04)-T35)&gt;=4.2,4.2,(3.2*1.04)-T35)</f>
        <v>2.65178784</v>
      </c>
      <c r="S35" s="139" t="n">
        <f aca="false">IF(((3.2*1.04)-T35)&gt;=4.2,((3.2*1.04)-T35)-4.2,0)</f>
        <v>0</v>
      </c>
      <c r="T35" s="139" t="n">
        <f aca="false">(0.6134*1.06)*1.04</f>
        <v>0.67621216</v>
      </c>
      <c r="U35" s="365" t="n">
        <v>0</v>
      </c>
      <c r="V35" s="143" t="n">
        <v>68.7</v>
      </c>
      <c r="W35" s="143" t="n">
        <v>0</v>
      </c>
      <c r="X35" s="143" t="n">
        <f aca="false">M35-N35-O35-P35-Q35-R35-S35-T35-U35+V35+W35-AU35+AR35</f>
        <v>65.0559064422332</v>
      </c>
      <c r="Y35" s="143" t="n">
        <f aca="false">X35-AO35</f>
        <v>65.0559064422332</v>
      </c>
      <c r="Z35" s="114"/>
      <c r="AA35" s="143"/>
      <c r="AB35" s="114"/>
      <c r="AC35" s="442"/>
      <c r="AD35" s="442"/>
      <c r="AE35" s="143" t="n">
        <v>0</v>
      </c>
      <c r="AF35" s="145" t="n">
        <v>1.7</v>
      </c>
      <c r="AG35" s="146" t="n">
        <v>1.3</v>
      </c>
      <c r="AH35" s="143" t="n">
        <v>39.5</v>
      </c>
      <c r="AI35" s="114" t="n">
        <f aca="false">AI34-AH35</f>
        <v>5478.85787748928</v>
      </c>
      <c r="AJ35" s="114"/>
      <c r="AK35" s="142" t="n">
        <f aca="false">N35+O35+P35+Q35+R35+S35+T35+U35+X35+AE35+AH35</f>
        <v>174.4</v>
      </c>
      <c r="AL35" s="143" t="n">
        <f aca="false">IF(L35&lt;0,L35*-1,0)</f>
        <v>0</v>
      </c>
      <c r="AM35" s="143" t="n">
        <f aca="false">AK35+AL35</f>
        <v>174.4</v>
      </c>
      <c r="AN35" s="147" t="n">
        <f aca="false">V35</f>
        <v>68.7</v>
      </c>
      <c r="AO35" s="103"/>
      <c r="AP35" s="585" t="n">
        <f aca="false">I35-Q35-R35-X35-AF35</f>
        <v>107.960496253774</v>
      </c>
      <c r="AQ35" s="171" t="n">
        <f aca="false">0*(Z35*1.9835+AC35*1.9835)/E35</f>
        <v>0</v>
      </c>
      <c r="AR35" s="171"/>
      <c r="AS35" s="171"/>
      <c r="AT35" s="114" t="n">
        <f aca="false">BB35</f>
        <v>0.345</v>
      </c>
      <c r="AU35" s="56"/>
      <c r="AV35" s="111"/>
      <c r="AW35" s="330" t="n">
        <v>0.07</v>
      </c>
      <c r="AX35" s="225" t="n">
        <v>61</v>
      </c>
      <c r="AY35" s="225" t="n">
        <v>38</v>
      </c>
      <c r="AZ35" s="264"/>
      <c r="BA35" s="263" t="n">
        <f aca="false">SUM(N35,P35:U35)</f>
        <v>5.47909355776676</v>
      </c>
      <c r="BB35" s="193" t="n">
        <v>0.345</v>
      </c>
      <c r="BC35" s="264" t="n">
        <v>18553</v>
      </c>
    </row>
    <row r="36" customFormat="false" ht="12.95" hidden="false" customHeight="true" outlineLevel="0" collapsed="false">
      <c r="A36" s="192" t="n">
        <f aca="false">A35+1</f>
        <v>22</v>
      </c>
      <c r="B36" s="113" t="n">
        <v>6888.8</v>
      </c>
      <c r="C36" s="114" t="n">
        <v>244135</v>
      </c>
      <c r="D36" s="225" t="n">
        <f aca="false">C36-C35</f>
        <v>0</v>
      </c>
      <c r="E36" s="114" t="n">
        <f aca="false">C36-152000</f>
        <v>92135</v>
      </c>
      <c r="F36" s="259" t="n">
        <f aca="false">D36/$D$2</f>
        <v>0</v>
      </c>
      <c r="G36" s="143" t="n">
        <v>149</v>
      </c>
      <c r="H36" s="606" t="n">
        <v>0</v>
      </c>
      <c r="I36" s="143" t="n">
        <f aca="false">G36+H36</f>
        <v>149</v>
      </c>
      <c r="J36" s="144" t="n">
        <f aca="false">IF(L36&gt;0,L36,0)</f>
        <v>30.4</v>
      </c>
      <c r="K36" s="143" t="n">
        <f aca="false">I36+J36</f>
        <v>179.4</v>
      </c>
      <c r="L36" s="143" t="n">
        <f aca="false">F36-(I36-AK36)</f>
        <v>30.4</v>
      </c>
      <c r="M36" s="261" t="n">
        <v>71.2</v>
      </c>
      <c r="N36" s="171" t="n">
        <v>0.519284093773632</v>
      </c>
      <c r="O36" s="143" t="n">
        <f aca="false">67.2*1.05</f>
        <v>70.56</v>
      </c>
      <c r="P36" s="171" t="n">
        <v>0</v>
      </c>
      <c r="Q36" s="346" t="n">
        <f aca="false">894500/325851/1.9835*1.02</f>
        <v>1.41165722005982</v>
      </c>
      <c r="R36" s="139" t="n">
        <f aca="false">IF(((3*1.04)-T36)&gt;=4.2,4.2,(3*1.04)-T36)</f>
        <v>2.44378784</v>
      </c>
      <c r="S36" s="139" t="n">
        <f aca="false">IF(((3*1.04)-T36)&gt;=4.2,((3*1.04)-T36)-4.2,0)</f>
        <v>0</v>
      </c>
      <c r="T36" s="139" t="n">
        <f aca="false">(0.6134*1.06)*1.04</f>
        <v>0.67621216</v>
      </c>
      <c r="U36" s="365" t="n">
        <v>0</v>
      </c>
      <c r="V36" s="143" t="n">
        <v>68.7</v>
      </c>
      <c r="W36" s="143" t="n">
        <v>0</v>
      </c>
      <c r="X36" s="143" t="n">
        <f aca="false">M36-N36-O36-P36-Q36-R36-S36-T36-U36+V36+W36-AU36+AR36</f>
        <v>64.2890586861665</v>
      </c>
      <c r="Y36" s="143" t="n">
        <f aca="false">X36-AO36</f>
        <v>64.2890586861665</v>
      </c>
      <c r="Z36" s="114"/>
      <c r="AA36" s="143"/>
      <c r="AB36" s="114"/>
      <c r="AC36" s="442"/>
      <c r="AD36" s="442"/>
      <c r="AE36" s="143" t="n">
        <v>0</v>
      </c>
      <c r="AF36" s="145" t="n">
        <v>1.7</v>
      </c>
      <c r="AG36" s="146" t="n">
        <v>1.3</v>
      </c>
      <c r="AH36" s="143" t="n">
        <v>39.5</v>
      </c>
      <c r="AI36" s="114" t="n">
        <f aca="false">AI35-AH36</f>
        <v>5439.35787748928</v>
      </c>
      <c r="AJ36" s="114"/>
      <c r="AK36" s="142" t="n">
        <f aca="false">N36+O36+P36+Q36+R36+S36+T36+U36+X36+AE36+AH36</f>
        <v>179.4</v>
      </c>
      <c r="AL36" s="143" t="n">
        <f aca="false">IF(L36&lt;0,L36*-1,0)</f>
        <v>0</v>
      </c>
      <c r="AM36" s="143" t="n">
        <f aca="false">AK36+AL36</f>
        <v>179.4</v>
      </c>
      <c r="AN36" s="147" t="n">
        <f aca="false">V36</f>
        <v>68.7</v>
      </c>
      <c r="AO36" s="103"/>
      <c r="AP36" s="585" t="n">
        <f aca="false">I36-Q36-R36-X36-AF36</f>
        <v>79.1554962537736</v>
      </c>
      <c r="AQ36" s="171" t="n">
        <f aca="false">0*(Z36*1.9835+AC36*1.9835)/E36</f>
        <v>0</v>
      </c>
      <c r="AR36" s="171"/>
      <c r="AS36" s="171"/>
      <c r="AT36" s="114" t="n">
        <f aca="false">BB36</f>
        <v>0.428</v>
      </c>
      <c r="AU36" s="56"/>
      <c r="AV36" s="111"/>
      <c r="AW36" s="330" t="n">
        <v>0.11</v>
      </c>
      <c r="AX36" s="225" t="n">
        <v>56</v>
      </c>
      <c r="AY36" s="225" t="n">
        <v>40</v>
      </c>
      <c r="AZ36" s="264"/>
      <c r="BA36" s="263" t="n">
        <f aca="false">SUM(N36,P36:U36)</f>
        <v>5.05094131383346</v>
      </c>
      <c r="BB36" s="193" t="n">
        <v>0.428</v>
      </c>
      <c r="BC36" s="264" t="n">
        <v>18563</v>
      </c>
    </row>
    <row r="37" customFormat="false" ht="12.95" hidden="false" customHeight="true" outlineLevel="0" collapsed="false">
      <c r="A37" s="192" t="n">
        <f aca="false">A36+1</f>
        <v>23</v>
      </c>
      <c r="B37" s="113" t="n">
        <v>6888.78</v>
      </c>
      <c r="C37" s="114" t="n">
        <v>244068</v>
      </c>
      <c r="D37" s="225" t="n">
        <f aca="false">C37-C36</f>
        <v>-67</v>
      </c>
      <c r="E37" s="114" t="n">
        <f aca="false">C37-152000</f>
        <v>92068</v>
      </c>
      <c r="F37" s="259" t="n">
        <f aca="false">D37/$D$2</f>
        <v>-33.7786740610033</v>
      </c>
      <c r="G37" s="143" t="n">
        <v>157</v>
      </c>
      <c r="H37" s="606" t="n">
        <v>0</v>
      </c>
      <c r="I37" s="143" t="n">
        <f aca="false">G37+H37</f>
        <v>157</v>
      </c>
      <c r="J37" s="144" t="n">
        <f aca="false">IF(L37&gt;0,L37,0)</f>
        <v>0</v>
      </c>
      <c r="K37" s="143" t="n">
        <f aca="false">I37+J37</f>
        <v>157</v>
      </c>
      <c r="L37" s="143" t="n">
        <f aca="false">F37-(I37-AK37)</f>
        <v>-35.9786740610033</v>
      </c>
      <c r="M37" s="261" t="n">
        <v>46.6</v>
      </c>
      <c r="N37" s="171" t="n">
        <v>0.519284093773632</v>
      </c>
      <c r="O37" s="143" t="n">
        <f aca="false">42.5*1.05</f>
        <v>44.625</v>
      </c>
      <c r="P37" s="171" t="n">
        <v>0</v>
      </c>
      <c r="Q37" s="346" t="n">
        <f aca="false">924100/325851/1.9835*1.02</f>
        <v>1.45837052773313</v>
      </c>
      <c r="R37" s="139" t="n">
        <f aca="false">IF(((3*1.04)-T37)&gt;=4.2,4.2,(3*1.04)-T37)</f>
        <v>2.43629152</v>
      </c>
      <c r="S37" s="139" t="n">
        <f aca="false">IF(((3*1.04)-T37)&gt;=4.2,((3*1.04)-T37)-4.2,0)</f>
        <v>0</v>
      </c>
      <c r="T37" s="139" t="n">
        <f aca="false">(0.6202*1.06)*1.04</f>
        <v>0.68370848</v>
      </c>
      <c r="U37" s="365" t="n">
        <v>0</v>
      </c>
      <c r="V37" s="143" t="n">
        <v>68.7</v>
      </c>
      <c r="W37" s="143" t="n">
        <v>0</v>
      </c>
      <c r="X37" s="143" t="n">
        <f aca="false">M37-N37-O37-P37-Q37-R37-S37-T37-U37+V37+W37-AU37+AR37</f>
        <v>65.5773453784933</v>
      </c>
      <c r="Y37" s="143" t="n">
        <f aca="false">X37-AO37</f>
        <v>65.5773453784933</v>
      </c>
      <c r="Z37" s="114"/>
      <c r="AA37" s="143"/>
      <c r="AB37" s="114"/>
      <c r="AC37" s="442"/>
      <c r="AD37" s="442"/>
      <c r="AE37" s="143" t="n">
        <v>0</v>
      </c>
      <c r="AF37" s="145" t="n">
        <v>1.7</v>
      </c>
      <c r="AG37" s="146" t="n">
        <v>1.3</v>
      </c>
      <c r="AH37" s="143" t="n">
        <v>39.5</v>
      </c>
      <c r="AI37" s="114" t="n">
        <f aca="false">AI36-AH37</f>
        <v>5399.85787748928</v>
      </c>
      <c r="AJ37" s="114"/>
      <c r="AK37" s="142" t="n">
        <f aca="false">N37+O37+P37+Q37+R37+S37+T37+U37+X37+AE37+AH37</f>
        <v>154.8</v>
      </c>
      <c r="AL37" s="143" t="n">
        <f aca="false">IF(L37&lt;0,L37*-1,0)</f>
        <v>35.9786740610033</v>
      </c>
      <c r="AM37" s="143" t="n">
        <f aca="false">AK37+AL37</f>
        <v>190.778674061003</v>
      </c>
      <c r="AN37" s="147" t="n">
        <f aca="false">V37</f>
        <v>68.7</v>
      </c>
      <c r="AO37" s="103"/>
      <c r="AP37" s="585" t="n">
        <f aca="false">I37-Q37-R37-X37-AF37</f>
        <v>85.8279925737736</v>
      </c>
      <c r="AQ37" s="171" t="n">
        <f aca="false">15.829*(Z37*1.9835+AC37*1.9835)/E37</f>
        <v>0</v>
      </c>
      <c r="AR37" s="171"/>
      <c r="AS37" s="171"/>
      <c r="AT37" s="114" t="n">
        <f aca="false">BB37</f>
        <v>0.277</v>
      </c>
      <c r="AU37" s="56"/>
      <c r="AV37" s="111"/>
      <c r="AW37" s="330" t="n">
        <v>0</v>
      </c>
      <c r="AX37" s="225" t="n">
        <v>63</v>
      </c>
      <c r="AY37" s="231" t="n">
        <v>39</v>
      </c>
      <c r="AZ37" s="264"/>
      <c r="BA37" s="263" t="n">
        <f aca="false">SUM(N37,P37:U37)</f>
        <v>5.09765462150676</v>
      </c>
      <c r="BB37" s="193" t="n">
        <v>0.277</v>
      </c>
      <c r="BC37" s="264" t="n">
        <v>18590</v>
      </c>
    </row>
    <row r="38" customFormat="false" ht="12.95" hidden="false" customHeight="true" outlineLevel="0" collapsed="false">
      <c r="A38" s="192" t="n">
        <f aca="false">A37+1</f>
        <v>24</v>
      </c>
      <c r="B38" s="113" t="n">
        <v>6888.76</v>
      </c>
      <c r="C38" s="114" t="n">
        <v>244002</v>
      </c>
      <c r="D38" s="225" t="n">
        <f aca="false">C38-C37</f>
        <v>-66</v>
      </c>
      <c r="E38" s="114" t="n">
        <f aca="false">C38-152000</f>
        <v>92002</v>
      </c>
      <c r="F38" s="259" t="n">
        <f aca="false">D38/$D$2</f>
        <v>-33.2745147466599</v>
      </c>
      <c r="G38" s="143" t="n">
        <v>147</v>
      </c>
      <c r="H38" s="606" t="n">
        <v>0</v>
      </c>
      <c r="I38" s="143" t="n">
        <f aca="false">G38+H38</f>
        <v>147</v>
      </c>
      <c r="J38" s="144" t="n">
        <f aca="false">IF(L38&gt;0,L38,0)</f>
        <v>0</v>
      </c>
      <c r="K38" s="143" t="n">
        <f aca="false">I38+J38</f>
        <v>147</v>
      </c>
      <c r="L38" s="143" t="n">
        <f aca="false">F38-(I38-AK38)</f>
        <v>-27.1745147466599</v>
      </c>
      <c r="M38" s="261" t="n">
        <v>45</v>
      </c>
      <c r="N38" s="171" t="n">
        <v>0.519284093773632</v>
      </c>
      <c r="O38" s="143" t="n">
        <f aca="false">34.5*1.05</f>
        <v>36.225</v>
      </c>
      <c r="P38" s="171" t="n">
        <v>0</v>
      </c>
      <c r="Q38" s="346" t="n">
        <f aca="false">913800/325851/1.9835*1.02</f>
        <v>1.44211555918465</v>
      </c>
      <c r="R38" s="139" t="n">
        <f aca="false">IF(((2*1.04)-T38)&gt;=4.2,4.2,(2*1.04)-T38)</f>
        <v>1.39629152</v>
      </c>
      <c r="S38" s="139" t="n">
        <f aca="false">IF(((2*1.04)-T38)&gt;=4.2,((2*1.04)-T38)-4.2,0)</f>
        <v>0</v>
      </c>
      <c r="T38" s="139" t="n">
        <f aca="false">(0.6202*1.06)*1.04</f>
        <v>0.68370848</v>
      </c>
      <c r="U38" s="365" t="n">
        <v>0</v>
      </c>
      <c r="V38" s="143" t="n">
        <v>68.6</v>
      </c>
      <c r="W38" s="143" t="n">
        <v>0</v>
      </c>
      <c r="X38" s="143" t="n">
        <f aca="false">M38-N38-O38-P38-Q38-R38-S38-T38-U38+V38+W38-AU38+AR38</f>
        <v>73.3336003470417</v>
      </c>
      <c r="Y38" s="143" t="n">
        <f aca="false">X38-AO38</f>
        <v>73.3336003470417</v>
      </c>
      <c r="Z38" s="114"/>
      <c r="AA38" s="143"/>
      <c r="AB38" s="114"/>
      <c r="AC38" s="442"/>
      <c r="AD38" s="442"/>
      <c r="AE38" s="143" t="n">
        <v>0</v>
      </c>
      <c r="AF38" s="145" t="n">
        <v>1.7</v>
      </c>
      <c r="AG38" s="146" t="n">
        <v>1.3</v>
      </c>
      <c r="AH38" s="143" t="n">
        <v>39.5</v>
      </c>
      <c r="AI38" s="114" t="n">
        <f aca="false">AI37-AH38</f>
        <v>5360.35787748928</v>
      </c>
      <c r="AJ38" s="114"/>
      <c r="AK38" s="142" t="n">
        <f aca="false">N38+O38+P38+Q38+R38+S38+T38+U38+X38+AE38+AH38</f>
        <v>153.1</v>
      </c>
      <c r="AL38" s="143" t="n">
        <f aca="false">IF(L38&lt;0,L38*-1,0)</f>
        <v>27.1745147466599</v>
      </c>
      <c r="AM38" s="143" t="n">
        <f aca="false">AK38+AL38</f>
        <v>180.27451474666</v>
      </c>
      <c r="AN38" s="147" t="n">
        <f aca="false">V38</f>
        <v>68.6</v>
      </c>
      <c r="AO38" s="103"/>
      <c r="AP38" s="585" t="n">
        <f aca="false">I38-Q38-R38-X38-AF38</f>
        <v>69.1279925737736</v>
      </c>
      <c r="AQ38" s="171" t="n">
        <f aca="false">7.035*(Z38*1.9835+AC38*1.9835)/E38</f>
        <v>0</v>
      </c>
      <c r="AR38" s="171"/>
      <c r="AS38" s="171"/>
      <c r="AT38" s="114" t="n">
        <f aca="false">BB38</f>
        <v>0.232</v>
      </c>
      <c r="AU38" s="56"/>
      <c r="AV38" s="111"/>
      <c r="AW38" s="330" t="n">
        <v>0</v>
      </c>
      <c r="AX38" s="225" t="n">
        <v>64</v>
      </c>
      <c r="AY38" s="231" t="n">
        <v>35</v>
      </c>
      <c r="AZ38" s="264"/>
      <c r="BA38" s="263" t="n">
        <f aca="false">SUM(N38,P38:U38)</f>
        <v>4.04139965295828</v>
      </c>
      <c r="BB38" s="193" t="n">
        <v>0.232</v>
      </c>
      <c r="BC38" s="264" t="n">
        <v>18600</v>
      </c>
    </row>
    <row r="39" customFormat="false" ht="12.95" hidden="false" customHeight="true" outlineLevel="0" collapsed="false">
      <c r="A39" s="192" t="n">
        <v>25</v>
      </c>
      <c r="B39" s="113" t="n">
        <v>6888.73</v>
      </c>
      <c r="C39" s="114" t="n">
        <v>243902</v>
      </c>
      <c r="D39" s="225" t="n">
        <f aca="false">C39-C38</f>
        <v>-100</v>
      </c>
      <c r="E39" s="114" t="n">
        <f aca="false">C39-152000</f>
        <v>91902</v>
      </c>
      <c r="F39" s="259" t="n">
        <f aca="false">D39/$D$2</f>
        <v>-50.4159314343332</v>
      </c>
      <c r="G39" s="143" t="n">
        <v>134</v>
      </c>
      <c r="H39" s="606" t="n">
        <v>0</v>
      </c>
      <c r="I39" s="143" t="n">
        <f aca="false">G39+H39</f>
        <v>134</v>
      </c>
      <c r="J39" s="144" t="n">
        <f aca="false">IF(L39&gt;0,L39,0)</f>
        <v>0</v>
      </c>
      <c r="K39" s="143" t="n">
        <f aca="false">I39+J39</f>
        <v>134</v>
      </c>
      <c r="L39" s="143" t="n">
        <f aca="false">F39-(I39-AK39)</f>
        <v>-10.1079314343333</v>
      </c>
      <c r="M39" s="261" t="n">
        <v>66.3</v>
      </c>
      <c r="N39" s="171" t="n">
        <v>0.519284093773632</v>
      </c>
      <c r="O39" s="143" t="n">
        <f aca="false">62.8*1.05</f>
        <v>65.94</v>
      </c>
      <c r="P39" s="171" t="n">
        <v>0</v>
      </c>
      <c r="Q39" s="346" t="n">
        <f aca="false">1112800/325851/1.9835*1.02</f>
        <v>1.75616786415044</v>
      </c>
      <c r="R39" s="139" t="n">
        <f aca="false">IF(((2*1.04)-T39)&gt;=4.2,4.2,(2*1.04)-T39)</f>
        <v>1.39629152</v>
      </c>
      <c r="S39" s="139" t="n">
        <f aca="false">IF(((2*1.04)-T39)&gt;=4.2,((2*1.04)-T39)-4.2,0)</f>
        <v>0</v>
      </c>
      <c r="T39" s="139" t="n">
        <f aca="false">(0.6202*1.06)*1.04</f>
        <v>0.68370848</v>
      </c>
      <c r="U39" s="365" t="n">
        <v>0</v>
      </c>
      <c r="V39" s="143" t="n">
        <v>68.5</v>
      </c>
      <c r="W39" s="143" t="n">
        <v>0.008</v>
      </c>
      <c r="X39" s="143" t="n">
        <f aca="false">M39-N39-O39-P39-Q39-R39-S39-T39-U39+V39+W39-AU39+AR39</f>
        <v>64.5125480420759</v>
      </c>
      <c r="Y39" s="143" t="n">
        <f aca="false">X39-AO39</f>
        <v>64.5125480420759</v>
      </c>
      <c r="Z39" s="114"/>
      <c r="AA39" s="143"/>
      <c r="AB39" s="114"/>
      <c r="AC39" s="442"/>
      <c r="AD39" s="442"/>
      <c r="AE39" s="143" t="n">
        <v>0</v>
      </c>
      <c r="AF39" s="145" t="n">
        <v>1.7</v>
      </c>
      <c r="AG39" s="146" t="n">
        <v>1.3</v>
      </c>
      <c r="AH39" s="143" t="n">
        <v>39.5</v>
      </c>
      <c r="AI39" s="114" t="n">
        <f aca="false">AI38-AH39</f>
        <v>5320.85787748928</v>
      </c>
      <c r="AJ39" s="114"/>
      <c r="AK39" s="142" t="n">
        <f aca="false">N39+O39+P39+Q39+R39+S39+T39+U39+X39+AE39+AH39</f>
        <v>174.308</v>
      </c>
      <c r="AL39" s="143" t="n">
        <f aca="false">IF(L39&lt;0,L39*-1,0)</f>
        <v>10.1079314343333</v>
      </c>
      <c r="AM39" s="143" t="n">
        <f aca="false">AK39+AL39</f>
        <v>184.415931434333</v>
      </c>
      <c r="AN39" s="147" t="n">
        <f aca="false">V39</f>
        <v>68.5</v>
      </c>
      <c r="AO39" s="144"/>
      <c r="AP39" s="585" t="n">
        <f aca="false">I39-Q39-R39-X39-AF39</f>
        <v>64.6349925737736</v>
      </c>
      <c r="AQ39" s="171" t="n">
        <f aca="false">11.725*(Z39*1.9835+AC39*1.9835)/E39</f>
        <v>0</v>
      </c>
      <c r="AR39" s="171"/>
      <c r="AS39" s="171"/>
      <c r="AT39" s="114" t="n">
        <f aca="false">BB39</f>
        <v>0.328</v>
      </c>
      <c r="AU39" s="56"/>
      <c r="AV39" s="111"/>
      <c r="AW39" s="330" t="n">
        <v>0</v>
      </c>
      <c r="AX39" s="225" t="n">
        <v>65</v>
      </c>
      <c r="AY39" s="231" t="n">
        <v>40</v>
      </c>
      <c r="AZ39" s="264"/>
      <c r="BA39" s="263" t="n">
        <f aca="false">SUM(N39,P39:U39)</f>
        <v>4.35545195792408</v>
      </c>
      <c r="BB39" s="193" t="n">
        <v>0.328</v>
      </c>
      <c r="BC39" s="264" t="n">
        <v>18602</v>
      </c>
    </row>
    <row r="40" customFormat="false" ht="12.95" hidden="false" customHeight="true" outlineLevel="0" collapsed="false">
      <c r="A40" s="192" t="n">
        <v>26</v>
      </c>
      <c r="B40" s="113" t="n">
        <v>6888.7</v>
      </c>
      <c r="C40" s="114" t="n">
        <v>243802</v>
      </c>
      <c r="D40" s="225" t="n">
        <f aca="false">C40-C39</f>
        <v>-100</v>
      </c>
      <c r="E40" s="114" t="n">
        <f aca="false">C40-152000</f>
        <v>91802</v>
      </c>
      <c r="F40" s="259" t="n">
        <f aca="false">D40/$D$2</f>
        <v>-50.4159314343332</v>
      </c>
      <c r="G40" s="143" t="n">
        <v>126</v>
      </c>
      <c r="H40" s="606" t="n">
        <v>0</v>
      </c>
      <c r="I40" s="143" t="n">
        <f aca="false">G40+H40</f>
        <v>126</v>
      </c>
      <c r="J40" s="144" t="n">
        <f aca="false">IF(L40&gt;0,L40,0)</f>
        <v>0</v>
      </c>
      <c r="K40" s="143" t="n">
        <f aca="false">I40+J40</f>
        <v>126</v>
      </c>
      <c r="L40" s="143" t="n">
        <f aca="false">F40-(I40-AK40)</f>
        <v>-0.415931434333245</v>
      </c>
      <c r="M40" s="261" t="n">
        <v>67.8</v>
      </c>
      <c r="N40" s="171" t="n">
        <v>0.519284093773632</v>
      </c>
      <c r="O40" s="143" t="n">
        <f aca="false">68.1*1.05</f>
        <v>71.505</v>
      </c>
      <c r="P40" s="171" t="n">
        <v>0</v>
      </c>
      <c r="Q40" s="346" t="n">
        <f aca="false">927100/325851/1.9835*1.02</f>
        <v>1.46310498459191</v>
      </c>
      <c r="R40" s="139" t="n">
        <f aca="false">IF(((1.9*1.04)-T40)&gt;=4.2,4.2,(1.9*1.04)-T40)</f>
        <v>1.29229152</v>
      </c>
      <c r="S40" s="139" t="n">
        <f aca="false">IF(((1.9*1.04)-T40)&gt;=4.2,((1.9*1.04)-T40)-4.2,0)</f>
        <v>0</v>
      </c>
      <c r="T40" s="139" t="n">
        <f aca="false">(0.6202*1.06)*1.04</f>
        <v>0.68370848</v>
      </c>
      <c r="U40" s="365" t="n">
        <v>0</v>
      </c>
      <c r="V40" s="143" t="n">
        <v>68.7</v>
      </c>
      <c r="W40" s="143" t="n">
        <v>0</v>
      </c>
      <c r="X40" s="143" t="n">
        <f aca="false">M40-N40-O40-P40-Q40-R40-S40-T40-U40+V40+W40-AU40+AR40</f>
        <v>61.0366109216345</v>
      </c>
      <c r="Y40" s="143" t="n">
        <f aca="false">X40-AO40</f>
        <v>61.0366109216345</v>
      </c>
      <c r="Z40" s="114"/>
      <c r="AA40" s="143"/>
      <c r="AB40" s="114"/>
      <c r="AC40" s="442"/>
      <c r="AD40" s="442"/>
      <c r="AE40" s="143" t="n">
        <v>0</v>
      </c>
      <c r="AF40" s="145" t="n">
        <v>1.7</v>
      </c>
      <c r="AG40" s="146" t="n">
        <v>1.3</v>
      </c>
      <c r="AH40" s="143" t="n">
        <v>39.5</v>
      </c>
      <c r="AI40" s="114" t="n">
        <f aca="false">AI39-AH40</f>
        <v>5281.35787748928</v>
      </c>
      <c r="AJ40" s="114"/>
      <c r="AK40" s="142" t="n">
        <f aca="false">N40+O40+P40+Q40+R40+S40+T40+U40+X40+AE40+AH40</f>
        <v>176</v>
      </c>
      <c r="AL40" s="143" t="n">
        <f aca="false">IF(L40&lt;0,L40*-1,0)</f>
        <v>0.415931434333245</v>
      </c>
      <c r="AM40" s="143" t="n">
        <f aca="false">AK40+AL40</f>
        <v>176.415931434333</v>
      </c>
      <c r="AN40" s="147" t="n">
        <f aca="false">V40</f>
        <v>68.7</v>
      </c>
      <c r="AO40" s="144"/>
      <c r="AP40" s="585" t="n">
        <f aca="false">I40-Q40-R40-X40-AF40</f>
        <v>60.5079925737736</v>
      </c>
      <c r="AQ40" s="171" t="n">
        <f aca="false">16.806*(Z40*1.9835+AC40*1.9835)/E40</f>
        <v>0</v>
      </c>
      <c r="AR40" s="171"/>
      <c r="AS40" s="171"/>
      <c r="AT40" s="114" t="n">
        <f aca="false">BB40</f>
        <v>0.355</v>
      </c>
      <c r="AU40" s="56"/>
      <c r="AV40" s="111"/>
      <c r="AW40" s="330" t="n">
        <v>0.02</v>
      </c>
      <c r="AX40" s="225" t="n">
        <v>62</v>
      </c>
      <c r="AY40" s="231" t="n">
        <v>40</v>
      </c>
      <c r="AZ40" s="264"/>
      <c r="BA40" s="263" t="n">
        <f aca="false">SUM(N40,P40:U40)</f>
        <v>3.95838907836554</v>
      </c>
      <c r="BB40" s="193" t="n">
        <v>0.355</v>
      </c>
      <c r="BC40" s="264" t="n">
        <v>18606</v>
      </c>
    </row>
    <row r="41" customFormat="false" ht="12.95" hidden="false" customHeight="true" outlineLevel="0" collapsed="false">
      <c r="A41" s="192" t="n">
        <v>27</v>
      </c>
      <c r="B41" s="113" t="n">
        <v>6888.64</v>
      </c>
      <c r="C41" s="114" t="n">
        <v>243602</v>
      </c>
      <c r="D41" s="225" t="n">
        <f aca="false">C41-C40</f>
        <v>-200</v>
      </c>
      <c r="E41" s="114" t="n">
        <f aca="false">C41-152000</f>
        <v>91602</v>
      </c>
      <c r="F41" s="259" t="n">
        <f aca="false">D41/$D$2</f>
        <v>-100.831862868667</v>
      </c>
      <c r="G41" s="143" t="n">
        <v>126</v>
      </c>
      <c r="H41" s="606" t="n">
        <v>0</v>
      </c>
      <c r="I41" s="143" t="n">
        <f aca="false">G41+H41</f>
        <v>126</v>
      </c>
      <c r="J41" s="144" t="n">
        <f aca="false">IF(L41&gt;0,L41,0)</f>
        <v>0</v>
      </c>
      <c r="K41" s="143" t="n">
        <f aca="false">I41+J41</f>
        <v>126</v>
      </c>
      <c r="L41" s="143" t="n">
        <f aca="false">F41-(I41-AK41)</f>
        <v>-52.9318628686665</v>
      </c>
      <c r="M41" s="261" t="n">
        <v>64.7</v>
      </c>
      <c r="N41" s="171" t="n">
        <v>0.519284093773632</v>
      </c>
      <c r="O41" s="143" t="n">
        <f aca="false">70.4*1.05</f>
        <v>73.92</v>
      </c>
      <c r="P41" s="171" t="n">
        <v>0</v>
      </c>
      <c r="Q41" s="346" t="n">
        <f aca="false">1006600/325851/1.9835*1.02</f>
        <v>1.5885680913496</v>
      </c>
      <c r="R41" s="139" t="n">
        <f aca="false">IF(((2*1.04)-T41)&gt;=4.2,4.2,(2*1.04)-T41)</f>
        <v>1.39629152</v>
      </c>
      <c r="S41" s="139" t="n">
        <f aca="false">IF(((2*1.04)-T41)&gt;=4.2,((2*1.04)-T41)-4.2,0)</f>
        <v>0</v>
      </c>
      <c r="T41" s="139" t="n">
        <f aca="false">(0.6202*1.06)*1.04</f>
        <v>0.68370848</v>
      </c>
      <c r="U41" s="365" t="n">
        <v>0</v>
      </c>
      <c r="V41" s="143" t="n">
        <v>69.7</v>
      </c>
      <c r="W41" s="143" t="n">
        <v>0</v>
      </c>
      <c r="X41" s="143" t="n">
        <f aca="false">M41-N41-O41-P41-Q41-R41-S41-T41-U41+V41+W41-AU41+AR41</f>
        <v>56.2921478148768</v>
      </c>
      <c r="Y41" s="143" t="n">
        <f aca="false">X41-AO41</f>
        <v>56.2921478148768</v>
      </c>
      <c r="Z41" s="114"/>
      <c r="AA41" s="143"/>
      <c r="AB41" s="114"/>
      <c r="AC41" s="442"/>
      <c r="AD41" s="442"/>
      <c r="AE41" s="143" t="n">
        <v>0</v>
      </c>
      <c r="AF41" s="145" t="n">
        <v>1.7</v>
      </c>
      <c r="AG41" s="146" t="n">
        <v>1.3</v>
      </c>
      <c r="AH41" s="143" t="n">
        <v>39.5</v>
      </c>
      <c r="AI41" s="114" t="n">
        <f aca="false">AI40-AH41</f>
        <v>5241.85787748928</v>
      </c>
      <c r="AJ41" s="114"/>
      <c r="AK41" s="142" t="n">
        <f aca="false">N41+O41+P41+Q41+R41+S41+T41+U41+X41+AE41+AH41</f>
        <v>173.9</v>
      </c>
      <c r="AL41" s="143" t="n">
        <f aca="false">IF(L41&lt;0,L41*-1,0)</f>
        <v>52.9318628686665</v>
      </c>
      <c r="AM41" s="143" t="n">
        <f aca="false">AK41+AL41</f>
        <v>226.831862868666</v>
      </c>
      <c r="AN41" s="147" t="n">
        <f aca="false">V41</f>
        <v>69.7</v>
      </c>
      <c r="AO41" s="144"/>
      <c r="AP41" s="585" t="n">
        <f aca="false">I41-Q41-R41-X41-AF41</f>
        <v>65.0229925737736</v>
      </c>
      <c r="AQ41" s="171" t="n">
        <f aca="false">17.588*(Z41*1.9835+AC41*1.9835)/E41</f>
        <v>0</v>
      </c>
      <c r="AR41" s="171"/>
      <c r="AS41" s="171"/>
      <c r="AT41" s="114" t="n">
        <f aca="false">BB41</f>
        <v>0.446</v>
      </c>
      <c r="AU41" s="56"/>
      <c r="AV41" s="111"/>
      <c r="AW41" s="330" t="n">
        <v>0</v>
      </c>
      <c r="AX41" s="225" t="n">
        <v>63</v>
      </c>
      <c r="AY41" s="231" t="n">
        <v>35</v>
      </c>
      <c r="AZ41" s="264"/>
      <c r="BA41" s="263" t="n">
        <f aca="false">SUM(N41,P41:U41)</f>
        <v>4.18785218512323</v>
      </c>
      <c r="BB41" s="193" t="n">
        <v>0.446</v>
      </c>
      <c r="BC41" s="264" t="n">
        <v>18596</v>
      </c>
    </row>
    <row r="42" customFormat="false" ht="12.95" hidden="false" customHeight="true" outlineLevel="0" collapsed="false">
      <c r="A42" s="192" t="n">
        <v>28</v>
      </c>
      <c r="B42" s="113" t="n">
        <v>6888.61</v>
      </c>
      <c r="C42" s="114" t="n">
        <v>243502</v>
      </c>
      <c r="D42" s="225" t="n">
        <f aca="false">C42-C41</f>
        <v>-100</v>
      </c>
      <c r="E42" s="114" t="n">
        <f aca="false">C42-152000</f>
        <v>91502</v>
      </c>
      <c r="F42" s="259" t="n">
        <f aca="false">D42/$D$2</f>
        <v>-50.4159314343332</v>
      </c>
      <c r="G42" s="143" t="n">
        <v>114</v>
      </c>
      <c r="H42" s="606" t="n">
        <v>0</v>
      </c>
      <c r="I42" s="143" t="n">
        <f aca="false">G42+H42</f>
        <v>114</v>
      </c>
      <c r="J42" s="144" t="n">
        <f aca="false">IF(L42&gt;0,L42,0)</f>
        <v>0.384068565666766</v>
      </c>
      <c r="K42" s="143" t="n">
        <f aca="false">I42+J42</f>
        <v>114.384068565667</v>
      </c>
      <c r="L42" s="143" t="n">
        <f aca="false">F42-(I42-AK42)</f>
        <v>0.384068565666766</v>
      </c>
      <c r="M42" s="261" t="n">
        <v>54.8</v>
      </c>
      <c r="N42" s="171" t="n">
        <v>0.519284093773632</v>
      </c>
      <c r="O42" s="143" t="n">
        <f aca="false">70.4*1.05</f>
        <v>73.92</v>
      </c>
      <c r="P42" s="171" t="n">
        <v>0</v>
      </c>
      <c r="Q42" s="346" t="n">
        <f aca="false">1120100/325851/1.9835*1.02</f>
        <v>1.76768837584014</v>
      </c>
      <c r="R42" s="139" t="n">
        <f aca="false">IF(((1.9*1.04)-T42)&gt;=4.2,4.2,(1.9*1.04)-T42)</f>
        <v>1.29229152</v>
      </c>
      <c r="S42" s="139" t="n">
        <f aca="false">IF(((1.9*1.04)-T42)&gt;=4.2,((1.9*1.04)-T42)-4.2,0)</f>
        <v>0</v>
      </c>
      <c r="T42" s="139" t="n">
        <f aca="false">(0.6202*1.06)*1.04</f>
        <v>0.68370848</v>
      </c>
      <c r="U42" s="365" t="n">
        <v>0</v>
      </c>
      <c r="V42" s="143" t="n">
        <v>70.5</v>
      </c>
      <c r="W42" s="143" t="n">
        <v>0</v>
      </c>
      <c r="X42" s="143" t="n">
        <f aca="false">M42-N42-O42-P42-Q42-R42-S42-T42-U42+V42+W42-AU42+AR42</f>
        <v>47.1170275303862</v>
      </c>
      <c r="Y42" s="143" t="n">
        <f aca="false">X42-AO42</f>
        <v>47.1170275303862</v>
      </c>
      <c r="Z42" s="114"/>
      <c r="AA42" s="143"/>
      <c r="AB42" s="114"/>
      <c r="AC42" s="442"/>
      <c r="AD42" s="442"/>
      <c r="AE42" s="143" t="n">
        <v>0</v>
      </c>
      <c r="AF42" s="145" t="n">
        <v>1.7</v>
      </c>
      <c r="AG42" s="146" t="n">
        <v>1.3</v>
      </c>
      <c r="AH42" s="143" t="n">
        <v>39.5</v>
      </c>
      <c r="AI42" s="114" t="n">
        <f aca="false">AI41-AH42</f>
        <v>5202.35787748928</v>
      </c>
      <c r="AJ42" s="114"/>
      <c r="AK42" s="142" t="n">
        <f aca="false">N42+O42+P42+Q42+R42+S42+T42+U42+X42+AE42+AH42</f>
        <v>164.8</v>
      </c>
      <c r="AL42" s="143" t="n">
        <f aca="false">IF(L42&lt;0,L42*-1,0)</f>
        <v>0</v>
      </c>
      <c r="AM42" s="143" t="n">
        <f aca="false">AK42+AL42</f>
        <v>164.8</v>
      </c>
      <c r="AN42" s="147" t="n">
        <f aca="false">V42</f>
        <v>70.5</v>
      </c>
      <c r="AO42" s="144"/>
      <c r="AP42" s="585" t="n">
        <f aca="false">I42-Q42-R42-X42-AF42</f>
        <v>62.1229925737736</v>
      </c>
      <c r="AQ42" s="171" t="n">
        <f aca="false">30.68*(Z42*1.9835+AC42*1.9835)/E42</f>
        <v>0</v>
      </c>
      <c r="AR42" s="171"/>
      <c r="AS42" s="171"/>
      <c r="AT42" s="114" t="n">
        <f aca="false">BB42</f>
        <v>0.267</v>
      </c>
      <c r="AU42" s="56"/>
      <c r="AV42" s="111"/>
      <c r="AW42" s="330" t="n">
        <v>0</v>
      </c>
      <c r="AX42" s="225" t="n">
        <v>63</v>
      </c>
      <c r="AY42" s="231" t="n">
        <v>30</v>
      </c>
      <c r="AZ42" s="264"/>
      <c r="BA42" s="263" t="n">
        <f aca="false">SUM(N42,P42:U42)</f>
        <v>4.26297246961377</v>
      </c>
      <c r="BB42" s="193" t="n">
        <v>0.267</v>
      </c>
      <c r="BC42" s="264" t="n">
        <v>18591</v>
      </c>
    </row>
    <row r="43" customFormat="false" ht="12.95" hidden="false" customHeight="true" outlineLevel="0" collapsed="false">
      <c r="A43" s="192" t="n">
        <v>29</v>
      </c>
      <c r="B43" s="113" t="n">
        <v>6888.57</v>
      </c>
      <c r="C43" s="114" t="n">
        <v>243368</v>
      </c>
      <c r="D43" s="225" t="n">
        <f aca="false">C43-C42</f>
        <v>-134</v>
      </c>
      <c r="E43" s="114" t="n">
        <f aca="false">C43-152000</f>
        <v>91368</v>
      </c>
      <c r="F43" s="259" t="n">
        <f aca="false">D43/$D$2</f>
        <v>-67.5573481220066</v>
      </c>
      <c r="G43" s="143" t="n">
        <v>103</v>
      </c>
      <c r="H43" s="606" t="n">
        <v>0</v>
      </c>
      <c r="I43" s="143" t="n">
        <f aca="false">G43+H43</f>
        <v>103</v>
      </c>
      <c r="J43" s="144" t="n">
        <f aca="false">IF(L43&gt;0,L43,0)</f>
        <v>0</v>
      </c>
      <c r="K43" s="143" t="n">
        <f aca="false">I43+J43</f>
        <v>103</v>
      </c>
      <c r="L43" s="143" t="n">
        <f aca="false">F43-(I43-AK43)</f>
        <v>-9.85734812200654</v>
      </c>
      <c r="M43" s="261" t="n">
        <v>50.7</v>
      </c>
      <c r="N43" s="171" t="n">
        <v>0.519284093773632</v>
      </c>
      <c r="O43" s="143" t="n">
        <f aca="false">68.1*1.05</f>
        <v>71.505</v>
      </c>
      <c r="P43" s="171" t="n">
        <v>0</v>
      </c>
      <c r="Q43" s="346" t="n">
        <f aca="false">919300/325851/1.9835*1.02</f>
        <v>1.45079539675908</v>
      </c>
      <c r="R43" s="139" t="n">
        <f aca="false">IF(((2*1.04)-T43)&gt;=4.2,4.2,(2*1.04)-T43)</f>
        <v>1.39629152</v>
      </c>
      <c r="S43" s="139" t="n">
        <f aca="false">IF(((2*1.04)-T43)&gt;=4.2,((2*1.04)-T43)-4.2,0)</f>
        <v>0</v>
      </c>
      <c r="T43" s="139" t="n">
        <f aca="false">(0.6202*1.06)*1.04</f>
        <v>0.68370848</v>
      </c>
      <c r="U43" s="365" t="n">
        <v>0</v>
      </c>
      <c r="V43" s="143" t="n">
        <v>70.5</v>
      </c>
      <c r="W43" s="143" t="n">
        <v>0</v>
      </c>
      <c r="X43" s="143" t="n">
        <f aca="false">M43-N43-O43-P43-Q43-R43-S43-T43-U43+V43+W43-AU43+AR43</f>
        <v>45.6449205094673</v>
      </c>
      <c r="Y43" s="143" t="n">
        <f aca="false">X43-AO43</f>
        <v>45.6449205094673</v>
      </c>
      <c r="Z43" s="114"/>
      <c r="AA43" s="143"/>
      <c r="AB43" s="114"/>
      <c r="AC43" s="442"/>
      <c r="AD43" s="442"/>
      <c r="AE43" s="143" t="n">
        <v>0</v>
      </c>
      <c r="AF43" s="145" t="n">
        <v>1.7</v>
      </c>
      <c r="AG43" s="146" t="n">
        <v>1.3</v>
      </c>
      <c r="AH43" s="143" t="n">
        <v>39.5</v>
      </c>
      <c r="AI43" s="114" t="n">
        <f aca="false">AI42-AH43</f>
        <v>5162.85787748928</v>
      </c>
      <c r="AJ43" s="114"/>
      <c r="AK43" s="142" t="n">
        <f aca="false">N43+O43+P43+Q43+R43+S43+T43+U43+X43+AE43+AH43</f>
        <v>160.7</v>
      </c>
      <c r="AL43" s="143" t="n">
        <f aca="false">IF(L43&lt;0,L43*-1,0)</f>
        <v>9.85734812200654</v>
      </c>
      <c r="AM43" s="143" t="n">
        <f aca="false">AK43+AL43</f>
        <v>170.557348122007</v>
      </c>
      <c r="AN43" s="147" t="n">
        <f aca="false">V43</f>
        <v>70.5</v>
      </c>
      <c r="AO43" s="144"/>
      <c r="AP43" s="585" t="n">
        <f aca="false">I43-Q43-R43-X43-AF43</f>
        <v>52.8079925737736</v>
      </c>
      <c r="AQ43" s="171" t="n">
        <f aca="false">10.748*(Z43*1.9835+AC43*1.9835)/E43</f>
        <v>0</v>
      </c>
      <c r="AR43" s="171"/>
      <c r="AS43" s="171"/>
      <c r="AT43" s="114" t="n">
        <f aca="false">BB43</f>
        <v>0.164</v>
      </c>
      <c r="AU43" s="56"/>
      <c r="AV43" s="111"/>
      <c r="AW43" s="330" t="n">
        <v>0.03</v>
      </c>
      <c r="AX43" s="225" t="n">
        <v>63</v>
      </c>
      <c r="AY43" s="231" t="n">
        <v>38</v>
      </c>
      <c r="AZ43" s="264"/>
      <c r="BA43" s="263" t="n">
        <f aca="false">SUM(N43,P43:U43)</f>
        <v>4.05007949053271</v>
      </c>
      <c r="BB43" s="193" t="n">
        <v>0.164</v>
      </c>
      <c r="BC43" s="264" t="n">
        <v>18585</v>
      </c>
    </row>
    <row r="44" customFormat="false" ht="12.95" hidden="false" customHeight="true" outlineLevel="0" collapsed="false">
      <c r="A44" s="192" t="n">
        <v>30</v>
      </c>
      <c r="B44" s="113" t="n">
        <v>6888.54</v>
      </c>
      <c r="C44" s="114" t="n">
        <v>243268</v>
      </c>
      <c r="D44" s="225" t="n">
        <f aca="false">C44-C43</f>
        <v>-100</v>
      </c>
      <c r="E44" s="114" t="n">
        <f aca="false">C44-152000</f>
        <v>91268</v>
      </c>
      <c r="F44" s="259" t="n">
        <f aca="false">D44/$D$2</f>
        <v>-50.4159314343332</v>
      </c>
      <c r="G44" s="143" t="n">
        <v>102</v>
      </c>
      <c r="H44" s="606" t="n">
        <v>0</v>
      </c>
      <c r="I44" s="143" t="n">
        <f aca="false">G44+H44</f>
        <v>102</v>
      </c>
      <c r="J44" s="144" t="n">
        <f aca="false">IF(L44&gt;0,L44,0)</f>
        <v>0</v>
      </c>
      <c r="K44" s="143" t="n">
        <f aca="false">I44+J44</f>
        <v>102</v>
      </c>
      <c r="L44" s="143" t="n">
        <f aca="false">F44-(I44-AK44)</f>
        <v>-31.1159314343332</v>
      </c>
      <c r="M44" s="261" t="n">
        <v>11.3</v>
      </c>
      <c r="N44" s="171" t="n">
        <v>0.519284093773632</v>
      </c>
      <c r="O44" s="143" t="n">
        <f aca="false">33.1*1.05</f>
        <v>34.755</v>
      </c>
      <c r="P44" s="171" t="n">
        <v>0</v>
      </c>
      <c r="Q44" s="346" t="n">
        <f aca="false">903500/325851/1.9835*1.02</f>
        <v>1.42586059063616</v>
      </c>
      <c r="R44" s="139" t="n">
        <f aca="false">IF(((2.3*1.04)-T44)&gt;=4.2,4.2,(2.3*1.04)-T44)</f>
        <v>1.81070448</v>
      </c>
      <c r="S44" s="139" t="n">
        <f aca="false">IF(((2.3*1.04)-T44)&gt;=4.2,((2.3*1.04)-T44)-4.2,0)</f>
        <v>0</v>
      </c>
      <c r="T44" s="139" t="n">
        <f aca="false">(0.5273*1.06)*1.04</f>
        <v>0.58129552</v>
      </c>
      <c r="U44" s="365" t="n">
        <v>0</v>
      </c>
      <c r="V44" s="143" t="n">
        <v>70.5</v>
      </c>
      <c r="W44" s="143" t="n">
        <v>0</v>
      </c>
      <c r="X44" s="143" t="n">
        <f aca="false">M44-N44-O44-P44-Q44-R44-S44-T44-U44+V44+W44-AU44+AR44</f>
        <v>42.7078553155902</v>
      </c>
      <c r="Y44" s="143" t="n">
        <f aca="false">X44-AO44</f>
        <v>42.7078553155902</v>
      </c>
      <c r="Z44" s="114"/>
      <c r="AA44" s="143"/>
      <c r="AB44" s="114"/>
      <c r="AC44" s="442"/>
      <c r="AD44" s="442"/>
      <c r="AE44" s="143" t="n">
        <v>0</v>
      </c>
      <c r="AF44" s="145" t="n">
        <v>1.7</v>
      </c>
      <c r="AG44" s="146" t="n">
        <v>1.3</v>
      </c>
      <c r="AH44" s="143" t="n">
        <v>39.5</v>
      </c>
      <c r="AI44" s="114" t="n">
        <f aca="false">AI43-AH44</f>
        <v>5123.35787748928</v>
      </c>
      <c r="AJ44" s="114"/>
      <c r="AK44" s="142" t="n">
        <f aca="false">N44+O44+P44+Q44+R44+S44+T44+U44+X44+AE44+AH44</f>
        <v>121.3</v>
      </c>
      <c r="AL44" s="143" t="n">
        <f aca="false">IF(L44&lt;0,L44*-1,0)</f>
        <v>31.1159314343332</v>
      </c>
      <c r="AM44" s="143" t="n">
        <f aca="false">AK44+AL44</f>
        <v>152.415931434333</v>
      </c>
      <c r="AN44" s="147" t="n">
        <f aca="false">V44</f>
        <v>70.5</v>
      </c>
      <c r="AO44" s="144"/>
      <c r="AP44" s="585" t="n">
        <f aca="false">I44-Q44-R44-X44-AF44</f>
        <v>54.3555796137736</v>
      </c>
      <c r="AQ44" s="171" t="n">
        <f aca="false">11.92*(Z44*1.9835+AC44*1.9835)/E44</f>
        <v>0</v>
      </c>
      <c r="AR44" s="171"/>
      <c r="AS44" s="171"/>
      <c r="AT44" s="114" t="n">
        <f aca="false">BB44</f>
        <v>0.206</v>
      </c>
      <c r="AU44" s="56"/>
      <c r="AV44" s="111"/>
      <c r="AW44" s="330" t="n">
        <v>0.02</v>
      </c>
      <c r="AX44" s="225" t="n">
        <v>56</v>
      </c>
      <c r="AY44" s="231" t="n">
        <v>34</v>
      </c>
      <c r="AZ44" s="264"/>
      <c r="BA44" s="263" t="n">
        <f aca="false">SUM(N44,P44:U44)</f>
        <v>4.3371446844098</v>
      </c>
      <c r="BB44" s="193" t="n">
        <v>0.206</v>
      </c>
      <c r="BC44" s="264" t="n">
        <v>18579</v>
      </c>
    </row>
    <row r="45" customFormat="false" ht="12.95" hidden="false" customHeight="true" outlineLevel="0" collapsed="false">
      <c r="A45" s="192" t="n">
        <v>31</v>
      </c>
      <c r="B45" s="113" t="n">
        <v>6888.51</v>
      </c>
      <c r="C45" s="114" t="n">
        <v>243168</v>
      </c>
      <c r="D45" s="225" t="n">
        <f aca="false">C45-C44</f>
        <v>-100</v>
      </c>
      <c r="E45" s="114" t="n">
        <f aca="false">C45-152000</f>
        <v>91168</v>
      </c>
      <c r="F45" s="259" t="n">
        <f aca="false">D45/$D$2</f>
        <v>-50.4159314343332</v>
      </c>
      <c r="G45" s="143" t="n">
        <v>98</v>
      </c>
      <c r="H45" s="606" t="n">
        <v>0</v>
      </c>
      <c r="I45" s="143" t="n">
        <f aca="false">G45+H45</f>
        <v>98</v>
      </c>
      <c r="J45" s="144" t="n">
        <f aca="false">IF(L45&gt;0,L45,0)</f>
        <v>0</v>
      </c>
      <c r="K45" s="143" t="n">
        <f aca="false">I45+J45</f>
        <v>98</v>
      </c>
      <c r="L45" s="143" t="n">
        <f aca="false">F45-(I45-AK45)</f>
        <v>-31.4459314343332</v>
      </c>
      <c r="M45" s="261" t="n">
        <v>6.97</v>
      </c>
      <c r="N45" s="171" t="n">
        <v>0.519284093773632</v>
      </c>
      <c r="O45" s="143" t="n">
        <f aca="false">11.4*1.05</f>
        <v>11.97</v>
      </c>
      <c r="P45" s="171" t="n">
        <v>0</v>
      </c>
      <c r="Q45" s="346" t="n">
        <f aca="false">893000/325851/1.9835*1.02</f>
        <v>1.40928999163043</v>
      </c>
      <c r="R45" s="139" t="n">
        <f aca="false">IF(((2.7*1.04)-T45)&gt;=4.2,4.2,(2.7*1.04)-T45)</f>
        <v>2.22670448</v>
      </c>
      <c r="S45" s="139" t="n">
        <f aca="false">IF(((2.7*1.04)-T45)&gt;=4.2,((2.7*1.04)-T45)-4.2,0)</f>
        <v>0</v>
      </c>
      <c r="T45" s="139" t="n">
        <f aca="false">(0.5273*1.06)*1.04</f>
        <v>0.58129552</v>
      </c>
      <c r="U45" s="365" t="n">
        <v>0</v>
      </c>
      <c r="V45" s="143" t="n">
        <v>70.5</v>
      </c>
      <c r="W45" s="143" t="n">
        <v>0</v>
      </c>
      <c r="X45" s="143" t="n">
        <f aca="false">M45-N45-O45-P45-Q45-R45-S45-T45-U45+V45+W45-AU45+AR45</f>
        <v>60.7634259145959</v>
      </c>
      <c r="Y45" s="143" t="n">
        <f aca="false">X45-AO45</f>
        <v>60.7634259145959</v>
      </c>
      <c r="Z45" s="114"/>
      <c r="AA45" s="143"/>
      <c r="AB45" s="114"/>
      <c r="AC45" s="442"/>
      <c r="AD45" s="442"/>
      <c r="AE45" s="143" t="n">
        <v>0</v>
      </c>
      <c r="AF45" s="145" t="n">
        <v>1.7</v>
      </c>
      <c r="AG45" s="146" t="n">
        <v>1.3</v>
      </c>
      <c r="AH45" s="143" t="n">
        <v>39.5</v>
      </c>
      <c r="AI45" s="114" t="n">
        <f aca="false">AI44-AH45</f>
        <v>5083.85787748928</v>
      </c>
      <c r="AJ45" s="114"/>
      <c r="AK45" s="142" t="n">
        <f aca="false">N45+O45+P45+Q45+R45+S45+T45+U45+X45+AE45+AH45</f>
        <v>116.97</v>
      </c>
      <c r="AL45" s="143" t="n">
        <f aca="false">IF(L45&lt;0,L45*-1,0)</f>
        <v>31.4459314343332</v>
      </c>
      <c r="AM45" s="259" t="n">
        <f aca="false">AK45+AL45</f>
        <v>148.415931434333</v>
      </c>
      <c r="AN45" s="147" t="n">
        <f aca="false">V45</f>
        <v>70.5</v>
      </c>
      <c r="AO45" s="144"/>
      <c r="AP45" s="585" t="n">
        <f aca="false">I45-Q45-R45-X45-AF45</f>
        <v>31.9005796137736</v>
      </c>
      <c r="AQ45" s="171" t="n">
        <f aca="false">8.598*(Z45*1.9835+AC45*1.9835)/E45</f>
        <v>0</v>
      </c>
      <c r="AR45" s="171"/>
      <c r="AS45" s="171"/>
      <c r="AT45" s="114" t="n">
        <f aca="false">BB45</f>
        <v>0.184</v>
      </c>
      <c r="AU45" s="56"/>
      <c r="AV45" s="111"/>
      <c r="AW45" s="330" t="n">
        <v>0</v>
      </c>
      <c r="AX45" s="225" t="n">
        <v>64</v>
      </c>
      <c r="AY45" s="231" t="n">
        <v>32</v>
      </c>
      <c r="AZ45" s="264"/>
      <c r="BA45" s="263" t="n">
        <f aca="false">SUM(N45,P45:U45)</f>
        <v>4.73657408540406</v>
      </c>
      <c r="BB45" s="193" t="n">
        <v>0.184</v>
      </c>
      <c r="BC45" s="264" t="n">
        <v>18571</v>
      </c>
    </row>
    <row r="46" customFormat="false" ht="3" hidden="false" customHeight="true" outlineLevel="0" collapsed="false">
      <c r="A46" s="244"/>
      <c r="B46" s="266"/>
      <c r="C46" s="246"/>
      <c r="D46" s="247"/>
      <c r="E46" s="246"/>
      <c r="F46" s="248"/>
      <c r="G46" s="247"/>
      <c r="H46" s="605"/>
      <c r="I46" s="247"/>
      <c r="J46" s="247"/>
      <c r="K46" s="247"/>
      <c r="L46" s="247"/>
      <c r="M46" s="250" t="n">
        <v>0</v>
      </c>
      <c r="N46" s="247"/>
      <c r="O46" s="247"/>
      <c r="P46" s="251"/>
      <c r="Q46" s="247"/>
      <c r="R46" s="247"/>
      <c r="S46" s="247"/>
      <c r="T46" s="247"/>
      <c r="U46" s="252"/>
      <c r="V46" s="247"/>
      <c r="W46" s="247" t="n">
        <v>0</v>
      </c>
      <c r="X46" s="247"/>
      <c r="Y46" s="247"/>
      <c r="Z46" s="246"/>
      <c r="AA46" s="247"/>
      <c r="AB46" s="246"/>
      <c r="AC46" s="246"/>
      <c r="AD46" s="246"/>
      <c r="AE46" s="247"/>
      <c r="AF46" s="250"/>
      <c r="AG46" s="254"/>
      <c r="AH46" s="247"/>
      <c r="AI46" s="247"/>
      <c r="AJ46" s="247"/>
      <c r="AK46" s="247"/>
      <c r="AL46" s="247"/>
      <c r="AM46" s="248"/>
      <c r="AN46" s="256"/>
      <c r="AO46" s="253"/>
      <c r="AP46" s="253"/>
      <c r="AQ46" s="251"/>
      <c r="AR46" s="251"/>
      <c r="AS46" s="251"/>
      <c r="AT46" s="256"/>
      <c r="AU46" s="256"/>
      <c r="AV46" s="256"/>
      <c r="AW46" s="519"/>
      <c r="AX46" s="256"/>
      <c r="AY46" s="256"/>
      <c r="AZ46" s="256"/>
      <c r="BA46" s="256"/>
      <c r="BB46" s="256"/>
      <c r="BC46" s="256"/>
    </row>
    <row r="47" customFormat="false" ht="12.95" hidden="false" customHeight="true" outlineLevel="0" collapsed="false">
      <c r="A47" s="194" t="s">
        <v>104</v>
      </c>
      <c r="B47" s="223"/>
      <c r="C47" s="114"/>
      <c r="D47" s="114"/>
      <c r="E47" s="114"/>
      <c r="F47" s="224" t="n">
        <f aca="false">SUM(F15:F45)</f>
        <v>-5810.94025712125</v>
      </c>
      <c r="G47" s="114" t="n">
        <f aca="false">SUM(G15:G45)</f>
        <v>3355</v>
      </c>
      <c r="H47" s="225" t="n">
        <f aca="false">SUM(H15:H45)</f>
        <v>0</v>
      </c>
      <c r="I47" s="114" t="n">
        <f aca="false">SUM(I15:I45)</f>
        <v>3355</v>
      </c>
      <c r="J47" s="114" t="n">
        <f aca="false">SUM(J15:J45)</f>
        <v>394.774040404768</v>
      </c>
      <c r="K47" s="114" t="n">
        <f aca="false">SUM(K15:K45)</f>
        <v>3749.77404040477</v>
      </c>
      <c r="L47" s="114" t="n">
        <f aca="false">SUM(L15:L45)</f>
        <v>-244.817989196586</v>
      </c>
      <c r="M47" s="226" t="n">
        <f aca="false">SUM(M15:M45)</f>
        <v>3154.07</v>
      </c>
      <c r="N47" s="114" t="n">
        <f aca="false">SUM(N15:N45)</f>
        <v>16.0978069069826</v>
      </c>
      <c r="O47" s="114" t="n">
        <f aca="false">SUM(O15:O45)</f>
        <v>1473.507</v>
      </c>
      <c r="P47" s="171" t="n">
        <f aca="false">SUM(P15:P45)</f>
        <v>0</v>
      </c>
      <c r="Q47" s="114" t="n">
        <f aca="false">SUM(Q15:Q45)</f>
        <v>54.772773584007</v>
      </c>
      <c r="R47" s="114" t="n">
        <f aca="false">SUM(R15:R45)</f>
        <v>83.44550576</v>
      </c>
      <c r="S47" s="114" t="n">
        <f aca="false">SUM(S15:S45)</f>
        <v>1.00716384</v>
      </c>
      <c r="T47" s="114" t="n">
        <f aca="false">SUM(T15:T45)</f>
        <v>23.1873304</v>
      </c>
      <c r="U47" s="227" t="n">
        <f aca="false">SUM(U15:U45)</f>
        <v>0</v>
      </c>
      <c r="V47" s="114" t="n">
        <f aca="false">SUM(V15:V45)</f>
        <v>3456.343</v>
      </c>
      <c r="W47" s="114" t="n">
        <f aca="false">SUM(W15:W45)</f>
        <v>706.222</v>
      </c>
      <c r="X47" s="114" t="n">
        <f aca="false">SUM(X15:X45)</f>
        <v>5763.00468743368</v>
      </c>
      <c r="Y47" s="114" t="n">
        <f aca="false">SUM(Y15:Y45)</f>
        <v>5763.00468743368</v>
      </c>
      <c r="Z47" s="114"/>
      <c r="AA47" s="114"/>
      <c r="AB47" s="114"/>
      <c r="AC47" s="114"/>
      <c r="AE47" s="114" t="n">
        <f aca="false">SUM(AE15:AE45)</f>
        <v>314.8</v>
      </c>
      <c r="AF47" s="226" t="n">
        <f aca="false">SUM(AF15:AF45)</f>
        <v>52.7</v>
      </c>
      <c r="AG47" s="228" t="n">
        <f aca="false">SUM(AG15:AG45)</f>
        <v>40.3</v>
      </c>
      <c r="AH47" s="114" t="n">
        <f aca="false">SUM(AH15:AH45)</f>
        <v>1191.3</v>
      </c>
      <c r="AI47" s="114"/>
      <c r="AJ47" s="114" t="n">
        <f aca="false">SUM(AJ15:AJ45)</f>
        <v>0</v>
      </c>
      <c r="AK47" s="114" t="n">
        <f aca="false">SUM(AK15:AK45)</f>
        <v>8921.12226792466</v>
      </c>
      <c r="AL47" s="114" t="n">
        <f aca="false">SUM(AL15:AL45)</f>
        <v>639.592029601354</v>
      </c>
      <c r="AM47" s="224" t="n">
        <f aca="false">SUM(AM15:AM45)</f>
        <v>9560.71429752602</v>
      </c>
      <c r="AN47" s="225" t="n">
        <f aca="false">SUM(AN15:AN45)</f>
        <v>1667.4</v>
      </c>
      <c r="AO47" s="144" t="n">
        <f aca="false">SUM(AO15:AO45)</f>
        <v>0</v>
      </c>
      <c r="AP47" s="144"/>
      <c r="AQ47" s="171"/>
      <c r="AR47" s="225" t="n">
        <f aca="false">SUM(AR15:AR45)</f>
        <v>108.240267924664</v>
      </c>
      <c r="AS47" s="144" t="n">
        <f aca="false">SUM(AS15:AS45)</f>
        <v>0</v>
      </c>
      <c r="AT47" s="225" t="n">
        <f aca="false">SUM(AT15:AT45)</f>
        <v>111.909</v>
      </c>
      <c r="AU47" s="56"/>
      <c r="AV47" s="225" t="n">
        <f aca="false">SUM(AV15:AV45)</f>
        <v>0</v>
      </c>
      <c r="AW47" s="330" t="n">
        <f aca="false">SUM(AW15:AW45)</f>
        <v>2.68833333333333</v>
      </c>
      <c r="AX47" s="225" t="n">
        <f aca="false">AVERAGE(AX15:AX45)</f>
        <v>69.8709677419355</v>
      </c>
      <c r="AY47" s="225" t="n">
        <f aca="false">AVERAGE(AY15:AY45)</f>
        <v>42.4838709677419</v>
      </c>
      <c r="AZ47" s="233" t="s">
        <v>130</v>
      </c>
      <c r="BA47" s="348" t="n">
        <f aca="false">SUM(BA15:BA45)</f>
        <v>178.51058049099</v>
      </c>
      <c r="BB47" s="161" t="n">
        <f aca="false">SUM(BB15:BB45)</f>
        <v>111.909</v>
      </c>
      <c r="BC47" s="264"/>
    </row>
    <row r="48" customFormat="false" ht="12.95" hidden="false" customHeight="true" outlineLevel="0" collapsed="false">
      <c r="A48" s="194" t="s">
        <v>106</v>
      </c>
      <c r="B48" s="223"/>
      <c r="C48" s="114"/>
      <c r="D48" s="114" t="n">
        <f aca="false">SUM(D15:D45)</f>
        <v>-11526</v>
      </c>
      <c r="E48" s="114"/>
      <c r="F48" s="224" t="n">
        <f aca="false">F47*$D$2</f>
        <v>-11526</v>
      </c>
      <c r="G48" s="114" t="n">
        <f aca="false">G47*$D$2</f>
        <v>6654.6425</v>
      </c>
      <c r="H48" s="225" t="n">
        <f aca="false">H47*$D$2</f>
        <v>0</v>
      </c>
      <c r="I48" s="114" t="n">
        <f aca="false">I47*$D$2</f>
        <v>6654.6425</v>
      </c>
      <c r="J48" s="114" t="n">
        <f aca="false">J47*$D$2</f>
        <v>783.034309142858</v>
      </c>
      <c r="K48" s="114" t="n">
        <f aca="false">K47*$D$2</f>
        <v>7437.67680914286</v>
      </c>
      <c r="L48" s="114" t="n">
        <f aca="false">L47*$D$2</f>
        <v>-485.596481571428</v>
      </c>
      <c r="M48" s="226" t="n">
        <f aca="false">M47*$D$2</f>
        <v>6256.097845</v>
      </c>
      <c r="N48" s="114" t="n">
        <f aca="false">N47*$D$2</f>
        <v>31.93</v>
      </c>
      <c r="O48" s="114" t="n">
        <f aca="false">O47*$D$2</f>
        <v>2922.7011345</v>
      </c>
      <c r="P48" s="171" t="n">
        <f aca="false">P47*$D$2</f>
        <v>0</v>
      </c>
      <c r="Q48" s="114" t="n">
        <f aca="false">Q47*$D$2</f>
        <v>108.641796403878</v>
      </c>
      <c r="R48" s="114" t="n">
        <f aca="false">R47*$D$2</f>
        <v>165.51416067496</v>
      </c>
      <c r="S48" s="114" t="n">
        <f aca="false">S47*$D$2</f>
        <v>1.99770947663999</v>
      </c>
      <c r="T48" s="114" t="n">
        <f aca="false">T47*$D$2</f>
        <v>45.9920698484</v>
      </c>
      <c r="U48" s="227" t="n">
        <f aca="false">U47*$D$2</f>
        <v>0</v>
      </c>
      <c r="V48" s="114" t="n">
        <f aca="false">V47*$D$2</f>
        <v>6855.6563405</v>
      </c>
      <c r="W48" s="114" t="n">
        <f aca="false">W47*$D$2</f>
        <v>1400.791337</v>
      </c>
      <c r="X48" s="114" t="n">
        <f aca="false">X47*$D$2</f>
        <v>11430.9197975247</v>
      </c>
      <c r="Y48" s="114" t="n">
        <f aca="false">Y47*$D$2</f>
        <v>11430.9197975247</v>
      </c>
      <c r="Z48" s="114"/>
      <c r="AA48" s="114"/>
      <c r="AB48" s="114"/>
      <c r="AC48" s="114"/>
      <c r="AE48" s="114" t="n">
        <f aca="false">AE47*$D$2</f>
        <v>624.4058</v>
      </c>
      <c r="AF48" s="226" t="n">
        <f aca="false">AF47*$D$2</f>
        <v>104.53045</v>
      </c>
      <c r="AG48" s="228" t="n">
        <f aca="false">AG47*$D$2</f>
        <v>79.93505</v>
      </c>
      <c r="AH48" s="114" t="n">
        <f aca="false">AH47*$D$2</f>
        <v>2362.94355</v>
      </c>
      <c r="AI48" s="114"/>
      <c r="AJ48" s="114" t="n">
        <f aca="false">AJ47*$D$2</f>
        <v>0</v>
      </c>
      <c r="AK48" s="114" t="n">
        <f aca="false">AK47*$D$2</f>
        <v>17695.0460184286</v>
      </c>
      <c r="AL48" s="114" t="n">
        <f aca="false">AL47*$D$2</f>
        <v>1268.63079071429</v>
      </c>
      <c r="AM48" s="224" t="n">
        <f aca="false">AM47*$D$2</f>
        <v>18963.6768091429</v>
      </c>
      <c r="AN48" s="225" t="n">
        <f aca="false">AN47*$D$2</f>
        <v>3307.2879</v>
      </c>
      <c r="AO48" s="114" t="n">
        <f aca="false">AO47*$D$2</f>
        <v>0</v>
      </c>
      <c r="AP48" s="144"/>
      <c r="AQ48" s="171" t="n">
        <f aca="false">SUM(AQ15:AQ45)</f>
        <v>29.5708635220276</v>
      </c>
      <c r="AR48" s="225" t="n">
        <f aca="false">AR47*$D$2</f>
        <v>214.694571428571</v>
      </c>
      <c r="AS48" s="143" t="n">
        <f aca="false">AS47*$D$2</f>
        <v>0</v>
      </c>
      <c r="AT48" s="225" t="n">
        <f aca="false">AT47*$D$2</f>
        <v>221.9715015</v>
      </c>
      <c r="AU48" s="56"/>
      <c r="AV48" s="225" t="n">
        <f aca="false">AV47*$D$2</f>
        <v>0</v>
      </c>
      <c r="AW48" s="330"/>
      <c r="AX48" s="225" t="n">
        <f aca="false">MAX(AX15:AX45)</f>
        <v>86</v>
      </c>
      <c r="AY48" s="225" t="n">
        <f aca="false">MAX(AY15:AY45)</f>
        <v>53</v>
      </c>
      <c r="AZ48" s="233" t="s">
        <v>107</v>
      </c>
      <c r="BA48" s="348" t="n">
        <f aca="false">BA47*$D$2</f>
        <v>354.075736403878</v>
      </c>
      <c r="BB48" s="161" t="n">
        <f aca="false">BB47*$D$2</f>
        <v>221.9715015</v>
      </c>
      <c r="BC48" s="264"/>
    </row>
    <row r="49" customFormat="false" ht="3" hidden="false" customHeight="true" outlineLevel="0" collapsed="false">
      <c r="A49" s="244"/>
      <c r="B49" s="266"/>
      <c r="C49" s="246"/>
      <c r="D49" s="246"/>
      <c r="E49" s="246"/>
      <c r="F49" s="270"/>
      <c r="G49" s="246"/>
      <c r="H49" s="256"/>
      <c r="I49" s="246"/>
      <c r="J49" s="246"/>
      <c r="K49" s="246"/>
      <c r="L49" s="246"/>
      <c r="M49" s="271"/>
      <c r="N49" s="246"/>
      <c r="O49" s="246"/>
      <c r="P49" s="251"/>
      <c r="Q49" s="246"/>
      <c r="R49" s="246"/>
      <c r="S49" s="246"/>
      <c r="T49" s="246"/>
      <c r="U49" s="252"/>
      <c r="V49" s="246"/>
      <c r="W49" s="246"/>
      <c r="X49" s="246"/>
      <c r="Y49" s="246"/>
      <c r="Z49" s="246"/>
      <c r="AA49" s="246"/>
      <c r="AB49" s="246"/>
      <c r="AC49" s="246"/>
      <c r="AD49" s="525"/>
      <c r="AE49" s="246"/>
      <c r="AF49" s="271"/>
      <c r="AG49" s="272"/>
      <c r="AH49" s="246"/>
      <c r="AI49" s="247"/>
      <c r="AJ49" s="246"/>
      <c r="AK49" s="246"/>
      <c r="AL49" s="246"/>
      <c r="AM49" s="270"/>
      <c r="AN49" s="246"/>
      <c r="AO49" s="253"/>
      <c r="AP49" s="253"/>
      <c r="AQ49" s="251"/>
      <c r="AR49" s="251"/>
      <c r="AS49" s="251"/>
      <c r="AT49" s="256"/>
      <c r="AU49" s="256"/>
      <c r="AV49" s="256"/>
      <c r="AW49" s="274"/>
      <c r="AX49" s="246"/>
      <c r="AY49" s="246"/>
      <c r="AZ49" s="246"/>
      <c r="BA49" s="246"/>
      <c r="BB49" s="246"/>
      <c r="BC49" s="246"/>
    </row>
    <row r="50" customFormat="false" ht="12.95" hidden="false" customHeight="true" outlineLevel="0" collapsed="false">
      <c r="A50" s="194" t="s">
        <v>108</v>
      </c>
      <c r="B50" s="223"/>
      <c r="C50" s="114"/>
      <c r="D50" s="114"/>
      <c r="E50" s="114"/>
      <c r="F50" s="224" t="n">
        <f aca="false">F12+F47</f>
        <v>24095.2861104109</v>
      </c>
      <c r="G50" s="114" t="n">
        <f aca="false">G12+G47</f>
        <v>128433</v>
      </c>
      <c r="H50" s="225" t="n">
        <f aca="false">H12+H47</f>
        <v>1962.931</v>
      </c>
      <c r="I50" s="114" t="n">
        <f aca="false">I12+I47</f>
        <v>130395.931</v>
      </c>
      <c r="J50" s="114" t="n">
        <f aca="false">J12+J47</f>
        <v>2797.12224232057</v>
      </c>
      <c r="K50" s="114" t="n">
        <f aca="false">K12+K47</f>
        <v>133193.043242321</v>
      </c>
      <c r="L50" s="114" t="n">
        <f aca="false">L12+L47</f>
        <v>-8358.50890575822</v>
      </c>
      <c r="M50" s="226" t="n">
        <f aca="false">M12+M47</f>
        <v>37930.88</v>
      </c>
      <c r="N50" s="114" t="n">
        <f aca="false">N12+N47</f>
        <v>93.4711368792539</v>
      </c>
      <c r="O50" s="114" t="n">
        <f aca="false">O12+O47</f>
        <v>10773.903</v>
      </c>
      <c r="P50" s="171" t="n">
        <f aca="false">P12+P47</f>
        <v>8.07</v>
      </c>
      <c r="Q50" s="114"/>
      <c r="R50" s="114"/>
      <c r="S50" s="114"/>
      <c r="T50" s="114"/>
      <c r="U50" s="227"/>
      <c r="V50" s="114" t="n">
        <f aca="false">V12+V47</f>
        <v>17097.143</v>
      </c>
      <c r="W50" s="114" t="n">
        <f aca="false">W12+W47</f>
        <v>10452.912</v>
      </c>
      <c r="X50" s="114" t="n">
        <f aca="false">X12+X47</f>
        <v>55944.7765635694</v>
      </c>
      <c r="Y50" s="114" t="n">
        <f aca="false">Y12+Y47</f>
        <v>55765.5165635694</v>
      </c>
      <c r="Z50" s="85"/>
      <c r="AA50" s="114"/>
      <c r="AB50" s="114"/>
      <c r="AC50" s="114"/>
      <c r="AE50" s="114" t="n">
        <f aca="false">AE12+AE47</f>
        <v>21478.87</v>
      </c>
      <c r="AF50" s="226" t="n">
        <f aca="false">AF12+AF47</f>
        <v>363.8</v>
      </c>
      <c r="AG50" s="228" t="n">
        <f aca="false">AG12+AG47</f>
        <v>278.2</v>
      </c>
      <c r="AH50" s="114"/>
      <c r="AI50" s="114"/>
      <c r="AJ50" s="114" t="n">
        <f aca="false">AJ12+AJ47</f>
        <v>0</v>
      </c>
      <c r="AK50" s="114" t="n">
        <f aca="false">AK12+AK47</f>
        <v>97942.1259838309</v>
      </c>
      <c r="AL50" s="114" t="n">
        <f aca="false">AL12+AL47</f>
        <v>11155.6311480788</v>
      </c>
      <c r="AM50" s="224" t="n">
        <f aca="false">AM12+AM47</f>
        <v>109097.75713191</v>
      </c>
      <c r="AN50" s="225"/>
      <c r="AO50" s="144"/>
      <c r="AP50" s="144"/>
      <c r="AQ50" s="171"/>
      <c r="AR50" s="225" t="n">
        <f aca="false">AR12+AR47</f>
        <v>2869.69195865894</v>
      </c>
      <c r="AS50" s="144" t="n">
        <f aca="false">AS47</f>
        <v>0</v>
      </c>
      <c r="AT50" s="225" t="n">
        <f aca="false">AT12+AT47</f>
        <v>783.619</v>
      </c>
      <c r="AU50" s="225" t="n">
        <f aca="false">AU12+AU47</f>
        <v>62.947</v>
      </c>
      <c r="AV50" s="225" t="n">
        <f aca="false">AV13+AV47</f>
        <v>0</v>
      </c>
      <c r="AW50" s="330"/>
      <c r="AX50" s="225" t="n">
        <f aca="false">MIN(AX15:AX45)</f>
        <v>56</v>
      </c>
      <c r="AY50" s="225" t="n">
        <f aca="false">MIN(AY15:AY45)</f>
        <v>30</v>
      </c>
      <c r="AZ50" s="233" t="s">
        <v>109</v>
      </c>
      <c r="BA50" s="348" t="n">
        <f aca="false">BA12+BA47</f>
        <v>1596.46754508955</v>
      </c>
      <c r="BB50" s="161" t="n">
        <f aca="false">BB12+BB47</f>
        <v>5609.182</v>
      </c>
      <c r="BC50" s="264"/>
    </row>
    <row r="51" customFormat="false" ht="12.95" hidden="false" customHeight="true" outlineLevel="0" collapsed="false">
      <c r="A51" s="194" t="s">
        <v>110</v>
      </c>
      <c r="B51" s="223"/>
      <c r="C51" s="114"/>
      <c r="D51" s="114"/>
      <c r="E51" s="114"/>
      <c r="F51" s="224" t="n">
        <f aca="false">F50*$D$2</f>
        <v>47793</v>
      </c>
      <c r="G51" s="114" t="n">
        <f aca="false">G50*$D$2</f>
        <v>254746.8555</v>
      </c>
      <c r="H51" s="225" t="n">
        <f aca="false">H50*$D$2</f>
        <v>3893.4736385</v>
      </c>
      <c r="I51" s="114" t="n">
        <f aca="false">I50*$D$2</f>
        <v>258640.3291385</v>
      </c>
      <c r="J51" s="114" t="n">
        <f aca="false">J50*$D$2</f>
        <v>5548.09196764286</v>
      </c>
      <c r="K51" s="114" t="n">
        <f aca="false">K50*$D$2</f>
        <v>264188.401271143</v>
      </c>
      <c r="L51" s="114" t="n">
        <f aca="false">L50*$D$2</f>
        <v>-16579.1024145714</v>
      </c>
      <c r="M51" s="226" t="n">
        <f aca="false">M50*$D$2</f>
        <v>75235.90048</v>
      </c>
      <c r="N51" s="114" t="n">
        <f aca="false">N50*$D$2</f>
        <v>185.4</v>
      </c>
      <c r="O51" s="114" t="n">
        <f aca="false">O50*$D$2</f>
        <v>21370.0366005</v>
      </c>
      <c r="P51" s="171" t="n">
        <f aca="false">P50*$D$2</f>
        <v>16.006845</v>
      </c>
      <c r="Q51" s="114"/>
      <c r="R51" s="114"/>
      <c r="S51" s="114"/>
      <c r="T51" s="114"/>
      <c r="U51" s="227"/>
      <c r="V51" s="114" t="n">
        <f aca="false">V50*$D$2</f>
        <v>33912.1831405</v>
      </c>
      <c r="W51" s="114" t="n">
        <f aca="false">W50*$D$2</f>
        <v>20733.350952</v>
      </c>
      <c r="X51" s="114" t="n">
        <f aca="false">X50*$D$2</f>
        <v>110966.46431384</v>
      </c>
      <c r="Y51" s="114" t="n">
        <f aca="false">Y50*$D$2</f>
        <v>110610.90210384</v>
      </c>
      <c r="Z51" s="85"/>
      <c r="AA51" s="114"/>
      <c r="AB51" s="114"/>
      <c r="AC51" s="114"/>
      <c r="AE51" s="114" t="n">
        <f aca="false">AE50*$D$2</f>
        <v>42603.338645</v>
      </c>
      <c r="AF51" s="226" t="n">
        <f aca="false">AF50*$D$2</f>
        <v>721.5973</v>
      </c>
      <c r="AG51" s="228" t="n">
        <f aca="false">AG50*$D$2</f>
        <v>551.8097</v>
      </c>
      <c r="AH51" s="114"/>
      <c r="AI51" s="114"/>
      <c r="AJ51" s="114" t="n">
        <f aca="false">AJ50*$D$2</f>
        <v>0</v>
      </c>
      <c r="AK51" s="114" t="n">
        <f aca="false">AK50*$D$2</f>
        <v>194268.206888929</v>
      </c>
      <c r="AL51" s="114" t="n">
        <f aca="false">AL50*$D$2</f>
        <v>22127.1943822143</v>
      </c>
      <c r="AM51" s="114" t="n">
        <f aca="false">AM50*$D$2</f>
        <v>216395.401271143</v>
      </c>
      <c r="AN51" s="230"/>
      <c r="AO51" s="144"/>
      <c r="AP51" s="144"/>
      <c r="AQ51" s="171" t="n">
        <f aca="false">AQ12+AQ48</f>
        <v>2011.38036240937</v>
      </c>
      <c r="AR51" s="225" t="n">
        <f aca="false">AR50*$D$2</f>
        <v>5692.034</v>
      </c>
      <c r="AS51" s="144" t="n">
        <f aca="false">AS50*$D$2</f>
        <v>0</v>
      </c>
      <c r="AT51" s="225" t="n">
        <f aca="false">AT50*$D$2</f>
        <v>1554.3082865</v>
      </c>
      <c r="AU51" s="225" t="n">
        <f aca="false">AU50*$D$2</f>
        <v>124.8553745</v>
      </c>
      <c r="AV51" s="225" t="n">
        <f aca="false">AV50*$D$2</f>
        <v>0</v>
      </c>
      <c r="AW51" s="330"/>
      <c r="AX51" s="225"/>
      <c r="AY51" s="225"/>
      <c r="AZ51" s="264"/>
      <c r="BA51" s="348" t="n">
        <f aca="false">BA50*$D$2</f>
        <v>3166.59337568512</v>
      </c>
      <c r="BB51" s="161" t="n">
        <f aca="false">BB50*$D$2</f>
        <v>11125.812497</v>
      </c>
      <c r="BC51" s="264"/>
    </row>
    <row r="52" customFormat="false" ht="3" hidden="false" customHeight="true" outlineLevel="0" collapsed="false">
      <c r="A52" s="244"/>
      <c r="B52" s="266"/>
      <c r="C52" s="246"/>
      <c r="D52" s="246"/>
      <c r="E52" s="246"/>
      <c r="F52" s="270"/>
      <c r="G52" s="246"/>
      <c r="H52" s="256"/>
      <c r="I52" s="246"/>
      <c r="J52" s="246"/>
      <c r="K52" s="246"/>
      <c r="L52" s="246"/>
      <c r="M52" s="271"/>
      <c r="N52" s="246"/>
      <c r="O52" s="246"/>
      <c r="P52" s="251"/>
      <c r="Q52" s="246"/>
      <c r="R52" s="246"/>
      <c r="S52" s="246"/>
      <c r="T52" s="246"/>
      <c r="U52" s="252"/>
      <c r="V52" s="246"/>
      <c r="W52" s="246"/>
      <c r="X52" s="246"/>
      <c r="Y52" s="246"/>
      <c r="Z52" s="246"/>
      <c r="AA52" s="246"/>
      <c r="AB52" s="246"/>
      <c r="AC52" s="246"/>
      <c r="AD52" s="246"/>
      <c r="AE52" s="246"/>
      <c r="AF52" s="271"/>
      <c r="AG52" s="272"/>
      <c r="AH52" s="246"/>
      <c r="AI52" s="246"/>
      <c r="AJ52" s="246"/>
      <c r="AK52" s="246"/>
      <c r="AL52" s="246"/>
      <c r="AM52" s="246"/>
      <c r="AN52" s="519"/>
      <c r="AO52" s="253"/>
      <c r="AP52" s="253"/>
      <c r="AQ52" s="251"/>
      <c r="AR52" s="251"/>
      <c r="AS52" s="251"/>
      <c r="AT52" s="256"/>
      <c r="AU52" s="256"/>
      <c r="AV52" s="256"/>
      <c r="AW52" s="519"/>
      <c r="AX52" s="251"/>
      <c r="AY52" s="251"/>
      <c r="AZ52" s="251"/>
      <c r="BA52" s="251"/>
      <c r="BB52" s="275"/>
      <c r="BC52" s="251"/>
    </row>
    <row r="53" customFormat="false" ht="12.95" hidden="false" customHeight="true" outlineLevel="0" collapsed="false">
      <c r="A53" s="194" t="s">
        <v>111</v>
      </c>
      <c r="B53" s="223"/>
      <c r="C53" s="114"/>
      <c r="D53" s="114"/>
      <c r="E53" s="114"/>
      <c r="F53" s="224" t="n">
        <f aca="false">F13+F47</f>
        <v>28952.8611041089</v>
      </c>
      <c r="G53" s="114" t="n">
        <f aca="false">G13+G47</f>
        <v>143662</v>
      </c>
      <c r="H53" s="225" t="n">
        <f aca="false">H13+H47</f>
        <v>2080.433</v>
      </c>
      <c r="I53" s="114" t="n">
        <f aca="false">I13+I47</f>
        <v>145741.813</v>
      </c>
      <c r="J53" s="114" t="n">
        <f aca="false">J13+J47</f>
        <v>5142.2111477907</v>
      </c>
      <c r="K53" s="114" t="n">
        <f aca="false">K13+K47</f>
        <v>150884.014147791</v>
      </c>
      <c r="L53" s="114" t="n">
        <f aca="false">L13+L47</f>
        <v>-8229.06591206021</v>
      </c>
      <c r="M53" s="226" t="n">
        <f aca="false">M13+M47</f>
        <v>38675.41</v>
      </c>
      <c r="N53" s="114" t="n">
        <f aca="false">N13+N47</f>
        <v>93.4711368792539</v>
      </c>
      <c r="O53" s="114" t="n">
        <f aca="false">O13+O47</f>
        <v>10773.903</v>
      </c>
      <c r="P53" s="171"/>
      <c r="Q53" s="114" t="n">
        <f aca="false">Q13+Q47</f>
        <v>708.908132852081</v>
      </c>
      <c r="R53" s="225" t="n">
        <f aca="false">R13+R47</f>
        <v>948.76909504</v>
      </c>
      <c r="S53" s="114" t="n">
        <f aca="false">S13+S47</f>
        <v>98.34621056</v>
      </c>
      <c r="T53" s="114" t="n">
        <f aca="false">T13+T47</f>
        <v>280.73079008</v>
      </c>
      <c r="U53" s="327" t="n">
        <f aca="false">U13+U47</f>
        <v>-45.366813481233</v>
      </c>
      <c r="V53" s="114" t="n">
        <f aca="false">V13+V47</f>
        <v>22809.633</v>
      </c>
      <c r="W53" s="114" t="n">
        <f aca="false">W13+W47</f>
        <v>10476.942</v>
      </c>
      <c r="X53" s="114" t="n">
        <f aca="false">X13+X47</f>
        <v>61860.0088567288</v>
      </c>
      <c r="Y53" s="114" t="n">
        <f aca="false">Y13+Y47</f>
        <v>61485.1255233955</v>
      </c>
      <c r="Z53" s="114"/>
      <c r="AA53" s="114"/>
      <c r="AB53" s="114"/>
      <c r="AC53" s="114"/>
      <c r="AD53" s="114"/>
      <c r="AE53" s="114"/>
      <c r="AF53" s="226" t="n">
        <f aca="false">AF13+AF47</f>
        <v>363.8</v>
      </c>
      <c r="AG53" s="228" t="n">
        <f aca="false">AG13+AG47</f>
        <v>278.2</v>
      </c>
      <c r="AH53" s="114" t="n">
        <f aca="false">AH13+AH47</f>
        <v>15084.1</v>
      </c>
      <c r="AI53" s="114" t="n">
        <f aca="false">AI45</f>
        <v>5083.85787748928</v>
      </c>
      <c r="AJ53" s="114" t="n">
        <f aca="false">AJ13+AJ47</f>
        <v>0</v>
      </c>
      <c r="AK53" s="114" t="n">
        <f aca="false">AK13+AK47</f>
        <v>108559.875983831</v>
      </c>
      <c r="AL53" s="114" t="n">
        <f aca="false">AL13+AL47</f>
        <v>13371.2770598509</v>
      </c>
      <c r="AM53" s="523" t="n">
        <f aca="false">AM13+AM47</f>
        <v>121931.153043682</v>
      </c>
      <c r="AN53" s="114" t="n">
        <f aca="false">AN13+AN47</f>
        <v>8753.19166666667</v>
      </c>
      <c r="AO53" s="144" t="n">
        <f aca="false">AO13+AO47</f>
        <v>374.883333333333</v>
      </c>
      <c r="AP53" s="144"/>
      <c r="AQ53" s="171"/>
      <c r="AR53" s="171"/>
      <c r="AS53" s="171"/>
      <c r="AT53" s="225"/>
      <c r="AU53" s="225"/>
      <c r="AV53" s="191"/>
      <c r="AW53" s="147" t="n">
        <f aca="false">AW13+AW47</f>
        <v>18.495</v>
      </c>
      <c r="AX53" s="225"/>
      <c r="AY53" s="225"/>
      <c r="AZ53" s="264"/>
      <c r="BA53" s="348" t="n">
        <f aca="false">BA13+BA47</f>
        <v>2092.9285519301</v>
      </c>
      <c r="BB53" s="161" t="n">
        <f aca="false">BB13+BB47</f>
        <v>5622.788</v>
      </c>
      <c r="BC53" s="264"/>
    </row>
    <row r="54" customFormat="false" ht="12.95" hidden="false" customHeight="true" outlineLevel="0" collapsed="false">
      <c r="A54" s="194" t="s">
        <v>112</v>
      </c>
      <c r="B54" s="223"/>
      <c r="C54" s="114"/>
      <c r="D54" s="114" t="n">
        <f aca="false">D13+D48</f>
        <v>57428</v>
      </c>
      <c r="E54" s="114" t="n">
        <f aca="false">E45</f>
        <v>91168</v>
      </c>
      <c r="F54" s="224" t="n">
        <f aca="false">F53*$D$2</f>
        <v>57428</v>
      </c>
      <c r="G54" s="114" t="n">
        <f aca="false">G53*$D$2</f>
        <v>284953.577</v>
      </c>
      <c r="H54" s="225" t="n">
        <f aca="false">H53*$D$2</f>
        <v>4126.5388555</v>
      </c>
      <c r="I54" s="114" t="n">
        <f aca="false">I53*$D$2</f>
        <v>289078.8860855</v>
      </c>
      <c r="J54" s="114" t="n">
        <f aca="false">J53*$D$2</f>
        <v>10199.5758116429</v>
      </c>
      <c r="K54" s="114" t="n">
        <f aca="false">K53*$D$2</f>
        <v>299278.442062143</v>
      </c>
      <c r="L54" s="114" t="n">
        <f aca="false">L53*$D$2</f>
        <v>-16322.3522365714</v>
      </c>
      <c r="M54" s="226" t="n">
        <f aca="false">M53*$D$2</f>
        <v>76712.675735</v>
      </c>
      <c r="N54" s="114" t="n">
        <f aca="false">N53*$D$2</f>
        <v>185.4</v>
      </c>
      <c r="O54" s="114" t="n">
        <f aca="false">O53*$D$2</f>
        <v>21370.0366005</v>
      </c>
      <c r="P54" s="171"/>
      <c r="Q54" s="225" t="n">
        <f aca="false">Q53*$D$2</f>
        <v>1406.1192815121</v>
      </c>
      <c r="R54" s="225" t="n">
        <f aca="false">R53*$D$2</f>
        <v>1881.88350001184</v>
      </c>
      <c r="S54" s="238" t="n">
        <f aca="false">S53*$D$2</f>
        <v>195.06970864576</v>
      </c>
      <c r="T54" s="238" t="n">
        <f aca="false">T53*$D$2</f>
        <v>556.82952212368</v>
      </c>
      <c r="U54" s="433" t="n">
        <f aca="false">U53*$D$2</f>
        <v>-89.9850745400256</v>
      </c>
      <c r="V54" s="114" t="n">
        <f aca="false">V53*$D$2</f>
        <v>45242.9070555</v>
      </c>
      <c r="W54" s="114" t="n">
        <f aca="false">W53*$D$2</f>
        <v>20781.014457</v>
      </c>
      <c r="X54" s="114" t="n">
        <f aca="false">X53*$D$2</f>
        <v>122699.327567322</v>
      </c>
      <c r="Y54" s="114" t="n">
        <f aca="false">Y53*$D$2</f>
        <v>121955.746475655</v>
      </c>
      <c r="Z54" s="114"/>
      <c r="AA54" s="114"/>
      <c r="AB54" s="114"/>
      <c r="AC54" s="114"/>
      <c r="AD54" s="114"/>
      <c r="AE54" s="114"/>
      <c r="AF54" s="277" t="n">
        <f aca="false">AF53*$D$2</f>
        <v>721.5973</v>
      </c>
      <c r="AG54" s="278" t="n">
        <f aca="false">AG53*$D$2</f>
        <v>551.8097</v>
      </c>
      <c r="AH54" s="114" t="n">
        <f aca="false">AH53*$D$2</f>
        <v>29919.31235</v>
      </c>
      <c r="AI54" s="114" t="n">
        <f aca="false">AI53*$D$2</f>
        <v>10083.8321</v>
      </c>
      <c r="AJ54" s="114" t="n">
        <f aca="false">AJ53*$D$2</f>
        <v>0</v>
      </c>
      <c r="AK54" s="114" t="n">
        <f aca="false">AK53*$D$2</f>
        <v>215328.514013929</v>
      </c>
      <c r="AL54" s="114" t="n">
        <f aca="false">AL53*$D$2</f>
        <v>26521.9280482143</v>
      </c>
      <c r="AM54" s="224" t="n">
        <f aca="false">AM53*$D$2</f>
        <v>241850.442062143</v>
      </c>
      <c r="AN54" s="114" t="n">
        <f aca="false">AN53*$D$2</f>
        <v>17361.9556708333</v>
      </c>
      <c r="AO54" s="144" t="n">
        <f aca="false">AO53*$D$2</f>
        <v>743.581091666667</v>
      </c>
      <c r="AP54" s="144"/>
      <c r="AQ54" s="171" t="n">
        <f aca="false">AQ13+AQ48</f>
        <v>2011.38036240937</v>
      </c>
      <c r="AR54" s="171"/>
      <c r="AS54" s="171"/>
      <c r="AT54" s="225"/>
      <c r="AU54" s="225"/>
      <c r="AV54" s="191"/>
      <c r="AW54" s="330"/>
      <c r="AX54" s="225"/>
      <c r="AY54" s="225"/>
      <c r="AZ54" s="264"/>
      <c r="BA54" s="348" t="n">
        <f aca="false">BA53*$D$2</f>
        <v>4151.32378275336</v>
      </c>
      <c r="BB54" s="161" t="n">
        <f aca="false">BB53*$D$2</f>
        <v>11152.799998</v>
      </c>
      <c r="BC54" s="264"/>
    </row>
    <row r="55" customFormat="false" ht="3" hidden="false" customHeight="true" outlineLevel="0" collapsed="false">
      <c r="A55" s="244"/>
      <c r="B55" s="524"/>
      <c r="C55" s="525"/>
      <c r="D55" s="244"/>
      <c r="E55" s="525"/>
      <c r="F55" s="526"/>
      <c r="G55" s="244"/>
      <c r="H55" s="609"/>
      <c r="I55" s="244"/>
      <c r="J55" s="244"/>
      <c r="K55" s="244"/>
      <c r="L55" s="244"/>
      <c r="M55" s="528"/>
      <c r="N55" s="244"/>
      <c r="O55" s="244"/>
      <c r="P55" s="529"/>
      <c r="Q55" s="244"/>
      <c r="R55" s="610"/>
      <c r="S55" s="244"/>
      <c r="T55" s="244"/>
      <c r="U55" s="530"/>
      <c r="V55" s="244"/>
      <c r="W55" s="244"/>
      <c r="X55" s="244"/>
      <c r="Y55" s="244"/>
      <c r="Z55" s="525"/>
      <c r="AA55" s="244"/>
      <c r="AB55" s="525"/>
      <c r="AC55" s="525"/>
      <c r="AD55" s="525"/>
      <c r="AE55" s="244"/>
      <c r="AF55" s="250"/>
      <c r="AG55" s="254"/>
      <c r="AH55" s="244"/>
      <c r="AI55" s="525"/>
      <c r="AJ55" s="525"/>
      <c r="AK55" s="244"/>
      <c r="AL55" s="244"/>
      <c r="AM55" s="526"/>
      <c r="AN55" s="244"/>
      <c r="AO55" s="527"/>
      <c r="AP55" s="527"/>
      <c r="AQ55" s="529"/>
      <c r="AR55" s="529"/>
      <c r="AS55" s="529"/>
      <c r="AT55" s="244"/>
      <c r="AU55" s="244"/>
      <c r="AV55" s="244"/>
      <c r="AW55" s="524"/>
      <c r="AX55" s="244"/>
      <c r="AY55" s="244"/>
      <c r="AZ55" s="244"/>
      <c r="BA55" s="244"/>
      <c r="BB55" s="244"/>
      <c r="BC55" s="244"/>
    </row>
    <row r="56" customFormat="false" ht="11.1" hidden="false" customHeight="true" outlineLevel="0" collapsed="false">
      <c r="G56" s="195"/>
      <c r="H56" s="611"/>
      <c r="I56" s="186"/>
      <c r="N56" s="2"/>
      <c r="Q56" s="111"/>
      <c r="W56" s="56"/>
      <c r="X56" s="1"/>
      <c r="Y56" s="1"/>
      <c r="Z56" s="161"/>
      <c r="AA56" s="1"/>
      <c r="AB56" s="161"/>
      <c r="AE56" s="111"/>
      <c r="AF56" s="111"/>
      <c r="AG56" s="111"/>
      <c r="AH56" s="161"/>
      <c r="AK56" s="189"/>
      <c r="AL56" s="189"/>
      <c r="AM56" s="392"/>
      <c r="AQ56" s="76"/>
      <c r="AR56" s="76"/>
      <c r="AS56" s="76"/>
      <c r="AT56" s="335"/>
      <c r="AW56" s="515"/>
      <c r="AX56" s="296"/>
      <c r="AY56" s="418"/>
    </row>
    <row r="57" customFormat="false" ht="11.1" hidden="false" customHeight="true" outlineLevel="0" collapsed="false">
      <c r="A57" s="194"/>
      <c r="B57" s="574"/>
      <c r="C57" s="2"/>
      <c r="D57" s="1"/>
      <c r="E57" s="390"/>
      <c r="F57" s="197"/>
      <c r="G57" s="1"/>
      <c r="H57" s="612"/>
      <c r="I57" s="12"/>
      <c r="J57" s="11"/>
      <c r="K57" s="186"/>
      <c r="L57" s="11"/>
      <c r="M57" s="11"/>
      <c r="N57" s="2"/>
      <c r="O57" s="2"/>
      <c r="P57" s="613"/>
      <c r="Q57" s="497"/>
      <c r="R57" s="99"/>
      <c r="S57" s="99"/>
      <c r="T57" s="99"/>
      <c r="U57" s="99"/>
      <c r="V57" s="26"/>
      <c r="W57" s="138"/>
      <c r="X57" s="493"/>
      <c r="Y57" s="493"/>
      <c r="Z57" s="161"/>
      <c r="AA57" s="493"/>
      <c r="AB57" s="161"/>
      <c r="AC57" s="90"/>
      <c r="AD57" s="90"/>
      <c r="AE57" s="2"/>
      <c r="AF57" s="2"/>
      <c r="AG57" s="2"/>
      <c r="AH57" s="11"/>
      <c r="AI57" s="2"/>
      <c r="AJ57" s="112"/>
      <c r="AK57" s="112"/>
      <c r="AL57" s="197"/>
      <c r="AM57" s="392"/>
      <c r="AN57" s="575"/>
      <c r="AO57" s="614"/>
      <c r="AT57" s="414"/>
      <c r="AW57" s="296"/>
      <c r="AX57" s="296"/>
      <c r="AY57" s="296"/>
    </row>
    <row r="58" customFormat="false" ht="11.1" hidden="false" customHeight="true" outlineLevel="0" collapsed="false">
      <c r="B58" s="161"/>
      <c r="E58" s="390"/>
      <c r="F58" s="237"/>
      <c r="G58" s="1"/>
      <c r="H58" s="612"/>
      <c r="I58" s="1"/>
      <c r="J58" s="1"/>
      <c r="K58" s="391"/>
      <c r="L58" s="4"/>
      <c r="M58" s="4"/>
      <c r="N58" s="4"/>
      <c r="O58" s="161"/>
      <c r="P58" s="392"/>
      <c r="Q58" s="8"/>
      <c r="R58" s="99"/>
      <c r="S58" s="99"/>
      <c r="T58" s="99"/>
      <c r="U58" s="99"/>
      <c r="V58" s="26"/>
      <c r="W58" s="138"/>
      <c r="X58" s="96"/>
      <c r="Y58" s="96"/>
      <c r="Z58" s="161"/>
      <c r="AA58" s="96"/>
      <c r="AB58" s="161"/>
      <c r="AE58" s="161"/>
      <c r="AF58" s="161"/>
      <c r="AG58" s="161"/>
      <c r="AH58" s="2"/>
      <c r="AI58" s="26"/>
      <c r="AJ58" s="498"/>
      <c r="AK58" s="498"/>
      <c r="AL58" s="189"/>
      <c r="AM58" s="392"/>
      <c r="AT58" s="414"/>
      <c r="AW58" s="296"/>
      <c r="AX58" s="296"/>
      <c r="AY58" s="418"/>
    </row>
    <row r="59" customFormat="false" ht="11.1" hidden="false" customHeight="true" outlineLevel="0" collapsed="false">
      <c r="D59" s="161"/>
      <c r="E59" s="390"/>
      <c r="F59" s="1"/>
      <c r="G59" s="1"/>
      <c r="H59" s="90"/>
      <c r="I59" s="1"/>
      <c r="J59" s="1"/>
      <c r="K59" s="391"/>
      <c r="L59" s="191"/>
      <c r="M59" s="4"/>
      <c r="N59" s="4"/>
      <c r="O59" s="191"/>
      <c r="P59" s="392"/>
      <c r="Q59" s="8"/>
      <c r="R59" s="99"/>
      <c r="S59" s="99"/>
      <c r="T59" s="99"/>
      <c r="U59" s="99"/>
      <c r="V59" s="26"/>
      <c r="W59" s="26"/>
      <c r="X59" s="96"/>
      <c r="Y59" s="96"/>
      <c r="Z59" s="191"/>
      <c r="AA59" s="96"/>
      <c r="AB59" s="191"/>
      <c r="AC59" s="191"/>
      <c r="AD59" s="191"/>
      <c r="AE59" s="161"/>
      <c r="AF59" s="161"/>
      <c r="AG59" s="161"/>
      <c r="AH59" s="2"/>
      <c r="AI59" s="161"/>
      <c r="AJ59" s="237"/>
      <c r="AK59" s="237"/>
      <c r="AL59" s="189"/>
      <c r="AM59" s="615"/>
      <c r="AT59" s="414"/>
      <c r="AW59" s="296"/>
      <c r="AX59" s="296"/>
      <c r="AY59" s="418"/>
    </row>
    <row r="60" customFormat="false" ht="11.1" hidden="false" customHeight="true" outlineLevel="0" collapsed="false">
      <c r="G60" s="283"/>
      <c r="H60" s="611"/>
      <c r="Q60" s="8"/>
      <c r="R60" s="8"/>
      <c r="S60" s="8"/>
      <c r="T60" s="8"/>
      <c r="W60" s="56"/>
      <c r="X60" s="1"/>
      <c r="Y60" s="1"/>
      <c r="Z60" s="161"/>
      <c r="AA60" s="1"/>
      <c r="AB60" s="161"/>
      <c r="AH60" s="161"/>
      <c r="AK60" s="189"/>
      <c r="AL60" s="189"/>
      <c r="AM60" s="392"/>
      <c r="AT60" s="414"/>
      <c r="AW60" s="515"/>
      <c r="AX60" s="296"/>
      <c r="AY60" s="418"/>
    </row>
    <row r="61" customFormat="false" ht="11.1" hidden="false" customHeight="true" outlineLevel="0" collapsed="false">
      <c r="H61" s="611"/>
      <c r="Q61" s="8"/>
      <c r="R61" s="8"/>
      <c r="S61" s="8"/>
      <c r="T61" s="8"/>
      <c r="W61" s="56"/>
      <c r="X61" s="161"/>
      <c r="Y61" s="161"/>
      <c r="Z61" s="161"/>
      <c r="AA61" s="161"/>
      <c r="AB61" s="161"/>
      <c r="AH61" s="161"/>
      <c r="AK61" s="189"/>
      <c r="AL61" s="189"/>
      <c r="AM61" s="392"/>
      <c r="AT61" s="414"/>
      <c r="AW61" s="515"/>
      <c r="AX61" s="296"/>
      <c r="AY61" s="418"/>
    </row>
    <row r="62" customFormat="false" ht="11.1" hidden="false" customHeight="true" outlineLevel="0" collapsed="false">
      <c r="H62" s="611"/>
      <c r="Q62" s="111"/>
      <c r="W62" s="56"/>
      <c r="X62" s="161"/>
      <c r="Y62" s="161"/>
      <c r="AA62" s="161"/>
      <c r="AC62" s="56"/>
      <c r="AD62" s="56"/>
      <c r="AH62" s="161"/>
      <c r="AK62" s="189"/>
      <c r="AL62" s="189"/>
      <c r="AM62" s="392"/>
      <c r="AQ62" s="76"/>
      <c r="AR62" s="76"/>
      <c r="AS62" s="76"/>
      <c r="AW62" s="515"/>
      <c r="AX62" s="296"/>
      <c r="AY62" s="418"/>
    </row>
  </sheetData>
  <mergeCells count="2">
    <mergeCell ref="M5:U5"/>
    <mergeCell ref="AF5:AG5"/>
  </mergeCells>
  <printOptions headings="true" gridLines="true" gridLinesSet="true" horizontalCentered="true" verticalCentered="true"/>
  <pageMargins left="0.15" right="0.15" top="0.2" bottom="0" header="0.511811023622047" footer="0.511811023622047"/>
  <pageSetup paperSize="3" scale="89" fitToWidth="1" fitToHeight="1" pageOrder="downThenOver" orientation="landscape" blackAndWhite="false" draft="false" cellComments="atEnd" horizontalDpi="300" verticalDpi="300" copies="1"/>
  <headerFooter differentFirst="false" differentOddEven="false">
    <oddHeader/>
    <oddFooter/>
  </headerFooter>
  <rowBreaks count="1" manualBreakCount="1">
    <brk id="60" man="true" max="16383" min="0"/>
  </rowBreaks>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LibreOffice/7.3.7.2$Linux_AARCH64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1997-11-03T15:03:40Z</dcterms:created>
  <dc:creator>Vernon Lamb</dc:creator>
  <dc:description/>
  <dc:language>en-US</dc:language>
  <cp:lastModifiedBy>La Von Millard</cp:lastModifiedBy>
  <cp:lastPrinted>2015-07-13T07:37:24Z</cp:lastPrinted>
  <dcterms:modified xsi:type="dcterms:W3CDTF">2017-03-09T11:41:18Z</dcterms:modified>
  <cp:revision>0</cp:revision>
  <dc:subject>MCPHEE IN/OUT FLOW</dc:subject>
  <dc:title>RIVER</dc:title>
</cp:coreProperties>
</file>