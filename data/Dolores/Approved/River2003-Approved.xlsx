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2.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APR!$A$1:$AF$58</definedName>
    <definedName function="false" hidden="false" localSheetId="9" name="_xlnm.Print_Area" vbProcedure="false">AUG!$A$1:$AJ$58</definedName>
    <definedName function="false" hidden="false" localSheetId="1" name="_xlnm.Print_Area" vbProcedure="false">DEC!$A$1:$AF$58</definedName>
    <definedName function="false" hidden="false" localSheetId="3" name="_xlnm.Print_Area" vbProcedure="false">FEB!$A$1:$AF$58</definedName>
    <definedName function="false" hidden="false" localSheetId="2" name="_xlnm.Print_Area" vbProcedure="false">JAN!$A$1:$AF$58</definedName>
    <definedName function="false" hidden="false" localSheetId="8" name="_xlnm.Print_Area" vbProcedure="false">JUL!$A$1:$AG$58</definedName>
    <definedName function="false" hidden="false" localSheetId="7" name="_xlnm.Print_Area" vbProcedure="false">JUN!$A$1:$AG$58</definedName>
    <definedName function="false" hidden="false" localSheetId="4" name="_xlnm.Print_Area" vbProcedure="false">MAR!$A$1:$AF$58</definedName>
    <definedName function="false" hidden="false" localSheetId="6" name="_xlnm.Print_Area" vbProcedure="false">MAY!$A$1:$AF$58</definedName>
    <definedName function="false" hidden="false" localSheetId="0" name="_xlnm.Print_Area" vbProcedure="false">NOV!$A$1:$AF$57</definedName>
    <definedName function="false" hidden="false" localSheetId="11" name="_xlnm.Print_Area" vbProcedure="false">OCT!$A$1:$AJ$58</definedName>
    <definedName function="false" hidden="false" localSheetId="10" name="_xlnm.Print_Area" vbProcedure="false">SEP!$A$1:$AJ$58</definedName>
  </definedNames>
  <calcPr iterateCount="100" refMode="A1" iterate="false" iterateDelta="0.001"/>
  <extLst>
    <ext xmlns:loext="http://schemas.libreoffice.org/" uri="{7626C862-2A13-11E5-B345-FEFF819CDC9F}">
      <loext:extCalcPr stringRefSyntax="CalcA1"/>
    </ext>
  </extLst>
</workbook>
</file>

<file path=xl/comments8.xml><?xml version="1.0" encoding="utf-8"?>
<comments xmlns="http://schemas.openxmlformats.org/spreadsheetml/2006/main" xmlns:xdr="http://schemas.openxmlformats.org/drawingml/2006/spreadsheetDrawing">
  <authors>
    <author> </author>
  </authors>
  <commentList>
    <comment ref="G37" authorId="0">
      <text>
        <r>
          <rPr>
            <b val="true"/>
            <sz val="8"/>
            <color rgb="FF000000"/>
            <rFont val="Tahoma"/>
            <family val="0"/>
          </rPr>
          <t xml:space="preserve">E A Birk:
</t>
        </r>
        <r>
          <rPr>
            <sz val="8"/>
            <color rgb="FF000000"/>
            <rFont val="Tahoma"/>
            <family val="0"/>
          </rPr>
          <t xml:space="preserve">MVI started 15 cfs out of Groundhog to cover the 15 cfs for u/s users</t>
        </r>
      </text>
    </comment>
    <comment ref="T12" authorId="0">
      <text>
        <r>
          <rPr>
            <b val="true"/>
            <sz val="8"/>
            <color rgb="FF000000"/>
            <rFont val="Tahoma"/>
            <family val="0"/>
          </rPr>
          <t xml:space="preserve">E A Birk:
</t>
        </r>
        <r>
          <rPr>
            <sz val="8"/>
            <color rgb="FF000000"/>
            <rFont val="Tahoma"/>
            <family val="0"/>
          </rPr>
          <t xml:space="preserve">Added 3400 ac.ft. for Totten Exchange</t>
        </r>
      </text>
    </comment>
    <comment ref="AG37" authorId="0">
      <text>
        <r>
          <rPr>
            <b val="true"/>
            <sz val="8"/>
            <color rgb="FF000000"/>
            <rFont val="Tahoma"/>
            <family val="0"/>
          </rPr>
          <t xml:space="preserve">E A Birk:
</t>
        </r>
        <r>
          <rPr>
            <sz val="8"/>
            <color rgb="FF000000"/>
            <rFont val="Tahoma"/>
            <family val="0"/>
          </rPr>
          <t xml:space="preserve">Will add 15 cfs for the u/s exchange for the next 41.5 days for a total of 1235 ac. ft. Began a 2:30 pm.
</t>
        </r>
      </text>
    </comment>
  </commentList>
</comments>
</file>

<file path=xl/comments9.xml><?xml version="1.0" encoding="utf-8"?>
<comments xmlns="http://schemas.openxmlformats.org/spreadsheetml/2006/main" xmlns:xdr="http://schemas.openxmlformats.org/drawingml/2006/spreadsheetDrawing">
  <authors>
    <author> </author>
  </authors>
  <commentList>
    <comment ref="G21" authorId="0">
      <text>
        <r>
          <rPr>
            <b val="true"/>
            <sz val="8"/>
            <color rgb="FF000000"/>
            <rFont val="Tahoma"/>
            <family val="0"/>
          </rPr>
          <t xml:space="preserve">E A Birk:
</t>
        </r>
        <r>
          <rPr>
            <sz val="8"/>
            <color rgb="FF000000"/>
            <rFont val="Tahoma"/>
            <family val="0"/>
          </rPr>
          <t xml:space="preserve">Less Nunn of MVIC 
informed me that they had begun releasing 50 cfs out of Groundhog @ 7:30 Am</t>
        </r>
      </text>
    </comment>
    <comment ref="G35" authorId="0">
      <text>
        <r>
          <rPr>
            <b val="true"/>
            <sz val="8"/>
            <color rgb="FF000000"/>
            <rFont val="Tahoma"/>
            <family val="0"/>
          </rPr>
          <t xml:space="preserve">E A Birk:
</t>
        </r>
        <r>
          <rPr>
            <sz val="8"/>
            <color rgb="FF000000"/>
            <rFont val="Tahoma"/>
            <family val="0"/>
          </rPr>
          <t xml:space="preserve">MVIC cut outflow from Groundhog from 60 to 15 cfs @ 8:00 am.</t>
        </r>
      </text>
    </comment>
  </commentList>
</comments>
</file>

<file path=xl/comments10.xml><?xml version="1.0" encoding="utf-8"?>
<comments xmlns="http://schemas.openxmlformats.org/spreadsheetml/2006/main" xmlns:xdr="http://schemas.openxmlformats.org/drawingml/2006/spreadsheetDrawing">
  <authors>
    <author> </author>
  </authors>
  <commentList>
    <comment ref="V12" authorId="0">
      <text>
        <r>
          <rPr>
            <b val="true"/>
            <sz val="8"/>
            <color rgb="FF000000"/>
            <rFont val="Tahoma"/>
            <family val="0"/>
          </rPr>
          <t xml:space="preserve">E A Birk
</t>
        </r>
        <r>
          <rPr>
            <sz val="8"/>
            <color rgb="FF000000"/>
            <rFont val="Tahoma"/>
            <family val="2"/>
          </rPr>
          <t xml:space="preserve">Substracted 2597 ac.ft of class "B" Stock or 2597/1.9835=1309.3 cfs. On 9/18/03 the class "b" stock raised to 2993/1.9835=1508.95
</t>
        </r>
      </text>
    </comment>
    <comment ref="AJ16" authorId="0">
      <text>
        <r>
          <rPr>
            <b val="true"/>
            <sz val="8"/>
            <color rgb="FF000000"/>
            <rFont val="Tahoma"/>
            <family val="0"/>
          </rPr>
          <t xml:space="preserve">E A Birk:
</t>
        </r>
        <r>
          <rPr>
            <sz val="8"/>
            <color rgb="FF000000"/>
            <rFont val="Tahoma"/>
            <family val="0"/>
          </rPr>
          <t xml:space="preserve">Les Nunn left a message on my phone that they shut off the 15 cfs out of Groundhog @ 9:00 am.</t>
        </r>
      </text>
    </comment>
  </commentList>
</comments>
</file>

<file path=xl/comments12.xml><?xml version="1.0" encoding="utf-8"?>
<comments xmlns="http://schemas.openxmlformats.org/spreadsheetml/2006/main" xmlns:xdr="http://schemas.openxmlformats.org/drawingml/2006/spreadsheetDrawing">
  <authors>
    <author> </author>
  </authors>
  <commentList>
    <comment ref="O7" authorId="0">
      <text>
        <r>
          <rPr>
            <b val="true"/>
            <sz val="8"/>
            <color rgb="FF000000"/>
            <rFont val="Tahoma"/>
            <family val="0"/>
          </rPr>
          <t xml:space="preserve">E A Birk </t>
        </r>
        <r>
          <rPr>
            <sz val="8"/>
            <color rgb="FF000000"/>
            <rFont val="Tahoma"/>
            <family val="2"/>
          </rPr>
          <t xml:space="preserve">On the Oct 1st run of the allocation of Project water supply this number changed from 12758 as figured on Sept 18th to 12583 ac. ft.</t>
        </r>
      </text>
    </comment>
    <comment ref="W7" authorId="0">
      <text>
        <r>
          <rPr>
            <b val="true"/>
            <sz val="8"/>
            <color rgb="FF000000"/>
            <rFont val="Tahoma"/>
            <family val="0"/>
          </rPr>
          <t xml:space="preserve">E A Birk:</t>
        </r>
        <r>
          <rPr>
            <sz val="8"/>
            <color rgb="FF000000"/>
            <rFont val="Tahoma"/>
            <family val="2"/>
          </rPr>
          <t xml:space="preserve"> On the oct 1st run of the allocation of Project water supply this number changed from 7527 as figured on Sept 18th to 6517. Also the class "B" stock amount changed from 2993 back down to 2933, so the extra 60 acft was added to the 6517 for the adjustnebt due back to MVIC.
</t>
        </r>
      </text>
    </comment>
  </commentList>
</comments>
</file>

<file path=xl/sharedStrings.xml><?xml version="1.0" encoding="utf-8"?>
<sst xmlns="http://schemas.openxmlformats.org/spreadsheetml/2006/main" count="1022" uniqueCount="121">
  <si>
    <t xml:space="preserve">MCPHEE  RESERVOIR  INFLOW/OUTFLOW  TABULATION</t>
  </si>
  <si>
    <t xml:space="preserve">AF/cfs  CONVERT FACTOR</t>
  </si>
  <si>
    <t xml:space="preserve">           NOVEMBER  "2002"</t>
  </si>
  <si>
    <t xml:space="preserve">RESERVOIR</t>
  </si>
  <si>
    <t xml:space="preserve">INFLOW/OUTFLOW (CFS)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</si>
  <si>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</si>
  <si>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</si>
  <si>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</si>
  <si>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</si>
  <si>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</si>
  <si>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</si>
  <si>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</si>
  <si>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</si>
  <si>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RECORDED</t>
  </si>
  <si>
    <t xml:space="preserve">CALC</t>
  </si>
  <si>
    <t xml:space="preserve">TOTAL</t>
  </si>
  <si>
    <t xml:space="preserve">DOLORES TUNNEL</t>
  </si>
  <si>
    <t xml:space="preserve">LONE</t>
  </si>
  <si>
    <t xml:space="preserve">U</t>
  </si>
  <si>
    <t xml:space="preserve">MVI</t>
  </si>
  <si>
    <t xml:space="preserve">DV  CR</t>
  </si>
  <si>
    <t xml:space="preserve">BELOW</t>
  </si>
  <si>
    <t xml:space="preserve">REMAIN</t>
  </si>
  <si>
    <t xml:space="preserve">RAIN</t>
  </si>
  <si>
    <t xml:space="preserve">MAX</t>
  </si>
  <si>
    <t xml:space="preserve">MIN</t>
  </si>
  <si>
    <t xml:space="preserve">NAR.</t>
  </si>
  <si>
    <t xml:space="preserve">"NOV"</t>
  </si>
  <si>
    <t xml:space="preserve">ELEV</t>
  </si>
  <si>
    <t xml:space="preserve">CHANGE</t>
  </si>
  <si>
    <t xml:space="preserve">CAP</t>
  </si>
  <si>
    <t xml:space="preserve">CFS</t>
  </si>
  <si>
    <t xml:space="preserve">RIVER</t>
  </si>
  <si>
    <t xml:space="preserve">CANYON</t>
  </si>
  <si>
    <t xml:space="preserve">INFLOW</t>
  </si>
  <si>
    <t xml:space="preserve">INF/OTF</t>
  </si>
  <si>
    <t xml:space="preserve">TOT DIV</t>
  </si>
  <si>
    <t xml:space="preserve">SWAMP</t>
  </si>
  <si>
    <t xml:space="preserve">UTE F&amp;R</t>
  </si>
  <si>
    <t xml:space="preserve">MVI,CTZ</t>
  </si>
  <si>
    <t xml:space="preserve">PINE</t>
  </si>
  <si>
    <t xml:space="preserve">LAT</t>
  </si>
  <si>
    <t xml:space="preserve">CALL</t>
  </si>
  <si>
    <t xml:space="preserve">CANAL</t>
  </si>
  <si>
    <t xml:space="preserve">MCPHEE</t>
  </si>
  <si>
    <t xml:space="preserve">RELEASE</t>
  </si>
  <si>
    <t xml:space="preserve">OUTFLOW</t>
  </si>
  <si>
    <t xml:space="preserve">TMP</t>
  </si>
  <si>
    <t xml:space="preserve">AC FT</t>
  </si>
  <si>
    <t xml:space="preserve">&amp; PROJ.</t>
  </si>
  <si>
    <t xml:space="preserve">NOV-OCT</t>
  </si>
  <si>
    <t xml:space="preserve">Apr-Jun</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</si>
  <si>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</si>
  <si>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</si>
  <si>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</si>
  <si>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</si>
  <si>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</si>
  <si>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</si>
  <si>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</si>
  <si>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</si>
  <si>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</si>
  <si>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</si>
  <si>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</si>
  <si>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"2002"</t>
  </si>
  <si>
    <t xml:space="preserve">NAR</t>
  </si>
  <si>
    <t xml:space="preserve">MVI </t>
  </si>
  <si>
    <t xml:space="preserve">"DEC"</t>
  </si>
  <si>
    <t xml:space="preserve">&amp;PROJ.</t>
  </si>
  <si>
    <t xml:space="preserve">JANUARY  "2003"</t>
  </si>
  <si>
    <t xml:space="preserve">"JAN"</t>
  </si>
  <si>
    <t xml:space="preserve">AVE</t>
  </si>
  <si>
    <t xml:space="preserve"> </t>
  </si>
  <si>
    <t xml:space="preserve">FEBRUARY  "2003"</t>
  </si>
  <si>
    <t xml:space="preserve">FEB</t>
  </si>
  <si>
    <t xml:space="preserve">MARCH  "2003"</t>
  </si>
  <si>
    <t xml:space="preserve">MAR</t>
  </si>
  <si>
    <t xml:space="preserve">MCPHEE  RESERVOIR  INFLOW/OUTFLOW TABULATION</t>
  </si>
  <si>
    <t xml:space="preserve">                               APRIL  "2003"</t>
  </si>
  <si>
    <t xml:space="preserve">"APR"</t>
  </si>
  <si>
    <t xml:space="preserve">MVI/CTZ/MWC</t>
  </si>
  <si>
    <t xml:space="preserve">CALL +</t>
  </si>
  <si>
    <t xml:space="preserve">TOT EX</t>
  </si>
  <si>
    <t xml:space="preserve">Apr - Jun</t>
  </si>
  <si>
    <t xml:space="preserve">EVAP acft</t>
  </si>
  <si>
    <t xml:space="preserve">AVG</t>
  </si>
  <si>
    <t xml:space="preserve">MAY  "2003"</t>
  </si>
  <si>
    <t xml:space="preserve">"MAY"</t>
  </si>
  <si>
    <t xml:space="preserve">JUNE  "2003"</t>
  </si>
  <si>
    <t xml:space="preserve">UPSTREAM</t>
  </si>
  <si>
    <t xml:space="preserve">"JUN"</t>
  </si>
  <si>
    <t xml:space="preserve">USERS</t>
  </si>
  <si>
    <t xml:space="preserve">EXCHANGE</t>
  </si>
  <si>
    <t xml:space="preserve">JULY  "2003"</t>
  </si>
  <si>
    <t xml:space="preserve">ADJUSTMENTS</t>
  </si>
  <si>
    <t xml:space="preserve">"JUL"</t>
  </si>
  <si>
    <t xml:space="preserve">STORED </t>
  </si>
  <si>
    <t xml:space="preserve">AUGUST  "2003"</t>
  </si>
  <si>
    <t xml:space="preserve">RECORD</t>
  </si>
  <si>
    <t xml:space="preserve">FISH</t>
  </si>
  <si>
    <t xml:space="preserve">U/S</t>
  </si>
  <si>
    <t xml:space="preserve">"AUG"</t>
  </si>
  <si>
    <t xml:space="preserve">CAN</t>
  </si>
  <si>
    <t xml:space="preserve">MWC</t>
  </si>
  <si>
    <t xml:space="preserve">CTZ</t>
  </si>
  <si>
    <t xml:space="preserve">PROJ</t>
  </si>
  <si>
    <t xml:space="preserve">LEFT</t>
  </si>
  <si>
    <t xml:space="preserve">EXCH</t>
  </si>
  <si>
    <t xml:space="preserve">Balance</t>
  </si>
  <si>
    <t xml:space="preserve">Utes / DWCD Trade</t>
  </si>
  <si>
    <t xml:space="preserve">(100  MVIC shares Class A Stock)</t>
  </si>
  <si>
    <t xml:space="preserve">200 ACFT of nonproject water to Utes</t>
  </si>
  <si>
    <t xml:space="preserve">and minus 200 ACFT of project water</t>
  </si>
  <si>
    <t xml:space="preserve">from Utes back to DWCD. Used 7/1-7/20.</t>
  </si>
  <si>
    <t xml:space="preserve">SEPTEMBER  "2003"</t>
  </si>
  <si>
    <t xml:space="preserve">"SEP"</t>
  </si>
  <si>
    <t xml:space="preserve">NOV-0CT</t>
  </si>
  <si>
    <t xml:space="preserve">c</t>
  </si>
  <si>
    <t xml:space="preserve">from Utes back to DWCD</t>
  </si>
  <si>
    <t xml:space="preserve">OCTOBER  "2003"</t>
  </si>
  <si>
    <t xml:space="preserve">"OCT"</t>
  </si>
  <si>
    <t xml:space="preserve">TO EX</t>
  </si>
</sst>
</file>

<file path=xl/styles.xml><?xml version="1.0" encoding="utf-8"?>
<styleSheet xmlns="http://schemas.openxmlformats.org/spreadsheetml/2006/main">
  <numFmts count="19">
    <numFmt numFmtId="164" formatCode="General"/>
    <numFmt numFmtId="165" formatCode="#,##0"/>
    <numFmt numFmtId="166" formatCode="0.00_);\(0.00\)"/>
    <numFmt numFmtId="167" formatCode="0.0"/>
    <numFmt numFmtId="168" formatCode="0"/>
    <numFmt numFmtId="169" formatCode="#,##0.0"/>
    <numFmt numFmtId="170" formatCode="##0.0"/>
    <numFmt numFmtId="171" formatCode="0.00"/>
    <numFmt numFmtId="172" formatCode="0.0000"/>
    <numFmt numFmtId="173" formatCode="0.000"/>
    <numFmt numFmtId="174" formatCode="#,##0.00"/>
    <numFmt numFmtId="175" formatCode="[$-409]d\-mmm"/>
    <numFmt numFmtId="176" formatCode="0%"/>
    <numFmt numFmtId="177" formatCode="0.0_);\(0.0\)"/>
    <numFmt numFmtId="178" formatCode="[$-409]mmm\-yy"/>
    <numFmt numFmtId="179" formatCode="#,##0.00000"/>
    <numFmt numFmtId="180" formatCode="#,##0.0000"/>
    <numFmt numFmtId="181" formatCode="0.00_);[RED]\(0.00\)"/>
    <numFmt numFmtId="182" formatCode="0_);[RED]\(0\)"/>
  </numFmts>
  <fonts count="28">
    <font>
      <sz val="8"/>
      <name val="LinePrinter"/>
      <family val="0"/>
    </font>
    <font>
      <sz val="10"/>
      <name val="Arial"/>
      <family val="0"/>
    </font>
    <font>
      <sz val="10"/>
      <name val="Arial"/>
      <family val="0"/>
    </font>
    <font>
      <sz val="10"/>
      <name val="Arial"/>
      <family val="0"/>
    </font>
    <font>
      <sz val="8"/>
      <name val="Arial Narrow"/>
      <family val="0"/>
    </font>
    <font>
      <b val="true"/>
      <i val="true"/>
      <sz val="12"/>
      <name val="Arial Narrow"/>
      <family val="0"/>
    </font>
    <font>
      <b val="true"/>
      <sz val="8"/>
      <name val="Arial Narrow"/>
      <family val="2"/>
    </font>
    <font>
      <sz val="6"/>
      <name val="Arial Narrow"/>
      <family val="0"/>
    </font>
    <font>
      <b val="true"/>
      <sz val="6"/>
      <name val="Arial Narrow"/>
      <family val="2"/>
    </font>
    <font>
      <b val="true"/>
      <sz val="6"/>
      <name val="Arial Narrow"/>
      <family val="0"/>
    </font>
    <font>
      <sz val="6"/>
      <name val="Arial Narrow"/>
      <family val="2"/>
    </font>
    <font>
      <sz val="6"/>
      <name val="LinePrinter"/>
      <family val="3"/>
    </font>
    <font>
      <b val="true"/>
      <sz val="9"/>
      <name val="Arial Narrow"/>
      <family val="0"/>
    </font>
    <font>
      <sz val="6"/>
      <name val="Arial"/>
      <family val="0"/>
    </font>
    <font>
      <sz val="6"/>
      <name val="Arial"/>
      <family val="2"/>
    </font>
    <font>
      <sz val="8"/>
      <name val="Arial"/>
      <family val="0"/>
    </font>
    <font>
      <b val="true"/>
      <sz val="12"/>
      <name val="Arial Narrow"/>
      <family val="0"/>
    </font>
    <font>
      <b val="true"/>
      <sz val="10"/>
      <name val="Arial Narrow"/>
      <family val="2"/>
    </font>
    <font>
      <sz val="10"/>
      <name val="Arial Narrow"/>
      <family val="2"/>
    </font>
    <font>
      <sz val="8"/>
      <name val="Arial Narrow"/>
      <family val="2"/>
    </font>
    <font>
      <sz val="4"/>
      <name val="LinePrinter"/>
      <family val="3"/>
    </font>
    <font>
      <sz val="6"/>
      <name val="LinePrinter"/>
      <family val="0"/>
    </font>
    <font>
      <b val="true"/>
      <sz val="8"/>
      <name val="Arial Narrow"/>
      <family val="0"/>
    </font>
    <font>
      <b val="true"/>
      <sz val="8"/>
      <color rgb="FF000000"/>
      <name val="Tahoma"/>
      <family val="0"/>
    </font>
    <font>
      <sz val="8"/>
      <color rgb="FF000000"/>
      <name val="Tahoma"/>
      <family val="0"/>
    </font>
    <font>
      <b val="true"/>
      <sz val="8"/>
      <name val="LinePrinter"/>
      <family val="3"/>
    </font>
    <font>
      <sz val="5"/>
      <name val="Arial Narrow"/>
      <family val="2"/>
    </font>
    <font>
      <sz val="8"/>
      <color rgb="FF000000"/>
      <name val="Tahoma"/>
      <family val="2"/>
    </font>
  </fonts>
  <fills count="5">
    <fill>
      <patternFill patternType="none"/>
    </fill>
    <fill>
      <patternFill patternType="gray125"/>
    </fill>
    <fill>
      <patternFill patternType="solid">
        <fgColor rgb="FF464648"/>
        <bgColor rgb="FF333300"/>
      </patternFill>
    </fill>
    <fill>
      <patternFill patternType="solid">
        <fgColor rgb="FFA6CAF0"/>
        <bgColor rgb="FFCCCCFF"/>
      </patternFill>
    </fill>
    <fill>
      <patternFill patternType="solid">
        <fgColor rgb="FFFFFF99"/>
        <bgColor rgb="FFFFFFCC"/>
      </patternFill>
    </fill>
  </fills>
  <borders count="20">
    <border diagonalUp="false" diagonalDown="false">
      <left/>
      <right/>
      <top/>
      <bottom/>
      <diagonal/>
    </border>
    <border diagonalUp="false" diagonalDown="false">
      <left/>
      <right/>
      <top/>
      <bottom style="thick">
        <color rgb="FFEEEEEC"/>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style="thin">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right/>
      <top style="hair">
        <color rgb="FFEEEEEC"/>
      </top>
      <bottom style="hair">
        <color rgb="FFEEEEEC"/>
      </bottom>
      <diagonal/>
    </border>
    <border diagonalUp="false" diagonalDown="false">
      <left/>
      <right style="medium">
        <color rgb="FFEEEEEC"/>
      </right>
      <top/>
      <bottom style="thin">
        <color rgb="FFEEEEE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false" applyProtection="false"/>
    <xf numFmtId="164" fontId="0" fillId="0" borderId="0" applyFont="true" applyBorder="false" applyAlignment="true" applyProtection="true">
      <alignment horizontal="general" vertical="bottom" textRotation="0" wrapText="false" indent="0" shrinkToFit="false"/>
      <protection locked="true" hidden="false"/>
    </xf>
  </cellStyleXfs>
  <cellXfs count="44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73" fontId="4" fillId="0" borderId="1" xfId="0" applyFont="true" applyBorder="true" applyAlignment="false" applyProtection="false">
      <alignment horizontal="general" vertical="bottom" textRotation="0" wrapText="false" indent="0" shrinkToFit="false"/>
      <protection locked="true" hidden="false"/>
    </xf>
    <xf numFmtId="170" fontId="4" fillId="0" borderId="1" xfId="0" applyFont="true" applyBorder="true" applyAlignment="false" applyProtection="false">
      <alignment horizontal="general" vertical="bottom" textRotation="0" wrapText="false" indent="0" shrinkToFit="false"/>
      <protection locked="true" hidden="false"/>
    </xf>
    <xf numFmtId="171" fontId="4"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4" fillId="0" borderId="2" xfId="0" applyFont="true" applyBorder="true" applyAlignment="false" applyProtection="false">
      <alignment horizontal="general" vertical="bottom" textRotation="0" wrapText="false" indent="0" shrinkToFit="false"/>
      <protection locked="true" hidden="false"/>
    </xf>
    <xf numFmtId="165" fontId="4" fillId="0" borderId="3" xfId="0" applyFont="true" applyBorder="true" applyAlignment="false" applyProtection="false">
      <alignment horizontal="general" vertical="bottom" textRotation="0" wrapText="false" indent="0" shrinkToFit="false"/>
      <protection locked="true" hidden="false"/>
    </xf>
    <xf numFmtId="173" fontId="6" fillId="0" borderId="3" xfId="0" applyFont="true" applyBorder="true" applyAlignment="false" applyProtection="false">
      <alignment horizontal="general" vertical="bottom" textRotation="0" wrapText="false" indent="0" shrinkToFit="false"/>
      <protection locked="true" hidden="false"/>
    </xf>
    <xf numFmtId="169" fontId="4" fillId="0" borderId="4"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6" fontId="4" fillId="0" borderId="2"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true" applyProtection="false">
      <alignment horizontal="center" vertical="bottom" textRotation="0" wrapText="false" indent="0" shrinkToFit="false"/>
      <protection locked="true" hidden="false"/>
    </xf>
    <xf numFmtId="168" fontId="4" fillId="0" borderId="4" xfId="0" applyFont="true" applyBorder="true" applyAlignment="true" applyProtection="false">
      <alignment horizontal="center" vertical="bottom" textRotation="0" wrapText="fals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69" fontId="7" fillId="0" borderId="5"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9" fontId="7" fillId="0" borderId="0" xfId="0" applyFont="true" applyBorder="true" applyAlignment="true" applyProtection="false">
      <alignment horizontal="center" vertical="bottom" textRotation="0" wrapText="false" indent="0" shrinkToFit="false"/>
      <protection locked="true" hidden="false"/>
    </xf>
    <xf numFmtId="169" fontId="7" fillId="0" borderId="6" xfId="0" applyFont="true" applyBorder="true" applyAlignment="true" applyProtection="false">
      <alignment horizontal="center"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9" fontId="8" fillId="0" borderId="7"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6" fontId="7" fillId="0" borderId="5"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true" applyAlignment="true" applyProtection="false">
      <alignment horizontal="center" vertical="bottom" textRotation="0" wrapText="false" indent="0" shrinkToFit="false"/>
      <protection locked="true" hidden="false"/>
    </xf>
    <xf numFmtId="168" fontId="7" fillId="0" borderId="6"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9" fontId="9" fillId="0" borderId="0" xfId="0" applyFont="true" applyBorder="false" applyAlignment="true" applyProtection="false">
      <alignment horizontal="center" vertical="bottom" textRotation="0" wrapText="false" indent="0" shrinkToFit="false"/>
      <protection locked="true" hidden="false"/>
    </xf>
    <xf numFmtId="169" fontId="7" fillId="0" borderId="8" xfId="0" applyFont="true" applyBorder="true" applyAlignment="true" applyProtection="false">
      <alignment horizontal="center" vertical="bottom" textRotation="0" wrapText="false" indent="0" shrinkToFit="false"/>
      <protection locked="true" hidden="false"/>
    </xf>
    <xf numFmtId="169" fontId="10" fillId="0" borderId="9" xfId="0" applyFont="true" applyBorder="true" applyAlignment="true" applyProtection="false">
      <alignment horizontal="center" vertical="bottom" textRotation="0" wrapText="false" indent="0" shrinkToFit="false"/>
      <protection locked="true" hidden="false"/>
    </xf>
    <xf numFmtId="166" fontId="7" fillId="0" borderId="5"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69" fontId="4" fillId="0" borderId="5"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65" fontId="10" fillId="0" borderId="0" xfId="0" applyFont="true" applyBorder="true" applyAlignment="true" applyProtection="false">
      <alignment horizontal="center" vertical="bottom" textRotation="0" wrapText="false" indent="0" shrinkToFit="false"/>
      <protection locked="true" hidden="false"/>
    </xf>
    <xf numFmtId="169" fontId="4" fillId="0" borderId="6" xfId="0" applyFont="true" applyBorder="tru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69" fontId="4" fillId="0" borderId="8" xfId="0" applyFont="true" applyBorder="true" applyAlignment="true" applyProtection="false">
      <alignment horizontal="center" vertical="bottom" textRotation="0" wrapText="false" indent="0" shrinkToFit="false"/>
      <protection locked="true" hidden="false"/>
    </xf>
    <xf numFmtId="169" fontId="4" fillId="0" borderId="9" xfId="0" applyFont="true" applyBorder="tru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4" fillId="0" borderId="5"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true" applyAlignment="true" applyProtection="false">
      <alignment horizontal="center" vertical="bottom" textRotation="0" wrapText="false" indent="0" shrinkToFit="false"/>
      <protection locked="true" hidden="false"/>
    </xf>
    <xf numFmtId="168" fontId="4" fillId="0" borderId="6"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center" vertical="bottom" textRotation="0" wrapText="false" indent="0" shrinkToFit="false"/>
      <protection locked="true" hidden="false"/>
    </xf>
    <xf numFmtId="169" fontId="4" fillId="0" borderId="5"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4" fillId="0" borderId="6" xfId="0" applyFont="true" applyBorder="true" applyAlignment="false" applyProtection="false">
      <alignment horizontal="general" vertical="bottom" textRotation="0" wrapText="false" indent="0" shrinkToFit="false"/>
      <protection locked="true" hidden="false"/>
    </xf>
    <xf numFmtId="165" fontId="4" fillId="0" borderId="8" xfId="0" applyFont="true" applyBorder="true" applyAlignment="false" applyProtection="false">
      <alignment horizontal="general" vertical="bottom" textRotation="0" wrapText="false" indent="0" shrinkToFit="false"/>
      <protection locked="true" hidden="false"/>
    </xf>
    <xf numFmtId="165" fontId="4" fillId="0" borderId="9"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8" fontId="4" fillId="0" borderId="6" xfId="0" applyFont="true" applyBorder="true" applyAlignment="false" applyProtection="false">
      <alignment horizontal="general" vertical="bottom" textRotation="0" wrapText="false" indent="0" shrinkToFit="false"/>
      <protection locked="true" hidden="false"/>
    </xf>
    <xf numFmtId="174" fontId="4" fillId="0" borderId="5" xfId="0" applyFont="true" applyBorder="true" applyAlignment="false" applyProtection="false">
      <alignment horizontal="general" vertical="bottom" textRotation="0" wrapText="false" indent="0" shrinkToFit="false"/>
      <protection locked="true" hidden="false"/>
    </xf>
    <xf numFmtId="169" fontId="4" fillId="2" borderId="10" xfId="0" applyFont="true" applyBorder="true" applyAlignment="false" applyProtection="false">
      <alignment horizontal="general" vertical="bottom" textRotation="0" wrapText="false" indent="0" shrinkToFit="false"/>
      <protection locked="true" hidden="false"/>
    </xf>
    <xf numFmtId="174" fontId="4" fillId="2" borderId="11" xfId="0" applyFont="true" applyBorder="true" applyAlignment="false" applyProtection="false">
      <alignment horizontal="general" vertical="bottom" textRotation="0" wrapText="false" indent="0" shrinkToFit="false"/>
      <protection locked="true" hidden="false"/>
    </xf>
    <xf numFmtId="165" fontId="4" fillId="2" borderId="10" xfId="0" applyFont="true" applyBorder="true" applyAlignment="false" applyProtection="false">
      <alignment horizontal="general" vertical="bottom" textRotation="0" wrapText="false" indent="0" shrinkToFit="false"/>
      <protection locked="true" hidden="false"/>
    </xf>
    <xf numFmtId="169" fontId="4" fillId="2" borderId="12" xfId="0" applyFont="true" applyBorder="true" applyAlignment="false" applyProtection="false">
      <alignment horizontal="general" vertical="bottom" textRotation="0" wrapText="false" indent="0" shrinkToFit="false"/>
      <protection locked="true" hidden="false"/>
    </xf>
    <xf numFmtId="170" fontId="4" fillId="2" borderId="10" xfId="0" applyFont="true" applyBorder="true" applyAlignment="false" applyProtection="false">
      <alignment horizontal="general" vertical="bottom" textRotation="0" wrapText="false" indent="0" shrinkToFit="false"/>
      <protection locked="true" hidden="false"/>
    </xf>
    <xf numFmtId="169" fontId="4" fillId="2" borderId="13" xfId="0" applyFont="true" applyBorder="true" applyAlignment="false" applyProtection="false">
      <alignment horizontal="general" vertical="bottom" textRotation="0" wrapText="false" indent="0" shrinkToFit="false"/>
      <protection locked="true" hidden="false"/>
    </xf>
    <xf numFmtId="169" fontId="4" fillId="2" borderId="14" xfId="0" applyFont="true" applyBorder="true" applyAlignment="false" applyProtection="false">
      <alignment horizontal="general" vertical="bottom" textRotation="0" wrapText="false" indent="0" shrinkToFit="false"/>
      <protection locked="true" hidden="false"/>
    </xf>
    <xf numFmtId="166" fontId="4" fillId="2" borderId="11" xfId="0" applyFont="true" applyBorder="true" applyAlignment="false" applyProtection="false">
      <alignment horizontal="general" vertical="bottom" textRotation="0" wrapText="false" indent="0" shrinkToFit="false"/>
      <protection locked="true" hidden="false"/>
    </xf>
    <xf numFmtId="168" fontId="4" fillId="2" borderId="10" xfId="0" applyFont="true" applyBorder="true" applyAlignment="false" applyProtection="false">
      <alignment horizontal="general" vertical="bottom" textRotation="0" wrapText="false" indent="0" shrinkToFit="false"/>
      <protection locked="true" hidden="false"/>
    </xf>
    <xf numFmtId="168" fontId="4" fillId="2" borderId="12" xfId="0" applyFont="true" applyBorder="true" applyAlignment="false" applyProtection="false">
      <alignment horizontal="general" vertical="bottom" textRotation="0" wrapText="false" indent="0" shrinkToFit="false"/>
      <protection locked="true" hidden="false"/>
    </xf>
    <xf numFmtId="168" fontId="4" fillId="2" borderId="10" xfId="0" applyFont="true" applyBorder="true" applyAlignment="true" applyProtection="false">
      <alignment horizontal="center" vertical="bottom" textRotation="0" wrapText="false" indent="0" shrinkToFit="false"/>
      <protection locked="true" hidden="false"/>
    </xf>
    <xf numFmtId="169" fontId="4" fillId="0" borderId="6"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9" fontId="4" fillId="0" borderId="8"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69" fontId="4" fillId="0" borderId="9" xfId="0" applyFont="true" applyBorder="true" applyAlignment="false" applyProtection="false">
      <alignment horizontal="general" vertical="bottom" textRotation="0" wrapText="false" indent="0" shrinkToFit="false"/>
      <protection locked="true" hidden="false"/>
    </xf>
    <xf numFmtId="174" fontId="4" fillId="0" borderId="5" xfId="15"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9" fontId="4" fillId="2" borderId="11" xfId="0" applyFont="true" applyBorder="true" applyAlignment="false" applyProtection="false">
      <alignment horizontal="general" vertical="bottom" textRotation="0" wrapText="false" indent="0" shrinkToFit="false"/>
      <protection locked="true" hidden="false"/>
    </xf>
    <xf numFmtId="165" fontId="4" fillId="2" borderId="12" xfId="0" applyFont="true" applyBorder="true" applyAlignment="false" applyProtection="false">
      <alignment horizontal="general" vertical="bottom" textRotation="0" wrapText="false" indent="0" shrinkToFit="false"/>
      <protection locked="true" hidden="false"/>
    </xf>
    <xf numFmtId="165" fontId="4" fillId="2" borderId="13" xfId="0" applyFont="true" applyBorder="true" applyAlignment="false" applyProtection="false">
      <alignment horizontal="general"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6" fontId="4" fillId="0" borderId="0" xfId="19" applyFont="true" applyBorder="true" applyAlignment="true" applyProtection="true">
      <alignment horizontal="general" vertical="bottom" textRotation="0" wrapText="false" indent="0" shrinkToFit="false"/>
      <protection locked="true" hidden="false"/>
    </xf>
    <xf numFmtId="176"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20" applyFont="false" applyBorder="true" applyAlignment="false" applyProtection="false">
      <alignment horizontal="general" vertical="bottom" textRotation="0" wrapText="false" indent="0" shrinkToFit="false"/>
      <protection locked="true" hidden="false"/>
    </xf>
    <xf numFmtId="165" fontId="0" fillId="0" borderId="0" xfId="20" applyFont="false" applyBorder="true" applyAlignment="false" applyProtection="false">
      <alignment horizontal="general" vertical="bottom" textRotation="0" wrapText="false" indent="0" shrinkToFit="false"/>
      <protection locked="true" hidden="false"/>
    </xf>
    <xf numFmtId="166" fontId="0" fillId="0" borderId="0" xfId="20" applyFont="false" applyBorder="true" applyAlignment="false" applyProtection="false">
      <alignment horizontal="general" vertical="bottom" textRotation="0" wrapText="false" indent="0" shrinkToFit="false"/>
      <protection locked="true" hidden="false"/>
    </xf>
    <xf numFmtId="167" fontId="0" fillId="0" borderId="0" xfId="20" applyFont="false" applyBorder="true" applyAlignment="false" applyProtection="false">
      <alignment horizontal="general" vertical="bottom" textRotation="0" wrapText="false" indent="0" shrinkToFit="false"/>
      <protection locked="true" hidden="false"/>
    </xf>
    <xf numFmtId="171" fontId="0" fillId="0" borderId="0" xfId="20" applyFont="false" applyBorder="true" applyAlignment="false" applyProtection="false">
      <alignment horizontal="general" vertical="bottom" textRotation="0" wrapText="false" indent="0" shrinkToFit="false"/>
      <protection locked="true" hidden="false"/>
    </xf>
    <xf numFmtId="168" fontId="0" fillId="0" borderId="0" xfId="20" applyFont="false" applyBorder="true" applyAlignment="false" applyProtection="false">
      <alignment horizontal="general" vertical="bottom" textRotation="0" wrapText="false" indent="0" shrinkToFit="false"/>
      <protection locked="true" hidden="false"/>
    </xf>
    <xf numFmtId="168" fontId="0" fillId="0" borderId="0" xfId="20" applyFont="false" applyBorder="true" applyAlignment="true" applyProtection="false">
      <alignment horizontal="center"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69" fontId="5" fillId="0" borderId="0"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true" applyProtection="false">
      <alignment horizontal="center" vertical="bottom" textRotation="0" wrapText="false" indent="0" shrinkToFit="false"/>
      <protection locked="true" hidden="false"/>
    </xf>
    <xf numFmtId="172" fontId="4" fillId="0" borderId="0" xfId="20" applyFont="true" applyBorder="true" applyAlignment="false" applyProtection="false">
      <alignment horizontal="general" vertical="bottom" textRotation="0" wrapText="false" indent="0" shrinkToFit="false"/>
      <protection locked="true" hidden="false"/>
    </xf>
    <xf numFmtId="169" fontId="5" fillId="0" borderId="0" xfId="20" applyFont="true" applyBorder="true" applyAlignment="true" applyProtection="false">
      <alignment horizontal="center" vertical="bottom" textRotation="0" wrapText="false" indent="0" shrinkToFit="false"/>
      <protection locked="true" hidden="false"/>
    </xf>
    <xf numFmtId="169" fontId="4" fillId="0" borderId="1" xfId="20" applyFont="true" applyBorder="true" applyAlignment="false" applyProtection="false">
      <alignment horizontal="general"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73" fontId="4" fillId="0" borderId="1" xfId="20" applyFont="true" applyBorder="true" applyAlignment="false" applyProtection="false">
      <alignment horizontal="general" vertical="bottom" textRotation="0" wrapText="false" indent="0" shrinkToFit="false"/>
      <protection locked="true" hidden="false"/>
    </xf>
    <xf numFmtId="170" fontId="4" fillId="0" borderId="1" xfId="20" applyFont="true" applyBorder="true" applyAlignment="false" applyProtection="false">
      <alignment horizontal="general" vertical="bottom" textRotation="0" wrapText="false" indent="0" shrinkToFit="false"/>
      <protection locked="true" hidden="false"/>
    </xf>
    <xf numFmtId="171" fontId="4" fillId="0" borderId="1" xfId="20" applyFont="true" applyBorder="true" applyAlignment="false" applyProtection="false">
      <alignment horizontal="general" vertical="bottom" textRotation="0" wrapText="false" indent="0" shrinkToFit="false"/>
      <protection locked="true" hidden="false"/>
    </xf>
    <xf numFmtId="166"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true" applyProtection="false">
      <alignment horizontal="center" vertical="bottom" textRotation="0" wrapText="false" indent="0" shrinkToFit="false"/>
      <protection locked="true" hidden="false"/>
    </xf>
    <xf numFmtId="164" fontId="0" fillId="0" borderId="1" xfId="20" applyFont="false" applyBorder="true" applyAlignment="false" applyProtection="false">
      <alignment horizontal="general" vertical="bottom" textRotation="0" wrapText="false" indent="0" shrinkToFit="false"/>
      <protection locked="true" hidden="false"/>
    </xf>
    <xf numFmtId="169" fontId="4" fillId="0" borderId="2" xfId="20" applyFont="true" applyBorder="true" applyAlignment="false" applyProtection="false">
      <alignment horizontal="general" vertical="bottom" textRotation="0" wrapText="false" indent="0" shrinkToFit="false"/>
      <protection locked="true" hidden="false"/>
    </xf>
    <xf numFmtId="165" fontId="4" fillId="0" borderId="3" xfId="20" applyFont="true" applyBorder="true" applyAlignment="false" applyProtection="false">
      <alignment horizontal="general" vertical="bottom" textRotation="0" wrapText="false" indent="0" shrinkToFit="false"/>
      <protection locked="true" hidden="false"/>
    </xf>
    <xf numFmtId="173" fontId="6" fillId="0" borderId="3" xfId="20" applyFont="true" applyBorder="true" applyAlignment="false" applyProtection="false">
      <alignment horizontal="general" vertical="bottom" textRotation="0" wrapText="false" indent="0" shrinkToFit="false"/>
      <protection locked="true" hidden="false"/>
    </xf>
    <xf numFmtId="169" fontId="4" fillId="0" borderId="4" xfId="20" applyFont="true" applyBorder="true" applyAlignment="false" applyProtection="false">
      <alignment horizontal="general" vertical="bottom" textRotation="0" wrapText="false" indent="0" shrinkToFit="false"/>
      <protection locked="true" hidden="false"/>
    </xf>
    <xf numFmtId="169" fontId="6" fillId="0" borderId="0" xfId="20" applyFont="true" applyBorder="true" applyAlignment="true" applyProtection="false">
      <alignment horizontal="center" vertical="bottom" textRotation="0" wrapText="false" indent="0" shrinkToFit="false"/>
      <protection locked="true" hidden="false"/>
    </xf>
    <xf numFmtId="166" fontId="4" fillId="0" borderId="2" xfId="20" applyFont="true" applyBorder="true" applyAlignment="false" applyProtection="false">
      <alignment horizontal="general" vertical="bottom" textRotation="0" wrapText="false" indent="0" shrinkToFit="false"/>
      <protection locked="true" hidden="false"/>
    </xf>
    <xf numFmtId="168" fontId="6" fillId="0" borderId="3" xfId="20" applyFont="true" applyBorder="true" applyAlignment="true" applyProtection="false">
      <alignment horizontal="center" vertical="bottom" textRotation="0" wrapText="false" indent="0" shrinkToFit="false"/>
      <protection locked="true" hidden="false"/>
    </xf>
    <xf numFmtId="168" fontId="4" fillId="0" borderId="4" xfId="20" applyFont="true" applyBorder="true" applyAlignment="true" applyProtection="false">
      <alignment horizontal="center" vertical="bottom" textRotation="0" wrapText="false" indent="0" shrinkToFit="false"/>
      <protection locked="true" hidden="false"/>
    </xf>
    <xf numFmtId="169" fontId="7" fillId="0" borderId="0" xfId="20" applyFont="true" applyBorder="true" applyAlignment="true" applyProtection="false">
      <alignment horizontal="center" vertical="bottom" textRotation="0" wrapText="false" indent="0" shrinkToFit="false"/>
      <protection locked="true" hidden="false"/>
    </xf>
    <xf numFmtId="169" fontId="7" fillId="0" borderId="5"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9" fontId="7" fillId="0" borderId="6" xfId="20" applyFont="true" applyBorder="true" applyAlignment="true" applyProtection="false">
      <alignment horizontal="center" vertical="bottom" textRotation="0" wrapText="false" indent="0" shrinkToFit="false"/>
      <protection locked="true" hidden="false"/>
    </xf>
    <xf numFmtId="170" fontId="7" fillId="0" borderId="0" xfId="20" applyFont="true" applyBorder="true" applyAlignment="true" applyProtection="false">
      <alignment horizontal="center" vertical="bottom" textRotation="0" wrapText="false" indent="0" shrinkToFit="false"/>
      <protection locked="true" hidden="false"/>
    </xf>
    <xf numFmtId="169" fontId="8" fillId="0" borderId="7" xfId="20" applyFont="true" applyBorder="true" applyAlignment="true" applyProtection="false">
      <alignment horizontal="center" vertical="bottom" textRotation="0" wrapText="false" indent="0" shrinkToFit="false"/>
      <protection locked="true" hidden="false"/>
    </xf>
    <xf numFmtId="166" fontId="7" fillId="0" borderId="5" xfId="20" applyFont="true" applyBorder="true" applyAlignment="true" applyProtection="false">
      <alignment horizontal="center" vertical="bottom" textRotation="0" wrapText="false" indent="0" shrinkToFit="false"/>
      <protection locked="true" hidden="false"/>
    </xf>
    <xf numFmtId="168" fontId="7" fillId="0" borderId="0" xfId="20" applyFont="true" applyBorder="true" applyAlignment="true" applyProtection="false">
      <alignment horizontal="center" vertical="bottom" textRotation="0" wrapText="false" indent="0" shrinkToFit="false"/>
      <protection locked="true" hidden="false"/>
    </xf>
    <xf numFmtId="168" fontId="7" fillId="0" borderId="6" xfId="20" applyFont="true" applyBorder="true" applyAlignment="true" applyProtection="false">
      <alignment horizontal="center" vertical="bottom" textRotation="0" wrapText="false" indent="0" shrinkToFit="false"/>
      <protection locked="true" hidden="false"/>
    </xf>
    <xf numFmtId="164" fontId="11" fillId="0" borderId="0" xfId="20" applyFont="true" applyBorder="true" applyAlignment="true" applyProtection="false">
      <alignment horizontal="center" vertical="bottom" textRotation="0" wrapText="false" indent="0" shrinkToFit="false"/>
      <protection locked="true" hidden="false"/>
    </xf>
    <xf numFmtId="169" fontId="9" fillId="0" borderId="0" xfId="20" applyFont="true" applyBorder="true" applyAlignment="true" applyProtection="false">
      <alignment horizontal="center" vertical="bottom" textRotation="0" wrapText="false" indent="0" shrinkToFit="false"/>
      <protection locked="true" hidden="false"/>
    </xf>
    <xf numFmtId="169" fontId="7" fillId="0" borderId="8" xfId="20" applyFont="true" applyBorder="true" applyAlignment="true" applyProtection="false">
      <alignment horizontal="center" vertical="bottom" textRotation="0" wrapText="false" indent="0" shrinkToFit="false"/>
      <protection locked="true" hidden="false"/>
    </xf>
    <xf numFmtId="169" fontId="7" fillId="0" borderId="9" xfId="20" applyFont="true" applyBorder="true" applyAlignment="true" applyProtection="false">
      <alignment horizontal="center" vertical="bottom" textRotation="0" wrapText="false" indent="0" shrinkToFit="false"/>
      <protection locked="true" hidden="false"/>
    </xf>
    <xf numFmtId="166" fontId="7" fillId="0" borderId="5" xfId="20" applyFont="true" applyBorder="true" applyAlignment="false" applyProtection="false">
      <alignment horizontal="general" vertical="bottom" textRotation="0" wrapText="false" indent="0" shrinkToFit="false"/>
      <protection locked="true" hidden="false"/>
    </xf>
    <xf numFmtId="168" fontId="10" fillId="0" borderId="0" xfId="20" applyFont="true" applyBorder="true" applyAlignment="true" applyProtection="false">
      <alignment horizontal="center"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69" fontId="4" fillId="0" borderId="5" xfId="20" applyFont="true" applyBorder="true" applyAlignment="true" applyProtection="false">
      <alignment horizontal="center" vertical="bottom" textRotation="0" wrapText="false" indent="0" shrinkToFit="false"/>
      <protection locked="true" hidden="false"/>
    </xf>
    <xf numFmtId="165" fontId="4" fillId="0" borderId="0" xfId="20" applyFont="true" applyBorder="true" applyAlignment="true" applyProtection="false">
      <alignment horizontal="center" vertical="bottom" textRotation="0" wrapText="false" indent="0" shrinkToFit="false"/>
      <protection locked="true" hidden="false"/>
    </xf>
    <xf numFmtId="165" fontId="10" fillId="0" borderId="0" xfId="20" applyFont="true" applyBorder="true" applyAlignment="true" applyProtection="false">
      <alignment horizontal="center" vertical="bottom" textRotation="0" wrapText="false" indent="0" shrinkToFit="false"/>
      <protection locked="true" hidden="false"/>
    </xf>
    <xf numFmtId="169" fontId="4" fillId="0" borderId="6" xfId="20" applyFont="true" applyBorder="true" applyAlignment="true" applyProtection="false">
      <alignment horizontal="center" vertical="bottom" textRotation="0" wrapText="false" indent="0" shrinkToFit="false"/>
      <protection locked="true" hidden="false"/>
    </xf>
    <xf numFmtId="170" fontId="4" fillId="0" borderId="0" xfId="20" applyFont="true" applyBorder="true" applyAlignment="true" applyProtection="false">
      <alignment horizontal="center" vertical="bottom" textRotation="0" wrapText="false" indent="0" shrinkToFit="false"/>
      <protection locked="true" hidden="false"/>
    </xf>
    <xf numFmtId="169" fontId="4" fillId="0" borderId="8" xfId="20" applyFont="true" applyBorder="true" applyAlignment="true" applyProtection="false">
      <alignment horizontal="center" vertical="bottom" textRotation="0" wrapText="false" indent="0" shrinkToFit="false"/>
      <protection locked="true" hidden="false"/>
    </xf>
    <xf numFmtId="169" fontId="4" fillId="0" borderId="9" xfId="20" applyFont="true" applyBorder="true" applyAlignment="true" applyProtection="false">
      <alignment horizontal="center" vertical="bottom" textRotation="0" wrapText="false" indent="0" shrinkToFit="false"/>
      <protection locked="true" hidden="false"/>
    </xf>
    <xf numFmtId="166" fontId="4" fillId="0" borderId="5" xfId="20" applyFont="true" applyBorder="true" applyAlignment="false" applyProtection="false">
      <alignment horizontal="general" vertical="bottom" textRotation="0" wrapText="false" indent="0" shrinkToFit="false"/>
      <protection locked="true" hidden="false"/>
    </xf>
    <xf numFmtId="168" fontId="4" fillId="0" borderId="6" xfId="20" applyFont="true" applyBorder="true" applyAlignment="true" applyProtection="false">
      <alignment horizontal="center" vertical="bottom" textRotation="0" wrapText="false" indent="0" shrinkToFit="false"/>
      <protection locked="true" hidden="false"/>
    </xf>
    <xf numFmtId="169" fontId="4" fillId="0" borderId="5" xfId="20" applyFont="true" applyBorder="true" applyAlignment="false" applyProtection="false">
      <alignment horizontal="general" vertical="bottom" textRotation="0" wrapText="false" indent="0" shrinkToFit="false"/>
      <protection locked="true" hidden="false"/>
    </xf>
    <xf numFmtId="165" fontId="4" fillId="0" borderId="6" xfId="20" applyFont="true" applyBorder="true" applyAlignment="false" applyProtection="false">
      <alignment horizontal="general" vertical="bottom" textRotation="0" wrapText="false" indent="0" shrinkToFit="false"/>
      <protection locked="true" hidden="false"/>
    </xf>
    <xf numFmtId="165" fontId="4" fillId="0" borderId="8" xfId="20" applyFont="true" applyBorder="true" applyAlignment="false" applyProtection="false">
      <alignment horizontal="general" vertical="bottom" textRotation="0" wrapText="false" indent="0" shrinkToFit="false"/>
      <protection locked="true" hidden="false"/>
    </xf>
    <xf numFmtId="165" fontId="4" fillId="0" borderId="9" xfId="20" applyFont="true" applyBorder="true" applyAlignment="false" applyProtection="false">
      <alignment horizontal="general" vertical="bottom" textRotation="0" wrapText="false" indent="0" shrinkToFit="false"/>
      <protection locked="true" hidden="false"/>
    </xf>
    <xf numFmtId="168" fontId="4" fillId="0" borderId="6" xfId="20" applyFont="true" applyBorder="true" applyAlignment="false" applyProtection="false">
      <alignment horizontal="general" vertical="bottom" textRotation="0" wrapText="false" indent="0" shrinkToFit="false"/>
      <protection locked="true" hidden="false"/>
    </xf>
    <xf numFmtId="174" fontId="4" fillId="0" borderId="5" xfId="20" applyFont="true" applyBorder="true" applyAlignment="false" applyProtection="false">
      <alignment horizontal="general" vertical="bottom" textRotation="0" wrapText="false" indent="0" shrinkToFit="false"/>
      <protection locked="true" hidden="false"/>
    </xf>
    <xf numFmtId="169" fontId="4" fillId="2" borderId="10" xfId="20" applyFont="true" applyBorder="true" applyAlignment="false" applyProtection="false">
      <alignment horizontal="general" vertical="bottom" textRotation="0" wrapText="false" indent="0" shrinkToFit="false"/>
      <protection locked="true" hidden="false"/>
    </xf>
    <xf numFmtId="174" fontId="4" fillId="2" borderId="11" xfId="20" applyFont="true" applyBorder="true" applyAlignment="false" applyProtection="false">
      <alignment horizontal="general" vertical="bottom" textRotation="0" wrapText="false" indent="0" shrinkToFit="false"/>
      <protection locked="true" hidden="false"/>
    </xf>
    <xf numFmtId="165" fontId="4" fillId="2" borderId="10" xfId="20" applyFont="true" applyBorder="true" applyAlignment="false" applyProtection="false">
      <alignment horizontal="general" vertical="bottom" textRotation="0" wrapText="false" indent="0" shrinkToFit="false"/>
      <protection locked="true" hidden="false"/>
    </xf>
    <xf numFmtId="169" fontId="4" fillId="2" borderId="12" xfId="20" applyFont="true" applyBorder="true" applyAlignment="false" applyProtection="false">
      <alignment horizontal="general" vertical="bottom" textRotation="0" wrapText="false" indent="0" shrinkToFit="false"/>
      <protection locked="true" hidden="false"/>
    </xf>
    <xf numFmtId="170" fontId="4" fillId="2" borderId="10" xfId="20" applyFont="true" applyBorder="true" applyAlignment="false" applyProtection="false">
      <alignment horizontal="general" vertical="bottom" textRotation="0" wrapText="false" indent="0" shrinkToFit="false"/>
      <protection locked="true" hidden="false"/>
    </xf>
    <xf numFmtId="169" fontId="4" fillId="2" borderId="13" xfId="20" applyFont="true" applyBorder="true" applyAlignment="false" applyProtection="false">
      <alignment horizontal="general" vertical="bottom" textRotation="0" wrapText="false" indent="0" shrinkToFit="false"/>
      <protection locked="true" hidden="false"/>
    </xf>
    <xf numFmtId="169" fontId="4" fillId="2" borderId="14" xfId="20" applyFont="true" applyBorder="true" applyAlignment="false" applyProtection="false">
      <alignment horizontal="general" vertical="bottom" textRotation="0" wrapText="false" indent="0" shrinkToFit="false"/>
      <protection locked="true" hidden="false"/>
    </xf>
    <xf numFmtId="166" fontId="4" fillId="2" borderId="11" xfId="20" applyFont="true" applyBorder="true" applyAlignment="false" applyProtection="false">
      <alignment horizontal="general" vertical="bottom" textRotation="0" wrapText="false" indent="0" shrinkToFit="false"/>
      <protection locked="true" hidden="false"/>
    </xf>
    <xf numFmtId="168" fontId="4" fillId="2" borderId="10" xfId="20" applyFont="true" applyBorder="true" applyAlignment="false" applyProtection="false">
      <alignment horizontal="general" vertical="bottom" textRotation="0" wrapText="false" indent="0" shrinkToFit="false"/>
      <protection locked="true" hidden="false"/>
    </xf>
    <xf numFmtId="168" fontId="4" fillId="2" borderId="12" xfId="20" applyFont="true" applyBorder="true" applyAlignment="false" applyProtection="false">
      <alignment horizontal="general" vertical="bottom" textRotation="0" wrapText="false" indent="0" shrinkToFit="false"/>
      <protection locked="true" hidden="false"/>
    </xf>
    <xf numFmtId="168" fontId="4" fillId="2" borderId="10" xfId="20" applyFont="true" applyBorder="true" applyAlignment="true" applyProtection="false">
      <alignment horizontal="center" vertical="bottom" textRotation="0" wrapText="false" indent="0" shrinkToFit="false"/>
      <protection locked="true" hidden="false"/>
    </xf>
    <xf numFmtId="169" fontId="4" fillId="0" borderId="6"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9" fontId="4" fillId="0" borderId="8"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4" fillId="0" borderId="6" xfId="20" applyFont="true" applyBorder="true" applyAlignment="false" applyProtection="false">
      <alignment horizontal="general" vertical="bottom" textRotation="0" wrapText="false" indent="0" shrinkToFit="false"/>
      <protection locked="true" hidden="false"/>
    </xf>
    <xf numFmtId="169" fontId="4" fillId="2" borderId="11" xfId="20" applyFont="true" applyBorder="true" applyAlignment="false" applyProtection="false">
      <alignment horizontal="general" vertical="bottom" textRotation="0" wrapText="false" indent="0" shrinkToFit="false"/>
      <protection locked="true" hidden="false"/>
    </xf>
    <xf numFmtId="165" fontId="4" fillId="2" borderId="12" xfId="20" applyFont="true" applyBorder="true" applyAlignment="false" applyProtection="false">
      <alignment horizontal="general" vertical="bottom" textRotation="0" wrapText="false" indent="0" shrinkToFit="false"/>
      <protection locked="true" hidden="false"/>
    </xf>
    <xf numFmtId="165" fontId="4" fillId="2" borderId="13" xfId="20" applyFont="true" applyBorder="true" applyAlignment="false" applyProtection="false">
      <alignment horizontal="general" vertical="bottom" textRotation="0" wrapText="false" indent="0" shrinkToFit="false"/>
      <protection locked="true" hidden="false"/>
    </xf>
    <xf numFmtId="165" fontId="4" fillId="2" borderId="14" xfId="20" applyFont="true" applyBorder="true" applyAlignment="false" applyProtection="false">
      <alignment horizontal="general" vertical="bottom" textRotation="0" wrapText="false" indent="0" shrinkToFit="false"/>
      <protection locked="true" hidden="false"/>
    </xf>
    <xf numFmtId="165" fontId="4" fillId="2" borderId="11" xfId="20" applyFont="true" applyBorder="true" applyAlignment="false" applyProtection="false">
      <alignment horizontal="general" vertical="bottom" textRotation="0" wrapText="false" indent="0" shrinkToFit="false"/>
      <protection locked="true" hidden="false"/>
    </xf>
    <xf numFmtId="166" fontId="4" fillId="2" borderId="10" xfId="20" applyFont="true" applyBorder="true" applyAlignment="false" applyProtection="false">
      <alignment horizontal="general" vertical="bottom" textRotation="0" wrapText="false" indent="0" shrinkToFit="false"/>
      <protection locked="true" hidden="false"/>
    </xf>
    <xf numFmtId="166" fontId="4" fillId="2" borderId="12" xfId="20" applyFont="true" applyBorder="true" applyAlignment="false" applyProtection="false">
      <alignment horizontal="general" vertical="bottom" textRotation="0" wrapText="false" indent="0" shrinkToFit="false"/>
      <protection locked="true" hidden="false"/>
    </xf>
    <xf numFmtId="175" fontId="4" fillId="0" borderId="0" xfId="20" applyFont="true" applyBorder="true" applyAlignment="false" applyProtection="false">
      <alignment horizontal="general" vertical="bottom" textRotation="0" wrapText="false" indent="0" shrinkToFit="false"/>
      <protection locked="true" hidden="false"/>
    </xf>
    <xf numFmtId="174" fontId="4" fillId="0" borderId="0" xfId="20" applyFont="true" applyBorder="true" applyAlignment="false" applyProtection="false">
      <alignment horizontal="general" vertical="bottom" textRotation="0" wrapText="false" indent="0" shrinkToFit="false"/>
      <protection locked="true" hidden="false"/>
    </xf>
    <xf numFmtId="176" fontId="4" fillId="0" borderId="0" xfId="20" applyFont="true" applyBorder="true" applyAlignment="false" applyProtection="false">
      <alignment horizontal="general" vertical="bottom" textRotation="0" wrapText="false" indent="0" shrinkToFit="false"/>
      <protection locked="true" hidden="false"/>
    </xf>
    <xf numFmtId="177" fontId="0" fillId="0" borderId="0" xfId="20" applyFont="false" applyBorder="true" applyAlignment="false" applyProtection="false">
      <alignment horizontal="general" vertical="bottom" textRotation="0" wrapText="false" indent="0" shrinkToFit="false"/>
      <protection locked="true" hidden="false"/>
    </xf>
    <xf numFmtId="177" fontId="4" fillId="0" borderId="0" xfId="20" applyFont="true" applyBorder="true" applyAlignment="false" applyProtection="false">
      <alignment horizontal="general" vertical="bottom" textRotation="0" wrapText="false" indent="0" shrinkToFit="false"/>
      <protection locked="true" hidden="false"/>
    </xf>
    <xf numFmtId="169" fontId="13" fillId="0" borderId="0" xfId="20" applyFont="true" applyBorder="true" applyAlignment="false" applyProtection="false">
      <alignment horizontal="general" vertical="bottom" textRotation="0" wrapText="false" indent="0" shrinkToFit="false"/>
      <protection locked="true" hidden="false"/>
    </xf>
    <xf numFmtId="177" fontId="4" fillId="0" borderId="1" xfId="20" applyFont="true" applyBorder="true" applyAlignment="false" applyProtection="false">
      <alignment horizontal="general" vertical="bottom" textRotation="0" wrapText="false" indent="0" shrinkToFit="false"/>
      <protection locked="true" hidden="false"/>
    </xf>
    <xf numFmtId="169" fontId="13" fillId="0" borderId="1" xfId="20" applyFont="true" applyBorder="true" applyAlignment="false" applyProtection="false">
      <alignment horizontal="general" vertical="bottom" textRotation="0" wrapText="false" indent="0" shrinkToFit="false"/>
      <protection locked="true" hidden="false"/>
    </xf>
    <xf numFmtId="173" fontId="6" fillId="0" borderId="3" xfId="20" applyFont="true" applyBorder="true" applyAlignment="true" applyProtection="false">
      <alignment horizontal="center" vertical="bottom" textRotation="0" wrapText="false" indent="0" shrinkToFit="false"/>
      <protection locked="true" hidden="false"/>
    </xf>
    <xf numFmtId="166" fontId="7" fillId="0" borderId="0" xfId="20" applyFont="true" applyBorder="true" applyAlignment="true" applyProtection="false">
      <alignment horizontal="center" vertical="bottom" textRotation="0" wrapText="false" indent="0" shrinkToFit="false"/>
      <protection locked="true" hidden="false"/>
    </xf>
    <xf numFmtId="177" fontId="8" fillId="0" borderId="7" xfId="20" applyFont="true" applyBorder="true" applyAlignment="true" applyProtection="false">
      <alignment horizontal="center" vertical="bottom" textRotation="0" wrapText="false" indent="0" shrinkToFit="false"/>
      <protection locked="true" hidden="false"/>
    </xf>
    <xf numFmtId="169" fontId="13" fillId="0" borderId="0" xfId="20" applyFont="true" applyBorder="true" applyAlignment="true" applyProtection="false">
      <alignment horizontal="center" vertical="bottom" textRotation="0" wrapText="false" indent="0" shrinkToFit="false"/>
      <protection locked="true" hidden="false"/>
    </xf>
    <xf numFmtId="177" fontId="7" fillId="0" borderId="8" xfId="20" applyFont="true" applyBorder="true" applyAlignment="true" applyProtection="false">
      <alignment horizontal="center" vertical="bottom" textRotation="0" wrapText="false" indent="0" shrinkToFit="false"/>
      <protection locked="true" hidden="false"/>
    </xf>
    <xf numFmtId="166" fontId="4" fillId="0" borderId="0" xfId="20" applyFont="true" applyBorder="true" applyAlignment="true" applyProtection="false">
      <alignment horizontal="center" vertical="bottom" textRotation="0" wrapText="false" indent="0" shrinkToFit="false"/>
      <protection locked="true" hidden="false"/>
    </xf>
    <xf numFmtId="177" fontId="4" fillId="0" borderId="8" xfId="20" applyFont="true" applyBorder="true" applyAlignment="true" applyProtection="false">
      <alignment horizontal="center" vertical="bottom" textRotation="0" wrapText="false" indent="0" shrinkToFit="false"/>
      <protection locked="true" hidden="false"/>
    </xf>
    <xf numFmtId="169" fontId="14" fillId="0" borderId="0" xfId="20" applyFont="true" applyBorder="true" applyAlignment="true" applyProtection="false">
      <alignment horizontal="center" vertical="bottom" textRotation="0" wrapText="false" indent="0" shrinkToFit="false"/>
      <protection locked="true" hidden="false"/>
    </xf>
    <xf numFmtId="169" fontId="15" fillId="0" borderId="0" xfId="20" applyFont="true" applyBorder="true" applyAlignment="false" applyProtection="false">
      <alignment horizontal="general" vertical="bottom" textRotation="0" wrapText="false" indent="0" shrinkToFit="false"/>
      <protection locked="true" hidden="false"/>
    </xf>
    <xf numFmtId="177" fontId="4" fillId="0" borderId="8" xfId="20" applyFont="true" applyBorder="true" applyAlignment="false" applyProtection="false">
      <alignment horizontal="general" vertical="bottom" textRotation="0" wrapText="false" indent="0" shrinkToFit="false"/>
      <protection locked="true" hidden="false"/>
    </xf>
    <xf numFmtId="164" fontId="15" fillId="0" borderId="0" xfId="20" applyFont="true" applyBorder="true" applyAlignment="false" applyProtection="false">
      <alignment horizontal="general" vertical="bottom" textRotation="0" wrapText="false" indent="0" shrinkToFit="false"/>
      <protection locked="true" hidden="false"/>
    </xf>
    <xf numFmtId="165" fontId="15" fillId="0" borderId="0" xfId="20" applyFont="true" applyBorder="true" applyAlignment="false" applyProtection="false">
      <alignment horizontal="general" vertical="bottom" textRotation="0" wrapText="false" indent="0" shrinkToFit="false"/>
      <protection locked="true" hidden="false"/>
    </xf>
    <xf numFmtId="177" fontId="4" fillId="2" borderId="13" xfId="2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77" fontId="4" fillId="0" borderId="8" xfId="20" applyFont="true" applyBorder="true" applyAlignment="false" applyProtection="false">
      <alignment horizontal="general" vertical="bottom" textRotation="0" wrapText="false" indent="0" shrinkToFit="false"/>
      <protection locked="true" hidden="false"/>
    </xf>
    <xf numFmtId="164" fontId="13" fillId="0" borderId="0" xfId="20" applyFont="true" applyBorder="true" applyAlignment="false" applyProtection="false">
      <alignment horizontal="general" vertical="bottom" textRotation="0" wrapText="false" indent="0" shrinkToFit="false"/>
      <protection locked="true" hidden="false"/>
    </xf>
    <xf numFmtId="167" fontId="13" fillId="0" borderId="0" xfId="20" applyFont="true" applyBorder="true" applyAlignment="false" applyProtection="false">
      <alignment horizontal="general" vertical="bottom" textRotation="0" wrapText="false" indent="0" shrinkToFit="false"/>
      <protection locked="true" hidden="false"/>
    </xf>
    <xf numFmtId="167" fontId="13" fillId="0" borderId="1" xfId="20" applyFont="true" applyBorder="true" applyAlignment="false" applyProtection="false">
      <alignment horizontal="general" vertical="bottom" textRotation="0" wrapText="false" indent="0" shrinkToFit="false"/>
      <protection locked="true" hidden="false"/>
    </xf>
    <xf numFmtId="177" fontId="7" fillId="0" borderId="0" xfId="20" applyFont="true" applyBorder="true" applyAlignment="true" applyProtection="false">
      <alignment horizontal="center" vertical="bottom" textRotation="0" wrapText="false" indent="0" shrinkToFit="false"/>
      <protection locked="true" hidden="false"/>
    </xf>
    <xf numFmtId="167" fontId="7" fillId="0" borderId="0" xfId="20" applyFont="true" applyBorder="true" applyAlignment="true" applyProtection="false">
      <alignment horizontal="center" vertical="bottom" textRotation="0" wrapText="false" indent="0" shrinkToFit="false"/>
      <protection locked="true" hidden="false"/>
    </xf>
    <xf numFmtId="171" fontId="7" fillId="0" borderId="9" xfId="20" applyFont="true" applyBorder="true" applyAlignment="true" applyProtection="false">
      <alignment horizontal="center" vertical="bottom" textRotation="0" wrapText="false" indent="0" shrinkToFit="false"/>
      <protection locked="true" hidden="false"/>
    </xf>
    <xf numFmtId="167" fontId="10" fillId="0" borderId="0" xfId="20" applyFont="true" applyBorder="true" applyAlignment="true" applyProtection="false">
      <alignment horizontal="center" vertical="bottom" textRotation="0" wrapText="false" indent="0" shrinkToFit="false"/>
      <protection locked="true" hidden="false"/>
    </xf>
    <xf numFmtId="177" fontId="4" fillId="0" borderId="0" xfId="20" applyFont="true" applyBorder="true" applyAlignment="true" applyProtection="false">
      <alignment horizontal="center" vertical="bottom" textRotation="0" wrapText="false" indent="0" shrinkToFit="false"/>
      <protection locked="true" hidden="false"/>
    </xf>
    <xf numFmtId="171" fontId="4" fillId="0" borderId="9" xfId="20" applyFont="true" applyBorder="true" applyAlignment="true" applyProtection="false">
      <alignment horizontal="center" vertical="bottom" textRotation="0" wrapText="false" indent="0" shrinkToFit="false"/>
      <protection locked="true" hidden="false"/>
    </xf>
    <xf numFmtId="167" fontId="4" fillId="0" borderId="0" xfId="20" applyFont="true" applyBorder="true" applyAlignment="true" applyProtection="false">
      <alignment horizontal="center" vertical="bottom" textRotation="0" wrapText="false" indent="0" shrinkToFit="false"/>
      <protection locked="true" hidden="false"/>
    </xf>
    <xf numFmtId="171" fontId="4" fillId="0" borderId="9" xfId="20" applyFont="true" applyBorder="true" applyAlignment="false" applyProtection="false">
      <alignment horizontal="general" vertical="bottom" textRotation="0" wrapText="false" indent="0" shrinkToFit="false"/>
      <protection locked="true" hidden="false"/>
    </xf>
    <xf numFmtId="177" fontId="4" fillId="2" borderId="10" xfId="20" applyFont="true" applyBorder="true" applyAlignment="false" applyProtection="false">
      <alignment horizontal="general" vertical="bottom" textRotation="0" wrapText="false" indent="0" shrinkToFit="false"/>
      <protection locked="true" hidden="false"/>
    </xf>
    <xf numFmtId="171" fontId="4" fillId="2" borderId="14" xfId="20" applyFont="true" applyBorder="true" applyAlignment="false" applyProtection="false">
      <alignment horizontal="general" vertical="bottom" textRotation="0" wrapText="false" indent="0" shrinkToFit="false"/>
      <protection locked="true" hidden="false"/>
    </xf>
    <xf numFmtId="167" fontId="4" fillId="2" borderId="10" xfId="20" applyFont="true" applyBorder="true" applyAlignment="true" applyProtection="false">
      <alignment horizontal="center" vertical="bottom" textRotation="0" wrapText="false" indent="0" shrinkToFit="false"/>
      <protection locked="true" hidden="false"/>
    </xf>
    <xf numFmtId="177" fontId="4" fillId="0" borderId="0" xfId="20" applyFont="true" applyBorder="true" applyAlignment="false" applyProtection="false">
      <alignment horizontal="general" vertical="bottom" textRotation="0" wrapText="false" indent="0" shrinkToFit="false"/>
      <protection locked="true" hidden="false"/>
    </xf>
    <xf numFmtId="171" fontId="4" fillId="0" borderId="9" xfId="0" applyFont="true" applyBorder="true" applyAlignment="false" applyProtection="false">
      <alignment horizontal="general" vertical="bottom" textRotation="0" wrapText="false" indent="0" shrinkToFit="false"/>
      <protection locked="true" hidden="false"/>
    </xf>
    <xf numFmtId="166" fontId="4" fillId="0" borderId="5" xfId="20" applyFont="true" applyBorder="tru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7" fontId="4" fillId="2" borderId="10" xfId="20" applyFont="true" applyBorder="tru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20" applyFont="false" applyBorder="true" applyAlignment="true" applyProtection="false">
      <alignment horizontal="center" vertical="bottom" textRotation="0" wrapText="false" indent="0" shrinkToFit="false"/>
      <protection locked="true" hidden="false"/>
    </xf>
    <xf numFmtId="169" fontId="7" fillId="3" borderId="5" xfId="20" applyFont="true" applyBorder="true" applyAlignment="true" applyProtection="false">
      <alignment horizontal="center" vertical="bottom" textRotation="0" wrapText="false" indent="0" shrinkToFit="false"/>
      <protection locked="true" hidden="false"/>
    </xf>
    <xf numFmtId="165" fontId="7" fillId="3" borderId="0" xfId="20" applyFont="true" applyBorder="true" applyAlignment="true" applyProtection="false">
      <alignment horizontal="center" vertical="bottom" textRotation="0" wrapText="false" indent="0" shrinkToFit="false"/>
      <protection locked="true" hidden="false"/>
    </xf>
    <xf numFmtId="169" fontId="7" fillId="3" borderId="0" xfId="20" applyFont="true" applyBorder="true" applyAlignment="true" applyProtection="false">
      <alignment horizontal="center" vertical="bottom" textRotation="0" wrapText="false" indent="0" shrinkToFit="false"/>
      <protection locked="true" hidden="false"/>
    </xf>
    <xf numFmtId="169" fontId="4" fillId="4" borderId="0" xfId="20" applyFont="true" applyBorder="true" applyAlignment="false" applyProtection="false">
      <alignment horizontal="general" vertical="bottom" textRotation="0" wrapText="false" indent="0" shrinkToFit="false"/>
      <protection locked="true" hidden="false"/>
    </xf>
    <xf numFmtId="165" fontId="4" fillId="4" borderId="0" xfId="2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4" fillId="0" borderId="0"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left" vertical="bottom" textRotation="0" wrapText="false" indent="0" shrinkToFit="false"/>
      <protection locked="true" hidden="false"/>
    </xf>
    <xf numFmtId="169" fontId="1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73" fontId="17" fillId="0" borderId="3" xfId="0" applyFont="true" applyBorder="true" applyAlignment="true" applyProtection="false">
      <alignment horizontal="center" vertical="bottom" textRotation="0" wrapText="false" indent="0" shrinkToFit="false"/>
      <protection locked="true" hidden="false"/>
    </xf>
    <xf numFmtId="169" fontId="4" fillId="0" borderId="3" xfId="0" applyFont="true" applyBorder="true" applyAlignment="false" applyProtection="false">
      <alignment horizontal="general" vertical="bottom" textRotation="0" wrapText="false" indent="0" shrinkToFit="false"/>
      <protection locked="true" hidden="false"/>
    </xf>
    <xf numFmtId="170" fontId="4" fillId="0" borderId="3" xfId="0" applyFont="true" applyBorder="true" applyAlignment="false" applyProtection="false">
      <alignment horizontal="general" vertical="bottom" textRotation="0" wrapText="false" indent="0" shrinkToFit="false"/>
      <protection locked="true" hidden="false"/>
    </xf>
    <xf numFmtId="169" fontId="18" fillId="0" borderId="3" xfId="0" applyFont="true" applyBorder="true" applyAlignment="false" applyProtection="false">
      <alignment horizontal="general" vertical="bottom" textRotation="0" wrapText="false" indent="0" shrinkToFit="false"/>
      <protection locked="true" hidden="false"/>
    </xf>
    <xf numFmtId="165" fontId="17" fillId="0" borderId="3" xfId="0" applyFont="true" applyBorder="true" applyAlignment="true" applyProtection="false">
      <alignment horizontal="right" vertical="bottom" textRotation="0" wrapText="false" indent="0" shrinkToFit="false"/>
      <protection locked="true" hidden="false"/>
    </xf>
    <xf numFmtId="167" fontId="4" fillId="0" borderId="3" xfId="0" applyFont="true" applyBorder="true" applyAlignment="false" applyProtection="false">
      <alignment horizontal="general" vertical="bottom" textRotation="0" wrapText="false" indent="0" shrinkToFit="false"/>
      <protection locked="true" hidden="false"/>
    </xf>
    <xf numFmtId="171" fontId="4" fillId="0" borderId="3" xfId="0" applyFont="true" applyBorder="true" applyAlignment="false" applyProtection="false">
      <alignment horizontal="general" vertical="bottom" textRotation="0" wrapText="false" indent="0" shrinkToFit="false"/>
      <protection locked="true" hidden="false"/>
    </xf>
    <xf numFmtId="168" fontId="17" fillId="0" borderId="3" xfId="0" applyFont="true" applyBorder="true" applyAlignment="true" applyProtection="false">
      <alignment horizontal="center" vertical="bottom" textRotation="0" wrapText="false" indent="0" shrinkToFit="false"/>
      <protection locked="true" hidden="false"/>
    </xf>
    <xf numFmtId="167" fontId="4" fillId="0" borderId="3" xfId="0" applyFont="true" applyBorder="true" applyAlignment="true" applyProtection="false">
      <alignment horizontal="center" vertical="bottom" textRotation="0" wrapText="false" indent="0" shrinkToFit="false"/>
      <protection locked="true" hidden="false"/>
    </xf>
    <xf numFmtId="171" fontId="13" fillId="0" borderId="3" xfId="0" applyFont="true" applyBorder="true" applyAlignment="false" applyProtection="false">
      <alignment horizontal="general" vertical="bottom" textRotation="0" wrapText="false" indent="0" shrinkToFit="false"/>
      <protection locked="true" hidden="false"/>
    </xf>
    <xf numFmtId="171" fontId="0" fillId="0" borderId="3" xfId="0" applyFont="false" applyBorder="true" applyAlignment="true" applyProtection="false">
      <alignment horizontal="center" vertical="bottom" textRotation="0" wrapText="false" indent="0" shrinkToFit="false"/>
      <protection locked="true" hidden="false"/>
    </xf>
    <xf numFmtId="169" fontId="7" fillId="3" borderId="0" xfId="0" applyFont="true" applyBorder="false" applyAlignment="true" applyProtection="false">
      <alignment horizontal="center" vertical="bottom" textRotation="0" wrapText="false" indent="0" shrinkToFit="false"/>
      <protection locked="true" hidden="false"/>
    </xf>
    <xf numFmtId="170" fontId="7" fillId="3" borderId="0" xfId="0" applyFont="true" applyBorder="false" applyAlignment="true" applyProtection="false">
      <alignment horizontal="center" vertical="bottom" textRotation="0" wrapText="false" indent="0" shrinkToFit="false"/>
      <protection locked="true" hidden="false"/>
    </xf>
    <xf numFmtId="169" fontId="10"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69" fontId="7" fillId="0" borderId="9" xfId="0" applyFont="true" applyBorder="true" applyAlignment="true" applyProtection="false">
      <alignment horizontal="center" vertical="bottom" textRotation="0" wrapText="false" indent="0" shrinkToFit="false"/>
      <protection locked="true" hidden="false"/>
    </xf>
    <xf numFmtId="167" fontId="10" fillId="0" borderId="0" xfId="0" applyFont="true" applyBorder="false" applyAlignment="true" applyProtection="false">
      <alignment horizontal="center" vertical="bottom" textRotation="0" wrapText="false" indent="0" shrinkToFit="false"/>
      <protection locked="true" hidden="false"/>
    </xf>
    <xf numFmtId="167" fontId="4" fillId="2" borderId="10" xfId="0" applyFont="true" applyBorder="true" applyAlignment="false" applyProtection="false">
      <alignment horizontal="general" vertical="bottom" textRotation="0" wrapText="false" indent="0" shrinkToFit="false"/>
      <protection locked="true" hidden="false"/>
    </xf>
    <xf numFmtId="171" fontId="4" fillId="2" borderId="10" xfId="0" applyFont="true" applyBorder="true" applyAlignment="false" applyProtection="false">
      <alignment horizontal="general" vertical="bottom" textRotation="0" wrapText="false" indent="0" shrinkToFit="false"/>
      <protection locked="true" hidden="false"/>
    </xf>
    <xf numFmtId="171" fontId="4" fillId="2" borderId="10" xfId="0" applyFont="true" applyBorder="true" applyAlignment="true" applyProtection="false">
      <alignment horizontal="center" vertical="bottom" textRotation="0" wrapText="false" indent="0" shrinkToFit="false"/>
      <protection locked="true" hidden="false"/>
    </xf>
    <xf numFmtId="169" fontId="4" fillId="0" borderId="0" xfId="15" applyFont="true" applyBorder="true" applyAlignment="true" applyProtection="true">
      <alignment horizontal="general" vertical="bottom" textRotation="0" wrapText="false" indent="0" shrinkToFit="false"/>
      <protection locked="true" hidden="false"/>
    </xf>
    <xf numFmtId="169" fontId="4" fillId="4" borderId="0" xfId="0" applyFont="true" applyBorder="false" applyAlignment="false" applyProtection="false">
      <alignment horizontal="general" vertical="bottom" textRotation="0" wrapText="false" indent="0" shrinkToFit="false"/>
      <protection locked="true" hidden="false"/>
    </xf>
    <xf numFmtId="165" fontId="4" fillId="4"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true" applyProtection="false">
      <alignment horizontal="center" vertical="bottom" textRotation="0" wrapText="false" indent="0" shrinkToFit="false"/>
      <protection locked="true" hidden="false"/>
    </xf>
    <xf numFmtId="171" fontId="19" fillId="0" borderId="0" xfId="0" applyFont="true" applyBorder="false" applyAlignment="true" applyProtection="false">
      <alignment horizontal="center" vertical="bottom" textRotation="0" wrapText="false" indent="0" shrinkToFit="false"/>
      <protection locked="true" hidden="false"/>
    </xf>
    <xf numFmtId="165" fontId="4" fillId="2" borderId="11" xfId="0" applyFont="true" applyBorder="true" applyAlignment="false" applyProtection="false">
      <alignment horizontal="general" vertical="bottom" textRotation="0" wrapText="false" indent="0" shrinkToFit="false"/>
      <protection locked="true" hidden="false"/>
    </xf>
    <xf numFmtId="167" fontId="4" fillId="2" borderId="10" xfId="0" applyFont="true" applyBorder="true" applyAlignment="true" applyProtection="false">
      <alignment horizontal="center" vertical="bottom" textRotation="0" wrapText="false" indent="0" shrinkToFit="false"/>
      <protection locked="true" hidden="false"/>
    </xf>
    <xf numFmtId="171" fontId="19" fillId="2" borderId="10" xfId="0" applyFont="true" applyBorder="true" applyAlignment="false" applyProtection="false">
      <alignment horizontal="general" vertical="bottom" textRotation="0" wrapText="false" indent="0" shrinkToFit="false"/>
      <protection locked="true" hidden="false"/>
    </xf>
    <xf numFmtId="166" fontId="4" fillId="2" borderId="10" xfId="0" applyFont="true" applyBorder="true" applyAlignment="false" applyProtection="false">
      <alignment horizontal="general" vertical="bottom" textRotation="0" wrapText="false" indent="0" shrinkToFit="false"/>
      <protection locked="true" hidden="false"/>
    </xf>
    <xf numFmtId="166" fontId="4" fillId="2" borderId="12"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1" fontId="0" fillId="0" borderId="0" xfId="20" applyFont="false" applyBorder="true" applyAlignment="true" applyProtection="false">
      <alignment horizontal="center" vertical="bottom" textRotation="0" wrapText="false" indent="0" shrinkToFit="false"/>
      <protection locked="true" hidden="false"/>
    </xf>
    <xf numFmtId="173" fontId="4" fillId="0" borderId="0" xfId="20" applyFont="true" applyBorder="true" applyAlignment="false" applyProtection="false">
      <alignment horizontal="general" vertical="bottom" textRotation="0" wrapText="false" indent="0" shrinkToFit="false"/>
      <protection locked="true" hidden="false"/>
    </xf>
    <xf numFmtId="169" fontId="4" fillId="0" borderId="3" xfId="20" applyFont="true" applyBorder="true" applyAlignment="false" applyProtection="false">
      <alignment horizontal="general" vertical="bottom" textRotation="0" wrapText="false" indent="0" shrinkToFit="false"/>
      <protection locked="true" hidden="false"/>
    </xf>
    <xf numFmtId="171" fontId="4" fillId="0" borderId="3" xfId="20" applyFont="true" applyBorder="true" applyAlignment="false" applyProtection="false">
      <alignment horizontal="general" vertical="bottom" textRotation="0" wrapText="false" indent="0" shrinkToFit="false"/>
      <protection locked="true" hidden="false"/>
    </xf>
    <xf numFmtId="169" fontId="6" fillId="0" borderId="3" xfId="20" applyFont="true" applyBorder="true" applyAlignment="false" applyProtection="false">
      <alignment horizontal="general" vertical="bottom" textRotation="0" wrapText="false" indent="0" shrinkToFit="false"/>
      <protection locked="true" hidden="false"/>
    </xf>
    <xf numFmtId="169" fontId="13" fillId="0" borderId="3" xfId="20" applyFont="true" applyBorder="true" applyAlignment="false" applyProtection="false">
      <alignment horizontal="general" vertical="bottom" textRotation="0" wrapText="false" indent="0" shrinkToFit="false"/>
      <protection locked="true" hidden="false"/>
    </xf>
    <xf numFmtId="171" fontId="0" fillId="0" borderId="3" xfId="20" applyFont="false" applyBorder="true" applyAlignment="true" applyProtection="false">
      <alignment horizontal="center" vertical="bottom" textRotation="0" wrapText="false" indent="0" shrinkToFit="false"/>
      <protection locked="true" hidden="false"/>
    </xf>
    <xf numFmtId="171" fontId="7" fillId="3" borderId="0" xfId="20" applyFont="true" applyBorder="true" applyAlignment="true" applyProtection="false">
      <alignment horizontal="center" vertical="bottom" textRotation="0" wrapText="false" indent="0" shrinkToFit="false"/>
      <protection locked="true" hidden="false"/>
    </xf>
    <xf numFmtId="171" fontId="13" fillId="0" borderId="0" xfId="20" applyFont="true" applyBorder="true" applyAlignment="true" applyProtection="false">
      <alignment horizontal="center" vertical="bottom" textRotation="0" wrapText="false" indent="0" shrinkToFit="false"/>
      <protection locked="true" hidden="false"/>
    </xf>
    <xf numFmtId="171" fontId="4" fillId="0" borderId="0" xfId="20" applyFont="true" applyBorder="true" applyAlignment="true" applyProtection="false">
      <alignment horizontal="center" vertical="bottom" textRotation="0" wrapText="false" indent="0" shrinkToFit="false"/>
      <protection locked="true" hidden="false"/>
    </xf>
    <xf numFmtId="169" fontId="14" fillId="0" borderId="0" xfId="20" applyFont="true" applyBorder="true" applyAlignment="false" applyProtection="false">
      <alignment horizontal="general" vertical="bottom" textRotation="0" wrapText="false" indent="0" shrinkToFit="false"/>
      <protection locked="true" hidden="false"/>
    </xf>
    <xf numFmtId="171" fontId="14" fillId="0" borderId="0" xfId="20" applyFont="true" applyBorder="true" applyAlignment="true" applyProtection="false">
      <alignment horizontal="center" vertical="bottom" textRotation="0" wrapText="false" indent="0" shrinkToFit="false"/>
      <protection locked="true" hidden="false"/>
    </xf>
    <xf numFmtId="171" fontId="15" fillId="0" borderId="0" xfId="20" applyFont="true" applyBorder="true" applyAlignment="true" applyProtection="false">
      <alignment horizontal="center" vertical="bottom" textRotation="0" wrapText="false" indent="0" shrinkToFit="false"/>
      <protection locked="true" hidden="false"/>
    </xf>
    <xf numFmtId="165" fontId="4" fillId="0" borderId="5" xfId="20" applyFont="true" applyBorder="true" applyAlignment="false" applyProtection="false">
      <alignment horizontal="general" vertical="bottom" textRotation="0" wrapText="false" indent="0" shrinkToFit="false"/>
      <protection locked="true" hidden="false"/>
    </xf>
    <xf numFmtId="171" fontId="4" fillId="2" borderId="10" xfId="20" applyFont="true" applyBorder="true" applyAlignment="false" applyProtection="false">
      <alignment horizontal="general" vertical="bottom" textRotation="0" wrapText="false" indent="0" shrinkToFit="false"/>
      <protection locked="true" hidden="false"/>
    </xf>
    <xf numFmtId="171" fontId="4" fillId="2" borderId="10" xfId="20" applyFont="true" applyBorder="true" applyAlignment="true" applyProtection="false">
      <alignment horizontal="center" vertical="bottom" textRotation="0" wrapText="false" indent="0" shrinkToFit="false"/>
      <protection locked="true" hidden="false"/>
    </xf>
    <xf numFmtId="169" fontId="4" fillId="0" borderId="5"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74" fontId="4" fillId="0" borderId="5"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6" fontId="4" fillId="2" borderId="15" xfId="20" applyFont="true" applyBorder="true" applyAlignment="false" applyProtection="false">
      <alignment horizontal="general" vertical="bottom" textRotation="0" wrapText="false" indent="0" shrinkToFit="false"/>
      <protection locked="true" hidden="false"/>
    </xf>
    <xf numFmtId="169" fontId="4" fillId="2" borderId="16" xfId="20" applyFont="true" applyBorder="true" applyAlignment="false" applyProtection="false">
      <alignment horizontal="general" vertical="bottom" textRotation="0" wrapText="false" indent="0" shrinkToFit="false"/>
      <protection locked="true" hidden="false"/>
    </xf>
    <xf numFmtId="169" fontId="4" fillId="2" borderId="17" xfId="20" applyFont="true" applyBorder="true" applyAlignment="false" applyProtection="false">
      <alignment horizontal="general" vertical="bottom" textRotation="0" wrapText="false" indent="0" shrinkToFit="false"/>
      <protection locked="true" hidden="false"/>
    </xf>
    <xf numFmtId="178" fontId="4" fillId="0" borderId="0" xfId="20" applyFont="true" applyBorder="true" applyAlignment="false" applyProtection="false">
      <alignment horizontal="general" vertical="bottom" textRotation="0" wrapText="false" indent="0" shrinkToFit="false"/>
      <protection locked="true" hidden="false"/>
    </xf>
    <xf numFmtId="169" fontId="7" fillId="0" borderId="16" xfId="20" applyFont="true" applyBorder="true" applyAlignment="false" applyProtection="false">
      <alignment horizontal="general" vertical="bottom" textRotation="0" wrapText="false" indent="0" shrinkToFit="false"/>
      <protection locked="true" hidden="false"/>
    </xf>
    <xf numFmtId="165" fontId="19" fillId="0" borderId="0" xfId="15" applyFont="true" applyBorder="true" applyAlignment="true" applyProtection="true">
      <alignment horizontal="general" vertical="bottom" textRotation="0" wrapText="false" indent="0" shrinkToFit="false"/>
      <protection locked="true" hidden="false"/>
    </xf>
    <xf numFmtId="165" fontId="7" fillId="0" borderId="0" xfId="20" applyFont="true" applyBorder="true" applyAlignment="false" applyProtection="false">
      <alignment horizontal="general" vertical="bottom" textRotation="0" wrapText="fals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xf numFmtId="165" fontId="21" fillId="0" borderId="0" xfId="20" applyFont="true" applyBorder="true" applyAlignment="false" applyProtection="false">
      <alignment horizontal="general" vertical="bottom" textRotation="0" wrapText="false" indent="0" shrinkToFit="false"/>
      <protection locked="true" hidden="false"/>
    </xf>
    <xf numFmtId="171" fontId="10" fillId="0" borderId="0" xfId="20" applyFont="true" applyBorder="true" applyAlignment="false" applyProtection="false">
      <alignment horizontal="general" vertical="bottom" textRotation="0" wrapText="false" indent="0" shrinkToFit="false"/>
      <protection locked="true" hidden="false"/>
    </xf>
    <xf numFmtId="176" fontId="22" fillId="0" borderId="0" xfId="20" applyFont="true" applyBorder="true" applyAlignment="false" applyProtection="false">
      <alignment horizontal="general" vertical="bottom" textRotation="0" wrapText="false" indent="0" shrinkToFit="false"/>
      <protection locked="true" hidden="false"/>
    </xf>
    <xf numFmtId="171" fontId="22" fillId="0" borderId="0" xfId="20" applyFont="true" applyBorder="true" applyAlignment="false" applyProtection="false">
      <alignment horizontal="general" vertical="bottom" textRotation="0" wrapText="false" indent="0" shrinkToFit="false"/>
      <protection locked="true" hidden="false"/>
    </xf>
    <xf numFmtId="165" fontId="22" fillId="0" borderId="0" xfId="20" applyFont="true" applyBorder="tru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73" fontId="6" fillId="0" borderId="3" xfId="0" applyFont="true" applyBorder="true" applyAlignment="true" applyProtection="false">
      <alignment horizontal="center" vertical="bottom" textRotation="0" wrapText="false" indent="0" shrinkToFit="false"/>
      <protection locked="true" hidden="false"/>
    </xf>
    <xf numFmtId="167" fontId="7" fillId="3" borderId="0" xfId="0" applyFont="true" applyBorder="false" applyAlignment="true" applyProtection="false">
      <alignment horizontal="center" vertical="bottom" textRotation="0" wrapText="false" indent="0" shrinkToFit="false"/>
      <protection locked="true" hidden="false"/>
    </xf>
    <xf numFmtId="169" fontId="13" fillId="0" borderId="0" xfId="0" applyFont="true" applyBorder="false" applyAlignment="true" applyProtection="false">
      <alignment horizontal="center"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true" applyAlignment="true" applyProtection="false">
      <alignment horizontal="center" vertical="bottom" textRotation="0" wrapText="false" indent="0" shrinkToFit="false"/>
      <protection locked="true" hidden="false"/>
    </xf>
    <xf numFmtId="171" fontId="14" fillId="0" borderId="0" xfId="0" applyFont="true" applyBorder="false" applyAlignment="true" applyProtection="false">
      <alignment horizontal="center" vertical="bottom" textRotation="0" wrapText="false" indent="0" shrinkToFit="false"/>
      <protection locked="true" hidden="false"/>
    </xf>
    <xf numFmtId="171" fontId="15" fillId="0" borderId="0" xfId="0" applyFont="true" applyBorder="false" applyAlignment="true" applyProtection="false">
      <alignment horizontal="center" vertical="bottom" textRotation="0" wrapText="false" indent="0" shrinkToFit="false"/>
      <protection locked="true" hidden="false"/>
    </xf>
    <xf numFmtId="167" fontId="4" fillId="0" borderId="0"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9" fontId="4" fillId="2" borderId="16" xfId="0" applyFont="true" applyBorder="true" applyAlignment="false" applyProtection="false">
      <alignment horizontal="general" vertical="bottom" textRotation="0" wrapText="false" indent="0" shrinkToFit="false"/>
      <protection locked="true" hidden="false"/>
    </xf>
    <xf numFmtId="165" fontId="10" fillId="0" borderId="1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7" fillId="0" borderId="0" xfId="2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true" applyAlignment="false" applyProtection="false">
      <alignment horizontal="general" vertical="bottom" textRotation="0" wrapText="false" indent="0" shrinkToFit="false"/>
      <protection locked="true" hidden="false"/>
    </xf>
    <xf numFmtId="167" fontId="19" fillId="0" borderId="0" xfId="15"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1" fontId="19" fillId="0" borderId="0" xfId="20" applyFont="true" applyBorder="true" applyAlignment="true" applyProtection="false">
      <alignment horizontal="center"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71" fontId="19" fillId="0" borderId="3" xfId="20" applyFont="true" applyBorder="true" applyAlignment="true" applyProtection="false">
      <alignment horizontal="center" vertical="bottom" textRotation="0" wrapText="false" indent="0" shrinkToFit="false"/>
      <protection locked="true" hidden="false"/>
    </xf>
    <xf numFmtId="167" fontId="0" fillId="0" borderId="3" xfId="0" applyFont="false" applyBorder="true" applyAlignment="true" applyProtection="false">
      <alignment horizontal="center" vertical="bottom" textRotation="0" wrapText="false" indent="0" shrinkToFit="false"/>
      <protection locked="true" hidden="false"/>
    </xf>
    <xf numFmtId="167" fontId="7" fillId="3" borderId="0" xfId="20" applyFont="true" applyBorder="true" applyAlignment="true" applyProtection="false">
      <alignment horizontal="center" vertical="bottom" textRotation="0" wrapText="false" indent="0" shrinkToFit="false"/>
      <protection locked="true" hidden="false"/>
    </xf>
    <xf numFmtId="171" fontId="7" fillId="0" borderId="5" xfId="20" applyFont="true" applyBorder="true" applyAlignment="true" applyProtection="false">
      <alignment horizontal="center" vertical="bottom" textRotation="0" wrapText="false" indent="0" shrinkToFit="false"/>
      <protection locked="true" hidden="false"/>
    </xf>
    <xf numFmtId="171" fontId="10" fillId="0" borderId="0" xfId="20" applyFont="true" applyBorder="true" applyAlignment="true" applyProtection="false">
      <alignment horizontal="center" vertical="bottom" textRotation="0" wrapText="false" indent="0" shrinkToFit="false"/>
      <protection locked="true" hidden="false"/>
    </xf>
    <xf numFmtId="167" fontId="11" fillId="0" borderId="0" xfId="0" applyFont="true" applyBorder="false" applyAlignment="true" applyProtection="false">
      <alignment horizontal="center" vertical="bottom" textRotation="0" wrapText="false" indent="0" shrinkToFit="false"/>
      <protection locked="true" hidden="false"/>
    </xf>
    <xf numFmtId="171" fontId="7" fillId="0" borderId="5" xfId="20" applyFont="true" applyBorder="true" applyAlignment="false" applyProtection="false">
      <alignment horizontal="general" vertical="bottom" textRotation="0" wrapText="false" indent="0" shrinkToFit="false"/>
      <protection locked="true" hidden="false"/>
    </xf>
    <xf numFmtId="169" fontId="10" fillId="0" borderId="0" xfId="20" applyFont="true" applyBorder="true" applyAlignment="true" applyProtection="false">
      <alignment horizontal="center" vertical="bottom" textRotation="0" wrapText="false" indent="0" shrinkToFit="false"/>
      <protection locked="true" hidden="false"/>
    </xf>
    <xf numFmtId="171" fontId="4" fillId="0" borderId="5" xfId="2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center" vertical="bottom" textRotation="0" wrapText="false" indent="0" shrinkToFit="false"/>
      <protection locked="true" hidden="false"/>
    </xf>
    <xf numFmtId="167" fontId="15" fillId="0" borderId="0" xfId="20" applyFont="true" applyBorder="true" applyAlignment="fals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center" vertical="bottom" textRotation="0" wrapText="false" indent="0" shrinkToFit="false"/>
      <protection locked="true" hidden="false"/>
    </xf>
    <xf numFmtId="167" fontId="4" fillId="0" borderId="5" xfId="20" applyFont="true" applyBorder="true" applyAlignment="false" applyProtection="false">
      <alignment horizontal="general" vertical="bottom" textRotation="0" wrapText="false" indent="0" shrinkToFit="false"/>
      <protection locked="true" hidden="false"/>
    </xf>
    <xf numFmtId="171" fontId="4" fillId="2" borderId="11" xfId="20" applyFont="true" applyBorder="true" applyAlignment="false" applyProtection="false">
      <alignment horizontal="general" vertical="bottom" textRotation="0" wrapText="false" indent="0" shrinkToFit="false"/>
      <protection locked="true" hidden="false"/>
    </xf>
    <xf numFmtId="171" fontId="19" fillId="2" borderId="10" xfId="20" applyFont="true" applyBorder="true" applyAlignment="true" applyProtection="false">
      <alignment horizontal="center"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8" fontId="4" fillId="0" borderId="6" xfId="20" applyFont="true" applyBorder="true" applyAlignment="false" applyProtection="false">
      <alignment horizontal="general" vertical="bottom" textRotation="0" wrapText="false" indent="0" shrinkToFit="false"/>
      <protection locked="true" hidden="false"/>
    </xf>
    <xf numFmtId="167" fontId="19" fillId="2" borderId="10" xfId="20" applyFont="true" applyBorder="true" applyAlignment="true" applyProtection="false">
      <alignment horizontal="center" vertical="bottom" textRotation="0" wrapText="false" indent="0" shrinkToFit="false"/>
      <protection locked="true" hidden="false"/>
    </xf>
    <xf numFmtId="169" fontId="19" fillId="0" borderId="18" xfId="20" applyFont="true" applyBorder="true" applyAlignment="true" applyProtection="false">
      <alignment horizontal="center" vertical="bottom" textRotation="0" wrapText="false" indent="0" shrinkToFit="false"/>
      <protection locked="true" hidden="false"/>
    </xf>
    <xf numFmtId="167" fontId="15" fillId="0" borderId="0" xfId="20" applyFont="true" applyBorder="true" applyAlignment="true" applyProtection="false">
      <alignment horizontal="center" vertical="bottom" textRotation="0" wrapText="false" indent="0" shrinkToFit="false"/>
      <protection locked="true" hidden="false"/>
    </xf>
    <xf numFmtId="167" fontId="19" fillId="0" borderId="18" xfId="20" applyFont="true" applyBorder="true" applyAlignment="true" applyProtection="false">
      <alignment horizontal="center" vertical="bottom" textRotation="0" wrapText="false" indent="0" shrinkToFit="false"/>
      <protection locked="true" hidden="false"/>
    </xf>
    <xf numFmtId="167" fontId="19" fillId="0" borderId="0" xfId="20" applyFont="true" applyBorder="true" applyAlignment="true" applyProtection="false">
      <alignment horizontal="center" vertical="bottom" textRotation="0" wrapText="false" indent="0" shrinkToFit="false"/>
      <protection locked="true" hidden="false"/>
    </xf>
    <xf numFmtId="167" fontId="19" fillId="2" borderId="10" xfId="20" applyFont="true" applyBorder="true" applyAlignment="false" applyProtection="false">
      <alignment horizontal="general" vertical="bottom" textRotation="0" wrapText="false" indent="0" shrinkToFit="false"/>
      <protection locked="true" hidden="false"/>
    </xf>
    <xf numFmtId="170" fontId="0" fillId="0" borderId="0" xfId="20" applyFont="false" applyBorder="true" applyAlignment="false" applyProtection="false">
      <alignment horizontal="general" vertical="bottom" textRotation="0" wrapText="false" indent="0" shrinkToFit="false"/>
      <protection locked="true" hidden="false"/>
    </xf>
    <xf numFmtId="164" fontId="19" fillId="0" borderId="0" xfId="20" applyFont="true" applyBorder="true" applyAlignment="false" applyProtection="false">
      <alignment horizontal="general" vertical="bottom" textRotation="0" wrapText="false" indent="0" shrinkToFit="false"/>
      <protection locked="true" hidden="false"/>
    </xf>
    <xf numFmtId="169" fontId="13" fillId="0" borderId="1" xfId="20" applyFont="true" applyBorder="true" applyAlignment="true" applyProtection="false">
      <alignment horizontal="center" vertical="bottom" textRotation="0" wrapText="false" indent="0" shrinkToFit="false"/>
      <protection locked="true" hidden="false"/>
    </xf>
    <xf numFmtId="171" fontId="0" fillId="0" borderId="1" xfId="20" applyFont="false" applyBorder="true" applyAlignment="false" applyProtection="false">
      <alignment horizontal="general" vertical="bottom" textRotation="0" wrapText="false" indent="0" shrinkToFit="false"/>
      <protection locked="true" hidden="false"/>
    </xf>
    <xf numFmtId="167" fontId="19" fillId="0" borderId="1" xfId="20" applyFont="true" applyBorder="true" applyAlignment="true" applyProtection="false">
      <alignment horizontal="center" vertical="bottom" textRotation="0" wrapText="false" indent="0" shrinkToFit="false"/>
      <protection locked="true" hidden="false"/>
    </xf>
    <xf numFmtId="171" fontId="25" fillId="0" borderId="0" xfId="20" applyFont="true" applyBorder="true" applyAlignment="true" applyProtection="false">
      <alignment horizontal="center" vertical="bottom" textRotation="0" wrapText="false" indent="0" shrinkToFit="false"/>
      <protection locked="true" hidden="false"/>
    </xf>
    <xf numFmtId="171" fontId="7" fillId="0" borderId="0" xfId="20" applyFont="true" applyBorder="true" applyAlignment="true" applyProtection="false">
      <alignment horizontal="center" vertical="bottom" textRotation="0" wrapText="false" indent="0" shrinkToFit="false"/>
      <protection locked="true" hidden="false"/>
    </xf>
    <xf numFmtId="165" fontId="19" fillId="0" borderId="0" xfId="20" applyFont="true" applyBorder="true" applyAlignment="true" applyProtection="false">
      <alignment horizontal="center" vertical="bottom" textRotation="0" wrapText="false" indent="0" shrinkToFit="false"/>
      <protection locked="true" hidden="false"/>
    </xf>
    <xf numFmtId="171" fontId="10" fillId="0" borderId="9" xfId="20" applyFont="true" applyBorder="true" applyAlignment="true" applyProtection="false">
      <alignment horizontal="center" vertical="bottom" textRotation="0" wrapText="false" indent="0" shrinkToFit="false"/>
      <protection locked="true" hidden="false"/>
    </xf>
    <xf numFmtId="165" fontId="26" fillId="0" borderId="0" xfId="20" applyFont="true" applyBorder="true" applyAlignment="true" applyProtection="false">
      <alignment horizontal="center" vertical="bottom" textRotation="0" wrapText="false" indent="0" shrinkToFit="false"/>
      <protection locked="true" hidden="false"/>
    </xf>
    <xf numFmtId="169" fontId="15" fillId="0" borderId="0" xfId="20" applyFont="true" applyBorder="true" applyAlignment="true" applyProtection="false">
      <alignment horizontal="center" vertical="bottom" textRotation="0" wrapText="false" indent="0" shrinkToFit="false"/>
      <protection locked="true" hidden="false"/>
    </xf>
    <xf numFmtId="171" fontId="15" fillId="0" borderId="0" xfId="20" applyFont="true" applyBorder="true" applyAlignment="false" applyProtection="false">
      <alignment horizontal="general" vertical="bottom" textRotation="0" wrapText="false" indent="0" shrinkToFit="false"/>
      <protection locked="true" hidden="false"/>
    </xf>
    <xf numFmtId="165" fontId="15" fillId="0" borderId="0" xfId="20" applyFont="true" applyBorder="true" applyAlignment="true" applyProtection="false">
      <alignment horizontal="center" vertical="bottom" textRotation="0" wrapText="false" indent="0" shrinkToFit="false"/>
      <protection locked="true" hidden="false"/>
    </xf>
    <xf numFmtId="169" fontId="4" fillId="0" borderId="8" xfId="20" applyFont="true" applyBorder="true" applyAlignment="false" applyProtection="false">
      <alignment horizontal="general" vertical="bottom" textRotation="0" wrapText="false" indent="0" shrinkToFit="false"/>
      <protection locked="true" hidden="false"/>
    </xf>
    <xf numFmtId="167" fontId="19" fillId="0" borderId="0" xfId="0" applyFont="true" applyBorder="false" applyAlignment="true" applyProtection="false">
      <alignment horizontal="center" vertical="bottom" textRotation="0" wrapText="false" indent="0" shrinkToFit="false"/>
      <protection locked="true" hidden="false"/>
    </xf>
    <xf numFmtId="168" fontId="4" fillId="0" borderId="0" xfId="20" applyFont="true" applyBorder="true" applyAlignment="true" applyProtection="false">
      <alignment horizontal="center" vertical="bottom" textRotation="0" wrapText="false" indent="0" shrinkToFit="false"/>
      <protection locked="true" hidden="false"/>
    </xf>
    <xf numFmtId="169" fontId="4" fillId="0" borderId="6" xfId="20" applyFont="true" applyBorder="true" applyAlignment="false" applyProtection="false">
      <alignment horizontal="general" vertical="bottom" textRotation="0" wrapText="false" indent="0" shrinkToFit="false"/>
      <protection locked="true" hidden="false"/>
    </xf>
    <xf numFmtId="168" fontId="4" fillId="0" borderId="9" xfId="20" applyFont="true" applyBorder="true" applyAlignment="false" applyProtection="false">
      <alignment horizontal="general" vertical="bottom" textRotation="0" wrapText="false" indent="0" shrinkToFit="false"/>
      <protection locked="true" hidden="false"/>
    </xf>
    <xf numFmtId="168" fontId="4" fillId="2" borderId="14" xfId="20" applyFont="true" applyBorder="true" applyAlignment="false" applyProtection="false">
      <alignment horizontal="general" vertical="bottom" textRotation="0" wrapText="false" indent="0" shrinkToFit="false"/>
      <protection locked="true" hidden="false"/>
    </xf>
    <xf numFmtId="165" fontId="4" fillId="2" borderId="10" xfId="20" applyFont="true" applyBorder="true" applyAlignment="true" applyProtection="false">
      <alignment horizontal="center" vertical="bottom" textRotation="0" wrapText="false" indent="0" shrinkToFit="false"/>
      <protection locked="true" hidden="false"/>
    </xf>
    <xf numFmtId="166" fontId="4" fillId="2" borderId="10" xfId="20" applyFont="true" applyBorder="true" applyAlignment="true" applyProtection="false">
      <alignment horizontal="center" vertical="bottom" textRotation="0" wrapText="false" indent="0" shrinkToFit="false"/>
      <protection locked="true" hidden="false"/>
    </xf>
    <xf numFmtId="168" fontId="4" fillId="0" borderId="19" xfId="20" applyFont="true" applyBorder="true" applyAlignment="false" applyProtection="false">
      <alignment horizontal="general" vertical="bottom" textRotation="0" wrapText="false" indent="0" shrinkToFit="false"/>
      <protection locked="true" hidden="false"/>
    </xf>
    <xf numFmtId="169" fontId="4" fillId="2" borderId="10" xfId="20" applyFont="true" applyBorder="true" applyAlignment="true" applyProtection="false">
      <alignment horizontal="center" vertical="bottom" textRotation="0" wrapText="false" indent="0" shrinkToFit="false"/>
      <protection locked="true" hidden="false"/>
    </xf>
    <xf numFmtId="169" fontId="22" fillId="0" borderId="0" xfId="20" applyFont="true" applyBorder="true" applyAlignment="false" applyProtection="false">
      <alignment horizontal="general" vertical="bottom" textRotation="0" wrapText="false" indent="0" shrinkToFit="false"/>
      <protection locked="true" hidden="false"/>
    </xf>
    <xf numFmtId="171" fontId="13" fillId="0" borderId="0" xfId="20" applyFont="true" applyBorder="true" applyAlignment="false" applyProtection="false">
      <alignment horizontal="general" vertical="bottom" textRotation="0" wrapText="false" indent="0" shrinkToFit="false"/>
      <protection locked="true" hidden="false"/>
    </xf>
    <xf numFmtId="165" fontId="6" fillId="0" borderId="0" xfId="20" applyFont="true" applyBorder="tru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8" fontId="4" fillId="0" borderId="0" xfId="20" applyFont="true" applyBorder="true" applyAlignment="true" applyProtection="false">
      <alignment horizontal="left" vertical="bottom" textRotation="0" wrapText="false" indent="0" shrinkToFit="false"/>
      <protection locked="true" hidden="false"/>
    </xf>
    <xf numFmtId="171" fontId="19" fillId="0" borderId="0" xfId="15" applyFont="true" applyBorder="true" applyAlignment="true" applyProtection="true">
      <alignment horizontal="general" vertical="bottom" textRotation="0" wrapText="false" indent="0" shrinkToFit="false"/>
      <protection locked="true" hidden="false"/>
    </xf>
    <xf numFmtId="164" fontId="13" fillId="0" borderId="0" xfId="20" applyFont="true" applyBorder="true" applyAlignment="true" applyProtection="false">
      <alignment horizontal="center" vertical="bottom" textRotation="0" wrapText="false" indent="0" shrinkToFit="false"/>
      <protection locked="true" hidden="false"/>
    </xf>
    <xf numFmtId="164" fontId="0" fillId="0" borderId="0" xfId="20" applyFont="true" applyBorder="true" applyAlignment="false" applyProtection="false">
      <alignment horizontal="general" vertical="bottom" textRotation="0" wrapText="false" indent="0" shrinkToFit="false"/>
      <protection locked="true" hidden="false"/>
    </xf>
    <xf numFmtId="164" fontId="11" fillId="0" borderId="0" xfId="20" applyFont="true" applyBorder="true" applyAlignment="false" applyProtection="false">
      <alignment horizontal="general" vertical="bottom" textRotation="0" wrapText="false" indent="0" shrinkToFit="false"/>
      <protection locked="true" hidden="false"/>
    </xf>
    <xf numFmtId="164" fontId="0" fillId="0" borderId="0" xfId="20" applyFont="false" applyBorder="true" applyAlignment="true" applyProtection="false">
      <alignment horizontal="center" vertical="bottom" textRotation="0" wrapText="false" indent="0" shrinkToFit="false"/>
      <protection locked="true" hidden="false"/>
    </xf>
    <xf numFmtId="167" fontId="0" fillId="0" borderId="1" xfId="20" applyFont="false" applyBorder="true" applyAlignment="true" applyProtection="false">
      <alignment horizontal="center" vertical="bottom" textRotation="0" wrapText="false" indent="0" shrinkToFit="false"/>
      <protection locked="true" hidden="false"/>
    </xf>
    <xf numFmtId="164" fontId="0" fillId="0" borderId="1" xfId="20" applyFont="false" applyBorder="true" applyAlignment="true" applyProtection="false">
      <alignment horizontal="center" vertical="bottom" textRotation="0" wrapText="false" indent="0" shrinkToFit="false"/>
      <protection locked="true" hidden="false"/>
    </xf>
    <xf numFmtId="167" fontId="25" fillId="0" borderId="0" xfId="20" applyFont="true" applyBorder="true" applyAlignment="true" applyProtection="false">
      <alignment horizontal="center" vertical="bottom" textRotation="0" wrapText="false" indent="0" shrinkToFit="false"/>
      <protection locked="true" hidden="false"/>
    </xf>
    <xf numFmtId="167" fontId="13" fillId="0" borderId="0" xfId="0" applyFont="true" applyBorder="false" applyAlignment="true" applyProtection="false">
      <alignment horizontal="center" vertical="bottom" textRotation="0" wrapText="false" indent="0" shrinkToFit="false"/>
      <protection locked="true" hidden="false"/>
    </xf>
    <xf numFmtId="167" fontId="13" fillId="0" borderId="0" xfId="20" applyFont="true" applyBorder="true" applyAlignment="true" applyProtection="false">
      <alignment horizontal="center" vertical="bottom" textRotation="0" wrapText="false" indent="0" shrinkToFit="false"/>
      <protection locked="true" hidden="false"/>
    </xf>
    <xf numFmtId="179" fontId="4" fillId="0" borderId="0" xfId="20" applyFont="true" applyBorder="true" applyAlignment="true" applyProtection="false">
      <alignment horizontal="center" vertical="bottom" textRotation="0" wrapText="false" indent="0" shrinkToFit="false"/>
      <protection locked="true" hidden="false"/>
    </xf>
    <xf numFmtId="167" fontId="14" fillId="0" borderId="0" xfId="20" applyFont="true" applyBorder="true" applyAlignment="false" applyProtection="false">
      <alignment horizontal="general" vertical="bottom" textRotation="0" wrapText="false" indent="0" shrinkToFit="false"/>
      <protection locked="true" hidden="false"/>
    </xf>
    <xf numFmtId="167" fontId="14" fillId="0" borderId="0" xfId="20" applyFont="true" applyBorder="true" applyAlignment="true" applyProtection="false">
      <alignment horizontal="center" vertical="bottom" textRotation="0" wrapText="false" indent="0" shrinkToFit="false"/>
      <protection locked="true" hidden="false"/>
    </xf>
    <xf numFmtId="180" fontId="4" fillId="0" borderId="0" xfId="20" applyFont="tru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20" applyFont="true" applyBorder="true" applyAlignment="false" applyProtection="false">
      <alignment horizontal="general" vertical="bottom" textRotation="0" wrapText="false" indent="0" shrinkToFit="false"/>
      <protection locked="true" hidden="false"/>
    </xf>
    <xf numFmtId="181" fontId="0" fillId="0" borderId="0" xfId="20" applyFont="false" applyBorder="true" applyAlignment="true" applyProtection="false">
      <alignment horizontal="center" vertical="bottom" textRotation="0" wrapText="false" indent="0" shrinkToFit="false"/>
      <protection locked="true" hidden="false"/>
    </xf>
    <xf numFmtId="181" fontId="4" fillId="0" borderId="0" xfId="20" applyFont="true" applyBorder="true" applyAlignment="true" applyProtection="false">
      <alignment horizontal="center" vertical="bottom" textRotation="0" wrapText="false" indent="0" shrinkToFit="false"/>
      <protection locked="true" hidden="false"/>
    </xf>
    <xf numFmtId="181" fontId="4" fillId="0" borderId="1" xfId="20" applyFont="true" applyBorder="true" applyAlignment="true" applyProtection="false">
      <alignment horizontal="center" vertical="bottom" textRotation="0" wrapText="false" indent="0" shrinkToFit="false"/>
      <protection locked="true" hidden="false"/>
    </xf>
    <xf numFmtId="167" fontId="0" fillId="0" borderId="1" xfId="20" applyFont="false" applyBorder="true" applyAlignment="false" applyProtection="false">
      <alignment horizontal="general" vertical="bottom" textRotation="0" wrapText="false" indent="0" shrinkToFit="false"/>
      <protection locked="true" hidden="false"/>
    </xf>
    <xf numFmtId="168" fontId="4" fillId="0" borderId="2" xfId="20" applyFont="true" applyBorder="true" applyAlignment="false" applyProtection="false">
      <alignment horizontal="general" vertical="bottom" textRotation="0" wrapText="false" indent="0" shrinkToFit="false"/>
      <protection locked="true" hidden="false"/>
    </xf>
    <xf numFmtId="181" fontId="7" fillId="0" borderId="0" xfId="20" applyFont="true" applyBorder="true" applyAlignment="true" applyProtection="false">
      <alignment horizontal="center" vertical="bottom" textRotation="0" wrapText="false" indent="0" shrinkToFit="false"/>
      <protection locked="true" hidden="false"/>
    </xf>
    <xf numFmtId="169" fontId="10" fillId="0" borderId="9" xfId="20" applyFont="true" applyBorder="true" applyAlignment="true" applyProtection="false">
      <alignment horizontal="center" vertical="bottom" textRotation="0" wrapText="false" indent="0" shrinkToFit="false"/>
      <protection locked="true" hidden="false"/>
    </xf>
    <xf numFmtId="182" fontId="4" fillId="0" borderId="0" xfId="20" applyFont="true" applyBorder="true" applyAlignment="true" applyProtection="false">
      <alignment horizontal="center" vertical="bottom" textRotation="0" wrapText="false" indent="0" shrinkToFit="false"/>
      <protection locked="true" hidden="false"/>
    </xf>
    <xf numFmtId="181" fontId="4" fillId="2" borderId="10" xfId="20" applyFont="true" applyBorder="true" applyAlignment="true" applyProtection="false">
      <alignment horizontal="center" vertical="bottom" textRotation="0" wrapText="false" indent="0" shrinkToFit="false"/>
      <protection locked="true" hidden="false"/>
    </xf>
    <xf numFmtId="181" fontId="4" fillId="0" borderId="0" xfId="20" applyFont="true" applyBorder="true" applyAlignment="true" applyProtection="false">
      <alignment horizontal="center" vertical="bottom" textRotation="0" wrapText="false" indent="0" shrinkToFit="false"/>
      <protection locked="true" hidden="false"/>
    </xf>
    <xf numFmtId="174" fontId="4" fillId="0" borderId="0" xfId="0" applyFont="true" applyBorder="true" applyAlignment="false" applyProtection="false">
      <alignment horizontal="general" vertical="bottom" textRotation="0" wrapText="false" indent="0" shrinkToFit="false"/>
      <protection locked="true" hidden="false"/>
    </xf>
    <xf numFmtId="174" fontId="4" fillId="0" borderId="9" xfId="0" applyFont="true" applyBorder="true" applyAlignment="false" applyProtection="false">
      <alignment horizontal="general" vertical="bottom" textRotation="0" wrapText="false" indent="0" shrinkToFit="false"/>
      <protection locked="true" hidden="false"/>
    </xf>
    <xf numFmtId="169" fontId="0" fillId="0" borderId="0" xfId="20" applyFont="false" applyBorder="true" applyAlignment="false" applyProtection="false">
      <alignment horizontal="general" vertical="bottom" textRotation="0" wrapText="false" indent="0" shrinkToFit="false"/>
      <protection locked="true" hidden="false"/>
    </xf>
    <xf numFmtId="182" fontId="4" fillId="2" borderId="10" xfId="20" applyFont="true" applyBorder="true" applyAlignment="true" applyProtection="false">
      <alignment horizontal="center" vertical="bottom" textRotation="0" wrapText="false" indent="0" shrinkToFit="false"/>
      <protection locked="true" hidden="false"/>
    </xf>
    <xf numFmtId="171" fontId="4" fillId="2" borderId="12" xfId="20" applyFont="true" applyBorder="true" applyAlignment="false" applyProtection="false">
      <alignment horizontal="general" vertical="bottom" textRotation="0" wrapText="false" indent="0" shrinkToFit="false"/>
      <protection locked="true" hidden="false"/>
    </xf>
    <xf numFmtId="165" fontId="4" fillId="0" borderId="19" xfId="20" applyFont="true" applyBorder="true" applyAlignment="false" applyProtection="false">
      <alignment horizontal="general" vertical="bottom" textRotation="0" wrapText="false" indent="0" shrinkToFit="false"/>
      <protection locked="true" hidden="false"/>
    </xf>
    <xf numFmtId="170" fontId="0" fillId="0" borderId="0" xfId="20" applyFont="false" applyBorder="tru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RIVER054" xfId="20"/>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485280</xdr:colOff>
      <xdr:row>30</xdr:row>
      <xdr:rowOff>0</xdr:rowOff>
    </xdr:from>
    <xdr:to>
      <xdr:col>7</xdr:col>
      <xdr:colOff>21600</xdr:colOff>
      <xdr:row>31</xdr:row>
      <xdr:rowOff>28440</xdr:rowOff>
    </xdr:to>
    <xdr:sp>
      <xdr:nvSpPr>
        <xdr:cNvPr id="0" name="Text 1"/>
        <xdr:cNvSpPr/>
      </xdr:nvSpPr>
      <xdr:spPr>
        <a:xfrm>
          <a:off x="2727360" y="4278600"/>
          <a:ext cx="496080" cy="16956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r>
            <a:rPr b="0" lang="en-US" sz="800" spc="-1" strike="noStrike">
              <a:latin typeface="LinePrinter"/>
            </a:rPr>
            <a:t>thawed</a:t>
          </a:r>
          <a:endParaRPr b="0" lang="en-US" sz="800" spc="-1" strike="noStrike">
            <a:latin typeface="Times New Roman"/>
          </a:endParaRPr>
        </a:p>
        <a:p>
          <a:endParaRPr b="0" lang="en-US" sz="8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22</xdr:col>
      <xdr:colOff>129600</xdr:colOff>
      <xdr:row>11</xdr:row>
      <xdr:rowOff>57240</xdr:rowOff>
    </xdr:from>
    <xdr:to>
      <xdr:col>23</xdr:col>
      <xdr:colOff>216000</xdr:colOff>
      <xdr:row>13</xdr:row>
      <xdr:rowOff>19440</xdr:rowOff>
    </xdr:to>
    <xdr:sp>
      <xdr:nvSpPr>
        <xdr:cNvPr id="1" name="Text 2"/>
        <xdr:cNvSpPr/>
      </xdr:nvSpPr>
      <xdr:spPr>
        <a:xfrm>
          <a:off x="9615240" y="1657440"/>
          <a:ext cx="528480" cy="24408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r>
            <a:rPr b="0" lang="en-US" sz="400" spc="-1" strike="noStrike">
              <a:latin typeface="LinePrinter"/>
            </a:rPr>
            <a:t>SPILL STARTED</a:t>
          </a:r>
          <a:endParaRPr b="0" lang="en-US" sz="400" spc="-1" strike="noStrike">
            <a:latin typeface="Times New Roman"/>
          </a:endParaRPr>
        </a:p>
        <a:p>
          <a:r>
            <a:rPr b="0" lang="en-US" sz="400" spc="-1" strike="noStrike">
              <a:latin typeface="LinePrinter"/>
            </a:rPr>
            <a:t>NO DEBIT</a:t>
          </a:r>
          <a:endParaRPr b="0" lang="en-US"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36</xdr:row>
      <xdr:rowOff>0</xdr:rowOff>
    </xdr:from>
    <xdr:to>
      <xdr:col>15</xdr:col>
      <xdr:colOff>360</xdr:colOff>
      <xdr:row>36</xdr:row>
      <xdr:rowOff>140760</xdr:rowOff>
    </xdr:to>
    <xdr:sp>
      <xdr:nvSpPr>
        <xdr:cNvPr id="2" name="Rectangle 1"/>
        <xdr:cNvSpPr/>
      </xdr:nvSpPr>
      <xdr:spPr>
        <a:xfrm>
          <a:off x="6262920" y="5124600"/>
          <a:ext cx="420840" cy="1407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140760</xdr:rowOff>
    </xdr:to>
    <xdr:sp>
      <xdr:nvSpPr>
        <xdr:cNvPr id="3" name="Rectangle 3"/>
        <xdr:cNvSpPr/>
      </xdr:nvSpPr>
      <xdr:spPr>
        <a:xfrm>
          <a:off x="6262920" y="5124600"/>
          <a:ext cx="420840" cy="1407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140760</xdr:rowOff>
    </xdr:to>
    <xdr:sp>
      <xdr:nvSpPr>
        <xdr:cNvPr id="4" name="Rectangle 4"/>
        <xdr:cNvSpPr/>
      </xdr:nvSpPr>
      <xdr:spPr>
        <a:xfrm>
          <a:off x="6262920" y="5124600"/>
          <a:ext cx="420840" cy="1407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140760</xdr:rowOff>
    </xdr:to>
    <xdr:sp>
      <xdr:nvSpPr>
        <xdr:cNvPr id="5" name="Rectangle 6"/>
        <xdr:cNvSpPr/>
      </xdr:nvSpPr>
      <xdr:spPr>
        <a:xfrm>
          <a:off x="6262920" y="5124600"/>
          <a:ext cx="420840" cy="1407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140760</xdr:rowOff>
    </xdr:to>
    <xdr:sp>
      <xdr:nvSpPr>
        <xdr:cNvPr id="6" name="Rectangle 8"/>
        <xdr:cNvSpPr/>
      </xdr:nvSpPr>
      <xdr:spPr>
        <a:xfrm>
          <a:off x="6262920" y="5124600"/>
          <a:ext cx="420840" cy="1407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36</xdr:row>
      <xdr:rowOff>124200</xdr:rowOff>
    </xdr:from>
    <xdr:to>
      <xdr:col>14</xdr:col>
      <xdr:colOff>11160</xdr:colOff>
      <xdr:row>36</xdr:row>
      <xdr:rowOff>140760</xdr:rowOff>
    </xdr:to>
    <xdr:sp>
      <xdr:nvSpPr>
        <xdr:cNvPr id="7" name="Rectangle 10"/>
        <xdr:cNvSpPr/>
      </xdr:nvSpPr>
      <xdr:spPr>
        <a:xfrm>
          <a:off x="6262920" y="5248800"/>
          <a:ext cx="11160" cy="165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140760</xdr:rowOff>
    </xdr:to>
    <xdr:sp>
      <xdr:nvSpPr>
        <xdr:cNvPr id="8" name="Rectangle 11"/>
        <xdr:cNvSpPr/>
      </xdr:nvSpPr>
      <xdr:spPr>
        <a:xfrm>
          <a:off x="6262920" y="5124600"/>
          <a:ext cx="420840" cy="140760"/>
        </a:xfrm>
        <a:prstGeom prst="rect">
          <a:avLst/>
        </a:prstGeom>
        <a:noFill/>
        <a:ln w="0">
          <a:noFill/>
        </a:ln>
      </xdr:spPr>
      <xdr:style>
        <a:lnRef idx="0"/>
        <a:fillRef idx="0"/>
        <a:effectRef idx="0"/>
        <a:fontRef idx="minor"/>
      </xdr:style>
    </xdr:sp>
    <xdr:clientData/>
  </xdr:twoCellAnchor>
  <xdr:twoCellAnchor editAs="oneCell">
    <xdr:from>
      <xdr:col>14</xdr:col>
      <xdr:colOff>0</xdr:colOff>
      <xdr:row>30</xdr:row>
      <xdr:rowOff>0</xdr:rowOff>
    </xdr:from>
    <xdr:to>
      <xdr:col>15</xdr:col>
      <xdr:colOff>360</xdr:colOff>
      <xdr:row>30</xdr:row>
      <xdr:rowOff>141120</xdr:rowOff>
    </xdr:to>
    <xdr:sp>
      <xdr:nvSpPr>
        <xdr:cNvPr id="9" name="Rectangle 12"/>
        <xdr:cNvSpPr/>
      </xdr:nvSpPr>
      <xdr:spPr>
        <a:xfrm>
          <a:off x="6262920" y="4278600"/>
          <a:ext cx="420840" cy="14112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30</xdr:row>
      <xdr:rowOff>0</xdr:rowOff>
    </xdr:from>
    <xdr:to>
      <xdr:col>15</xdr:col>
      <xdr:colOff>360</xdr:colOff>
      <xdr:row>30</xdr:row>
      <xdr:rowOff>141120</xdr:rowOff>
    </xdr:to>
    <xdr:sp>
      <xdr:nvSpPr>
        <xdr:cNvPr id="10" name="Rectangle 13"/>
        <xdr:cNvSpPr/>
      </xdr:nvSpPr>
      <xdr:spPr>
        <a:xfrm>
          <a:off x="6262920" y="4278600"/>
          <a:ext cx="420840" cy="14112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wsDr>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37" activePane="bottomRight" state="frozen"/>
      <selection pane="topLeft" activeCell="A1" activeCellId="0" sqref="A1"/>
      <selection pane="topRight" activeCell="B1" activeCellId="0" sqref="B1"/>
      <selection pane="bottomLeft" activeCell="A37" activeCellId="0" sqref="A37"/>
      <selection pane="bottomRight" activeCell="AE6" activeCellId="0" sqref="AE6"/>
    </sheetView>
  </sheetViews>
  <sheetFormatPr defaultColWidth="9.2890625" defaultRowHeight="11.1" zeroHeight="false" outlineLevelRow="0" outlineLevelCol="0"/>
  <cols>
    <col collapsed="false" customWidth="true" hidden="false" outlineLevel="0" max="1" min="1" style="0" width="5.66"/>
    <col collapsed="false" customWidth="true" hidden="false" outlineLevel="0" max="2" min="2" style="0" width="7.49"/>
    <col collapsed="false" customWidth="true" hidden="false" outlineLevel="0" max="3" min="3" style="1" width="6.82"/>
    <col collapsed="false" customWidth="true" hidden="false" outlineLevel="0" max="4" min="4" style="0" width="6.99"/>
    <col collapsed="false" customWidth="true" hidden="false" outlineLevel="0" max="5" min="5" style="1" width="7.66"/>
    <col collapsed="false" customWidth="true" hidden="false" outlineLevel="0" max="6" min="6" style="0" width="7.66"/>
    <col collapsed="false" customWidth="true" hidden="false" outlineLevel="0" max="7" min="7" style="0" width="7.16"/>
    <col collapsed="false" customWidth="true" hidden="false" outlineLevel="0" max="8" min="8" style="2" width="6.66"/>
    <col collapsed="false" customWidth="true" hidden="false" outlineLevel="0" max="9" min="9" style="0" width="7.99"/>
    <col collapsed="false" customWidth="true" hidden="false" outlineLevel="0" max="10" min="10" style="0" width="6.66"/>
    <col collapsed="false" customWidth="true" hidden="false" outlineLevel="0" max="12" min="11" style="0" width="7.16"/>
    <col collapsed="false" customWidth="true" hidden="false" outlineLevel="0" max="13" min="13" style="3" width="6.16"/>
    <col collapsed="false" customWidth="true" hidden="false" outlineLevel="0" max="14" min="14" style="3" width="5.99"/>
    <col collapsed="false" customWidth="true" hidden="false" outlineLevel="0" max="15" min="15" style="3" width="6.49"/>
    <col collapsed="false" customWidth="true" hidden="false" outlineLevel="0" max="16" min="16" style="0" width="7.16"/>
    <col collapsed="false" customWidth="true" hidden="false" outlineLevel="0" max="18" min="17" style="0" width="5.49"/>
    <col collapsed="false" customWidth="true" hidden="false" outlineLevel="0" max="19" min="19" style="1" width="6.82"/>
    <col collapsed="false" customWidth="true" hidden="false" outlineLevel="0" max="20" min="20" style="0" width="6.49"/>
    <col collapsed="false" customWidth="true" hidden="false" outlineLevel="0" max="21" min="21" style="0" width="5.66"/>
    <col collapsed="false" customWidth="true" hidden="false" outlineLevel="0" max="22" min="22" style="1" width="6.16"/>
    <col collapsed="false" customWidth="true" hidden="false" outlineLevel="0" max="23" min="23" style="0" width="6.82"/>
    <col collapsed="false" customWidth="true" hidden="false" outlineLevel="0" max="25" min="24" style="0" width="7.82"/>
    <col collapsed="false" customWidth="true" hidden="false" outlineLevel="0" max="26" min="26" style="2" width="7.82"/>
    <col collapsed="false" customWidth="true" hidden="false" outlineLevel="0" max="27" min="27" style="2" width="5.32"/>
    <col collapsed="false" customWidth="true" hidden="false" outlineLevel="0" max="28" min="28" style="4" width="3.82"/>
    <col collapsed="false" customWidth="true" hidden="false" outlineLevel="0" max="29" min="29" style="5" width="3.82"/>
    <col collapsed="false" customWidth="true" hidden="false" outlineLevel="0" max="30" min="30" style="0" width="5.99"/>
    <col collapsed="false" customWidth="true" hidden="false" outlineLevel="0" max="31" min="31" style="0" width="6.66"/>
  </cols>
  <sheetData>
    <row r="1" customFormat="false" ht="14.1" hidden="false" customHeight="true" outlineLevel="0" collapsed="false">
      <c r="A1" s="6"/>
      <c r="B1" s="6"/>
      <c r="C1" s="7"/>
      <c r="D1" s="6"/>
      <c r="E1" s="7"/>
      <c r="F1" s="6"/>
      <c r="G1" s="6"/>
      <c r="H1" s="8"/>
      <c r="I1" s="6"/>
      <c r="J1" s="6"/>
      <c r="K1" s="9" t="s">
        <v>0</v>
      </c>
      <c r="L1" s="6"/>
      <c r="M1" s="6"/>
      <c r="N1" s="6"/>
      <c r="O1" s="6"/>
      <c r="P1" s="6"/>
      <c r="Q1" s="6"/>
      <c r="R1" s="6"/>
      <c r="S1" s="7"/>
      <c r="T1" s="6"/>
      <c r="U1" s="6"/>
      <c r="V1" s="7"/>
      <c r="W1" s="6"/>
      <c r="X1" s="6"/>
      <c r="Y1" s="6"/>
      <c r="Z1" s="10"/>
      <c r="AA1" s="11"/>
      <c r="AB1" s="12"/>
      <c r="AC1" s="13"/>
    </row>
    <row r="2" customFormat="false" ht="14.1" hidden="false" customHeight="true" outlineLevel="0" collapsed="false">
      <c r="A2" s="6" t="s">
        <v>1</v>
      </c>
      <c r="B2" s="6"/>
      <c r="C2" s="7"/>
      <c r="D2" s="14" t="n">
        <v>1.9835</v>
      </c>
      <c r="E2" s="7"/>
      <c r="F2" s="6"/>
      <c r="G2" s="6"/>
      <c r="H2" s="8"/>
      <c r="I2" s="6"/>
      <c r="J2" s="6"/>
      <c r="K2" s="6"/>
      <c r="L2" s="9" t="s">
        <v>2</v>
      </c>
      <c r="M2" s="6"/>
      <c r="N2" s="6"/>
      <c r="O2" s="6"/>
      <c r="P2" s="6"/>
      <c r="Q2" s="6"/>
      <c r="R2" s="6"/>
      <c r="S2" s="7"/>
      <c r="T2" s="6"/>
      <c r="U2" s="6"/>
      <c r="V2" s="7"/>
      <c r="W2" s="6"/>
      <c r="X2" s="6"/>
      <c r="Y2" s="6"/>
      <c r="Z2" s="10"/>
      <c r="AA2" s="11"/>
      <c r="AB2" s="12"/>
      <c r="AC2" s="13"/>
    </row>
    <row r="3" customFormat="false" ht="14.1" hidden="false" customHeight="true" outlineLevel="0" collapsed="false">
      <c r="A3" s="15"/>
      <c r="B3" s="15"/>
      <c r="C3" s="16"/>
      <c r="D3" s="17"/>
      <c r="E3" s="16"/>
      <c r="F3" s="15"/>
      <c r="G3" s="15"/>
      <c r="H3" s="18"/>
      <c r="I3" s="15"/>
      <c r="J3" s="15"/>
      <c r="K3" s="15"/>
      <c r="L3" s="15"/>
      <c r="M3" s="15"/>
      <c r="N3" s="15"/>
      <c r="O3" s="15"/>
      <c r="P3" s="15"/>
      <c r="Q3" s="15"/>
      <c r="R3" s="15"/>
      <c r="S3" s="16"/>
      <c r="T3" s="15"/>
      <c r="U3" s="15"/>
      <c r="V3" s="16"/>
      <c r="W3" s="15"/>
      <c r="X3" s="15"/>
      <c r="Y3" s="15"/>
      <c r="Z3" s="19"/>
      <c r="AA3" s="20"/>
      <c r="AB3" s="21"/>
      <c r="AC3" s="22"/>
      <c r="AD3" s="23"/>
      <c r="AE3" s="23"/>
      <c r="AF3" s="23"/>
    </row>
    <row r="4" customFormat="false" ht="14.1" hidden="false" customHeight="true" outlineLevel="0" collapsed="false">
      <c r="A4" s="6"/>
      <c r="B4" s="24"/>
      <c r="C4" s="25"/>
      <c r="D4" s="26" t="s">
        <v>3</v>
      </c>
      <c r="E4" s="25"/>
      <c r="F4" s="27"/>
      <c r="G4" s="6"/>
      <c r="H4" s="8"/>
      <c r="I4" s="6"/>
      <c r="J4" s="6"/>
      <c r="K4" s="6"/>
      <c r="L4" s="6"/>
      <c r="M4" s="6"/>
      <c r="N4" s="6"/>
      <c r="O4" s="6"/>
      <c r="P4" s="6"/>
      <c r="Q4" s="28" t="s">
        <v>4</v>
      </c>
      <c r="R4" s="6"/>
      <c r="S4" s="7"/>
      <c r="T4" s="6"/>
      <c r="U4" s="6"/>
      <c r="V4" s="7"/>
      <c r="W4" s="6"/>
      <c r="X4" s="6"/>
      <c r="Y4" s="6"/>
      <c r="Z4" s="10"/>
      <c r="AA4" s="29"/>
      <c r="AB4" s="30" t="s">
        <v>5</v>
      </c>
      <c r="AC4" s="31"/>
    </row>
    <row r="5" customFormat="false" ht="11.1" hidden="false" customHeight="true" outlineLevel="0" collapsed="false">
      <c r="A5" s="32" t="s">
        <v>6</v>
      </c>
      <c r="B5" s="33" t="s">
        <v>7</v>
      </c>
      <c r="C5" s="34" t="s">
        <v>7</v>
      </c>
      <c r="D5" s="35" t="s">
        <v>8</v>
      </c>
      <c r="E5" s="34" t="s">
        <v>9</v>
      </c>
      <c r="F5" s="36" t="s">
        <v>10</v>
      </c>
      <c r="G5" s="32" t="s">
        <v>11</v>
      </c>
      <c r="H5" s="37" t="s">
        <v>12</v>
      </c>
      <c r="I5" s="32" t="s">
        <v>13</v>
      </c>
      <c r="J5" s="32" t="s">
        <v>14</v>
      </c>
      <c r="K5" s="32" t="s">
        <v>15</v>
      </c>
      <c r="L5" s="32" t="s">
        <v>14</v>
      </c>
      <c r="M5" s="38" t="s">
        <v>16</v>
      </c>
      <c r="N5" s="38"/>
      <c r="O5" s="38"/>
      <c r="P5" s="38"/>
      <c r="Q5" s="32" t="s">
        <v>17</v>
      </c>
      <c r="R5" s="32" t="s">
        <v>18</v>
      </c>
      <c r="S5" s="32" t="s">
        <v>15</v>
      </c>
      <c r="T5" s="39" t="s">
        <v>19</v>
      </c>
      <c r="U5" s="32" t="s">
        <v>20</v>
      </c>
      <c r="V5" s="32" t="s">
        <v>21</v>
      </c>
      <c r="W5" s="39" t="s">
        <v>22</v>
      </c>
      <c r="X5" s="32" t="s">
        <v>13</v>
      </c>
      <c r="Y5" s="32" t="s">
        <v>14</v>
      </c>
      <c r="Z5" s="32" t="s">
        <v>15</v>
      </c>
      <c r="AA5" s="40" t="s">
        <v>23</v>
      </c>
      <c r="AB5" s="41" t="s">
        <v>24</v>
      </c>
      <c r="AC5" s="42" t="s">
        <v>25</v>
      </c>
      <c r="AD5" s="43" t="s">
        <v>26</v>
      </c>
      <c r="AE5" s="43" t="s">
        <v>19</v>
      </c>
    </row>
    <row r="6" customFormat="false" ht="11.1" hidden="false" customHeight="true" outlineLevel="0" collapsed="false">
      <c r="A6" s="44" t="s">
        <v>27</v>
      </c>
      <c r="B6" s="33" t="s">
        <v>28</v>
      </c>
      <c r="C6" s="34" t="s">
        <v>8</v>
      </c>
      <c r="D6" s="35" t="s">
        <v>29</v>
      </c>
      <c r="E6" s="34" t="s">
        <v>30</v>
      </c>
      <c r="F6" s="36" t="s">
        <v>31</v>
      </c>
      <c r="G6" s="32" t="s">
        <v>32</v>
      </c>
      <c r="H6" s="37" t="s">
        <v>33</v>
      </c>
      <c r="I6" s="32" t="s">
        <v>34</v>
      </c>
      <c r="J6" s="32" t="s">
        <v>34</v>
      </c>
      <c r="K6" s="32" t="s">
        <v>34</v>
      </c>
      <c r="L6" s="32" t="s">
        <v>35</v>
      </c>
      <c r="M6" s="45" t="s">
        <v>36</v>
      </c>
      <c r="N6" s="35" t="s">
        <v>37</v>
      </c>
      <c r="O6" s="35" t="s">
        <v>38</v>
      </c>
      <c r="P6" s="46" t="s">
        <v>39</v>
      </c>
      <c r="Q6" s="32" t="s">
        <v>40</v>
      </c>
      <c r="R6" s="32" t="s">
        <v>41</v>
      </c>
      <c r="S6" s="32" t="s">
        <v>19</v>
      </c>
      <c r="T6" s="39" t="s">
        <v>42</v>
      </c>
      <c r="U6" s="32" t="s">
        <v>43</v>
      </c>
      <c r="V6" s="32" t="s">
        <v>44</v>
      </c>
      <c r="W6" s="39" t="s">
        <v>45</v>
      </c>
      <c r="X6" s="32" t="s">
        <v>46</v>
      </c>
      <c r="Y6" s="32" t="s">
        <v>46</v>
      </c>
      <c r="Z6" s="32" t="s">
        <v>46</v>
      </c>
      <c r="AA6" s="47"/>
      <c r="AB6" s="41" t="s">
        <v>47</v>
      </c>
      <c r="AC6" s="42" t="s">
        <v>47</v>
      </c>
      <c r="AD6" s="48" t="s">
        <v>42</v>
      </c>
      <c r="AE6" s="48" t="s">
        <v>42</v>
      </c>
    </row>
    <row r="7" customFormat="false" ht="11.1" hidden="false" customHeight="true" outlineLevel="0" collapsed="false">
      <c r="A7" s="49"/>
      <c r="B7" s="50"/>
      <c r="C7" s="51"/>
      <c r="D7" s="52"/>
      <c r="E7" s="53" t="s">
        <v>48</v>
      </c>
      <c r="F7" s="54"/>
      <c r="G7" s="49"/>
      <c r="H7" s="55"/>
      <c r="I7" s="49"/>
      <c r="J7" s="49"/>
      <c r="K7" s="49"/>
      <c r="L7" s="49"/>
      <c r="M7" s="56"/>
      <c r="N7" s="52"/>
      <c r="O7" s="52"/>
      <c r="P7" s="57"/>
      <c r="Q7" s="49"/>
      <c r="R7" s="49"/>
      <c r="S7" s="49"/>
      <c r="T7" s="58" t="s">
        <v>49</v>
      </c>
      <c r="U7" s="49"/>
      <c r="V7" s="49"/>
      <c r="W7" s="59"/>
      <c r="X7" s="49"/>
      <c r="Y7" s="49"/>
      <c r="Z7" s="49"/>
      <c r="AA7" s="60"/>
      <c r="AB7" s="61" t="s">
        <v>50</v>
      </c>
      <c r="AC7" s="62"/>
      <c r="AD7" s="13"/>
      <c r="AE7" s="63" t="s">
        <v>51</v>
      </c>
    </row>
    <row r="8" customFormat="false" ht="11.1" hidden="false" customHeight="true" outlineLevel="0" collapsed="false">
      <c r="A8" s="49"/>
      <c r="B8" s="50"/>
      <c r="C8" s="51"/>
      <c r="D8" s="52"/>
      <c r="E8" s="51"/>
      <c r="F8" s="54"/>
      <c r="G8" s="49"/>
      <c r="H8" s="55"/>
      <c r="I8" s="49"/>
      <c r="J8" s="49"/>
      <c r="K8" s="49"/>
      <c r="L8" s="49"/>
      <c r="M8" s="56"/>
      <c r="N8" s="52"/>
      <c r="O8" s="52"/>
      <c r="P8" s="57"/>
      <c r="Q8" s="49"/>
      <c r="R8" s="49"/>
      <c r="S8" s="49"/>
      <c r="T8" s="64"/>
      <c r="U8" s="49"/>
      <c r="V8" s="49"/>
      <c r="W8" s="59"/>
      <c r="X8" s="49"/>
      <c r="Y8" s="49"/>
      <c r="Z8" s="49"/>
      <c r="AA8" s="60"/>
      <c r="AB8" s="65"/>
      <c r="AC8" s="62"/>
      <c r="AD8" s="13"/>
    </row>
    <row r="9" customFormat="false" ht="11.1" hidden="false" customHeight="true" outlineLevel="0" collapsed="false">
      <c r="A9" s="6" t="s">
        <v>52</v>
      </c>
      <c r="B9" s="66"/>
      <c r="C9" s="67"/>
      <c r="D9" s="67"/>
      <c r="E9" s="67"/>
      <c r="F9" s="68"/>
      <c r="G9" s="7"/>
      <c r="H9" s="12"/>
      <c r="I9" s="7"/>
      <c r="J9" s="7"/>
      <c r="K9" s="7"/>
      <c r="L9" s="7"/>
      <c r="M9" s="69"/>
      <c r="N9" s="67"/>
      <c r="O9" s="67"/>
      <c r="P9" s="70"/>
      <c r="Q9" s="7"/>
      <c r="R9" s="7"/>
      <c r="S9" s="7"/>
      <c r="T9" s="7"/>
      <c r="U9" s="7"/>
      <c r="V9" s="7"/>
      <c r="W9" s="71"/>
      <c r="X9" s="7"/>
      <c r="Y9" s="7"/>
      <c r="Z9" s="7"/>
      <c r="AA9" s="60"/>
      <c r="AB9" s="72"/>
      <c r="AC9" s="73"/>
      <c r="AD9" s="13"/>
    </row>
    <row r="10" s="1" customFormat="true" ht="11.1" hidden="false" customHeight="true" outlineLevel="0" collapsed="false">
      <c r="A10" s="7" t="s">
        <v>53</v>
      </c>
      <c r="B10" s="74" t="n">
        <v>6857.1</v>
      </c>
      <c r="C10" s="67" t="n">
        <v>156567</v>
      </c>
      <c r="D10" s="67"/>
      <c r="E10" s="67"/>
      <c r="F10" s="68"/>
      <c r="G10" s="7"/>
      <c r="H10" s="12"/>
      <c r="I10" s="7"/>
      <c r="J10" s="7"/>
      <c r="K10" s="7"/>
      <c r="L10" s="7"/>
      <c r="M10" s="69"/>
      <c r="N10" s="67"/>
      <c r="O10" s="67" t="n">
        <v>0</v>
      </c>
      <c r="P10" s="70"/>
      <c r="Q10" s="7"/>
      <c r="R10" s="7"/>
      <c r="S10" s="7"/>
      <c r="T10" s="7"/>
      <c r="U10" s="7"/>
      <c r="V10" s="7"/>
      <c r="W10" s="7" t="n">
        <v>2410</v>
      </c>
      <c r="X10" s="7"/>
      <c r="Y10" s="7"/>
      <c r="Z10" s="7"/>
      <c r="AA10" s="60"/>
      <c r="AB10" s="72"/>
      <c r="AC10" s="73"/>
      <c r="AD10" s="13"/>
    </row>
    <row r="11" customFormat="false" ht="3" hidden="false" customHeight="true" outlineLevel="0" collapsed="false">
      <c r="A11" s="75"/>
      <c r="B11" s="76"/>
      <c r="C11" s="77"/>
      <c r="D11" s="75"/>
      <c r="E11" s="77"/>
      <c r="F11" s="78"/>
      <c r="G11" s="75"/>
      <c r="H11" s="79"/>
      <c r="I11" s="75"/>
      <c r="J11" s="75"/>
      <c r="K11" s="75"/>
      <c r="L11" s="75"/>
      <c r="M11" s="80"/>
      <c r="N11" s="75"/>
      <c r="O11" s="75"/>
      <c r="P11" s="81"/>
      <c r="Q11" s="75"/>
      <c r="R11" s="75"/>
      <c r="S11" s="75"/>
      <c r="T11" s="77"/>
      <c r="U11" s="75"/>
      <c r="V11" s="75"/>
      <c r="W11" s="77"/>
      <c r="X11" s="75"/>
      <c r="Y11" s="75"/>
      <c r="Z11" s="75"/>
      <c r="AA11" s="82"/>
      <c r="AB11" s="83"/>
      <c r="AC11" s="84"/>
      <c r="AD11" s="85"/>
      <c r="AE11" s="85"/>
      <c r="AF11" s="85"/>
    </row>
    <row r="12" customFormat="false" ht="11.1" hidden="false" customHeight="true" outlineLevel="0" collapsed="false">
      <c r="A12" s="13" t="n">
        <v>1</v>
      </c>
      <c r="B12" s="74" t="n">
        <v>6857.13</v>
      </c>
      <c r="C12" s="67" t="n">
        <v>156634</v>
      </c>
      <c r="D12" s="72" t="n">
        <f aca="false">C12-C10</f>
        <v>67</v>
      </c>
      <c r="E12" s="67" t="n">
        <f aca="false">C12-152000</f>
        <v>4634</v>
      </c>
      <c r="F12" s="86" t="n">
        <f aca="false">D12/$D$2</f>
        <v>33.7786740610033</v>
      </c>
      <c r="G12" s="87" t="n">
        <v>67</v>
      </c>
      <c r="H12" s="88" t="n">
        <v>0</v>
      </c>
      <c r="I12" s="6" t="n">
        <f aca="false">G12+H12</f>
        <v>67</v>
      </c>
      <c r="J12" s="89" t="n">
        <f aca="false">IF(L12&gt;0,L12,0)</f>
        <v>0</v>
      </c>
      <c r="K12" s="6" t="n">
        <f aca="false">I12+J12</f>
        <v>67</v>
      </c>
      <c r="L12" s="6" t="n">
        <f aca="false">F12-(I12-X12)</f>
        <v>-15.4213259389967</v>
      </c>
      <c r="M12" s="90" t="n">
        <v>4.8</v>
      </c>
      <c r="N12" s="91" t="n">
        <v>0</v>
      </c>
      <c r="O12" s="91" t="n">
        <v>0</v>
      </c>
      <c r="P12" s="92" t="n">
        <f aca="false">M12-(N12+O12)</f>
        <v>4.8</v>
      </c>
      <c r="Q12" s="87" t="n">
        <v>0</v>
      </c>
      <c r="R12" s="87" t="n">
        <v>0</v>
      </c>
      <c r="S12" s="6" t="n">
        <f aca="false">SUM(P12:R12)</f>
        <v>4.8</v>
      </c>
      <c r="T12" s="7"/>
      <c r="U12" s="87" t="n">
        <v>0</v>
      </c>
      <c r="V12" s="87" t="n">
        <v>13</v>
      </c>
      <c r="W12" s="7" t="n">
        <f aca="false">W10-V12</f>
        <v>2397</v>
      </c>
      <c r="X12" s="6" t="n">
        <f aca="false">N12+O12+S12+U12+V12</f>
        <v>17.8</v>
      </c>
      <c r="Y12" s="6" t="n">
        <f aca="false">IF(L12&lt;0,L12*-1,0)</f>
        <v>15.4213259389967</v>
      </c>
      <c r="Z12" s="6" t="n">
        <f aca="false">X12+Y12</f>
        <v>33.2213259389967</v>
      </c>
      <c r="AA12" s="60" t="n">
        <v>0</v>
      </c>
      <c r="AB12" s="72" t="n">
        <v>55</v>
      </c>
      <c r="AC12" s="73" t="n">
        <v>34</v>
      </c>
      <c r="AD12" s="13"/>
    </row>
    <row r="13" customFormat="false" ht="11.1" hidden="false" customHeight="true" outlineLevel="0" collapsed="false">
      <c r="A13" s="13" t="n">
        <f aca="false">A12+1</f>
        <v>2</v>
      </c>
      <c r="B13" s="93" t="n">
        <v>6857.16</v>
      </c>
      <c r="C13" s="67" t="n">
        <v>156700</v>
      </c>
      <c r="D13" s="72" t="n">
        <f aca="false">C13-C12</f>
        <v>66</v>
      </c>
      <c r="E13" s="67" t="n">
        <f aca="false">C13-152000</f>
        <v>4700</v>
      </c>
      <c r="F13" s="86" t="n">
        <f aca="false">D13/$D$2</f>
        <v>33.2745147466599</v>
      </c>
      <c r="G13" s="87" t="n">
        <v>64</v>
      </c>
      <c r="H13" s="88" t="n">
        <v>0</v>
      </c>
      <c r="I13" s="6" t="n">
        <f aca="false">G13+H13</f>
        <v>64</v>
      </c>
      <c r="J13" s="89" t="n">
        <f aca="false">IF(L13&gt;0,L13,0)</f>
        <v>0</v>
      </c>
      <c r="K13" s="6" t="n">
        <f aca="false">I13+J13</f>
        <v>64</v>
      </c>
      <c r="L13" s="6" t="n">
        <f aca="false">F13-(I13-X13)</f>
        <v>-12.9254852533401</v>
      </c>
      <c r="M13" s="90" t="n">
        <v>4.8</v>
      </c>
      <c r="N13" s="91" t="n">
        <v>0</v>
      </c>
      <c r="O13" s="91" t="n">
        <v>0</v>
      </c>
      <c r="P13" s="92" t="n">
        <f aca="false">M13-(N13+O13)</f>
        <v>4.8</v>
      </c>
      <c r="Q13" s="87" t="n">
        <v>0</v>
      </c>
      <c r="R13" s="87" t="n">
        <v>0</v>
      </c>
      <c r="S13" s="6" t="n">
        <f aca="false">SUM(P13:R13)</f>
        <v>4.8</v>
      </c>
      <c r="T13" s="7"/>
      <c r="U13" s="87" t="n">
        <v>0</v>
      </c>
      <c r="V13" s="87" t="n">
        <v>13</v>
      </c>
      <c r="W13" s="7" t="n">
        <f aca="false">W12-V13</f>
        <v>2384</v>
      </c>
      <c r="X13" s="6" t="n">
        <f aca="false">N13+O13+S13+U13+V13</f>
        <v>17.8</v>
      </c>
      <c r="Y13" s="6" t="n">
        <f aca="false">IF(L13&lt;0,L13*-1,0)</f>
        <v>12.9254852533401</v>
      </c>
      <c r="Z13" s="6" t="n">
        <f aca="false">X13+Y13</f>
        <v>30.7254852533401</v>
      </c>
      <c r="AA13" s="60" t="n">
        <v>0</v>
      </c>
      <c r="AB13" s="72" t="n">
        <v>51</v>
      </c>
      <c r="AC13" s="73" t="n">
        <v>30</v>
      </c>
      <c r="AD13" s="13"/>
    </row>
    <row r="14" customFormat="false" ht="11.1" hidden="false" customHeight="true" outlineLevel="0" collapsed="false">
      <c r="A14" s="13" t="n">
        <f aca="false">A13+1</f>
        <v>3</v>
      </c>
      <c r="B14" s="74" t="n">
        <v>6857.19</v>
      </c>
      <c r="C14" s="67" t="n">
        <v>156767</v>
      </c>
      <c r="D14" s="72" t="n">
        <f aca="false">C14-C13</f>
        <v>67</v>
      </c>
      <c r="E14" s="67" t="n">
        <f aca="false">C14-152000</f>
        <v>4767</v>
      </c>
      <c r="F14" s="86" t="n">
        <f aca="false">D14/$D$2</f>
        <v>33.7786740610033</v>
      </c>
      <c r="G14" s="87" t="n">
        <v>61</v>
      </c>
      <c r="H14" s="88" t="n">
        <v>0</v>
      </c>
      <c r="I14" s="6" t="n">
        <f aca="false">G14+H14</f>
        <v>61</v>
      </c>
      <c r="J14" s="89" t="n">
        <f aca="false">IF(L14&gt;0,L14,0)</f>
        <v>0</v>
      </c>
      <c r="K14" s="6" t="n">
        <f aca="false">I14+J14</f>
        <v>61</v>
      </c>
      <c r="L14" s="6" t="n">
        <f aca="false">F14-(I14-X14)</f>
        <v>-9.42132593899672</v>
      </c>
      <c r="M14" s="90" t="n">
        <v>4.8</v>
      </c>
      <c r="N14" s="91" t="n">
        <v>0</v>
      </c>
      <c r="O14" s="91" t="n">
        <v>0</v>
      </c>
      <c r="P14" s="92" t="n">
        <f aca="false">M14-(N14+O14)</f>
        <v>4.8</v>
      </c>
      <c r="Q14" s="87" t="n">
        <v>0</v>
      </c>
      <c r="R14" s="87" t="n">
        <v>0</v>
      </c>
      <c r="S14" s="6" t="n">
        <f aca="false">SUM(P14:R14)</f>
        <v>4.8</v>
      </c>
      <c r="T14" s="7"/>
      <c r="U14" s="87" t="n">
        <v>0</v>
      </c>
      <c r="V14" s="87" t="n">
        <v>13</v>
      </c>
      <c r="W14" s="7" t="n">
        <f aca="false">W13-V14</f>
        <v>2371</v>
      </c>
      <c r="X14" s="6" t="n">
        <f aca="false">N14+O14+S14+U14+V14</f>
        <v>17.8</v>
      </c>
      <c r="Y14" s="6" t="n">
        <f aca="false">IF(L14&lt;0,L14*-1,0)</f>
        <v>9.42132593899672</v>
      </c>
      <c r="Z14" s="6" t="n">
        <f aca="false">X14+Y14</f>
        <v>27.2213259389967</v>
      </c>
      <c r="AA14" s="60" t="n">
        <v>0</v>
      </c>
      <c r="AB14" s="72" t="n">
        <v>46</v>
      </c>
      <c r="AC14" s="73" t="n">
        <v>32</v>
      </c>
      <c r="AD14" s="13"/>
    </row>
    <row r="15" customFormat="false" ht="11.1" hidden="false" customHeight="true" outlineLevel="0" collapsed="false">
      <c r="A15" s="13" t="n">
        <f aca="false">A14+1</f>
        <v>4</v>
      </c>
      <c r="B15" s="74" t="n">
        <v>6857.22</v>
      </c>
      <c r="C15" s="67" t="n">
        <v>156833</v>
      </c>
      <c r="D15" s="72" t="n">
        <f aca="false">C15-C14</f>
        <v>66</v>
      </c>
      <c r="E15" s="67" t="n">
        <f aca="false">C15-152000</f>
        <v>4833</v>
      </c>
      <c r="F15" s="86" t="n">
        <f aca="false">D15/$D$2</f>
        <v>33.2745147466599</v>
      </c>
      <c r="G15" s="87" t="n">
        <v>55</v>
      </c>
      <c r="H15" s="88" t="n">
        <v>0</v>
      </c>
      <c r="I15" s="6" t="n">
        <f aca="false">G15+H15</f>
        <v>55</v>
      </c>
      <c r="J15" s="89" t="n">
        <f aca="false">IF(L15&gt;0,L15,0)</f>
        <v>0</v>
      </c>
      <c r="K15" s="6" t="n">
        <f aca="false">I15+J15</f>
        <v>55</v>
      </c>
      <c r="L15" s="6" t="n">
        <f aca="false">F15-(I15-X15)</f>
        <v>-3.92548525334006</v>
      </c>
      <c r="M15" s="90" t="n">
        <v>4.8</v>
      </c>
      <c r="N15" s="91" t="n">
        <v>0</v>
      </c>
      <c r="O15" s="91" t="n">
        <v>0</v>
      </c>
      <c r="P15" s="92" t="n">
        <f aca="false">M15-(N15+O15)</f>
        <v>4.8</v>
      </c>
      <c r="Q15" s="87" t="n">
        <v>0</v>
      </c>
      <c r="R15" s="87" t="n">
        <v>0</v>
      </c>
      <c r="S15" s="6" t="n">
        <f aca="false">SUM(P15:R15)</f>
        <v>4.8</v>
      </c>
      <c r="T15" s="7"/>
      <c r="U15" s="87" t="n">
        <v>0</v>
      </c>
      <c r="V15" s="87" t="n">
        <v>13</v>
      </c>
      <c r="W15" s="7" t="n">
        <f aca="false">W14-V15</f>
        <v>2358</v>
      </c>
      <c r="X15" s="6" t="n">
        <f aca="false">N15+O15+S15+U15+V15</f>
        <v>17.8</v>
      </c>
      <c r="Y15" s="6" t="n">
        <f aca="false">IF(L15&lt;0,L15*-1,0)</f>
        <v>3.92548525334006</v>
      </c>
      <c r="Z15" s="6" t="n">
        <f aca="false">X15+Y15</f>
        <v>21.7254852533401</v>
      </c>
      <c r="AA15" s="60" t="n">
        <v>0</v>
      </c>
      <c r="AB15" s="72" t="n">
        <v>46</v>
      </c>
      <c r="AC15" s="73" t="n">
        <v>30</v>
      </c>
      <c r="AD15" s="13"/>
    </row>
    <row r="16" customFormat="false" ht="11.1" hidden="false" customHeight="true" outlineLevel="0" collapsed="false">
      <c r="A16" s="13" t="n">
        <f aca="false">A15+1</f>
        <v>5</v>
      </c>
      <c r="B16" s="74" t="n">
        <v>6857.25</v>
      </c>
      <c r="C16" s="67" t="n">
        <v>156900</v>
      </c>
      <c r="D16" s="72" t="n">
        <f aca="false">C16-C15</f>
        <v>67</v>
      </c>
      <c r="E16" s="67" t="n">
        <f aca="false">C16-152000</f>
        <v>4900</v>
      </c>
      <c r="F16" s="86" t="n">
        <f aca="false">D16/$D$2</f>
        <v>33.7786740610033</v>
      </c>
      <c r="G16" s="87" t="n">
        <v>55</v>
      </c>
      <c r="H16" s="88" t="n">
        <v>0</v>
      </c>
      <c r="I16" s="6" t="n">
        <f aca="false">G16+H16</f>
        <v>55</v>
      </c>
      <c r="J16" s="89" t="n">
        <f aca="false">IF(L16&gt;0,L16,0)</f>
        <v>0</v>
      </c>
      <c r="K16" s="6" t="n">
        <f aca="false">I16+J16</f>
        <v>55</v>
      </c>
      <c r="L16" s="6" t="n">
        <f aca="false">F16-(I16-X16)</f>
        <v>-3.72132593899672</v>
      </c>
      <c r="M16" s="90" t="n">
        <v>4.5</v>
      </c>
      <c r="N16" s="91" t="n">
        <v>0</v>
      </c>
      <c r="O16" s="91" t="n">
        <v>0</v>
      </c>
      <c r="P16" s="92" t="n">
        <f aca="false">M16-(N16+O16)</f>
        <v>4.5</v>
      </c>
      <c r="Q16" s="87" t="n">
        <v>0</v>
      </c>
      <c r="R16" s="87" t="n">
        <v>0</v>
      </c>
      <c r="S16" s="6" t="n">
        <f aca="false">SUM(P16:R16)</f>
        <v>4.5</v>
      </c>
      <c r="T16" s="7"/>
      <c r="U16" s="87" t="n">
        <v>0</v>
      </c>
      <c r="V16" s="87" t="n">
        <v>13</v>
      </c>
      <c r="W16" s="7" t="n">
        <f aca="false">W15-V16</f>
        <v>2345</v>
      </c>
      <c r="X16" s="6" t="n">
        <f aca="false">N16+O16+S16+U16+V16</f>
        <v>17.5</v>
      </c>
      <c r="Y16" s="6" t="n">
        <f aca="false">IF(L16&lt;0,L16*-1,0)</f>
        <v>3.72132593899672</v>
      </c>
      <c r="Z16" s="6" t="n">
        <f aca="false">X16+Y16</f>
        <v>21.2213259389967</v>
      </c>
      <c r="AA16" s="60" t="n">
        <v>0</v>
      </c>
      <c r="AB16" s="72" t="n">
        <v>51</v>
      </c>
      <c r="AC16" s="73" t="n">
        <v>20</v>
      </c>
      <c r="AD16" s="13"/>
    </row>
    <row r="17" customFormat="false" ht="11.1" hidden="false" customHeight="true" outlineLevel="0" collapsed="false">
      <c r="A17" s="13" t="n">
        <f aca="false">A16+1</f>
        <v>6</v>
      </c>
      <c r="B17" s="74" t="n">
        <v>6857.58</v>
      </c>
      <c r="C17" s="67" t="n">
        <v>156966</v>
      </c>
      <c r="D17" s="72" t="n">
        <f aca="false">C17-C16</f>
        <v>66</v>
      </c>
      <c r="E17" s="67" t="n">
        <f aca="false">C17-152000</f>
        <v>4966</v>
      </c>
      <c r="F17" s="86" t="n">
        <f aca="false">D17/$D$2</f>
        <v>33.2745147466599</v>
      </c>
      <c r="G17" s="87" t="n">
        <v>48</v>
      </c>
      <c r="H17" s="88" t="n">
        <v>0</v>
      </c>
      <c r="I17" s="6" t="n">
        <f aca="false">G17+H17</f>
        <v>48</v>
      </c>
      <c r="J17" s="89" t="n">
        <f aca="false">IF(L17&gt;0,L17,0)</f>
        <v>2.37451474665995</v>
      </c>
      <c r="K17" s="6" t="n">
        <f aca="false">I17+J17</f>
        <v>50.3745147466599</v>
      </c>
      <c r="L17" s="6" t="n">
        <f aca="false">F17-(I17-X17)</f>
        <v>2.37451474665995</v>
      </c>
      <c r="M17" s="90" t="n">
        <v>4.1</v>
      </c>
      <c r="N17" s="91" t="n">
        <v>0</v>
      </c>
      <c r="O17" s="91" t="n">
        <v>0</v>
      </c>
      <c r="P17" s="92" t="n">
        <f aca="false">M17-(N17+O17)</f>
        <v>4.1</v>
      </c>
      <c r="Q17" s="87" t="n">
        <v>0</v>
      </c>
      <c r="R17" s="87" t="n">
        <v>0</v>
      </c>
      <c r="S17" s="6" t="n">
        <f aca="false">SUM(P17:R17)</f>
        <v>4.1</v>
      </c>
      <c r="T17" s="7"/>
      <c r="U17" s="87" t="n">
        <v>0</v>
      </c>
      <c r="V17" s="87" t="n">
        <v>13</v>
      </c>
      <c r="W17" s="7" t="n">
        <f aca="false">W16-V17</f>
        <v>2332</v>
      </c>
      <c r="X17" s="6" t="n">
        <f aca="false">N17+O17+S17+U17+V17</f>
        <v>17.1</v>
      </c>
      <c r="Y17" s="6" t="n">
        <f aca="false">IF(L17&lt;0,L17*-1,0)</f>
        <v>0</v>
      </c>
      <c r="Z17" s="6" t="n">
        <f aca="false">X17+Y17</f>
        <v>17.1</v>
      </c>
      <c r="AA17" s="60" t="n">
        <v>0</v>
      </c>
      <c r="AB17" s="72" t="n">
        <v>52</v>
      </c>
      <c r="AC17" s="73" t="n">
        <v>23</v>
      </c>
      <c r="AD17" s="13"/>
    </row>
    <row r="18" customFormat="false" ht="11.1" hidden="false" customHeight="true" outlineLevel="0" collapsed="false">
      <c r="A18" s="13" t="n">
        <f aca="false">A17+1</f>
        <v>7</v>
      </c>
      <c r="B18" s="74" t="n">
        <v>6857.31</v>
      </c>
      <c r="C18" s="67" t="n">
        <v>157033</v>
      </c>
      <c r="D18" s="72" t="n">
        <f aca="false">C18-C17</f>
        <v>67</v>
      </c>
      <c r="E18" s="67" t="n">
        <f aca="false">C18-152000</f>
        <v>5033</v>
      </c>
      <c r="F18" s="86" t="n">
        <f aca="false">D18/$D$2</f>
        <v>33.7786740610033</v>
      </c>
      <c r="G18" s="87" t="n">
        <v>51</v>
      </c>
      <c r="H18" s="88" t="n">
        <v>0</v>
      </c>
      <c r="I18" s="6" t="n">
        <f aca="false">G18+H18</f>
        <v>51</v>
      </c>
      <c r="J18" s="89" t="n">
        <f aca="false">IF(L18&gt;0,L18,0)</f>
        <v>0.878674061003281</v>
      </c>
      <c r="K18" s="6" t="n">
        <f aca="false">I18+J18</f>
        <v>51.8786740610033</v>
      </c>
      <c r="L18" s="6" t="n">
        <f aca="false">F18-(I18-X18)</f>
        <v>0.878674061003281</v>
      </c>
      <c r="M18" s="90" t="n">
        <v>4.1</v>
      </c>
      <c r="N18" s="91" t="n">
        <v>0</v>
      </c>
      <c r="O18" s="91" t="n">
        <v>0</v>
      </c>
      <c r="P18" s="92" t="n">
        <f aca="false">M18-(N18+O18)</f>
        <v>4.1</v>
      </c>
      <c r="Q18" s="87" t="n">
        <v>0</v>
      </c>
      <c r="R18" s="87" t="n">
        <v>0</v>
      </c>
      <c r="S18" s="6" t="n">
        <f aca="false">SUM(P18:R18)</f>
        <v>4.1</v>
      </c>
      <c r="T18" s="7"/>
      <c r="U18" s="87" t="n">
        <v>0</v>
      </c>
      <c r="V18" s="87" t="n">
        <v>14</v>
      </c>
      <c r="W18" s="7" t="n">
        <f aca="false">W17-V18</f>
        <v>2318</v>
      </c>
      <c r="X18" s="6" t="n">
        <f aca="false">N18+O18+S18+U18+V18</f>
        <v>18.1</v>
      </c>
      <c r="Y18" s="6" t="n">
        <f aca="false">IF(L18&lt;0,L18*-1,0)</f>
        <v>0</v>
      </c>
      <c r="Z18" s="6" t="n">
        <f aca="false">X18+Y18</f>
        <v>18.1</v>
      </c>
      <c r="AA18" s="60" t="n">
        <v>0</v>
      </c>
      <c r="AB18" s="72" t="n">
        <v>59</v>
      </c>
      <c r="AC18" s="73" t="n">
        <v>29</v>
      </c>
      <c r="AD18" s="13"/>
    </row>
    <row r="19" customFormat="false" ht="11.1" hidden="false" customHeight="true" outlineLevel="0" collapsed="false">
      <c r="A19" s="13" t="n">
        <f aca="false">A18+1</f>
        <v>8</v>
      </c>
      <c r="B19" s="74" t="n">
        <v>6857.36</v>
      </c>
      <c r="C19" s="67" t="n">
        <v>157144</v>
      </c>
      <c r="D19" s="72" t="n">
        <f aca="false">C19-C18</f>
        <v>111</v>
      </c>
      <c r="E19" s="67" t="n">
        <f aca="false">C19-152000</f>
        <v>5144</v>
      </c>
      <c r="F19" s="86" t="n">
        <f aca="false">D19/$D$2</f>
        <v>55.9616838921099</v>
      </c>
      <c r="G19" s="87" t="n">
        <v>61</v>
      </c>
      <c r="H19" s="88" t="n">
        <v>0</v>
      </c>
      <c r="I19" s="6" t="n">
        <f aca="false">G19+H19</f>
        <v>61</v>
      </c>
      <c r="J19" s="89" t="n">
        <f aca="false">IF(L19&gt;0,L19,0)</f>
        <v>14.0616838921099</v>
      </c>
      <c r="K19" s="6" t="n">
        <f aca="false">I19+J19</f>
        <v>75.0616838921099</v>
      </c>
      <c r="L19" s="6" t="n">
        <f aca="false">F19-(I19-X19)</f>
        <v>14.0616838921099</v>
      </c>
      <c r="M19" s="90" t="n">
        <v>4.1</v>
      </c>
      <c r="N19" s="91" t="n">
        <v>0</v>
      </c>
      <c r="O19" s="91" t="n">
        <v>0</v>
      </c>
      <c r="P19" s="92" t="n">
        <f aca="false">M19-(N19+O19)</f>
        <v>4.1</v>
      </c>
      <c r="Q19" s="87" t="n">
        <v>0</v>
      </c>
      <c r="R19" s="87" t="n">
        <v>0</v>
      </c>
      <c r="S19" s="6" t="n">
        <f aca="false">SUM(P19:R19)</f>
        <v>4.1</v>
      </c>
      <c r="T19" s="7"/>
      <c r="U19" s="87" t="n">
        <v>0</v>
      </c>
      <c r="V19" s="87" t="n">
        <v>15</v>
      </c>
      <c r="W19" s="7" t="n">
        <f aca="false">W18-V19</f>
        <v>2303</v>
      </c>
      <c r="X19" s="6" t="n">
        <f aca="false">N19+O19+S19+U19+V19</f>
        <v>19.1</v>
      </c>
      <c r="Y19" s="6" t="n">
        <f aca="false">IF(L19&lt;0,L19*-1,0)</f>
        <v>0</v>
      </c>
      <c r="Z19" s="6" t="n">
        <f aca="false">X19+Y19</f>
        <v>19.1</v>
      </c>
      <c r="AA19" s="60" t="n">
        <v>0.4</v>
      </c>
      <c r="AB19" s="72" t="n">
        <v>47</v>
      </c>
      <c r="AC19" s="73" t="n">
        <v>34</v>
      </c>
      <c r="AD19" s="13"/>
    </row>
    <row r="20" customFormat="false" ht="11.1" hidden="false" customHeight="true" outlineLevel="0" collapsed="false">
      <c r="A20" s="13" t="n">
        <f aca="false">A19+1</f>
        <v>9</v>
      </c>
      <c r="B20" s="74" t="n">
        <v>6857.46</v>
      </c>
      <c r="C20" s="67" t="n">
        <v>157365</v>
      </c>
      <c r="D20" s="72" t="n">
        <f aca="false">C20-C19</f>
        <v>221</v>
      </c>
      <c r="E20" s="67" t="n">
        <f aca="false">C20-152000</f>
        <v>5365</v>
      </c>
      <c r="F20" s="86" t="n">
        <f aca="false">D20/$D$2</f>
        <v>111.419208469876</v>
      </c>
      <c r="G20" s="87" t="n">
        <v>97</v>
      </c>
      <c r="H20" s="88" t="n">
        <v>0</v>
      </c>
      <c r="I20" s="6" t="n">
        <f aca="false">G20+H20</f>
        <v>97</v>
      </c>
      <c r="J20" s="89" t="n">
        <f aca="false">IF(L20&gt;0,L20,0)</f>
        <v>33.5192084698765</v>
      </c>
      <c r="K20" s="6" t="n">
        <f aca="false">I20+J20</f>
        <v>130.519208469876</v>
      </c>
      <c r="L20" s="6" t="n">
        <f aca="false">F20-(I20-X20)</f>
        <v>33.5192084698765</v>
      </c>
      <c r="M20" s="90" t="n">
        <v>4.1</v>
      </c>
      <c r="N20" s="91" t="n">
        <v>0</v>
      </c>
      <c r="O20" s="91" t="n">
        <v>0</v>
      </c>
      <c r="P20" s="92" t="n">
        <f aca="false">M20-(N20+O20)</f>
        <v>4.1</v>
      </c>
      <c r="Q20" s="87" t="n">
        <v>0</v>
      </c>
      <c r="R20" s="87" t="n">
        <v>0</v>
      </c>
      <c r="S20" s="6" t="n">
        <f aca="false">SUM(P20:R20)</f>
        <v>4.1</v>
      </c>
      <c r="T20" s="7"/>
      <c r="U20" s="87" t="n">
        <v>0</v>
      </c>
      <c r="V20" s="87" t="n">
        <v>15</v>
      </c>
      <c r="W20" s="7" t="n">
        <f aca="false">W19-V20</f>
        <v>2288</v>
      </c>
      <c r="X20" s="6" t="n">
        <f aca="false">N20+O20+S20+U20+V20</f>
        <v>19.1</v>
      </c>
      <c r="Y20" s="6" t="n">
        <f aca="false">IF(L20&lt;0,L20*-1,0)</f>
        <v>0</v>
      </c>
      <c r="Z20" s="6" t="n">
        <f aca="false">X20+Y20</f>
        <v>19.1</v>
      </c>
      <c r="AA20" s="60" t="n">
        <v>0.72</v>
      </c>
      <c r="AB20" s="94" t="n">
        <v>54</v>
      </c>
      <c r="AC20" s="73" t="n">
        <v>34</v>
      </c>
      <c r="AD20" s="13"/>
    </row>
    <row r="21" customFormat="false" ht="11.1" hidden="false" customHeight="true" outlineLevel="0" collapsed="false">
      <c r="A21" s="13" t="n">
        <f aca="false">A20+1</f>
        <v>10</v>
      </c>
      <c r="B21" s="74" t="n">
        <v>6857.53</v>
      </c>
      <c r="C21" s="67" t="n">
        <v>157521</v>
      </c>
      <c r="D21" s="72" t="n">
        <f aca="false">C21-C20</f>
        <v>156</v>
      </c>
      <c r="E21" s="67" t="n">
        <f aca="false">C21-152000</f>
        <v>5521</v>
      </c>
      <c r="F21" s="86" t="n">
        <f aca="false">D21/$D$2</f>
        <v>78.6488530375599</v>
      </c>
      <c r="G21" s="87" t="n">
        <v>96</v>
      </c>
      <c r="H21" s="88" t="n">
        <v>0</v>
      </c>
      <c r="I21" s="6" t="n">
        <f aca="false">G21+H21</f>
        <v>96</v>
      </c>
      <c r="J21" s="89" t="n">
        <f aca="false">IF(L21&gt;0,L21,0)</f>
        <v>0.748853037559869</v>
      </c>
      <c r="K21" s="6" t="n">
        <f aca="false">I21+J21</f>
        <v>96.7488530375599</v>
      </c>
      <c r="L21" s="6" t="n">
        <f aca="false">F21-(I21-X21)</f>
        <v>0.748853037559869</v>
      </c>
      <c r="M21" s="90" t="n">
        <v>4.1</v>
      </c>
      <c r="N21" s="91" t="n">
        <v>0</v>
      </c>
      <c r="O21" s="91" t="n">
        <v>0</v>
      </c>
      <c r="P21" s="92" t="n">
        <f aca="false">M21-(N21+O21)</f>
        <v>4.1</v>
      </c>
      <c r="Q21" s="87" t="n">
        <v>0</v>
      </c>
      <c r="R21" s="87" t="n">
        <v>0</v>
      </c>
      <c r="S21" s="6" t="n">
        <f aca="false">SUM(P21:R21)</f>
        <v>4.1</v>
      </c>
      <c r="T21" s="7"/>
      <c r="U21" s="87" t="n">
        <v>0</v>
      </c>
      <c r="V21" s="87" t="n">
        <v>14</v>
      </c>
      <c r="W21" s="7" t="n">
        <f aca="false">W20-V21</f>
        <v>2274</v>
      </c>
      <c r="X21" s="6" t="n">
        <f aca="false">N21+O21+S21+U21+V21</f>
        <v>18.1</v>
      </c>
      <c r="Y21" s="6" t="n">
        <f aca="false">IF(L21&lt;0,L21*-1,0)</f>
        <v>0</v>
      </c>
      <c r="Z21" s="6" t="n">
        <f aca="false">X21+Y21</f>
        <v>18.1</v>
      </c>
      <c r="AA21" s="60" t="n">
        <v>0.03</v>
      </c>
      <c r="AB21" s="72" t="n">
        <v>43</v>
      </c>
      <c r="AC21" s="73" t="n">
        <v>27</v>
      </c>
      <c r="AD21" s="13"/>
    </row>
    <row r="22" customFormat="false" ht="11.1" hidden="false" customHeight="true" outlineLevel="0" collapsed="false">
      <c r="A22" s="13" t="n">
        <f aca="false">A21+1</f>
        <v>11</v>
      </c>
      <c r="B22" s="74" t="n">
        <v>6857.53</v>
      </c>
      <c r="C22" s="67" t="n">
        <v>157521</v>
      </c>
      <c r="D22" s="72" t="n">
        <f aca="false">C22-C21</f>
        <v>0</v>
      </c>
      <c r="E22" s="67" t="n">
        <f aca="false">C22-152000</f>
        <v>5521</v>
      </c>
      <c r="F22" s="86" t="n">
        <f aca="false">D22/$D$2</f>
        <v>0</v>
      </c>
      <c r="G22" s="87" t="n">
        <v>76</v>
      </c>
      <c r="H22" s="88" t="n">
        <v>0</v>
      </c>
      <c r="I22" s="6" t="n">
        <f aca="false">G22+H22</f>
        <v>76</v>
      </c>
      <c r="J22" s="89" t="n">
        <f aca="false">IF(L22&gt;0,L22,0)</f>
        <v>0</v>
      </c>
      <c r="K22" s="6" t="n">
        <f aca="false">I22+J22</f>
        <v>76</v>
      </c>
      <c r="L22" s="6" t="n">
        <f aca="false">F22-(I22-X22)</f>
        <v>-21</v>
      </c>
      <c r="M22" s="90" t="n">
        <v>22</v>
      </c>
      <c r="N22" s="91" t="n">
        <v>0</v>
      </c>
      <c r="O22" s="91" t="n">
        <v>0</v>
      </c>
      <c r="P22" s="92" t="n">
        <f aca="false">M22-(N22+O22)</f>
        <v>22</v>
      </c>
      <c r="Q22" s="87" t="n">
        <v>9</v>
      </c>
      <c r="R22" s="87" t="n">
        <v>10</v>
      </c>
      <c r="S22" s="6" t="n">
        <f aca="false">SUM(P22:R22)</f>
        <v>41</v>
      </c>
      <c r="T22" s="7"/>
      <c r="U22" s="87" t="n">
        <v>0</v>
      </c>
      <c r="V22" s="87" t="n">
        <v>14</v>
      </c>
      <c r="W22" s="7" t="n">
        <f aca="false">W21-V22</f>
        <v>2260</v>
      </c>
      <c r="X22" s="6" t="n">
        <f aca="false">N22+O22+S22+U22+V22</f>
        <v>55</v>
      </c>
      <c r="Y22" s="6" t="n">
        <f aca="false">IF(L22&lt;0,L22*-1,0)</f>
        <v>21</v>
      </c>
      <c r="Z22" s="6" t="n">
        <f aca="false">X22+Y22</f>
        <v>76</v>
      </c>
      <c r="AA22" s="60" t="n">
        <v>0</v>
      </c>
      <c r="AB22" s="72" t="n">
        <v>42</v>
      </c>
      <c r="AC22" s="73" t="n">
        <v>27</v>
      </c>
      <c r="AD22" s="13"/>
    </row>
    <row r="23" customFormat="false" ht="11.1" hidden="false" customHeight="true" outlineLevel="0" collapsed="false">
      <c r="A23" s="13" t="n">
        <f aca="false">A22+1</f>
        <v>12</v>
      </c>
      <c r="B23" s="74" t="n">
        <v>6857.52</v>
      </c>
      <c r="C23" s="67" t="n">
        <v>157498</v>
      </c>
      <c r="D23" s="72" t="n">
        <f aca="false">C23-C22</f>
        <v>-23</v>
      </c>
      <c r="E23" s="67" t="n">
        <f aca="false">C23-152000</f>
        <v>5498</v>
      </c>
      <c r="F23" s="86" t="n">
        <f aca="false">D23/$D$2</f>
        <v>-11.5956642298966</v>
      </c>
      <c r="G23" s="87" t="n">
        <v>59</v>
      </c>
      <c r="H23" s="88" t="n">
        <v>0</v>
      </c>
      <c r="I23" s="6" t="n">
        <f aca="false">G23+H23</f>
        <v>59</v>
      </c>
      <c r="J23" s="89" t="n">
        <f aca="false">IF(L23&gt;0,L23,0)</f>
        <v>3.40433577010335</v>
      </c>
      <c r="K23" s="6" t="n">
        <f aca="false">I23+J23</f>
        <v>62.4043357701034</v>
      </c>
      <c r="L23" s="6" t="n">
        <f aca="false">F23-(I23-X23)</f>
        <v>3.40433577010335</v>
      </c>
      <c r="M23" s="90" t="n">
        <v>28</v>
      </c>
      <c r="N23" s="91" t="n">
        <v>0</v>
      </c>
      <c r="O23" s="91" t="n">
        <v>0</v>
      </c>
      <c r="P23" s="92" t="n">
        <f aca="false">M23-(N23+O23)</f>
        <v>28</v>
      </c>
      <c r="Q23" s="87" t="n">
        <v>17</v>
      </c>
      <c r="R23" s="87" t="n">
        <v>15</v>
      </c>
      <c r="S23" s="6" t="n">
        <f aca="false">SUM(P23:R23)</f>
        <v>60</v>
      </c>
      <c r="T23" s="7"/>
      <c r="U23" s="87" t="n">
        <v>0</v>
      </c>
      <c r="V23" s="87" t="n">
        <v>14</v>
      </c>
      <c r="W23" s="7" t="n">
        <f aca="false">W22-V23</f>
        <v>2246</v>
      </c>
      <c r="X23" s="6" t="n">
        <f aca="false">N23+O23+S23+U23+V23</f>
        <v>74</v>
      </c>
      <c r="Y23" s="6" t="n">
        <f aca="false">IF(L23&lt;0,L23*-1,0)</f>
        <v>0</v>
      </c>
      <c r="Z23" s="6" t="n">
        <f aca="false">X23+Y23</f>
        <v>74</v>
      </c>
      <c r="AA23" s="60" t="n">
        <v>0</v>
      </c>
      <c r="AB23" s="72" t="n">
        <v>46</v>
      </c>
      <c r="AC23" s="73" t="n">
        <v>22</v>
      </c>
      <c r="AD23" s="13"/>
    </row>
    <row r="24" customFormat="false" ht="11.1" hidden="false" customHeight="true" outlineLevel="0" collapsed="false">
      <c r="A24" s="13" t="n">
        <f aca="false">A23+1</f>
        <v>13</v>
      </c>
      <c r="B24" s="74" t="n">
        <v>6857.51</v>
      </c>
      <c r="C24" s="67" t="n">
        <v>157476</v>
      </c>
      <c r="D24" s="72" t="n">
        <f aca="false">C24-C23</f>
        <v>-22</v>
      </c>
      <c r="E24" s="67" t="n">
        <f aca="false">C24-152000</f>
        <v>5476</v>
      </c>
      <c r="F24" s="86" t="n">
        <f aca="false">D24/$D$2</f>
        <v>-11.0915049155533</v>
      </c>
      <c r="G24" s="87" t="n">
        <v>61</v>
      </c>
      <c r="H24" s="88" t="n">
        <v>0</v>
      </c>
      <c r="I24" s="6" t="n">
        <f aca="false">G24+H24</f>
        <v>61</v>
      </c>
      <c r="J24" s="89" t="n">
        <f aca="false">IF(L24&gt;0,L24,0)</f>
        <v>4.90849508444668</v>
      </c>
      <c r="K24" s="6" t="n">
        <f aca="false">I24+J24</f>
        <v>65.9084950844467</v>
      </c>
      <c r="L24" s="6" t="n">
        <f aca="false">F24-(I24-X24)</f>
        <v>4.90849508444668</v>
      </c>
      <c r="M24" s="90" t="n">
        <v>27</v>
      </c>
      <c r="N24" s="91" t="n">
        <v>0</v>
      </c>
      <c r="O24" s="91" t="n">
        <v>0</v>
      </c>
      <c r="P24" s="92" t="n">
        <f aca="false">M24-(N24+O24)</f>
        <v>27</v>
      </c>
      <c r="Q24" s="87" t="n">
        <v>21</v>
      </c>
      <c r="R24" s="87" t="n">
        <v>15</v>
      </c>
      <c r="S24" s="6" t="n">
        <f aca="false">SUM(P24:R24)</f>
        <v>63</v>
      </c>
      <c r="T24" s="7"/>
      <c r="U24" s="87" t="n">
        <v>0</v>
      </c>
      <c r="V24" s="87" t="n">
        <v>14</v>
      </c>
      <c r="W24" s="7" t="n">
        <f aca="false">W23-V24</f>
        <v>2232</v>
      </c>
      <c r="X24" s="6" t="n">
        <f aca="false">N24+O24+S24+U24+V24</f>
        <v>77</v>
      </c>
      <c r="Y24" s="6" t="n">
        <f aca="false">IF(L24&lt;0,L24*-1,0)</f>
        <v>0</v>
      </c>
      <c r="Z24" s="6" t="n">
        <f aca="false">X24+Y24</f>
        <v>77</v>
      </c>
      <c r="AA24" s="60" t="n">
        <v>0</v>
      </c>
      <c r="AB24" s="72" t="n">
        <v>48</v>
      </c>
      <c r="AC24" s="73" t="n">
        <v>28</v>
      </c>
      <c r="AD24" s="13"/>
    </row>
    <row r="25" customFormat="false" ht="11.1" hidden="false" customHeight="true" outlineLevel="0" collapsed="false">
      <c r="A25" s="13" t="n">
        <f aca="false">A24+1</f>
        <v>14</v>
      </c>
      <c r="B25" s="74" t="n">
        <v>6857.52</v>
      </c>
      <c r="C25" s="67" t="n">
        <v>157498</v>
      </c>
      <c r="D25" s="72" t="n">
        <f aca="false">C25-C24</f>
        <v>22</v>
      </c>
      <c r="E25" s="67" t="n">
        <f aca="false">C25-152000</f>
        <v>5498</v>
      </c>
      <c r="F25" s="86" t="n">
        <f aca="false">D25/$D$2</f>
        <v>11.0915049155533</v>
      </c>
      <c r="G25" s="87" t="n">
        <v>70</v>
      </c>
      <c r="H25" s="88" t="n">
        <v>0</v>
      </c>
      <c r="I25" s="6" t="n">
        <f aca="false">G25+H25</f>
        <v>70</v>
      </c>
      <c r="J25" s="89" t="n">
        <f aca="false">IF(L25&gt;0,L25,0)</f>
        <v>0</v>
      </c>
      <c r="K25" s="6" t="n">
        <f aca="false">I25+J25</f>
        <v>70</v>
      </c>
      <c r="L25" s="6" t="n">
        <f aca="false">F25-(I25-X25)</f>
        <v>-0.908495084446685</v>
      </c>
      <c r="M25" s="90" t="n">
        <v>18</v>
      </c>
      <c r="N25" s="91" t="n">
        <v>0</v>
      </c>
      <c r="O25" s="91" t="n">
        <v>0</v>
      </c>
      <c r="P25" s="92" t="n">
        <f aca="false">M25-(N25+O25)</f>
        <v>18</v>
      </c>
      <c r="Q25" s="87" t="n">
        <v>15</v>
      </c>
      <c r="R25" s="87" t="n">
        <v>11</v>
      </c>
      <c r="S25" s="6" t="n">
        <f aca="false">SUM(P25:R25)</f>
        <v>44</v>
      </c>
      <c r="T25" s="7"/>
      <c r="U25" s="87" t="n">
        <v>0</v>
      </c>
      <c r="V25" s="87" t="n">
        <v>14</v>
      </c>
      <c r="W25" s="7" t="n">
        <f aca="false">W24-V25</f>
        <v>2218</v>
      </c>
      <c r="X25" s="6" t="n">
        <f aca="false">N25+O25+S25+U25+V25</f>
        <v>58</v>
      </c>
      <c r="Y25" s="6" t="n">
        <f aca="false">IF(L25&lt;0,L25*-1,0)</f>
        <v>0.908495084446685</v>
      </c>
      <c r="Z25" s="6" t="n">
        <f aca="false">X25+Y25</f>
        <v>58.9084950844467</v>
      </c>
      <c r="AA25" s="60" t="n">
        <v>0</v>
      </c>
      <c r="AB25" s="94" t="n">
        <v>45</v>
      </c>
      <c r="AC25" s="73" t="n">
        <v>29</v>
      </c>
      <c r="AD25" s="13"/>
    </row>
    <row r="26" customFormat="false" ht="11.1" hidden="false" customHeight="true" outlineLevel="0" collapsed="false">
      <c r="A26" s="13" t="n">
        <f aca="false">A25+1</f>
        <v>15</v>
      </c>
      <c r="B26" s="74" t="n">
        <v>6857.55</v>
      </c>
      <c r="C26" s="67" t="n">
        <v>157565</v>
      </c>
      <c r="D26" s="72" t="n">
        <f aca="false">C26-C25</f>
        <v>67</v>
      </c>
      <c r="E26" s="67" t="n">
        <f aca="false">C26-152000</f>
        <v>5565</v>
      </c>
      <c r="F26" s="86" t="n">
        <f aca="false">D26/$D$2</f>
        <v>33.7786740610033</v>
      </c>
      <c r="G26" s="87" t="n">
        <v>68</v>
      </c>
      <c r="H26" s="88" t="n">
        <v>0</v>
      </c>
      <c r="I26" s="6" t="n">
        <f aca="false">G26+H26</f>
        <v>68</v>
      </c>
      <c r="J26" s="89" t="n">
        <f aca="false">IF(L26&gt;0,L26,0)</f>
        <v>0</v>
      </c>
      <c r="K26" s="6" t="n">
        <f aca="false">I26+J26</f>
        <v>68</v>
      </c>
      <c r="L26" s="6" t="n">
        <f aca="false">F26-(I26-X26)</f>
        <v>-15.4213259389967</v>
      </c>
      <c r="M26" s="90" t="n">
        <v>4.8</v>
      </c>
      <c r="N26" s="91" t="n">
        <v>0</v>
      </c>
      <c r="O26" s="91" t="n">
        <v>0</v>
      </c>
      <c r="P26" s="92" t="n">
        <f aca="false">M26-(N26+O26)</f>
        <v>4.8</v>
      </c>
      <c r="Q26" s="87" t="n">
        <v>0</v>
      </c>
      <c r="R26" s="87" t="n">
        <v>0</v>
      </c>
      <c r="S26" s="6" t="n">
        <f aca="false">SUM(P26:R26)</f>
        <v>4.8</v>
      </c>
      <c r="T26" s="7"/>
      <c r="U26" s="87" t="n">
        <v>0</v>
      </c>
      <c r="V26" s="87" t="n">
        <v>14</v>
      </c>
      <c r="W26" s="7" t="n">
        <f aca="false">W25-V26</f>
        <v>2204</v>
      </c>
      <c r="X26" s="6" t="n">
        <f aca="false">N26+O26+S26+U26+V26</f>
        <v>18.8</v>
      </c>
      <c r="Y26" s="6" t="n">
        <f aca="false">IF(L26&lt;0,L26*-1,0)</f>
        <v>15.4213259389967</v>
      </c>
      <c r="Z26" s="6" t="n">
        <f aca="false">X26+Y26</f>
        <v>34.2213259389967</v>
      </c>
      <c r="AA26" s="60" t="n">
        <v>0</v>
      </c>
      <c r="AB26" s="94" t="n">
        <v>41</v>
      </c>
      <c r="AC26" s="73" t="n">
        <v>26</v>
      </c>
      <c r="AD26" s="13"/>
    </row>
    <row r="27" customFormat="false" ht="11.1" hidden="false" customHeight="true" outlineLevel="0" collapsed="false">
      <c r="A27" s="13" t="n">
        <f aca="false">A26+1</f>
        <v>16</v>
      </c>
      <c r="B27" s="74" t="n">
        <v>6857.58</v>
      </c>
      <c r="C27" s="67" t="n">
        <v>157631</v>
      </c>
      <c r="D27" s="72" t="n">
        <f aca="false">C27-C26</f>
        <v>66</v>
      </c>
      <c r="E27" s="67" t="n">
        <f aca="false">C27-152000</f>
        <v>5631</v>
      </c>
      <c r="F27" s="86" t="n">
        <f aca="false">D27/$D$2</f>
        <v>33.2745147466599</v>
      </c>
      <c r="G27" s="87" t="n">
        <v>50</v>
      </c>
      <c r="H27" s="88" t="n">
        <v>0</v>
      </c>
      <c r="I27" s="6" t="n">
        <f aca="false">G27+H27</f>
        <v>50</v>
      </c>
      <c r="J27" s="89" t="n">
        <f aca="false">IF(L27&gt;0,L27,0)</f>
        <v>2.07451474665995</v>
      </c>
      <c r="K27" s="6" t="n">
        <f aca="false">I27+J27</f>
        <v>52.0745147466599</v>
      </c>
      <c r="L27" s="6" t="n">
        <f aca="false">F27-(I27-X27)</f>
        <v>2.07451474665995</v>
      </c>
      <c r="M27" s="90" t="n">
        <v>4.8</v>
      </c>
      <c r="N27" s="91" t="n">
        <v>0</v>
      </c>
      <c r="O27" s="91" t="n">
        <v>0</v>
      </c>
      <c r="P27" s="92" t="n">
        <f aca="false">M27-(N27+O27)</f>
        <v>4.8</v>
      </c>
      <c r="Q27" s="87" t="n">
        <v>0</v>
      </c>
      <c r="R27" s="87" t="n">
        <v>0</v>
      </c>
      <c r="S27" s="6" t="n">
        <f aca="false">SUM(P27:R27)</f>
        <v>4.8</v>
      </c>
      <c r="T27" s="7"/>
      <c r="U27" s="87" t="n">
        <v>0</v>
      </c>
      <c r="V27" s="87" t="n">
        <v>14</v>
      </c>
      <c r="W27" s="7" t="n">
        <f aca="false">W26-V27</f>
        <v>2190</v>
      </c>
      <c r="X27" s="6" t="n">
        <f aca="false">N27+O27+S27+U27+V27</f>
        <v>18.8</v>
      </c>
      <c r="Y27" s="6" t="n">
        <f aca="false">IF(L27&lt;0,L27*-1,0)</f>
        <v>0</v>
      </c>
      <c r="Z27" s="6" t="n">
        <f aca="false">X27+Y27</f>
        <v>18.8</v>
      </c>
      <c r="AA27" s="60" t="n">
        <v>0</v>
      </c>
      <c r="AB27" s="94" t="n">
        <v>43</v>
      </c>
      <c r="AC27" s="73" t="n">
        <v>24</v>
      </c>
      <c r="AD27" s="13"/>
    </row>
    <row r="28" customFormat="false" ht="11.1" hidden="false" customHeight="true" outlineLevel="0" collapsed="false">
      <c r="A28" s="13" t="n">
        <f aca="false">A27+1</f>
        <v>17</v>
      </c>
      <c r="B28" s="74" t="n">
        <v>6857.61</v>
      </c>
      <c r="C28" s="67" t="n">
        <v>157698</v>
      </c>
      <c r="D28" s="72" t="n">
        <f aca="false">C28-C27</f>
        <v>67</v>
      </c>
      <c r="E28" s="67" t="n">
        <f aca="false">C28-152000</f>
        <v>5698</v>
      </c>
      <c r="F28" s="86" t="n">
        <f aca="false">D28/$D$2</f>
        <v>33.7786740610033</v>
      </c>
      <c r="G28" s="87" t="n">
        <v>47</v>
      </c>
      <c r="H28" s="88" t="n">
        <v>0</v>
      </c>
      <c r="I28" s="6" t="n">
        <f aca="false">G28+H28</f>
        <v>47</v>
      </c>
      <c r="J28" s="89" t="n">
        <f aca="false">IF(L28&gt;0,L28,0)</f>
        <v>5.37867406100328</v>
      </c>
      <c r="K28" s="6" t="n">
        <f aca="false">I28+J28</f>
        <v>52.3786740610033</v>
      </c>
      <c r="L28" s="6" t="n">
        <f aca="false">F28-(I28-X28)</f>
        <v>5.37867406100328</v>
      </c>
      <c r="M28" s="90" t="n">
        <v>4.6</v>
      </c>
      <c r="N28" s="91" t="n">
        <v>0</v>
      </c>
      <c r="O28" s="91" t="n">
        <v>0</v>
      </c>
      <c r="P28" s="92" t="n">
        <f aca="false">M28-(N28+O28)</f>
        <v>4.6</v>
      </c>
      <c r="Q28" s="87" t="n">
        <v>0</v>
      </c>
      <c r="R28" s="87" t="n">
        <v>0</v>
      </c>
      <c r="S28" s="6" t="n">
        <f aca="false">SUM(P28:R28)</f>
        <v>4.6</v>
      </c>
      <c r="T28" s="7"/>
      <c r="U28" s="87" t="n">
        <v>0</v>
      </c>
      <c r="V28" s="87" t="n">
        <v>14</v>
      </c>
      <c r="W28" s="7" t="n">
        <f aca="false">W27-V28</f>
        <v>2176</v>
      </c>
      <c r="X28" s="6" t="n">
        <f aca="false">N28+O28+S28+U28+V28</f>
        <v>18.6</v>
      </c>
      <c r="Y28" s="6" t="n">
        <f aca="false">IF(L28&lt;0,L28*-1,0)</f>
        <v>0</v>
      </c>
      <c r="Z28" s="6" t="n">
        <f aca="false">X28+Y28</f>
        <v>18.6</v>
      </c>
      <c r="AA28" s="60" t="n">
        <v>0</v>
      </c>
      <c r="AB28" s="94" t="n">
        <v>49</v>
      </c>
      <c r="AC28" s="73" t="n">
        <v>27</v>
      </c>
      <c r="AD28" s="13"/>
    </row>
    <row r="29" customFormat="false" ht="11.1" hidden="false" customHeight="true" outlineLevel="0" collapsed="false">
      <c r="A29" s="13" t="n">
        <f aca="false">A28+1</f>
        <v>18</v>
      </c>
      <c r="B29" s="74" t="n">
        <v>6857.62</v>
      </c>
      <c r="C29" s="67" t="n">
        <v>157720</v>
      </c>
      <c r="D29" s="72" t="n">
        <f aca="false">C29-C28</f>
        <v>22</v>
      </c>
      <c r="E29" s="67" t="n">
        <f aca="false">C29-152000</f>
        <v>5720</v>
      </c>
      <c r="F29" s="86" t="n">
        <f aca="false">D29/$D$2</f>
        <v>11.0915049155533</v>
      </c>
      <c r="G29" s="87" t="n">
        <v>47</v>
      </c>
      <c r="H29" s="88" t="n">
        <v>0</v>
      </c>
      <c r="I29" s="6" t="n">
        <f aca="false">G29+H29</f>
        <v>47</v>
      </c>
      <c r="J29" s="89" t="n">
        <f aca="false">IF(L29&gt;0,L29,0)</f>
        <v>0</v>
      </c>
      <c r="K29" s="6" t="n">
        <f aca="false">I29+J29</f>
        <v>47</v>
      </c>
      <c r="L29" s="6" t="n">
        <f aca="false">F29-(I29-X29)</f>
        <v>-17.5084950844467</v>
      </c>
      <c r="M29" s="90" t="n">
        <v>4.4</v>
      </c>
      <c r="N29" s="91" t="n">
        <v>0</v>
      </c>
      <c r="O29" s="91" t="n">
        <v>0</v>
      </c>
      <c r="P29" s="92" t="n">
        <f aca="false">M29-(N29+O29)</f>
        <v>4.4</v>
      </c>
      <c r="Q29" s="87" t="n">
        <v>0</v>
      </c>
      <c r="R29" s="87" t="n">
        <v>0</v>
      </c>
      <c r="S29" s="6" t="n">
        <f aca="false">SUM(P29:R29)</f>
        <v>4.4</v>
      </c>
      <c r="T29" s="7"/>
      <c r="U29" s="87" t="n">
        <v>0</v>
      </c>
      <c r="V29" s="87" t="n">
        <v>14</v>
      </c>
      <c r="W29" s="7" t="n">
        <f aca="false">W28-V29</f>
        <v>2162</v>
      </c>
      <c r="X29" s="6" t="n">
        <f aca="false">N29+O29+S29+U29+V29</f>
        <v>18.4</v>
      </c>
      <c r="Y29" s="6" t="n">
        <f aca="false">IF(L29&lt;0,L29*-1,0)</f>
        <v>17.5084950844467</v>
      </c>
      <c r="Z29" s="6" t="n">
        <f aca="false">X29+Y29</f>
        <v>35.9084950844467</v>
      </c>
      <c r="AA29" s="60" t="n">
        <v>0</v>
      </c>
      <c r="AB29" s="94" t="n">
        <v>52</v>
      </c>
      <c r="AC29" s="73" t="n">
        <v>25</v>
      </c>
      <c r="AD29" s="13"/>
    </row>
    <row r="30" customFormat="false" ht="11.1" hidden="false" customHeight="true" outlineLevel="0" collapsed="false">
      <c r="A30" s="13" t="n">
        <f aca="false">A29+1</f>
        <v>19</v>
      </c>
      <c r="B30" s="74" t="n">
        <v>6857.64</v>
      </c>
      <c r="C30" s="67" t="n">
        <v>157764</v>
      </c>
      <c r="D30" s="72" t="n">
        <f aca="false">C30-C29</f>
        <v>44</v>
      </c>
      <c r="E30" s="67" t="n">
        <f aca="false">C30-152000</f>
        <v>5764</v>
      </c>
      <c r="F30" s="86" t="n">
        <f aca="false">D30/$D$2</f>
        <v>22.1830098311066</v>
      </c>
      <c r="G30" s="87" t="n">
        <v>51</v>
      </c>
      <c r="H30" s="88" t="n">
        <v>0</v>
      </c>
      <c r="I30" s="6" t="n">
        <f aca="false">G30+H30</f>
        <v>51</v>
      </c>
      <c r="J30" s="89" t="n">
        <f aca="false">IF(L30&gt;0,L30,0)</f>
        <v>0</v>
      </c>
      <c r="K30" s="6" t="n">
        <f aca="false">I30+J30</f>
        <v>51</v>
      </c>
      <c r="L30" s="6" t="n">
        <f aca="false">F30-(I30-X30)</f>
        <v>-9.41699016889337</v>
      </c>
      <c r="M30" s="90" t="n">
        <v>4.4</v>
      </c>
      <c r="N30" s="91" t="n">
        <v>0</v>
      </c>
      <c r="O30" s="91" t="n">
        <v>0</v>
      </c>
      <c r="P30" s="92" t="n">
        <f aca="false">M30-(N30+O30)</f>
        <v>4.4</v>
      </c>
      <c r="Q30" s="87" t="n">
        <v>0</v>
      </c>
      <c r="R30" s="87" t="n">
        <v>0</v>
      </c>
      <c r="S30" s="6" t="n">
        <f aca="false">SUM(P30:R30)</f>
        <v>4.4</v>
      </c>
      <c r="T30" s="7"/>
      <c r="U30" s="87" t="n">
        <v>0</v>
      </c>
      <c r="V30" s="87" t="n">
        <v>15</v>
      </c>
      <c r="W30" s="7" t="n">
        <f aca="false">W29-V30</f>
        <v>2147</v>
      </c>
      <c r="X30" s="6" t="n">
        <f aca="false">N30+O30+S30+U30+V30</f>
        <v>19.4</v>
      </c>
      <c r="Y30" s="6" t="n">
        <f aca="false">IF(L30&lt;0,L30*-1,0)</f>
        <v>9.41699016889337</v>
      </c>
      <c r="Z30" s="6" t="n">
        <f aca="false">X30+Y30</f>
        <v>28.8169901688934</v>
      </c>
      <c r="AA30" s="60" t="n">
        <v>0</v>
      </c>
      <c r="AB30" s="94" t="n">
        <v>54</v>
      </c>
      <c r="AC30" s="73" t="n">
        <v>23</v>
      </c>
      <c r="AD30" s="13"/>
    </row>
    <row r="31" customFormat="false" ht="11.1" hidden="false" customHeight="true" outlineLevel="0" collapsed="false">
      <c r="A31" s="13" t="n">
        <f aca="false">A30+1</f>
        <v>20</v>
      </c>
      <c r="B31" s="74" t="n">
        <v>6857.66</v>
      </c>
      <c r="C31" s="67" t="n">
        <v>157809</v>
      </c>
      <c r="D31" s="72" t="n">
        <f aca="false">C31-C30</f>
        <v>45</v>
      </c>
      <c r="E31" s="67" t="n">
        <f aca="false">C31-152000</f>
        <v>5809</v>
      </c>
      <c r="F31" s="86" t="n">
        <f aca="false">D31/$D$2</f>
        <v>22.68716914545</v>
      </c>
      <c r="G31" s="87" t="n">
        <v>46</v>
      </c>
      <c r="H31" s="88" t="n">
        <v>0</v>
      </c>
      <c r="I31" s="6" t="n">
        <f aca="false">G31+H31</f>
        <v>46</v>
      </c>
      <c r="J31" s="89" t="n">
        <f aca="false">IF(L31&gt;0,L31,0)</f>
        <v>0</v>
      </c>
      <c r="K31" s="6" t="n">
        <f aca="false">I31+J31</f>
        <v>46</v>
      </c>
      <c r="L31" s="6" t="n">
        <f aca="false">F31-(I31-X31)</f>
        <v>-3.71283085455004</v>
      </c>
      <c r="M31" s="90" t="n">
        <v>4.6</v>
      </c>
      <c r="N31" s="91" t="n">
        <v>0</v>
      </c>
      <c r="O31" s="91" t="n">
        <v>0</v>
      </c>
      <c r="P31" s="92" t="n">
        <f aca="false">M31-(N31+O31)</f>
        <v>4.6</v>
      </c>
      <c r="Q31" s="87" t="n">
        <v>0</v>
      </c>
      <c r="R31" s="87" t="n">
        <v>0</v>
      </c>
      <c r="S31" s="6" t="n">
        <f aca="false">SUM(P31:R31)</f>
        <v>4.6</v>
      </c>
      <c r="T31" s="7"/>
      <c r="U31" s="87" t="n">
        <v>0</v>
      </c>
      <c r="V31" s="87" t="n">
        <v>15</v>
      </c>
      <c r="W31" s="7" t="n">
        <f aca="false">W30-V31</f>
        <v>2132</v>
      </c>
      <c r="X31" s="6" t="n">
        <f aca="false">N31+O31+S31+U31+V31</f>
        <v>19.6</v>
      </c>
      <c r="Y31" s="6" t="n">
        <f aca="false">IF(L31&lt;0,L31*-1,0)</f>
        <v>3.71283085455004</v>
      </c>
      <c r="Z31" s="6" t="n">
        <f aca="false">X31+Y31</f>
        <v>23.31283085455</v>
      </c>
      <c r="AA31" s="60" t="n">
        <v>0</v>
      </c>
      <c r="AB31" s="94" t="n">
        <v>54</v>
      </c>
      <c r="AC31" s="73" t="n">
        <v>28</v>
      </c>
      <c r="AD31" s="13"/>
    </row>
    <row r="32" customFormat="false" ht="11.1" hidden="false" customHeight="true" outlineLevel="0" collapsed="false">
      <c r="A32" s="13" t="n">
        <f aca="false">A31+1</f>
        <v>21</v>
      </c>
      <c r="B32" s="74" t="n">
        <v>6857.68</v>
      </c>
      <c r="C32" s="67" t="n">
        <v>157853</v>
      </c>
      <c r="D32" s="72" t="n">
        <f aca="false">C32-C31</f>
        <v>44</v>
      </c>
      <c r="E32" s="67" t="n">
        <f aca="false">C32-152000</f>
        <v>5853</v>
      </c>
      <c r="F32" s="86" t="n">
        <f aca="false">D32/$D$2</f>
        <v>22.1830098311066</v>
      </c>
      <c r="G32" s="87" t="n">
        <v>46</v>
      </c>
      <c r="H32" s="88" t="n">
        <v>0</v>
      </c>
      <c r="I32" s="6" t="n">
        <f aca="false">G32+H32</f>
        <v>46</v>
      </c>
      <c r="J32" s="89" t="n">
        <f aca="false">IF(L32&gt;0,L32,0)</f>
        <v>0</v>
      </c>
      <c r="K32" s="6" t="n">
        <f aca="false">I32+J32</f>
        <v>46</v>
      </c>
      <c r="L32" s="6" t="n">
        <f aca="false">F32-(I32-X32)</f>
        <v>-4.61699016889337</v>
      </c>
      <c r="M32" s="90" t="n">
        <v>4.2</v>
      </c>
      <c r="N32" s="91" t="n">
        <v>0</v>
      </c>
      <c r="O32" s="91" t="n">
        <v>0</v>
      </c>
      <c r="P32" s="92" t="n">
        <f aca="false">M32-(N32+O32)</f>
        <v>4.2</v>
      </c>
      <c r="Q32" s="87" t="n">
        <v>0</v>
      </c>
      <c r="R32" s="87" t="n">
        <v>0</v>
      </c>
      <c r="S32" s="6" t="n">
        <f aca="false">SUM(P32:R32)</f>
        <v>4.2</v>
      </c>
      <c r="T32" s="7"/>
      <c r="U32" s="87" t="n">
        <v>0</v>
      </c>
      <c r="V32" s="87" t="n">
        <v>15</v>
      </c>
      <c r="W32" s="7" t="n">
        <f aca="false">W31-V32</f>
        <v>2117</v>
      </c>
      <c r="X32" s="6" t="n">
        <f aca="false">N32+O32+S32+U32+V32</f>
        <v>19.2</v>
      </c>
      <c r="Y32" s="6" t="n">
        <f aca="false">IF(L32&lt;0,L32*-1,0)</f>
        <v>4.61699016889337</v>
      </c>
      <c r="Z32" s="6" t="n">
        <f aca="false">X32+Y32</f>
        <v>23.8169901688934</v>
      </c>
      <c r="AA32" s="60" t="n">
        <v>0</v>
      </c>
      <c r="AB32" s="72" t="n">
        <v>60</v>
      </c>
      <c r="AC32" s="73" t="n">
        <v>28</v>
      </c>
      <c r="AD32" s="13"/>
    </row>
    <row r="33" customFormat="false" ht="11.1" hidden="false" customHeight="true" outlineLevel="0" collapsed="false">
      <c r="A33" s="13" t="n">
        <f aca="false">A32+1</f>
        <v>22</v>
      </c>
      <c r="B33" s="74" t="n">
        <v>6857.7</v>
      </c>
      <c r="C33" s="67" t="n">
        <v>157898</v>
      </c>
      <c r="D33" s="72" t="n">
        <f aca="false">C33-C32</f>
        <v>45</v>
      </c>
      <c r="E33" s="67" t="n">
        <f aca="false">C33-152000</f>
        <v>5898</v>
      </c>
      <c r="F33" s="86" t="n">
        <f aca="false">D33/$D$2</f>
        <v>22.68716914545</v>
      </c>
      <c r="G33" s="87" t="n">
        <v>50</v>
      </c>
      <c r="H33" s="88" t="n">
        <v>0</v>
      </c>
      <c r="I33" s="6" t="n">
        <f aca="false">G33+H33</f>
        <v>50</v>
      </c>
      <c r="J33" s="89" t="n">
        <f aca="false">IF(L33&gt;0,L33,0)</f>
        <v>0</v>
      </c>
      <c r="K33" s="6" t="n">
        <f aca="false">I33+J33</f>
        <v>50</v>
      </c>
      <c r="L33" s="6" t="n">
        <f aca="false">F33-(I33-X33)</f>
        <v>-9.21283085455004</v>
      </c>
      <c r="M33" s="90" t="n">
        <v>4.1</v>
      </c>
      <c r="N33" s="91" t="n">
        <v>0</v>
      </c>
      <c r="O33" s="91" t="n">
        <v>0</v>
      </c>
      <c r="P33" s="92" t="n">
        <f aca="false">M33-(N33+O33)</f>
        <v>4.1</v>
      </c>
      <c r="Q33" s="87" t="n">
        <v>0</v>
      </c>
      <c r="R33" s="87" t="n">
        <v>0</v>
      </c>
      <c r="S33" s="6" t="n">
        <f aca="false">SUM(P33:R33)</f>
        <v>4.1</v>
      </c>
      <c r="T33" s="7"/>
      <c r="U33" s="87" t="n">
        <v>0</v>
      </c>
      <c r="V33" s="87" t="n">
        <v>14</v>
      </c>
      <c r="W33" s="7" t="n">
        <f aca="false">W32-V33</f>
        <v>2103</v>
      </c>
      <c r="X33" s="6" t="n">
        <f aca="false">N33+O33+S33+U33+V33</f>
        <v>18.1</v>
      </c>
      <c r="Y33" s="6" t="n">
        <f aca="false">IF(L33&lt;0,L33*-1,0)</f>
        <v>9.21283085455004</v>
      </c>
      <c r="Z33" s="6" t="n">
        <f aca="false">X33+Y33</f>
        <v>27.31283085455</v>
      </c>
      <c r="AA33" s="60" t="n">
        <v>0</v>
      </c>
      <c r="AB33" s="72" t="n">
        <v>59</v>
      </c>
      <c r="AC33" s="73" t="n">
        <v>29</v>
      </c>
      <c r="AD33" s="13"/>
    </row>
    <row r="34" customFormat="false" ht="11.1" hidden="false" customHeight="true" outlineLevel="0" collapsed="false">
      <c r="A34" s="13" t="n">
        <f aca="false">A33+1</f>
        <v>23</v>
      </c>
      <c r="B34" s="74" t="n">
        <v>6857.71</v>
      </c>
      <c r="C34" s="67" t="n">
        <v>157920</v>
      </c>
      <c r="D34" s="72" t="n">
        <f aca="false">C34-C33</f>
        <v>22</v>
      </c>
      <c r="E34" s="67" t="n">
        <f aca="false">C34-152000</f>
        <v>5920</v>
      </c>
      <c r="F34" s="86" t="n">
        <f aca="false">D34/$D$2</f>
        <v>11.0915049155533</v>
      </c>
      <c r="G34" s="87" t="n">
        <v>55</v>
      </c>
      <c r="H34" s="88" t="n">
        <v>0</v>
      </c>
      <c r="I34" s="6" t="n">
        <f aca="false">G34+H34</f>
        <v>55</v>
      </c>
      <c r="J34" s="89" t="n">
        <f aca="false">IF(L34&gt;0,L34,0)</f>
        <v>0</v>
      </c>
      <c r="K34" s="6" t="n">
        <f aca="false">I34+J34</f>
        <v>55</v>
      </c>
      <c r="L34" s="6" t="n">
        <f aca="false">F34-(I34-X34)</f>
        <v>-25.8084950844467</v>
      </c>
      <c r="M34" s="90" t="n">
        <v>4.1</v>
      </c>
      <c r="N34" s="91" t="n">
        <v>0</v>
      </c>
      <c r="O34" s="91" t="n">
        <v>0</v>
      </c>
      <c r="P34" s="92" t="n">
        <f aca="false">M34-(N34+O34)</f>
        <v>4.1</v>
      </c>
      <c r="Q34" s="87" t="n">
        <v>0</v>
      </c>
      <c r="R34" s="87" t="n">
        <v>0</v>
      </c>
      <c r="S34" s="6" t="n">
        <f aca="false">SUM(P34:R34)</f>
        <v>4.1</v>
      </c>
      <c r="T34" s="7"/>
      <c r="U34" s="87" t="n">
        <v>0</v>
      </c>
      <c r="V34" s="87" t="n">
        <v>14</v>
      </c>
      <c r="W34" s="7" t="n">
        <f aca="false">W33-V34</f>
        <v>2089</v>
      </c>
      <c r="X34" s="6" t="n">
        <f aca="false">N34+O34+S34+U34+V34</f>
        <v>18.1</v>
      </c>
      <c r="Y34" s="6" t="n">
        <f aca="false">IF(L34&lt;0,L34*-1,0)</f>
        <v>25.8084950844467</v>
      </c>
      <c r="Z34" s="6" t="n">
        <f aca="false">X34+Y34</f>
        <v>43.9084950844467</v>
      </c>
      <c r="AA34" s="60" t="n">
        <v>0</v>
      </c>
      <c r="AB34" s="72" t="n">
        <v>56</v>
      </c>
      <c r="AC34" s="95" t="n">
        <v>29</v>
      </c>
      <c r="AD34" s="13"/>
    </row>
    <row r="35" customFormat="false" ht="11.1" hidden="false" customHeight="true" outlineLevel="0" collapsed="false">
      <c r="A35" s="13" t="n">
        <f aca="false">A34+1</f>
        <v>24</v>
      </c>
      <c r="B35" s="74" t="n">
        <v>6857.72</v>
      </c>
      <c r="C35" s="67" t="n">
        <v>157942</v>
      </c>
      <c r="D35" s="72" t="n">
        <f aca="false">C35-C34</f>
        <v>22</v>
      </c>
      <c r="E35" s="67" t="n">
        <f aca="false">C35-152000</f>
        <v>5942</v>
      </c>
      <c r="F35" s="86" t="n">
        <f aca="false">D35/$D$2</f>
        <v>11.0915049155533</v>
      </c>
      <c r="G35" s="87" t="n">
        <v>58</v>
      </c>
      <c r="H35" s="88" t="n">
        <v>0</v>
      </c>
      <c r="I35" s="6" t="n">
        <f aca="false">G35+H35</f>
        <v>58</v>
      </c>
      <c r="J35" s="89" t="n">
        <f aca="false">IF(L35&gt;0,L35,0)</f>
        <v>0</v>
      </c>
      <c r="K35" s="6" t="n">
        <f aca="false">I35+J35</f>
        <v>58</v>
      </c>
      <c r="L35" s="6" t="n">
        <f aca="false">F35-(I35-X35)</f>
        <v>-28.7084950844467</v>
      </c>
      <c r="M35" s="90" t="n">
        <v>4.2</v>
      </c>
      <c r="N35" s="91" t="n">
        <v>0</v>
      </c>
      <c r="O35" s="91" t="n">
        <v>0</v>
      </c>
      <c r="P35" s="92" t="n">
        <f aca="false">M35-(N35+O35)</f>
        <v>4.2</v>
      </c>
      <c r="Q35" s="87" t="n">
        <v>0</v>
      </c>
      <c r="R35" s="87" t="n">
        <v>0</v>
      </c>
      <c r="S35" s="6" t="n">
        <f aca="false">SUM(P35:R35)</f>
        <v>4.2</v>
      </c>
      <c r="T35" s="7"/>
      <c r="U35" s="87" t="n">
        <v>0</v>
      </c>
      <c r="V35" s="87" t="n">
        <v>14</v>
      </c>
      <c r="W35" s="7" t="n">
        <f aca="false">W34-V35</f>
        <v>2075</v>
      </c>
      <c r="X35" s="6" t="n">
        <f aca="false">N35+O35+S35+U35+V35</f>
        <v>18.2</v>
      </c>
      <c r="Y35" s="6" t="n">
        <f aca="false">IF(L35&lt;0,L35*-1,0)</f>
        <v>28.7084950844467</v>
      </c>
      <c r="Z35" s="6" t="n">
        <f aca="false">X35+Y35</f>
        <v>46.9084950844467</v>
      </c>
      <c r="AA35" s="60" t="n">
        <v>0</v>
      </c>
      <c r="AB35" s="72" t="n">
        <v>52</v>
      </c>
      <c r="AC35" s="95" t="n">
        <v>27</v>
      </c>
      <c r="AD35" s="13"/>
    </row>
    <row r="36" customFormat="false" ht="11.1" hidden="false" customHeight="true" outlineLevel="0" collapsed="false">
      <c r="A36" s="13" t="n">
        <f aca="false">A35+1</f>
        <v>25</v>
      </c>
      <c r="B36" s="74" t="n">
        <v>6857.75</v>
      </c>
      <c r="C36" s="67" t="n">
        <v>158008</v>
      </c>
      <c r="D36" s="72" t="n">
        <f aca="false">C36-C35</f>
        <v>66</v>
      </c>
      <c r="E36" s="67" t="n">
        <f aca="false">C36-152000</f>
        <v>6008</v>
      </c>
      <c r="F36" s="86" t="n">
        <f aca="false">D36/$D$2</f>
        <v>33.2745147466599</v>
      </c>
      <c r="G36" s="87" t="n">
        <v>67</v>
      </c>
      <c r="H36" s="88" t="n">
        <v>0</v>
      </c>
      <c r="I36" s="6" t="n">
        <f aca="false">G36+H36</f>
        <v>67</v>
      </c>
      <c r="J36" s="89" t="n">
        <f aca="false">IF(L36&gt;0,L36,0)</f>
        <v>0</v>
      </c>
      <c r="K36" s="6" t="n">
        <f aca="false">I36+J36</f>
        <v>67</v>
      </c>
      <c r="L36" s="6" t="n">
        <f aca="false">F36-(I36-X36)</f>
        <v>-14.3254852533401</v>
      </c>
      <c r="M36" s="90" t="n">
        <v>4.4</v>
      </c>
      <c r="N36" s="91" t="n">
        <v>0</v>
      </c>
      <c r="O36" s="91" t="n">
        <v>0</v>
      </c>
      <c r="P36" s="92" t="n">
        <f aca="false">M36-(N36+O36)</f>
        <v>4.4</v>
      </c>
      <c r="Q36" s="87" t="n">
        <v>0</v>
      </c>
      <c r="R36" s="87" t="n">
        <v>0</v>
      </c>
      <c r="S36" s="6" t="n">
        <f aca="false">SUM(P36:R36)</f>
        <v>4.4</v>
      </c>
      <c r="T36" s="7"/>
      <c r="U36" s="87" t="n">
        <v>0</v>
      </c>
      <c r="V36" s="87" t="n">
        <v>15</v>
      </c>
      <c r="W36" s="7" t="n">
        <f aca="false">W35-V36</f>
        <v>2060</v>
      </c>
      <c r="X36" s="6" t="n">
        <f aca="false">N36+O36+S36+U36+V36</f>
        <v>19.4</v>
      </c>
      <c r="Y36" s="6" t="n">
        <f aca="false">IF(L36&lt;0,L36*-1,0)</f>
        <v>14.3254852533401</v>
      </c>
      <c r="Z36" s="6" t="n">
        <f aca="false">X36+Y36</f>
        <v>33.7254852533401</v>
      </c>
      <c r="AA36" s="60" t="n">
        <v>0</v>
      </c>
      <c r="AB36" s="72" t="n">
        <v>49</v>
      </c>
      <c r="AC36" s="95" t="n">
        <v>28</v>
      </c>
      <c r="AD36" s="13"/>
    </row>
    <row r="37" customFormat="false" ht="11.1" hidden="false" customHeight="true" outlineLevel="0" collapsed="false">
      <c r="A37" s="13" t="n">
        <f aca="false">A36+1</f>
        <v>26</v>
      </c>
      <c r="B37" s="74" t="n">
        <v>6857.78</v>
      </c>
      <c r="C37" s="67" t="n">
        <v>158075</v>
      </c>
      <c r="D37" s="72" t="n">
        <f aca="false">C37-C36</f>
        <v>67</v>
      </c>
      <c r="E37" s="67" t="n">
        <f aca="false">C37-152000</f>
        <v>6075</v>
      </c>
      <c r="F37" s="86" t="n">
        <f aca="false">D37/$D$2</f>
        <v>33.7786740610033</v>
      </c>
      <c r="G37" s="87" t="n">
        <v>56</v>
      </c>
      <c r="H37" s="88" t="n">
        <v>0</v>
      </c>
      <c r="I37" s="6" t="n">
        <f aca="false">G37+H37</f>
        <v>56</v>
      </c>
      <c r="J37" s="89" t="n">
        <f aca="false">IF(L37&gt;0,L37,0)</f>
        <v>0</v>
      </c>
      <c r="K37" s="6" t="n">
        <f aca="false">I37+J37</f>
        <v>56</v>
      </c>
      <c r="L37" s="6" t="n">
        <f aca="false">F37-(I37-X37)</f>
        <v>-2.82132593899672</v>
      </c>
      <c r="M37" s="90" t="n">
        <v>4.4</v>
      </c>
      <c r="N37" s="91" t="n">
        <v>0</v>
      </c>
      <c r="O37" s="91" t="n">
        <v>0</v>
      </c>
      <c r="P37" s="92" t="n">
        <f aca="false">M37-(N37+O37)</f>
        <v>4.4</v>
      </c>
      <c r="Q37" s="87" t="n">
        <v>0</v>
      </c>
      <c r="R37" s="87" t="n">
        <v>0</v>
      </c>
      <c r="S37" s="6" t="n">
        <f aca="false">SUM(P37:R37)</f>
        <v>4.4</v>
      </c>
      <c r="T37" s="7"/>
      <c r="U37" s="87" t="n">
        <v>0</v>
      </c>
      <c r="V37" s="87" t="n">
        <v>15</v>
      </c>
      <c r="W37" s="7" t="n">
        <f aca="false">W36-V37</f>
        <v>2045</v>
      </c>
      <c r="X37" s="6" t="n">
        <f aca="false">N37+O37+S37+U37+V37</f>
        <v>19.4</v>
      </c>
      <c r="Y37" s="6" t="n">
        <f aca="false">IF(L37&lt;0,L37*-1,0)</f>
        <v>2.82132593899672</v>
      </c>
      <c r="Z37" s="6" t="n">
        <f aca="false">X37+Y37</f>
        <v>22.2213259389967</v>
      </c>
      <c r="AA37" s="60" t="n">
        <v>0</v>
      </c>
      <c r="AB37" s="72" t="n">
        <v>46</v>
      </c>
      <c r="AC37" s="73" t="n">
        <v>23</v>
      </c>
      <c r="AD37" s="13"/>
    </row>
    <row r="38" customFormat="false" ht="11.1" hidden="false" customHeight="true" outlineLevel="0" collapsed="false">
      <c r="A38" s="13" t="n">
        <f aca="false">A37+1</f>
        <v>27</v>
      </c>
      <c r="B38" s="74" t="n">
        <v>6857.81</v>
      </c>
      <c r="C38" s="67" t="n">
        <v>158141</v>
      </c>
      <c r="D38" s="72" t="n">
        <f aca="false">C38-C37</f>
        <v>66</v>
      </c>
      <c r="E38" s="67" t="n">
        <f aca="false">C38-152000</f>
        <v>6141</v>
      </c>
      <c r="F38" s="86" t="n">
        <f aca="false">D38/$D$2</f>
        <v>33.2745147466599</v>
      </c>
      <c r="G38" s="87" t="n">
        <v>79</v>
      </c>
      <c r="H38" s="88" t="n">
        <v>0</v>
      </c>
      <c r="I38" s="6" t="n">
        <f aca="false">G38+H38</f>
        <v>79</v>
      </c>
      <c r="J38" s="89" t="n">
        <f aca="false">IF(L38&gt;0,L38,0)</f>
        <v>0</v>
      </c>
      <c r="K38" s="6" t="n">
        <f aca="false">I38+J38</f>
        <v>79</v>
      </c>
      <c r="L38" s="6" t="n">
        <f aca="false">F38-(I38-X38)</f>
        <v>-26.3254852533401</v>
      </c>
      <c r="M38" s="90" t="n">
        <v>4.4</v>
      </c>
      <c r="N38" s="91" t="n">
        <v>0</v>
      </c>
      <c r="O38" s="91" t="n">
        <v>0</v>
      </c>
      <c r="P38" s="92" t="n">
        <f aca="false">M38-(N38+O38)</f>
        <v>4.4</v>
      </c>
      <c r="Q38" s="87" t="n">
        <v>0</v>
      </c>
      <c r="R38" s="87" t="n">
        <v>0</v>
      </c>
      <c r="S38" s="6" t="n">
        <f aca="false">SUM(P38:R38)</f>
        <v>4.4</v>
      </c>
      <c r="T38" s="7"/>
      <c r="U38" s="87" t="n">
        <v>0</v>
      </c>
      <c r="V38" s="87" t="n">
        <v>15</v>
      </c>
      <c r="W38" s="7" t="n">
        <f aca="false">W37-V38</f>
        <v>2030</v>
      </c>
      <c r="X38" s="6" t="n">
        <f aca="false">N38+O38+S38+U38+V38</f>
        <v>19.4</v>
      </c>
      <c r="Y38" s="6" t="n">
        <f aca="false">IF(L38&lt;0,L38*-1,0)</f>
        <v>26.3254852533401</v>
      </c>
      <c r="Z38" s="6" t="n">
        <f aca="false">X38+Y38</f>
        <v>45.7254852533401</v>
      </c>
      <c r="AA38" s="60" t="n">
        <v>0</v>
      </c>
      <c r="AB38" s="72" t="n">
        <v>48</v>
      </c>
      <c r="AC38" s="73" t="n">
        <v>20</v>
      </c>
      <c r="AD38" s="13"/>
    </row>
    <row r="39" customFormat="false" ht="11.1" hidden="false" customHeight="true" outlineLevel="0" collapsed="false">
      <c r="A39" s="13" t="n">
        <f aca="false">A38+1</f>
        <v>28</v>
      </c>
      <c r="B39" s="74" t="n">
        <v>6857.84</v>
      </c>
      <c r="C39" s="67" t="n">
        <v>158208</v>
      </c>
      <c r="D39" s="72" t="n">
        <f aca="false">C39-C38</f>
        <v>67</v>
      </c>
      <c r="E39" s="67" t="n">
        <f aca="false">C39-152000</f>
        <v>6208</v>
      </c>
      <c r="F39" s="86" t="n">
        <f aca="false">D39/$D$2</f>
        <v>33.7786740610033</v>
      </c>
      <c r="G39" s="87" t="n">
        <v>74</v>
      </c>
      <c r="H39" s="88" t="n">
        <v>0</v>
      </c>
      <c r="I39" s="6" t="n">
        <f aca="false">G39+H39</f>
        <v>74</v>
      </c>
      <c r="J39" s="89" t="n">
        <f aca="false">IF(L39&gt;0,L39,0)</f>
        <v>0</v>
      </c>
      <c r="K39" s="6" t="n">
        <f aca="false">I39+J39</f>
        <v>74</v>
      </c>
      <c r="L39" s="6" t="n">
        <f aca="false">F39-(I39-X39)</f>
        <v>-21.0213259389967</v>
      </c>
      <c r="M39" s="90" t="n">
        <v>4.2</v>
      </c>
      <c r="N39" s="91" t="n">
        <v>0</v>
      </c>
      <c r="O39" s="91" t="n">
        <v>0</v>
      </c>
      <c r="P39" s="92" t="n">
        <f aca="false">M39-(N39+O39)</f>
        <v>4.2</v>
      </c>
      <c r="Q39" s="87" t="n">
        <v>0</v>
      </c>
      <c r="R39" s="87" t="n">
        <v>0</v>
      </c>
      <c r="S39" s="6" t="n">
        <f aca="false">SUM(P39:R39)</f>
        <v>4.2</v>
      </c>
      <c r="T39" s="7"/>
      <c r="U39" s="87" t="n">
        <v>0</v>
      </c>
      <c r="V39" s="87" t="n">
        <v>15</v>
      </c>
      <c r="W39" s="7" t="n">
        <f aca="false">W38-V39</f>
        <v>2015</v>
      </c>
      <c r="X39" s="6" t="n">
        <f aca="false">N39+O39+S39+U39+V39</f>
        <v>19.2</v>
      </c>
      <c r="Y39" s="6" t="n">
        <f aca="false">IF(L39&lt;0,L39*-1,0)</f>
        <v>21.0213259389967</v>
      </c>
      <c r="Z39" s="6" t="n">
        <f aca="false">X39+Y39</f>
        <v>40.2213259389967</v>
      </c>
      <c r="AA39" s="60" t="n">
        <v>0</v>
      </c>
      <c r="AB39" s="72" t="n">
        <v>52</v>
      </c>
      <c r="AC39" s="73" t="n">
        <v>22</v>
      </c>
      <c r="AD39" s="13"/>
    </row>
    <row r="40" customFormat="false" ht="11.1" hidden="false" customHeight="true" outlineLevel="0" collapsed="false">
      <c r="A40" s="13" t="n">
        <f aca="false">A39+1</f>
        <v>29</v>
      </c>
      <c r="B40" s="74" t="n">
        <v>6857.87</v>
      </c>
      <c r="C40" s="67" t="n">
        <v>158274</v>
      </c>
      <c r="D40" s="72" t="n">
        <f aca="false">C40-C39</f>
        <v>66</v>
      </c>
      <c r="E40" s="67" t="n">
        <f aca="false">C40-152000</f>
        <v>6274</v>
      </c>
      <c r="F40" s="86" t="n">
        <f aca="false">D40/$D$2</f>
        <v>33.2745147466599</v>
      </c>
      <c r="G40" s="87" t="n">
        <v>72</v>
      </c>
      <c r="H40" s="88" t="n">
        <v>0</v>
      </c>
      <c r="I40" s="6" t="n">
        <f aca="false">G40+H40</f>
        <v>72</v>
      </c>
      <c r="J40" s="89" t="n">
        <f aca="false">IF(L40&gt;0,L40,0)</f>
        <v>0</v>
      </c>
      <c r="K40" s="6" t="n">
        <f aca="false">I40+J40</f>
        <v>72</v>
      </c>
      <c r="L40" s="6" t="n">
        <f aca="false">F40-(I40-X40)</f>
        <v>-19.5254852533401</v>
      </c>
      <c r="M40" s="90" t="n">
        <v>4.2</v>
      </c>
      <c r="N40" s="91" t="n">
        <v>0</v>
      </c>
      <c r="O40" s="91" t="n">
        <v>0</v>
      </c>
      <c r="P40" s="92" t="n">
        <f aca="false">M40-(N40+O40)</f>
        <v>4.2</v>
      </c>
      <c r="Q40" s="87" t="n">
        <v>0</v>
      </c>
      <c r="R40" s="87" t="n">
        <v>0</v>
      </c>
      <c r="S40" s="6" t="n">
        <f aca="false">SUM(P40:R40)</f>
        <v>4.2</v>
      </c>
      <c r="T40" s="7"/>
      <c r="U40" s="87" t="n">
        <v>0</v>
      </c>
      <c r="V40" s="87" t="n">
        <v>15</v>
      </c>
      <c r="W40" s="7" t="n">
        <f aca="false">W39-V40</f>
        <v>2000</v>
      </c>
      <c r="X40" s="6" t="n">
        <f aca="false">N40+O40+S40+U40+V40</f>
        <v>19.2</v>
      </c>
      <c r="Y40" s="6" t="n">
        <f aca="false">IF(L40&lt;0,L40*-1,0)</f>
        <v>19.5254852533401</v>
      </c>
      <c r="Z40" s="6" t="n">
        <f aca="false">X40+Y40</f>
        <v>38.7254852533401</v>
      </c>
      <c r="AA40" s="60" t="n">
        <v>0</v>
      </c>
      <c r="AB40" s="94" t="n">
        <v>56</v>
      </c>
      <c r="AC40" s="73" t="n">
        <v>25</v>
      </c>
      <c r="AD40" s="13"/>
    </row>
    <row r="41" customFormat="false" ht="11.1" hidden="false" customHeight="true" outlineLevel="0" collapsed="false">
      <c r="A41" s="13" t="n">
        <v>30</v>
      </c>
      <c r="B41" s="74" t="n">
        <v>6857.9</v>
      </c>
      <c r="C41" s="67" t="n">
        <v>158341</v>
      </c>
      <c r="D41" s="72" t="n">
        <f aca="false">C41-C40</f>
        <v>67</v>
      </c>
      <c r="E41" s="67" t="n">
        <f aca="false">C41-152000</f>
        <v>6341</v>
      </c>
      <c r="F41" s="86" t="n">
        <f aca="false">D41/$D$2</f>
        <v>33.7786740610033</v>
      </c>
      <c r="G41" s="87" t="n">
        <v>72</v>
      </c>
      <c r="H41" s="88" t="n">
        <v>0</v>
      </c>
      <c r="I41" s="6" t="n">
        <f aca="false">G41+H41</f>
        <v>72</v>
      </c>
      <c r="J41" s="89" t="n">
        <f aca="false">IF(L41&gt;0,L41,0)</f>
        <v>0</v>
      </c>
      <c r="K41" s="6" t="n">
        <f aca="false">I41+J41</f>
        <v>72</v>
      </c>
      <c r="L41" s="6" t="n">
        <f aca="false">F41-(I41-X41)</f>
        <v>-19.1213259389967</v>
      </c>
      <c r="M41" s="90" t="n">
        <v>4.1</v>
      </c>
      <c r="N41" s="91" t="n">
        <v>0</v>
      </c>
      <c r="O41" s="91" t="n">
        <v>0</v>
      </c>
      <c r="P41" s="92" t="n">
        <f aca="false">M41-(N41+O41)</f>
        <v>4.1</v>
      </c>
      <c r="Q41" s="87" t="n">
        <v>0</v>
      </c>
      <c r="R41" s="87" t="n">
        <v>0</v>
      </c>
      <c r="S41" s="6" t="n">
        <f aca="false">SUM(P41:R41)</f>
        <v>4.1</v>
      </c>
      <c r="T41" s="7"/>
      <c r="U41" s="87" t="n">
        <v>0</v>
      </c>
      <c r="V41" s="87" t="n">
        <v>15</v>
      </c>
      <c r="W41" s="7" t="n">
        <f aca="false">W40-V41</f>
        <v>1985</v>
      </c>
      <c r="X41" s="6" t="n">
        <f aca="false">N41+O41+S41+U41+V41</f>
        <v>19.1</v>
      </c>
      <c r="Y41" s="6" t="n">
        <f aca="false">IF(L41&lt;0,L41*-1,0)</f>
        <v>19.1213259389967</v>
      </c>
      <c r="Z41" s="6" t="n">
        <f aca="false">X41+Y41</f>
        <v>38.2213259389967</v>
      </c>
      <c r="AA41" s="60" t="n">
        <v>0.08</v>
      </c>
      <c r="AB41" s="94" t="n">
        <v>50</v>
      </c>
      <c r="AC41" s="73" t="n">
        <v>25</v>
      </c>
      <c r="AD41" s="13"/>
    </row>
    <row r="42" customFormat="false" ht="3" hidden="false" customHeight="true" outlineLevel="0" collapsed="false">
      <c r="A42" s="75"/>
      <c r="B42" s="96"/>
      <c r="C42" s="77"/>
      <c r="D42" s="75"/>
      <c r="E42" s="77"/>
      <c r="F42" s="78"/>
      <c r="G42" s="75"/>
      <c r="H42" s="79"/>
      <c r="I42" s="75"/>
      <c r="J42" s="75"/>
      <c r="K42" s="75"/>
      <c r="L42" s="75"/>
      <c r="M42" s="80"/>
      <c r="N42" s="75"/>
      <c r="O42" s="75"/>
      <c r="P42" s="81"/>
      <c r="Q42" s="75"/>
      <c r="R42" s="75"/>
      <c r="S42" s="75"/>
      <c r="T42" s="77"/>
      <c r="U42" s="75"/>
      <c r="V42" s="75"/>
      <c r="W42" s="75"/>
      <c r="X42" s="75"/>
      <c r="Y42" s="75"/>
      <c r="Z42" s="75"/>
      <c r="AA42" s="82"/>
      <c r="AB42" s="83"/>
      <c r="AC42" s="84" t="n">
        <v>22</v>
      </c>
      <c r="AD42" s="85"/>
      <c r="AE42" s="85"/>
      <c r="AF42" s="85"/>
    </row>
    <row r="43" customFormat="false" ht="11.1" hidden="false" customHeight="true" outlineLevel="0" collapsed="false">
      <c r="A43" s="6" t="s">
        <v>54</v>
      </c>
      <c r="B43" s="66"/>
      <c r="C43" s="67"/>
      <c r="D43" s="67"/>
      <c r="E43" s="67"/>
      <c r="F43" s="68" t="n">
        <f aca="false">SUM(F12:F41)</f>
        <v>894.378623645072</v>
      </c>
      <c r="G43" s="7" t="n">
        <f aca="false">SUM(G12:G41)</f>
        <v>1859</v>
      </c>
      <c r="H43" s="7" t="n">
        <f aca="false">SUM(H12:H41)</f>
        <v>0</v>
      </c>
      <c r="I43" s="7" t="n">
        <f aca="false">SUM(I12:I41)</f>
        <v>1859</v>
      </c>
      <c r="J43" s="7" t="n">
        <f aca="false">SUM(J12:J41)</f>
        <v>67.3489538694227</v>
      </c>
      <c r="K43" s="7" t="n">
        <f aca="false">SUM(K12:K41)</f>
        <v>1926.34895386942</v>
      </c>
      <c r="L43" s="7" t="n">
        <f aca="false">SUM(L12:L41)</f>
        <v>-217.521376354928</v>
      </c>
      <c r="M43" s="69" t="n">
        <f aca="false">SUM(M12:M41)</f>
        <v>209.1</v>
      </c>
      <c r="N43" s="67" t="n">
        <f aca="false">SUM(N12:N41)</f>
        <v>0</v>
      </c>
      <c r="O43" s="67" t="n">
        <f aca="false">SUM(O12:O41)</f>
        <v>0</v>
      </c>
      <c r="P43" s="70" t="n">
        <f aca="false">SUM(P12:P41)</f>
        <v>209.1</v>
      </c>
      <c r="Q43" s="7" t="n">
        <f aca="false">SUM(Q12:Q41)</f>
        <v>62</v>
      </c>
      <c r="R43" s="7" t="n">
        <f aca="false">SUM(R12:R41)</f>
        <v>51</v>
      </c>
      <c r="S43" s="7" t="n">
        <f aca="false">SUM(S12:S41)</f>
        <v>322.1</v>
      </c>
      <c r="T43" s="7"/>
      <c r="U43" s="7" t="n">
        <f aca="false">SUM(U12:U41)</f>
        <v>0</v>
      </c>
      <c r="V43" s="7" t="n">
        <f aca="false">SUM(V12:V41)</f>
        <v>425</v>
      </c>
      <c r="W43" s="7"/>
      <c r="X43" s="7" t="n">
        <f aca="false">SUM(X12:X41)</f>
        <v>747.1</v>
      </c>
      <c r="Y43" s="7" t="n">
        <f aca="false">SUM(Y12:Y41)</f>
        <v>284.870330224351</v>
      </c>
      <c r="Z43" s="7" t="n">
        <f aca="false">SUM(Z12:Z41)</f>
        <v>1031.97033022435</v>
      </c>
      <c r="AA43" s="60" t="n">
        <f aca="false">SUM(AA12:AA41)</f>
        <v>1.23</v>
      </c>
      <c r="AB43" s="72" t="n">
        <f aca="false">AVERAGE(AB12:AB41)</f>
        <v>50.2</v>
      </c>
      <c r="AC43" s="73" t="n">
        <f aca="false">AVERAGE(AC12:AC42)</f>
        <v>26.7741935483871</v>
      </c>
      <c r="AD43" s="13" t="s">
        <v>55</v>
      </c>
    </row>
    <row r="44" customFormat="false" ht="11.1" hidden="false" customHeight="true" outlineLevel="0" collapsed="false">
      <c r="A44" s="6" t="s">
        <v>56</v>
      </c>
      <c r="B44" s="66"/>
      <c r="C44" s="67"/>
      <c r="D44" s="67" t="n">
        <f aca="false">SUM(D12:D41)</f>
        <v>1774</v>
      </c>
      <c r="E44" s="67"/>
      <c r="F44" s="68" t="n">
        <f aca="false">F43*$D$2</f>
        <v>1774</v>
      </c>
      <c r="G44" s="7" t="n">
        <f aca="false">G43*$D$2</f>
        <v>3687.3265</v>
      </c>
      <c r="H44" s="7" t="n">
        <f aca="false">H43*$D$2</f>
        <v>0</v>
      </c>
      <c r="I44" s="7" t="n">
        <f aca="false">I43*$D$2</f>
        <v>3687.3265</v>
      </c>
      <c r="J44" s="7" t="n">
        <f aca="false">J43*$D$2</f>
        <v>133.58665</v>
      </c>
      <c r="K44" s="7" t="n">
        <f aca="false">K43*$D$2</f>
        <v>3820.91315</v>
      </c>
      <c r="L44" s="7" t="n">
        <f aca="false">L43*$D$2</f>
        <v>-431.45365</v>
      </c>
      <c r="M44" s="69" t="n">
        <f aca="false">M43*$D$2</f>
        <v>414.74985</v>
      </c>
      <c r="N44" s="67" t="n">
        <f aca="false">N43*$D$2</f>
        <v>0</v>
      </c>
      <c r="O44" s="67" t="n">
        <f aca="false">O43*$D$2</f>
        <v>0</v>
      </c>
      <c r="P44" s="70" t="n">
        <f aca="false">P43*$D$2</f>
        <v>414.74985</v>
      </c>
      <c r="Q44" s="7" t="n">
        <f aca="false">Q43*$D$2</f>
        <v>122.977</v>
      </c>
      <c r="R44" s="7" t="n">
        <f aca="false">R43*$D$2</f>
        <v>101.1585</v>
      </c>
      <c r="S44" s="7" t="n">
        <f aca="false">S43*$D$2</f>
        <v>638.88535</v>
      </c>
      <c r="T44" s="7"/>
      <c r="U44" s="7" t="n">
        <f aca="false">U43*$D$2</f>
        <v>0</v>
      </c>
      <c r="V44" s="7" t="n">
        <f aca="false">V43*$D$2</f>
        <v>842.9875</v>
      </c>
      <c r="W44" s="7"/>
      <c r="X44" s="7" t="n">
        <f aca="false">X43*$D$2</f>
        <v>1481.87285</v>
      </c>
      <c r="Y44" s="7" t="n">
        <f aca="false">Y43*$D$2</f>
        <v>565.0403</v>
      </c>
      <c r="Z44" s="7" t="n">
        <f aca="false">Z43*$D$2</f>
        <v>2046.91315</v>
      </c>
      <c r="AA44" s="60"/>
      <c r="AB44" s="72" t="n">
        <f aca="false">MAX(AB12:AB41)</f>
        <v>60</v>
      </c>
      <c r="AC44" s="73" t="n">
        <f aca="false">MAX(AC12:AC42)</f>
        <v>34</v>
      </c>
      <c r="AD44" s="13" t="s">
        <v>57</v>
      </c>
    </row>
    <row r="45" customFormat="false" ht="3" hidden="false" customHeight="true" outlineLevel="0" collapsed="false">
      <c r="A45" s="75"/>
      <c r="B45" s="96"/>
      <c r="C45" s="77"/>
      <c r="D45" s="77"/>
      <c r="E45" s="77"/>
      <c r="F45" s="97"/>
      <c r="G45" s="77"/>
      <c r="H45" s="77"/>
      <c r="I45" s="77"/>
      <c r="J45" s="77"/>
      <c r="K45" s="77"/>
      <c r="L45" s="77"/>
      <c r="M45" s="98"/>
      <c r="N45" s="77"/>
      <c r="O45" s="77"/>
      <c r="P45" s="99"/>
      <c r="Q45" s="77"/>
      <c r="R45" s="77"/>
      <c r="S45" s="77"/>
      <c r="T45" s="77"/>
      <c r="U45" s="77"/>
      <c r="V45" s="77"/>
      <c r="W45" s="75"/>
      <c r="X45" s="77"/>
      <c r="Y45" s="77"/>
      <c r="Z45" s="77"/>
      <c r="AA45" s="77"/>
      <c r="AB45" s="77"/>
      <c r="AC45" s="77"/>
      <c r="AD45" s="77"/>
      <c r="AE45" s="77"/>
      <c r="AF45" s="77"/>
    </row>
    <row r="46" customFormat="false" ht="11.1" hidden="false" customHeight="true" outlineLevel="0" collapsed="false">
      <c r="A46" s="6" t="s">
        <v>58</v>
      </c>
      <c r="B46" s="66"/>
      <c r="C46" s="67"/>
      <c r="D46" s="67"/>
      <c r="E46" s="67"/>
      <c r="F46" s="68"/>
      <c r="G46" s="7"/>
      <c r="H46" s="12"/>
      <c r="I46" s="7"/>
      <c r="J46" s="7"/>
      <c r="K46" s="7"/>
      <c r="L46" s="7"/>
      <c r="M46" s="69"/>
      <c r="N46" s="67"/>
      <c r="O46" s="67"/>
      <c r="P46" s="70"/>
      <c r="Q46" s="7"/>
      <c r="R46" s="7"/>
      <c r="S46" s="7"/>
      <c r="T46" s="7"/>
      <c r="U46" s="7"/>
      <c r="V46" s="7"/>
      <c r="W46" s="7"/>
      <c r="X46" s="7"/>
      <c r="Y46" s="7"/>
      <c r="Z46" s="7"/>
      <c r="AA46" s="60"/>
      <c r="AB46" s="72" t="n">
        <f aca="false">MIN(AB12:AB41)</f>
        <v>41</v>
      </c>
      <c r="AC46" s="73" t="n">
        <f aca="false">MIN(AC12:AC42)</f>
        <v>20</v>
      </c>
      <c r="AD46" s="13" t="s">
        <v>59</v>
      </c>
    </row>
    <row r="47" customFormat="false" ht="11.1" hidden="false" customHeight="true" outlineLevel="0" collapsed="false">
      <c r="A47" s="6" t="s">
        <v>60</v>
      </c>
      <c r="B47" s="66"/>
      <c r="C47" s="67"/>
      <c r="D47" s="67"/>
      <c r="E47" s="67"/>
      <c r="F47" s="68"/>
      <c r="G47" s="7"/>
      <c r="H47" s="12"/>
      <c r="I47" s="7"/>
      <c r="J47" s="7"/>
      <c r="K47" s="7"/>
      <c r="L47" s="7"/>
      <c r="M47" s="69"/>
      <c r="N47" s="67"/>
      <c r="O47" s="67"/>
      <c r="P47" s="70"/>
      <c r="Q47" s="7"/>
      <c r="R47" s="7"/>
      <c r="S47" s="7"/>
      <c r="T47" s="7"/>
      <c r="U47" s="7"/>
      <c r="V47" s="7"/>
      <c r="W47" s="7"/>
      <c r="X47" s="7"/>
      <c r="Y47" s="7"/>
      <c r="Z47" s="7"/>
      <c r="AA47" s="60"/>
      <c r="AB47" s="72"/>
      <c r="AC47" s="73"/>
      <c r="AD47" s="13"/>
    </row>
    <row r="48" customFormat="false" ht="3" hidden="false" customHeight="true" outlineLevel="0" collapsed="false">
      <c r="A48" s="75"/>
      <c r="B48" s="96"/>
      <c r="C48" s="77"/>
      <c r="D48" s="77"/>
      <c r="E48" s="77"/>
      <c r="F48" s="97"/>
      <c r="G48" s="77"/>
      <c r="H48" s="83"/>
      <c r="I48" s="77"/>
      <c r="J48" s="77"/>
      <c r="K48" s="77"/>
      <c r="L48" s="77"/>
      <c r="M48" s="98"/>
      <c r="N48" s="77"/>
      <c r="O48" s="77"/>
      <c r="P48" s="99"/>
      <c r="Q48" s="77"/>
      <c r="R48" s="77"/>
      <c r="S48" s="77"/>
      <c r="T48" s="77"/>
      <c r="U48" s="77"/>
      <c r="V48" s="77"/>
      <c r="W48" s="77"/>
      <c r="X48" s="77"/>
      <c r="Y48" s="77"/>
      <c r="Z48" s="77"/>
      <c r="AA48" s="82"/>
      <c r="AB48" s="77"/>
      <c r="AC48" s="77"/>
      <c r="AD48" s="77"/>
      <c r="AE48" s="77"/>
      <c r="AF48" s="77"/>
    </row>
    <row r="49" customFormat="false" ht="11.1" hidden="false" customHeight="true" outlineLevel="0" collapsed="false">
      <c r="A49" s="6" t="s">
        <v>61</v>
      </c>
      <c r="B49" s="66"/>
      <c r="C49" s="67"/>
      <c r="D49" s="67"/>
      <c r="E49" s="67"/>
      <c r="F49" s="68" t="n">
        <f aca="false">F10+F43</f>
        <v>894.378623645072</v>
      </c>
      <c r="G49" s="7" t="n">
        <f aca="false">G10+G43</f>
        <v>1859</v>
      </c>
      <c r="H49" s="12" t="n">
        <f aca="false">H10+H43</f>
        <v>0</v>
      </c>
      <c r="I49" s="7" t="n">
        <f aca="false">I10+I43</f>
        <v>1859</v>
      </c>
      <c r="J49" s="7" t="n">
        <f aca="false">J10+J43</f>
        <v>67.3489538694227</v>
      </c>
      <c r="K49" s="7" t="n">
        <f aca="false">K10+K43</f>
        <v>1926.34895386942</v>
      </c>
      <c r="L49" s="7" t="n">
        <f aca="false">L10+L43</f>
        <v>-217.521376354928</v>
      </c>
      <c r="M49" s="69" t="n">
        <f aca="false">M10+M43</f>
        <v>209.1</v>
      </c>
      <c r="N49" s="67" t="n">
        <f aca="false">N10+N43</f>
        <v>0</v>
      </c>
      <c r="O49" s="67" t="n">
        <f aca="false">O10+O43</f>
        <v>0</v>
      </c>
      <c r="P49" s="70" t="n">
        <f aca="false">P10+P43</f>
        <v>209.1</v>
      </c>
      <c r="Q49" s="7" t="n">
        <f aca="false">Q10+Q43</f>
        <v>62</v>
      </c>
      <c r="R49" s="7" t="n">
        <f aca="false">R10+R43</f>
        <v>51</v>
      </c>
      <c r="S49" s="7" t="n">
        <f aca="false">S10+S43</f>
        <v>322.1</v>
      </c>
      <c r="T49" s="7"/>
      <c r="U49" s="7" t="n">
        <f aca="false">U10+U43</f>
        <v>0</v>
      </c>
      <c r="V49" s="7" t="n">
        <f aca="false">V10+V43</f>
        <v>425</v>
      </c>
      <c r="W49" s="7" t="n">
        <f aca="false">W41</f>
        <v>1985</v>
      </c>
      <c r="X49" s="7" t="n">
        <f aca="false">X10+X43</f>
        <v>747.1</v>
      </c>
      <c r="Y49" s="7" t="n">
        <f aca="false">Y10+Y43</f>
        <v>284.870330224351</v>
      </c>
      <c r="Z49" s="7" t="n">
        <f aca="false">Z10+Z43</f>
        <v>1031.97033022435</v>
      </c>
      <c r="AA49" s="60" t="n">
        <f aca="false">AA10+AA43</f>
        <v>1.23</v>
      </c>
      <c r="AB49" s="72"/>
      <c r="AC49" s="73"/>
      <c r="AD49" s="13"/>
    </row>
    <row r="50" customFormat="false" ht="11.1" hidden="false" customHeight="true" outlineLevel="0" collapsed="false">
      <c r="A50" s="6" t="s">
        <v>62</v>
      </c>
      <c r="B50" s="66"/>
      <c r="C50" s="67"/>
      <c r="D50" s="67" t="n">
        <f aca="false">D10+D44</f>
        <v>1774</v>
      </c>
      <c r="E50" s="67" t="n">
        <f aca="false">E41</f>
        <v>6341</v>
      </c>
      <c r="F50" s="68" t="n">
        <f aca="false">F49*$D$2</f>
        <v>1774</v>
      </c>
      <c r="G50" s="7" t="n">
        <f aca="false">G49*$D$2</f>
        <v>3687.3265</v>
      </c>
      <c r="H50" s="12" t="n">
        <f aca="false">H49*$D$2</f>
        <v>0</v>
      </c>
      <c r="I50" s="7" t="n">
        <f aca="false">I49*$D$2</f>
        <v>3687.3265</v>
      </c>
      <c r="J50" s="7" t="n">
        <f aca="false">J49*$D$2</f>
        <v>133.58665</v>
      </c>
      <c r="K50" s="7" t="n">
        <f aca="false">K49*$D$2</f>
        <v>3820.91315</v>
      </c>
      <c r="L50" s="7" t="n">
        <f aca="false">L49*$D$2</f>
        <v>-431.45365</v>
      </c>
      <c r="M50" s="69" t="n">
        <f aca="false">M49*$D$2</f>
        <v>414.74985</v>
      </c>
      <c r="N50" s="67" t="n">
        <f aca="false">N49*$D$2</f>
        <v>0</v>
      </c>
      <c r="O50" s="67" t="n">
        <f aca="false">O49*$D$2</f>
        <v>0</v>
      </c>
      <c r="P50" s="70" t="n">
        <f aca="false">P49*$D$2</f>
        <v>414.74985</v>
      </c>
      <c r="Q50" s="7" t="n">
        <f aca="false">Q49*$D$2</f>
        <v>122.977</v>
      </c>
      <c r="R50" s="7" t="n">
        <f aca="false">R49*$D$2</f>
        <v>101.1585</v>
      </c>
      <c r="S50" s="7" t="n">
        <f aca="false">S49*$D$2</f>
        <v>638.88535</v>
      </c>
      <c r="T50" s="7" t="n">
        <f aca="false">T49*$D$2</f>
        <v>0</v>
      </c>
      <c r="U50" s="7" t="n">
        <f aca="false">U49*$D$2</f>
        <v>0</v>
      </c>
      <c r="V50" s="7" t="n">
        <f aca="false">V49*$D$2</f>
        <v>842.9875</v>
      </c>
      <c r="W50" s="7" t="n">
        <f aca="false">W49*$D$2</f>
        <v>3937.2475</v>
      </c>
      <c r="X50" s="7" t="n">
        <f aca="false">X49*$D$2</f>
        <v>1481.87285</v>
      </c>
      <c r="Y50" s="7" t="n">
        <f aca="false">Y49*$D$2</f>
        <v>565.0403</v>
      </c>
      <c r="Z50" s="7" t="n">
        <f aca="false">Z49*$D$2</f>
        <v>2046.91315</v>
      </c>
      <c r="AA50" s="60"/>
      <c r="AB50" s="72"/>
      <c r="AC50" s="73"/>
      <c r="AD50" s="13"/>
    </row>
    <row r="51" customFormat="false" ht="3" hidden="false" customHeight="true" outlineLevel="0" collapsed="false">
      <c r="A51" s="75"/>
      <c r="B51" s="96"/>
      <c r="C51" s="77"/>
      <c r="D51" s="75"/>
      <c r="E51" s="77"/>
      <c r="F51" s="78"/>
      <c r="G51" s="75"/>
      <c r="H51" s="79"/>
      <c r="I51" s="75"/>
      <c r="J51" s="75"/>
      <c r="K51" s="75"/>
      <c r="L51" s="75"/>
      <c r="M51" s="80"/>
      <c r="N51" s="75"/>
      <c r="O51" s="75"/>
      <c r="P51" s="81"/>
      <c r="Q51" s="75"/>
      <c r="R51" s="75"/>
      <c r="S51" s="75"/>
      <c r="T51" s="77"/>
      <c r="U51" s="75"/>
      <c r="V51" s="75"/>
      <c r="W51" s="77"/>
      <c r="X51" s="75"/>
      <c r="Y51" s="75"/>
      <c r="Z51" s="75"/>
      <c r="AA51" s="75"/>
      <c r="AB51" s="75"/>
      <c r="AC51" s="75"/>
      <c r="AD51" s="75"/>
      <c r="AE51" s="75"/>
      <c r="AF51" s="75"/>
    </row>
    <row r="52" customFormat="false" ht="14.1" hidden="false" customHeight="true" outlineLevel="0" collapsed="false">
      <c r="A52" s="100"/>
      <c r="B52" s="101"/>
      <c r="C52" s="7"/>
      <c r="D52" s="6"/>
      <c r="E52" s="7"/>
      <c r="F52" s="6"/>
      <c r="G52" s="6"/>
      <c r="H52" s="11"/>
      <c r="I52" s="6"/>
      <c r="J52" s="6"/>
      <c r="K52" s="6"/>
      <c r="L52" s="6"/>
      <c r="M52" s="6"/>
      <c r="N52" s="6"/>
      <c r="O52" s="6"/>
      <c r="P52" s="6"/>
      <c r="Q52" s="6"/>
      <c r="R52" s="6"/>
      <c r="S52" s="6"/>
      <c r="T52" s="7"/>
      <c r="U52" s="6"/>
      <c r="V52" s="6"/>
      <c r="W52" s="7"/>
      <c r="X52" s="6"/>
      <c r="Y52" s="6"/>
      <c r="Z52" s="11"/>
      <c r="AA52" s="11"/>
      <c r="AB52" s="12"/>
      <c r="AC52" s="12"/>
      <c r="AD52" s="13"/>
    </row>
    <row r="53" customFormat="false" ht="11.1" hidden="false" customHeight="true" outlineLevel="0" collapsed="false">
      <c r="A53" s="6"/>
      <c r="B53" s="102"/>
      <c r="C53" s="7"/>
      <c r="D53" s="103"/>
      <c r="E53" s="7"/>
      <c r="F53" s="6"/>
      <c r="G53" s="6"/>
      <c r="H53" s="11"/>
      <c r="I53" s="8"/>
      <c r="J53" s="6"/>
      <c r="K53" s="104"/>
      <c r="L53" s="6"/>
      <c r="M53" s="6"/>
      <c r="N53" s="6"/>
      <c r="O53" s="6"/>
      <c r="P53" s="6"/>
      <c r="Q53" s="6"/>
      <c r="R53" s="6"/>
      <c r="S53" s="6"/>
      <c r="T53" s="7"/>
      <c r="U53" s="6"/>
      <c r="V53" s="6"/>
      <c r="W53" s="7"/>
      <c r="X53" s="6"/>
      <c r="Y53" s="6"/>
      <c r="Z53" s="11"/>
      <c r="AA53" s="11"/>
      <c r="AB53" s="12"/>
      <c r="AC53" s="12"/>
      <c r="AD53" s="13"/>
    </row>
    <row r="54" customFormat="false" ht="11.1" hidden="false" customHeight="true" outlineLevel="0" collapsed="false">
      <c r="B54" s="103"/>
      <c r="C54" s="7"/>
      <c r="D54" s="7"/>
      <c r="E54" s="7"/>
      <c r="F54" s="103"/>
      <c r="G54" s="103"/>
      <c r="H54" s="11"/>
      <c r="I54" s="103"/>
      <c r="J54" s="103"/>
      <c r="K54" s="103"/>
      <c r="L54" s="103"/>
      <c r="M54" s="89"/>
      <c r="N54" s="89"/>
      <c r="O54" s="89"/>
      <c r="P54" s="89"/>
      <c r="Q54" s="103"/>
      <c r="R54" s="103"/>
      <c r="S54" s="103"/>
      <c r="T54" s="7"/>
      <c r="U54" s="103"/>
      <c r="V54" s="103"/>
      <c r="W54" s="7"/>
      <c r="X54" s="103"/>
      <c r="Y54" s="103"/>
      <c r="Z54" s="11"/>
      <c r="AA54" s="11"/>
      <c r="AB54" s="12"/>
      <c r="AC54" s="12"/>
      <c r="AD54" s="13"/>
    </row>
    <row r="55" customFormat="false" ht="11.1" hidden="false" customHeight="true" outlineLevel="0" collapsed="false">
      <c r="A55" s="103"/>
      <c r="B55" s="10"/>
      <c r="C55" s="7"/>
      <c r="D55" s="7"/>
      <c r="E55" s="7"/>
      <c r="F55" s="103"/>
      <c r="G55" s="103"/>
      <c r="H55" s="11"/>
      <c r="I55" s="103"/>
      <c r="J55" s="103"/>
      <c r="K55" s="103"/>
      <c r="L55" s="103"/>
      <c r="M55" s="89"/>
      <c r="N55" s="89"/>
      <c r="O55" s="89"/>
      <c r="P55" s="89"/>
      <c r="Q55" s="103"/>
      <c r="R55" s="103"/>
      <c r="S55" s="103"/>
      <c r="T55" s="7"/>
      <c r="U55" s="103"/>
      <c r="V55" s="103"/>
      <c r="W55" s="7"/>
      <c r="X55" s="103"/>
      <c r="Y55" s="103"/>
      <c r="Z55" s="11"/>
      <c r="AA55" s="11"/>
      <c r="AB55" s="12"/>
      <c r="AC55" s="12"/>
      <c r="AD55" s="13"/>
    </row>
    <row r="56" customFormat="false" ht="11.1" hidden="false" customHeight="true" outlineLevel="0" collapsed="false">
      <c r="A56" s="103"/>
      <c r="B56" s="103"/>
      <c r="C56" s="7"/>
      <c r="D56" s="103"/>
      <c r="E56" s="7"/>
      <c r="F56" s="103"/>
      <c r="G56" s="105"/>
      <c r="H56" s="11"/>
      <c r="I56" s="103"/>
      <c r="J56" s="103"/>
      <c r="K56" s="103"/>
      <c r="L56" s="103"/>
      <c r="M56" s="89"/>
      <c r="N56" s="89"/>
      <c r="O56" s="89"/>
      <c r="P56" s="103"/>
      <c r="Q56" s="103"/>
      <c r="R56" s="103"/>
      <c r="S56" s="7"/>
      <c r="T56" s="103"/>
      <c r="U56" s="103"/>
      <c r="V56" s="7"/>
      <c r="W56" s="103"/>
      <c r="X56" s="103"/>
      <c r="Y56" s="103"/>
      <c r="Z56" s="11"/>
      <c r="AA56" s="11"/>
      <c r="AB56" s="12"/>
      <c r="AC56" s="13"/>
    </row>
  </sheetData>
  <mergeCells count="1">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F43" activePane="bottomRight" state="frozen"/>
      <selection pane="topLeft" activeCell="A1" activeCellId="0" sqref="A1"/>
      <selection pane="topRight" activeCell="F1" activeCellId="0" sqref="F1"/>
      <selection pane="bottomLeft" activeCell="A43" activeCellId="0" sqref="A43"/>
      <selection pane="bottomRight" activeCell="AE6" activeCellId="0" sqref="AE6"/>
    </sheetView>
  </sheetViews>
  <sheetFormatPr defaultColWidth="9.328125" defaultRowHeight="11.1" zeroHeight="false" outlineLevelRow="0" outlineLevelCol="0"/>
  <cols>
    <col collapsed="false" customWidth="true" hidden="false" outlineLevel="0" max="1" min="1" style="106" width="5.66"/>
    <col collapsed="false" customWidth="true" hidden="false" outlineLevel="0" max="2" min="2" style="106" width="7.49"/>
    <col collapsed="false" customWidth="true" hidden="false" outlineLevel="0" max="3" min="3" style="107" width="6.82"/>
    <col collapsed="false" customWidth="true" hidden="false" outlineLevel="0" max="4" min="4" style="106" width="6.99"/>
    <col collapsed="false" customWidth="true" hidden="false" outlineLevel="0" max="5" min="5" style="107" width="7.66"/>
    <col collapsed="false" customWidth="true" hidden="false" outlineLevel="0" max="6" min="6" style="106" width="7.66"/>
    <col collapsed="false" customWidth="true" hidden="false" outlineLevel="0" max="7" min="7" style="106" width="7.16"/>
    <col collapsed="false" customWidth="true" hidden="false" outlineLevel="0" max="8" min="8" style="108" width="6.66"/>
    <col collapsed="false" customWidth="true" hidden="false" outlineLevel="0" max="9" min="9" style="106" width="7.99"/>
    <col collapsed="false" customWidth="true" hidden="false" outlineLevel="0" max="11" min="10" style="106" width="6.66"/>
    <col collapsed="false" customWidth="true" hidden="false" outlineLevel="0" max="12" min="12"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06" width="7.16"/>
    <col collapsed="false" customWidth="true" hidden="false" outlineLevel="0" max="18" min="17" style="106" width="5.49"/>
    <col collapsed="false" customWidth="true" hidden="false" outlineLevel="0" max="19" min="19" style="107" width="6.82"/>
    <col collapsed="false" customWidth="true" hidden="false" outlineLevel="0" max="20" min="20" style="106" width="6.49"/>
    <col collapsed="false" customWidth="true" hidden="false" outlineLevel="0" max="21" min="21" style="106" width="5.66"/>
    <col collapsed="false" customWidth="true" hidden="false" outlineLevel="0" max="22" min="22" style="107" width="6.16"/>
    <col collapsed="false" customWidth="true" hidden="false" outlineLevel="0" max="23" min="23" style="106" width="6.82"/>
    <col collapsed="false" customWidth="true" hidden="false" outlineLevel="0" max="25" min="24" style="106" width="7.82"/>
    <col collapsed="false" customWidth="true" hidden="false" outlineLevel="0" max="26" min="26" style="110" width="7.82"/>
    <col collapsed="false" customWidth="true" hidden="false" outlineLevel="0" max="27" min="27" style="108" width="5.32"/>
    <col collapsed="false" customWidth="true" hidden="false" outlineLevel="0" max="28" min="28" style="111" width="3.82"/>
    <col collapsed="false" customWidth="true" hidden="false" outlineLevel="0" max="29" min="29" style="112" width="3.82"/>
    <col collapsed="false" customWidth="true" hidden="false" outlineLevel="0" max="30" min="30" style="106" width="5.99"/>
    <col collapsed="false" customWidth="true" hidden="false" outlineLevel="0" max="31" min="31" style="106" width="6.66"/>
    <col collapsed="false" customWidth="false" hidden="false" outlineLevel="0" max="257" min="32" style="106" width="9.32"/>
  </cols>
  <sheetData>
    <row r="1" customFormat="false" ht="14.1" hidden="false" customHeight="true" outlineLevel="0" collapsed="false">
      <c r="A1" s="113"/>
      <c r="B1" s="113"/>
      <c r="C1" s="114"/>
      <c r="D1" s="113"/>
      <c r="E1" s="114"/>
      <c r="F1" s="113"/>
      <c r="G1" s="113"/>
      <c r="H1" s="115"/>
      <c r="I1" s="113"/>
      <c r="J1" s="113"/>
      <c r="K1" s="116" t="s">
        <v>0</v>
      </c>
      <c r="L1" s="113"/>
      <c r="M1" s="113"/>
      <c r="N1" s="113"/>
      <c r="O1" s="113"/>
      <c r="P1" s="113"/>
      <c r="Q1" s="113"/>
      <c r="R1" s="113"/>
      <c r="S1" s="114"/>
      <c r="T1" s="113"/>
      <c r="U1" s="113"/>
      <c r="V1" s="114"/>
      <c r="W1" s="113"/>
      <c r="X1" s="113"/>
      <c r="Y1" s="113"/>
      <c r="Z1" s="117"/>
      <c r="AA1" s="118"/>
      <c r="AB1" s="119"/>
      <c r="AC1" s="120"/>
    </row>
    <row r="2" customFormat="false" ht="14.1" hidden="false" customHeight="true" outlineLevel="0" collapsed="false">
      <c r="A2" s="113" t="s">
        <v>1</v>
      </c>
      <c r="B2" s="113"/>
      <c r="C2" s="114"/>
      <c r="D2" s="121" t="n">
        <v>1.9835</v>
      </c>
      <c r="E2" s="114"/>
      <c r="F2" s="113"/>
      <c r="G2" s="113"/>
      <c r="H2" s="115"/>
      <c r="I2" s="113"/>
      <c r="J2" s="113"/>
      <c r="K2" s="122" t="s">
        <v>63</v>
      </c>
      <c r="L2" s="122"/>
      <c r="M2" s="122"/>
      <c r="N2" s="122"/>
      <c r="O2" s="122"/>
      <c r="P2" s="122"/>
      <c r="Q2" s="122"/>
      <c r="R2" s="122"/>
      <c r="S2" s="122"/>
      <c r="T2" s="122"/>
      <c r="U2" s="113"/>
      <c r="V2" s="114"/>
      <c r="W2" s="113"/>
      <c r="X2" s="113"/>
      <c r="Y2" s="113"/>
      <c r="Z2" s="117"/>
      <c r="AA2" s="118"/>
      <c r="AB2" s="119"/>
      <c r="AC2" s="120"/>
    </row>
    <row r="3" customFormat="false" ht="14.1" hidden="false" customHeight="true" outlineLevel="0" collapsed="false">
      <c r="A3" s="123"/>
      <c r="B3" s="123"/>
      <c r="C3" s="124"/>
      <c r="D3" s="125"/>
      <c r="E3" s="124"/>
      <c r="F3" s="123"/>
      <c r="G3" s="123"/>
      <c r="H3" s="126"/>
      <c r="I3" s="123"/>
      <c r="J3" s="123"/>
      <c r="K3" s="123"/>
      <c r="L3" s="123"/>
      <c r="M3" s="123"/>
      <c r="N3" s="123"/>
      <c r="O3" s="123"/>
      <c r="P3" s="123"/>
      <c r="Q3" s="123"/>
      <c r="R3" s="123"/>
      <c r="S3" s="124"/>
      <c r="T3" s="123"/>
      <c r="U3" s="123"/>
      <c r="V3" s="124"/>
      <c r="W3" s="123"/>
      <c r="X3" s="123"/>
      <c r="Y3" s="123"/>
      <c r="Z3" s="127"/>
      <c r="AA3" s="128"/>
      <c r="AB3" s="129"/>
      <c r="AC3" s="130"/>
      <c r="AD3" s="131"/>
      <c r="AE3" s="131"/>
      <c r="AF3" s="131"/>
    </row>
    <row r="4" customFormat="false" ht="14.1" hidden="false" customHeight="true" outlineLevel="0" collapsed="false">
      <c r="A4" s="113"/>
      <c r="B4" s="132"/>
      <c r="C4" s="133"/>
      <c r="D4" s="134" t="s">
        <v>3</v>
      </c>
      <c r="E4" s="133"/>
      <c r="F4" s="135"/>
      <c r="G4" s="113"/>
      <c r="H4" s="115"/>
      <c r="I4" s="113"/>
      <c r="J4" s="113"/>
      <c r="K4" s="113"/>
      <c r="L4" s="113"/>
      <c r="M4" s="113"/>
      <c r="N4" s="113"/>
      <c r="O4" s="113"/>
      <c r="P4" s="113"/>
      <c r="Q4" s="136" t="s">
        <v>4</v>
      </c>
      <c r="R4" s="113"/>
      <c r="S4" s="114"/>
      <c r="T4" s="113"/>
      <c r="U4" s="113"/>
      <c r="V4" s="114"/>
      <c r="W4" s="113"/>
      <c r="X4" s="113"/>
      <c r="Y4" s="113"/>
      <c r="Z4" s="117"/>
      <c r="AA4" s="137"/>
      <c r="AB4" s="138" t="s">
        <v>5</v>
      </c>
      <c r="AC4" s="139"/>
    </row>
    <row r="5" customFormat="false" ht="11.1" hidden="false" customHeight="true" outlineLevel="0" collapsed="false">
      <c r="A5" s="140" t="s">
        <v>6</v>
      </c>
      <c r="B5" s="141" t="s">
        <v>7</v>
      </c>
      <c r="C5" s="142" t="s">
        <v>7</v>
      </c>
      <c r="D5" s="140" t="s">
        <v>8</v>
      </c>
      <c r="E5" s="142" t="s">
        <v>9</v>
      </c>
      <c r="F5" s="143" t="s">
        <v>10</v>
      </c>
      <c r="G5" s="140" t="s">
        <v>11</v>
      </c>
      <c r="H5" s="144" t="s">
        <v>12</v>
      </c>
      <c r="I5" s="140" t="s">
        <v>13</v>
      </c>
      <c r="J5" s="140" t="s">
        <v>14</v>
      </c>
      <c r="K5" s="140" t="s">
        <v>15</v>
      </c>
      <c r="L5" s="140" t="s">
        <v>14</v>
      </c>
      <c r="M5" s="145" t="s">
        <v>16</v>
      </c>
      <c r="N5" s="145"/>
      <c r="O5" s="145"/>
      <c r="P5" s="145"/>
      <c r="Q5" s="140" t="s">
        <v>17</v>
      </c>
      <c r="R5" s="140" t="s">
        <v>18</v>
      </c>
      <c r="S5" s="140" t="s">
        <v>15</v>
      </c>
      <c r="T5" s="142" t="s">
        <v>19</v>
      </c>
      <c r="U5" s="140" t="s">
        <v>20</v>
      </c>
      <c r="V5" s="140" t="s">
        <v>21</v>
      </c>
      <c r="W5" s="142" t="s">
        <v>22</v>
      </c>
      <c r="X5" s="140" t="s">
        <v>13</v>
      </c>
      <c r="Y5" s="140" t="s">
        <v>14</v>
      </c>
      <c r="Z5" s="140" t="s">
        <v>15</v>
      </c>
      <c r="AA5" s="146" t="s">
        <v>23</v>
      </c>
      <c r="AB5" s="147" t="s">
        <v>24</v>
      </c>
      <c r="AC5" s="148" t="s">
        <v>25</v>
      </c>
      <c r="AD5" s="147" t="s">
        <v>64</v>
      </c>
      <c r="AE5" s="149" t="s">
        <v>65</v>
      </c>
    </row>
    <row r="6" customFormat="false" ht="11.1" hidden="false" customHeight="true" outlineLevel="0" collapsed="false">
      <c r="A6" s="150" t="s">
        <v>66</v>
      </c>
      <c r="B6" s="141" t="s">
        <v>28</v>
      </c>
      <c r="C6" s="142" t="s">
        <v>8</v>
      </c>
      <c r="D6" s="140" t="s">
        <v>29</v>
      </c>
      <c r="E6" s="142" t="s">
        <v>30</v>
      </c>
      <c r="F6" s="143" t="s">
        <v>31</v>
      </c>
      <c r="G6" s="140" t="s">
        <v>32</v>
      </c>
      <c r="H6" s="144" t="s">
        <v>33</v>
      </c>
      <c r="I6" s="140" t="s">
        <v>34</v>
      </c>
      <c r="J6" s="140" t="s">
        <v>34</v>
      </c>
      <c r="K6" s="140" t="s">
        <v>34</v>
      </c>
      <c r="L6" s="140" t="s">
        <v>35</v>
      </c>
      <c r="M6" s="151" t="s">
        <v>36</v>
      </c>
      <c r="N6" s="140" t="s">
        <v>37</v>
      </c>
      <c r="O6" s="140" t="s">
        <v>38</v>
      </c>
      <c r="P6" s="152" t="s">
        <v>39</v>
      </c>
      <c r="Q6" s="140" t="s">
        <v>40</v>
      </c>
      <c r="R6" s="140" t="s">
        <v>41</v>
      </c>
      <c r="S6" s="140" t="s">
        <v>19</v>
      </c>
      <c r="T6" s="142" t="s">
        <v>42</v>
      </c>
      <c r="U6" s="140" t="s">
        <v>43</v>
      </c>
      <c r="V6" s="140" t="s">
        <v>44</v>
      </c>
      <c r="W6" s="142" t="s">
        <v>45</v>
      </c>
      <c r="X6" s="140" t="s">
        <v>46</v>
      </c>
      <c r="Y6" s="140" t="s">
        <v>46</v>
      </c>
      <c r="Z6" s="140" t="s">
        <v>46</v>
      </c>
      <c r="AA6" s="153"/>
      <c r="AB6" s="147" t="s">
        <v>47</v>
      </c>
      <c r="AC6" s="148" t="s">
        <v>47</v>
      </c>
      <c r="AD6" s="154" t="s">
        <v>42</v>
      </c>
      <c r="AE6" s="149" t="s">
        <v>42</v>
      </c>
    </row>
    <row r="7" customFormat="false" ht="11.1" hidden="false" customHeight="true" outlineLevel="0" collapsed="false">
      <c r="A7" s="155"/>
      <c r="B7" s="156"/>
      <c r="C7" s="157"/>
      <c r="D7" s="155"/>
      <c r="E7" s="158" t="s">
        <v>48</v>
      </c>
      <c r="F7" s="159"/>
      <c r="G7" s="155"/>
      <c r="H7" s="160"/>
      <c r="I7" s="155"/>
      <c r="J7" s="155"/>
      <c r="K7" s="155"/>
      <c r="L7" s="155"/>
      <c r="M7" s="161"/>
      <c r="N7" s="155"/>
      <c r="O7" s="155"/>
      <c r="P7" s="162"/>
      <c r="Q7" s="155"/>
      <c r="R7" s="155"/>
      <c r="S7" s="155"/>
      <c r="T7" s="158" t="s">
        <v>67</v>
      </c>
      <c r="U7" s="155"/>
      <c r="V7" s="155"/>
      <c r="W7" s="157"/>
      <c r="X7" s="155"/>
      <c r="Y7" s="155"/>
      <c r="Z7" s="155"/>
      <c r="AA7" s="163"/>
      <c r="AB7" s="154" t="s">
        <v>50</v>
      </c>
      <c r="AC7" s="164"/>
      <c r="AD7" s="120"/>
      <c r="AE7" s="149" t="s">
        <v>51</v>
      </c>
    </row>
    <row r="8" customFormat="false" ht="11.1" hidden="false" customHeight="true" outlineLevel="0" collapsed="false">
      <c r="A8" s="155"/>
      <c r="B8" s="156"/>
      <c r="C8" s="157"/>
      <c r="D8" s="155"/>
      <c r="E8" s="157"/>
      <c r="F8" s="159"/>
      <c r="G8" s="155"/>
      <c r="H8" s="160"/>
      <c r="I8" s="155"/>
      <c r="J8" s="155"/>
      <c r="K8" s="155"/>
      <c r="L8" s="155"/>
      <c r="M8" s="161"/>
      <c r="N8" s="155"/>
      <c r="O8" s="155"/>
      <c r="P8" s="162"/>
      <c r="Q8" s="155"/>
      <c r="R8" s="155"/>
      <c r="S8" s="155"/>
      <c r="T8" s="157"/>
      <c r="U8" s="155"/>
      <c r="V8" s="155"/>
      <c r="W8" s="157"/>
      <c r="X8" s="155"/>
      <c r="Y8" s="155"/>
      <c r="Z8" s="155"/>
      <c r="AA8" s="163"/>
      <c r="AB8" s="120"/>
      <c r="AC8" s="164"/>
      <c r="AD8" s="120"/>
      <c r="AE8" s="149"/>
    </row>
    <row r="9" customFormat="false" ht="11.1" hidden="false" customHeight="true" outlineLevel="0" collapsed="false">
      <c r="A9" s="113" t="s">
        <v>52</v>
      </c>
      <c r="B9" s="165"/>
      <c r="C9" s="114"/>
      <c r="D9" s="114"/>
      <c r="E9" s="114"/>
      <c r="F9" s="166"/>
      <c r="G9" s="114"/>
      <c r="H9" s="119"/>
      <c r="I9" s="114"/>
      <c r="J9" s="114"/>
      <c r="K9" s="114"/>
      <c r="L9" s="114"/>
      <c r="M9" s="167"/>
      <c r="N9" s="114"/>
      <c r="O9" s="114"/>
      <c r="P9" s="168"/>
      <c r="Q9" s="114"/>
      <c r="R9" s="114"/>
      <c r="S9" s="114"/>
      <c r="T9" s="114"/>
      <c r="U9" s="114"/>
      <c r="V9" s="114"/>
      <c r="W9" s="114"/>
      <c r="X9" s="114"/>
      <c r="Y9" s="114"/>
      <c r="Z9" s="114"/>
      <c r="AA9" s="163"/>
      <c r="AB9" s="119"/>
      <c r="AC9" s="169"/>
      <c r="AD9" s="120"/>
    </row>
    <row r="10" s="107" customFormat="true" ht="11.1" hidden="false" customHeight="true" outlineLevel="0" collapsed="false">
      <c r="A10" s="114" t="s">
        <v>53</v>
      </c>
      <c r="B10" s="170" t="n">
        <f aca="false">NOV!B41</f>
        <v>6857.9</v>
      </c>
      <c r="C10" s="114" t="n">
        <f aca="false">NOV!C41</f>
        <v>158341</v>
      </c>
      <c r="D10" s="114" t="n">
        <f aca="false">NOV!$D$50</f>
        <v>1774</v>
      </c>
      <c r="E10" s="114" t="n">
        <f aca="false">NOV!$E$41</f>
        <v>6341</v>
      </c>
      <c r="F10" s="166" t="n">
        <f aca="false">NOV!F49</f>
        <v>894.378623645072</v>
      </c>
      <c r="G10" s="114" t="n">
        <f aca="false">NOV!G49</f>
        <v>1859</v>
      </c>
      <c r="H10" s="119" t="n">
        <f aca="false">NOV!H49</f>
        <v>0</v>
      </c>
      <c r="I10" s="114" t="n">
        <f aca="false">NOV!I49</f>
        <v>1859</v>
      </c>
      <c r="J10" s="114" t="n">
        <f aca="false">NOV!J49</f>
        <v>67.3489538694227</v>
      </c>
      <c r="K10" s="114" t="n">
        <f aca="false">NOV!K49</f>
        <v>1926.34895386942</v>
      </c>
      <c r="L10" s="114" t="n">
        <f aca="false">NOV!L49</f>
        <v>-217.521376354928</v>
      </c>
      <c r="M10" s="167" t="n">
        <f aca="false">NOV!M49</f>
        <v>209.1</v>
      </c>
      <c r="N10" s="114" t="n">
        <f aca="false">NOV!N49</f>
        <v>0</v>
      </c>
      <c r="O10" s="114" t="n">
        <f aca="false">NOV!O49</f>
        <v>0</v>
      </c>
      <c r="P10" s="168" t="n">
        <f aca="false">NOV!P49</f>
        <v>209.1</v>
      </c>
      <c r="Q10" s="114" t="n">
        <f aca="false">NOV!Q49</f>
        <v>62</v>
      </c>
      <c r="R10" s="114" t="n">
        <f aca="false">NOV!R49</f>
        <v>51</v>
      </c>
      <c r="S10" s="114" t="n">
        <f aca="false">NOV!S49</f>
        <v>322.1</v>
      </c>
      <c r="T10" s="114" t="n">
        <f aca="false">NOV!T49</f>
        <v>0</v>
      </c>
      <c r="U10" s="114" t="n">
        <f aca="false">NOV!U49</f>
        <v>0</v>
      </c>
      <c r="V10" s="114" t="n">
        <f aca="false">NOV!V49</f>
        <v>425</v>
      </c>
      <c r="W10" s="114" t="n">
        <f aca="false">NOV!W49</f>
        <v>1985</v>
      </c>
      <c r="X10" s="114" t="n">
        <f aca="false">NOV!X49</f>
        <v>747.1</v>
      </c>
      <c r="Y10" s="114" t="n">
        <f aca="false">NOV!Y49</f>
        <v>284.870330224351</v>
      </c>
      <c r="Z10" s="114" t="n">
        <f aca="false">NOV!Z49</f>
        <v>1031.97033022435</v>
      </c>
      <c r="AA10" s="163" t="n">
        <f aca="false">NOV!AA49</f>
        <v>1.23</v>
      </c>
      <c r="AB10" s="119"/>
      <c r="AC10" s="169"/>
      <c r="AD10" s="120"/>
    </row>
    <row r="11" customFormat="false" ht="3" hidden="false" customHeight="true" outlineLevel="0" collapsed="false">
      <c r="A11" s="171"/>
      <c r="B11" s="172"/>
      <c r="C11" s="173"/>
      <c r="D11" s="171"/>
      <c r="E11" s="173"/>
      <c r="F11" s="174"/>
      <c r="G11" s="171"/>
      <c r="H11" s="175"/>
      <c r="I11" s="171"/>
      <c r="J11" s="171"/>
      <c r="K11" s="171"/>
      <c r="L11" s="171"/>
      <c r="M11" s="176"/>
      <c r="N11" s="171"/>
      <c r="O11" s="171"/>
      <c r="P11" s="177"/>
      <c r="Q11" s="171"/>
      <c r="R11" s="171"/>
      <c r="S11" s="171"/>
      <c r="T11" s="173"/>
      <c r="U11" s="171"/>
      <c r="V11" s="171"/>
      <c r="W11" s="173"/>
      <c r="X11" s="171"/>
      <c r="Y11" s="171"/>
      <c r="Z11" s="171"/>
      <c r="AA11" s="178"/>
      <c r="AB11" s="179"/>
      <c r="AC11" s="180"/>
      <c r="AD11" s="181"/>
      <c r="AE11" s="181"/>
      <c r="AF11" s="181"/>
    </row>
    <row r="12" customFormat="false" ht="11.1" hidden="false" customHeight="true" outlineLevel="0" collapsed="false">
      <c r="A12" s="120" t="n">
        <v>1</v>
      </c>
      <c r="B12" s="170" t="n">
        <v>6857.93</v>
      </c>
      <c r="C12" s="114" t="n">
        <v>158408</v>
      </c>
      <c r="D12" s="119" t="n">
        <f aca="false">C12-C10</f>
        <v>67</v>
      </c>
      <c r="E12" s="114" t="n">
        <f aca="false">C12-152000</f>
        <v>6408</v>
      </c>
      <c r="F12" s="182" t="n">
        <f aca="false">D12/$D$2</f>
        <v>33.7786740610033</v>
      </c>
      <c r="G12" s="183" t="n">
        <v>69</v>
      </c>
      <c r="H12" s="184" t="n">
        <v>0</v>
      </c>
      <c r="I12" s="113" t="n">
        <f aca="false">G12+H12</f>
        <v>69</v>
      </c>
      <c r="J12" s="185" t="n">
        <f aca="false">IF(L12&gt;0,L12,0)</f>
        <v>0</v>
      </c>
      <c r="K12" s="113" t="n">
        <f aca="false">I12+J12</f>
        <v>69</v>
      </c>
      <c r="L12" s="113" t="n">
        <f aca="false">F12-(I12-X12)</f>
        <v>-16.1213259389967</v>
      </c>
      <c r="M12" s="186" t="n">
        <v>4.1</v>
      </c>
      <c r="N12" s="113" t="n">
        <v>0</v>
      </c>
      <c r="O12" s="113" t="n">
        <v>0</v>
      </c>
      <c r="P12" s="92" t="n">
        <f aca="false">M12-(N12+O12)</f>
        <v>4.1</v>
      </c>
      <c r="Q12" s="183" t="n">
        <v>0</v>
      </c>
      <c r="R12" s="183" t="n">
        <v>0</v>
      </c>
      <c r="S12" s="113" t="n">
        <f aca="false">SUM(P12:R12)</f>
        <v>4.1</v>
      </c>
      <c r="T12" s="114"/>
      <c r="U12" s="183" t="n">
        <v>0</v>
      </c>
      <c r="V12" s="183" t="n">
        <v>15</v>
      </c>
      <c r="W12" s="114" t="n">
        <f aca="false">W10-V12</f>
        <v>1970</v>
      </c>
      <c r="X12" s="6" t="n">
        <f aca="false">N12+O12+S12+U12+V12</f>
        <v>19.1</v>
      </c>
      <c r="Y12" s="113" t="n">
        <f aca="false">IF(L12&lt;0,L12*-1,0)</f>
        <v>16.1213259389967</v>
      </c>
      <c r="Z12" s="113" t="n">
        <f aca="false">X12+Y12</f>
        <v>35.2213259389967</v>
      </c>
      <c r="AA12" s="163" t="n">
        <v>0.13</v>
      </c>
      <c r="AB12" s="119" t="n">
        <v>43</v>
      </c>
      <c r="AC12" s="169" t="n">
        <v>22</v>
      </c>
      <c r="AD12" s="120"/>
    </row>
    <row r="13" customFormat="false" ht="11.1" hidden="false" customHeight="true" outlineLevel="0" collapsed="false">
      <c r="A13" s="120" t="n">
        <f aca="false">A12+1</f>
        <v>2</v>
      </c>
      <c r="B13" s="170" t="n">
        <v>6857.95</v>
      </c>
      <c r="C13" s="114" t="n">
        <v>158452</v>
      </c>
      <c r="D13" s="119" t="n">
        <f aca="false">C13-C12</f>
        <v>44</v>
      </c>
      <c r="E13" s="114" t="n">
        <f aca="false">C13-152000</f>
        <v>6452</v>
      </c>
      <c r="F13" s="182" t="n">
        <f aca="false">D13/$D$2</f>
        <v>22.1830098311066</v>
      </c>
      <c r="G13" s="183" t="n">
        <v>62</v>
      </c>
      <c r="H13" s="184" t="n">
        <v>0</v>
      </c>
      <c r="I13" s="113" t="n">
        <f aca="false">G13+H13</f>
        <v>62</v>
      </c>
      <c r="J13" s="185" t="n">
        <f aca="false">IF(L13&gt;0,L13,0)</f>
        <v>0</v>
      </c>
      <c r="K13" s="113" t="n">
        <f aca="false">I13+J13</f>
        <v>62</v>
      </c>
      <c r="L13" s="113" t="n">
        <f aca="false">F13-(I13-X13)</f>
        <v>-20.7169901688934</v>
      </c>
      <c r="M13" s="186" t="n">
        <v>4.1</v>
      </c>
      <c r="N13" s="113" t="n">
        <v>0</v>
      </c>
      <c r="O13" s="113" t="n">
        <v>0</v>
      </c>
      <c r="P13" s="92" t="n">
        <f aca="false">M13-(N13+O13)</f>
        <v>4.1</v>
      </c>
      <c r="Q13" s="183" t="n">
        <v>0</v>
      </c>
      <c r="R13" s="183" t="n">
        <v>0</v>
      </c>
      <c r="S13" s="113" t="n">
        <f aca="false">SUM(P13:R13)</f>
        <v>4.1</v>
      </c>
      <c r="T13" s="114"/>
      <c r="U13" s="183" t="n">
        <v>0</v>
      </c>
      <c r="V13" s="183" t="n">
        <v>15</v>
      </c>
      <c r="W13" s="114" t="n">
        <f aca="false">W12-V13</f>
        <v>1955</v>
      </c>
      <c r="X13" s="6" t="n">
        <f aca="false">N13+O13+S13+U13+V13</f>
        <v>19.1</v>
      </c>
      <c r="Y13" s="113" t="n">
        <f aca="false">IF(L13&lt;0,L13*-1,0)</f>
        <v>20.7169901688934</v>
      </c>
      <c r="Z13" s="113" t="n">
        <f aca="false">X13+Y13</f>
        <v>39.8169901688934</v>
      </c>
      <c r="AA13" s="163" t="n">
        <v>0</v>
      </c>
      <c r="AB13" s="119" t="n">
        <v>44</v>
      </c>
      <c r="AC13" s="169" t="n">
        <v>20</v>
      </c>
      <c r="AD13" s="120"/>
    </row>
    <row r="14" customFormat="false" ht="11.1" hidden="false" customHeight="true" outlineLevel="0" collapsed="false">
      <c r="A14" s="120" t="n">
        <f aca="false">A13+1</f>
        <v>3</v>
      </c>
      <c r="B14" s="170" t="n">
        <v>6857.96</v>
      </c>
      <c r="C14" s="114" t="n">
        <v>158474</v>
      </c>
      <c r="D14" s="119" t="n">
        <f aca="false">C14-C13</f>
        <v>22</v>
      </c>
      <c r="E14" s="114" t="n">
        <f aca="false">C14-152000</f>
        <v>6474</v>
      </c>
      <c r="F14" s="182" t="n">
        <f aca="false">D14/$D$2</f>
        <v>11.0915049155533</v>
      </c>
      <c r="G14" s="183" t="n">
        <v>68</v>
      </c>
      <c r="H14" s="184" t="n">
        <v>0</v>
      </c>
      <c r="I14" s="113" t="n">
        <f aca="false">G14+H14</f>
        <v>68</v>
      </c>
      <c r="J14" s="185" t="n">
        <f aca="false">IF(L14&gt;0,L14,0)</f>
        <v>0</v>
      </c>
      <c r="K14" s="113" t="n">
        <f aca="false">I14+J14</f>
        <v>68</v>
      </c>
      <c r="L14" s="113" t="n">
        <f aca="false">F14-(I14-X14)</f>
        <v>-37.8084950844467</v>
      </c>
      <c r="M14" s="186" t="n">
        <v>4.1</v>
      </c>
      <c r="N14" s="113" t="n">
        <v>0</v>
      </c>
      <c r="O14" s="113" t="n">
        <v>0</v>
      </c>
      <c r="P14" s="92" t="n">
        <f aca="false">M14-(N14+O14)</f>
        <v>4.1</v>
      </c>
      <c r="Q14" s="183" t="n">
        <v>0</v>
      </c>
      <c r="R14" s="183" t="n">
        <v>0</v>
      </c>
      <c r="S14" s="113" t="n">
        <f aca="false">SUM(P14:R14)</f>
        <v>4.1</v>
      </c>
      <c r="T14" s="114"/>
      <c r="U14" s="183" t="n">
        <v>0</v>
      </c>
      <c r="V14" s="183" t="n">
        <v>15</v>
      </c>
      <c r="W14" s="114" t="n">
        <f aca="false">W13-V14</f>
        <v>1940</v>
      </c>
      <c r="X14" s="6" t="n">
        <f aca="false">N14+O14+S14+U14+V14</f>
        <v>19.1</v>
      </c>
      <c r="Y14" s="113" t="n">
        <f aca="false">IF(L14&lt;0,L14*-1,0)</f>
        <v>37.8084950844467</v>
      </c>
      <c r="Z14" s="113" t="n">
        <f aca="false">X14+Y14</f>
        <v>56.9084950844467</v>
      </c>
      <c r="AA14" s="163" t="n">
        <v>0</v>
      </c>
      <c r="AB14" s="119" t="n">
        <v>42</v>
      </c>
      <c r="AC14" s="169" t="n">
        <v>24</v>
      </c>
      <c r="AD14" s="120"/>
    </row>
    <row r="15" customFormat="false" ht="11.1" hidden="false" customHeight="true" outlineLevel="0" collapsed="false">
      <c r="A15" s="120" t="n">
        <f aca="false">A14+1</f>
        <v>4</v>
      </c>
      <c r="B15" s="170" t="n">
        <v>6857.98</v>
      </c>
      <c r="C15" s="114" t="n">
        <v>158518</v>
      </c>
      <c r="D15" s="119" t="n">
        <f aca="false">C15-C14</f>
        <v>44</v>
      </c>
      <c r="E15" s="114" t="n">
        <f aca="false">C15-152000</f>
        <v>6518</v>
      </c>
      <c r="F15" s="182" t="n">
        <f aca="false">D15/$D$2</f>
        <v>22.1830098311066</v>
      </c>
      <c r="G15" s="183" t="n">
        <v>71</v>
      </c>
      <c r="H15" s="184" t="n">
        <v>0</v>
      </c>
      <c r="I15" s="113" t="n">
        <f aca="false">G15+H15</f>
        <v>71</v>
      </c>
      <c r="J15" s="185" t="n">
        <f aca="false">IF(L15&gt;0,L15,0)</f>
        <v>0</v>
      </c>
      <c r="K15" s="113" t="n">
        <f aca="false">I15+J15</f>
        <v>71</v>
      </c>
      <c r="L15" s="113" t="n">
        <f aca="false">F15-(I15-X15)</f>
        <v>-29.7169901688934</v>
      </c>
      <c r="M15" s="186" t="n">
        <v>4.1</v>
      </c>
      <c r="N15" s="113" t="n">
        <v>0</v>
      </c>
      <c r="O15" s="113" t="n">
        <v>0</v>
      </c>
      <c r="P15" s="92" t="n">
        <f aca="false">M15-(N15+O15)</f>
        <v>4.1</v>
      </c>
      <c r="Q15" s="183" t="n">
        <v>0</v>
      </c>
      <c r="R15" s="183" t="n">
        <v>0</v>
      </c>
      <c r="S15" s="113" t="n">
        <f aca="false">SUM(P15:R15)</f>
        <v>4.1</v>
      </c>
      <c r="T15" s="114"/>
      <c r="U15" s="183" t="n">
        <v>0</v>
      </c>
      <c r="V15" s="183" t="n">
        <v>15</v>
      </c>
      <c r="W15" s="114" t="n">
        <f aca="false">W14-V15</f>
        <v>1925</v>
      </c>
      <c r="X15" s="6" t="n">
        <f aca="false">N15+O15+S15+U15+V15</f>
        <v>19.1</v>
      </c>
      <c r="Y15" s="113" t="n">
        <f aca="false">IF(L15&lt;0,L15*-1,0)</f>
        <v>29.7169901688934</v>
      </c>
      <c r="Z15" s="113" t="n">
        <f aca="false">X15+Y15</f>
        <v>48.8169901688934</v>
      </c>
      <c r="AA15" s="163" t="n">
        <v>0</v>
      </c>
      <c r="AB15" s="119" t="n">
        <v>44</v>
      </c>
      <c r="AC15" s="169" t="n">
        <v>19</v>
      </c>
      <c r="AD15" s="120"/>
    </row>
    <row r="16" customFormat="false" ht="11.1" hidden="false" customHeight="true" outlineLevel="0" collapsed="false">
      <c r="A16" s="120" t="n">
        <f aca="false">A15+1</f>
        <v>5</v>
      </c>
      <c r="B16" s="170" t="n">
        <v>9858</v>
      </c>
      <c r="C16" s="114" t="n">
        <v>158563</v>
      </c>
      <c r="D16" s="119" t="n">
        <f aca="false">C16-C15</f>
        <v>45</v>
      </c>
      <c r="E16" s="114" t="n">
        <f aca="false">C16-152000</f>
        <v>6563</v>
      </c>
      <c r="F16" s="182" t="n">
        <f aca="false">D16/$D$2</f>
        <v>22.68716914545</v>
      </c>
      <c r="G16" s="183" t="n">
        <v>60</v>
      </c>
      <c r="H16" s="184" t="n">
        <v>0</v>
      </c>
      <c r="I16" s="113" t="n">
        <f aca="false">G16+H16</f>
        <v>60</v>
      </c>
      <c r="J16" s="185" t="n">
        <f aca="false">IF(L16&gt;0,L16,0)</f>
        <v>0</v>
      </c>
      <c r="K16" s="113" t="n">
        <f aca="false">I16+J16</f>
        <v>60</v>
      </c>
      <c r="L16" s="113" t="n">
        <f aca="false">F16-(I16-X16)</f>
        <v>-18.21283085455</v>
      </c>
      <c r="M16" s="186" t="n">
        <v>4.1</v>
      </c>
      <c r="N16" s="113" t="n">
        <v>0</v>
      </c>
      <c r="O16" s="113" t="n">
        <v>0</v>
      </c>
      <c r="P16" s="92" t="n">
        <f aca="false">M16-(N16+O16)</f>
        <v>4.1</v>
      </c>
      <c r="Q16" s="183" t="n">
        <v>0</v>
      </c>
      <c r="R16" s="183" t="n">
        <v>0</v>
      </c>
      <c r="S16" s="113" t="n">
        <f aca="false">SUM(P16:R16)</f>
        <v>4.1</v>
      </c>
      <c r="T16" s="114"/>
      <c r="U16" s="183" t="n">
        <v>0</v>
      </c>
      <c r="V16" s="183" t="n">
        <v>15</v>
      </c>
      <c r="W16" s="114" t="n">
        <f aca="false">W15-V16</f>
        <v>1910</v>
      </c>
      <c r="X16" s="6" t="n">
        <f aca="false">N16+O16+S16+U16+V16</f>
        <v>19.1</v>
      </c>
      <c r="Y16" s="113" t="n">
        <f aca="false">IF(L16&lt;0,L16*-1,0)</f>
        <v>18.21283085455</v>
      </c>
      <c r="Z16" s="113" t="n">
        <f aca="false">X16+Y16</f>
        <v>37.31283085455</v>
      </c>
      <c r="AA16" s="163" t="n">
        <v>0</v>
      </c>
      <c r="AB16" s="119" t="n">
        <v>46</v>
      </c>
      <c r="AC16" s="169" t="n">
        <v>20</v>
      </c>
      <c r="AD16" s="120"/>
    </row>
    <row r="17" customFormat="false" ht="11.1" hidden="false" customHeight="true" outlineLevel="0" collapsed="false">
      <c r="A17" s="120" t="n">
        <f aca="false">A16+1</f>
        <v>6</v>
      </c>
      <c r="B17" s="170" t="n">
        <v>6858.02</v>
      </c>
      <c r="C17" s="114" t="n">
        <v>158608</v>
      </c>
      <c r="D17" s="119" t="n">
        <f aca="false">C17-C16</f>
        <v>45</v>
      </c>
      <c r="E17" s="114" t="n">
        <f aca="false">C17-152000</f>
        <v>6608</v>
      </c>
      <c r="F17" s="182" t="n">
        <f aca="false">D17/$D$2</f>
        <v>22.68716914545</v>
      </c>
      <c r="G17" s="183" t="n">
        <v>59</v>
      </c>
      <c r="H17" s="184" t="n">
        <v>0</v>
      </c>
      <c r="I17" s="113" t="n">
        <f aca="false">G17+H17</f>
        <v>59</v>
      </c>
      <c r="J17" s="185" t="n">
        <f aca="false">IF(L17&gt;0,L17,0)</f>
        <v>0</v>
      </c>
      <c r="K17" s="113" t="n">
        <f aca="false">I17+J17</f>
        <v>59</v>
      </c>
      <c r="L17" s="113" t="n">
        <f aca="false">F17-(I17-X17)</f>
        <v>-17.21283085455</v>
      </c>
      <c r="M17" s="186" t="n">
        <v>4.1</v>
      </c>
      <c r="N17" s="113" t="n">
        <v>0</v>
      </c>
      <c r="O17" s="113" t="n">
        <v>0</v>
      </c>
      <c r="P17" s="92" t="n">
        <f aca="false">M17-(N17+O17)</f>
        <v>4.1</v>
      </c>
      <c r="Q17" s="183" t="n">
        <v>0</v>
      </c>
      <c r="R17" s="183" t="n">
        <v>0</v>
      </c>
      <c r="S17" s="113" t="n">
        <f aca="false">SUM(P17:R17)</f>
        <v>4.1</v>
      </c>
      <c r="T17" s="114"/>
      <c r="U17" s="183" t="n">
        <v>0</v>
      </c>
      <c r="V17" s="183" t="n">
        <v>15</v>
      </c>
      <c r="W17" s="114" t="n">
        <f aca="false">W16-V17</f>
        <v>1895</v>
      </c>
      <c r="X17" s="6" t="n">
        <f aca="false">N17+O17+S17+U17+V17</f>
        <v>19.1</v>
      </c>
      <c r="Y17" s="113" t="n">
        <f aca="false">IF(L17&lt;0,L17*-1,0)</f>
        <v>17.21283085455</v>
      </c>
      <c r="Z17" s="113" t="n">
        <f aca="false">X17+Y17</f>
        <v>36.31283085455</v>
      </c>
      <c r="AA17" s="163" t="n">
        <v>0</v>
      </c>
      <c r="AB17" s="119" t="n">
        <v>44</v>
      </c>
      <c r="AC17" s="169" t="n">
        <v>19</v>
      </c>
      <c r="AD17" s="120"/>
    </row>
    <row r="18" customFormat="false" ht="11.1" hidden="false" customHeight="true" outlineLevel="0" collapsed="false">
      <c r="A18" s="120" t="n">
        <f aca="false">A17+1</f>
        <v>7</v>
      </c>
      <c r="B18" s="170" t="n">
        <v>6858.04</v>
      </c>
      <c r="C18" s="114" t="n">
        <v>158652</v>
      </c>
      <c r="D18" s="119" t="n">
        <f aca="false">C18-C17</f>
        <v>44</v>
      </c>
      <c r="E18" s="114" t="n">
        <f aca="false">C18-152000</f>
        <v>6652</v>
      </c>
      <c r="F18" s="182" t="n">
        <f aca="false">D18/$D$2</f>
        <v>22.1830098311066</v>
      </c>
      <c r="G18" s="183" t="n">
        <v>55</v>
      </c>
      <c r="H18" s="184" t="n">
        <v>0</v>
      </c>
      <c r="I18" s="113" t="n">
        <f aca="false">G18+H18</f>
        <v>55</v>
      </c>
      <c r="J18" s="185" t="n">
        <f aca="false">IF(L18&gt;0,L18,0)</f>
        <v>0</v>
      </c>
      <c r="K18" s="113" t="n">
        <f aca="false">I18+J18</f>
        <v>55</v>
      </c>
      <c r="L18" s="113" t="n">
        <f aca="false">F18-(I18-X18)</f>
        <v>-13.7169901688934</v>
      </c>
      <c r="M18" s="186" t="n">
        <v>4.1</v>
      </c>
      <c r="N18" s="113" t="n">
        <v>0</v>
      </c>
      <c r="O18" s="113" t="n">
        <v>0</v>
      </c>
      <c r="P18" s="92" t="n">
        <f aca="false">M18-(N18+O18)</f>
        <v>4.1</v>
      </c>
      <c r="Q18" s="183" t="n">
        <v>0</v>
      </c>
      <c r="R18" s="183" t="n">
        <v>0</v>
      </c>
      <c r="S18" s="113" t="n">
        <f aca="false">SUM(P18:R18)</f>
        <v>4.1</v>
      </c>
      <c r="T18" s="114"/>
      <c r="U18" s="183" t="n">
        <v>0</v>
      </c>
      <c r="V18" s="183" t="n">
        <v>15</v>
      </c>
      <c r="W18" s="114" t="n">
        <f aca="false">W17-V18</f>
        <v>1880</v>
      </c>
      <c r="X18" s="6" t="n">
        <f aca="false">N18+O18+S18+U18+V18</f>
        <v>19.1</v>
      </c>
      <c r="Y18" s="113" t="n">
        <f aca="false">IF(L18&lt;0,L18*-1,0)</f>
        <v>13.7169901688934</v>
      </c>
      <c r="Z18" s="113" t="n">
        <f aca="false">X18+Y18</f>
        <v>32.8169901688934</v>
      </c>
      <c r="AA18" s="163" t="n">
        <v>0</v>
      </c>
      <c r="AB18" s="119" t="n">
        <v>45</v>
      </c>
      <c r="AC18" s="169" t="n">
        <v>18</v>
      </c>
      <c r="AD18" s="120"/>
    </row>
    <row r="19" customFormat="false" ht="11.1" hidden="false" customHeight="true" outlineLevel="0" collapsed="false">
      <c r="A19" s="120" t="n">
        <f aca="false">A18+1</f>
        <v>8</v>
      </c>
      <c r="B19" s="170" t="n">
        <v>6858.05</v>
      </c>
      <c r="C19" s="114" t="n">
        <v>158675</v>
      </c>
      <c r="D19" s="119" t="n">
        <f aca="false">C19-C18</f>
        <v>23</v>
      </c>
      <c r="E19" s="114" t="n">
        <f aca="false">C19-152000</f>
        <v>6675</v>
      </c>
      <c r="F19" s="182" t="n">
        <f aca="false">D19/$D$2</f>
        <v>11.5956642298966</v>
      </c>
      <c r="G19" s="183" t="n">
        <v>36</v>
      </c>
      <c r="H19" s="184" t="n">
        <v>0</v>
      </c>
      <c r="I19" s="113" t="n">
        <f aca="false">G19+H19</f>
        <v>36</v>
      </c>
      <c r="J19" s="185" t="n">
        <f aca="false">IF(L19&gt;0,L19,0)</f>
        <v>0</v>
      </c>
      <c r="K19" s="113" t="n">
        <f aca="false">I19+J19</f>
        <v>36</v>
      </c>
      <c r="L19" s="113" t="n">
        <f aca="false">F19-(I19-X19)</f>
        <v>-5.30433577010335</v>
      </c>
      <c r="M19" s="186" t="n">
        <v>4.1</v>
      </c>
      <c r="N19" s="113" t="n">
        <v>0</v>
      </c>
      <c r="O19" s="113" t="n">
        <v>0</v>
      </c>
      <c r="P19" s="92" t="n">
        <f aca="false">M19-(N19+O19)</f>
        <v>4.1</v>
      </c>
      <c r="Q19" s="183" t="n">
        <v>0</v>
      </c>
      <c r="R19" s="183" t="n">
        <v>0</v>
      </c>
      <c r="S19" s="113" t="n">
        <f aca="false">SUM(P19:R19)</f>
        <v>4.1</v>
      </c>
      <c r="T19" s="114"/>
      <c r="U19" s="183" t="n">
        <v>0</v>
      </c>
      <c r="V19" s="183" t="n">
        <v>15</v>
      </c>
      <c r="W19" s="114" t="n">
        <f aca="false">W18-V19</f>
        <v>1865</v>
      </c>
      <c r="X19" s="6" t="n">
        <f aca="false">N19+O19+S19+U19+V19</f>
        <v>19.1</v>
      </c>
      <c r="Y19" s="113" t="n">
        <f aca="false">IF(L19&lt;0,L19*-1,0)</f>
        <v>5.30433577010335</v>
      </c>
      <c r="Z19" s="113" t="n">
        <f aca="false">X19+Y19</f>
        <v>24.4043357701034</v>
      </c>
      <c r="AA19" s="163" t="n">
        <v>0</v>
      </c>
      <c r="AB19" s="119" t="n">
        <v>41</v>
      </c>
      <c r="AC19" s="169" t="n">
        <v>20</v>
      </c>
      <c r="AD19" s="120"/>
    </row>
    <row r="20" customFormat="false" ht="11.1" hidden="false" customHeight="true" outlineLevel="0" collapsed="false">
      <c r="A20" s="120" t="n">
        <f aca="false">A19+1</f>
        <v>9</v>
      </c>
      <c r="B20" s="170" t="n">
        <v>6858.05</v>
      </c>
      <c r="C20" s="114" t="n">
        <v>158675</v>
      </c>
      <c r="D20" s="119" t="n">
        <f aca="false">C20-C19</f>
        <v>0</v>
      </c>
      <c r="E20" s="114" t="n">
        <f aca="false">C20-152000</f>
        <v>6675</v>
      </c>
      <c r="F20" s="182" t="n">
        <f aca="false">D20/$D$2</f>
        <v>0</v>
      </c>
      <c r="G20" s="183" t="n">
        <v>29</v>
      </c>
      <c r="H20" s="184" t="n">
        <v>0</v>
      </c>
      <c r="I20" s="113" t="n">
        <f aca="false">G20+H20</f>
        <v>29</v>
      </c>
      <c r="J20" s="185" t="n">
        <f aca="false">IF(L20&gt;0,L20,0)</f>
        <v>0</v>
      </c>
      <c r="K20" s="113" t="n">
        <f aca="false">I20+J20</f>
        <v>29</v>
      </c>
      <c r="L20" s="113" t="n">
        <f aca="false">F20-(I20-X20)</f>
        <v>-9.9</v>
      </c>
      <c r="M20" s="186" t="n">
        <v>4.1</v>
      </c>
      <c r="N20" s="113" t="n">
        <v>0</v>
      </c>
      <c r="O20" s="113" t="n">
        <v>0</v>
      </c>
      <c r="P20" s="92" t="n">
        <f aca="false">M20-(N20+O20)</f>
        <v>4.1</v>
      </c>
      <c r="Q20" s="183" t="n">
        <v>0</v>
      </c>
      <c r="R20" s="183" t="n">
        <v>0</v>
      </c>
      <c r="S20" s="113" t="n">
        <f aca="false">SUM(P20:R20)</f>
        <v>4.1</v>
      </c>
      <c r="T20" s="114"/>
      <c r="U20" s="183" t="n">
        <v>0</v>
      </c>
      <c r="V20" s="183" t="n">
        <v>15</v>
      </c>
      <c r="W20" s="114" t="n">
        <f aca="false">W19-V20</f>
        <v>1850</v>
      </c>
      <c r="X20" s="6" t="n">
        <f aca="false">N20+O20+S20+U20+V20</f>
        <v>19.1</v>
      </c>
      <c r="Y20" s="113" t="n">
        <f aca="false">IF(L20&lt;0,L20*-1,0)</f>
        <v>9.9</v>
      </c>
      <c r="Z20" s="113" t="n">
        <f aca="false">X20+Y20</f>
        <v>29</v>
      </c>
      <c r="AA20" s="163" t="n">
        <v>0</v>
      </c>
      <c r="AB20" s="187" t="n">
        <v>43</v>
      </c>
      <c r="AC20" s="169" t="n">
        <v>18</v>
      </c>
      <c r="AD20" s="120"/>
    </row>
    <row r="21" customFormat="false" ht="11.1" hidden="false" customHeight="true" outlineLevel="0" collapsed="false">
      <c r="A21" s="120" t="n">
        <f aca="false">A20+1</f>
        <v>10</v>
      </c>
      <c r="B21" s="170" t="n">
        <v>6858.06</v>
      </c>
      <c r="C21" s="114" t="n">
        <v>158697</v>
      </c>
      <c r="D21" s="119" t="n">
        <f aca="false">C21-C20</f>
        <v>22</v>
      </c>
      <c r="E21" s="114" t="n">
        <f aca="false">C21-152000</f>
        <v>6697</v>
      </c>
      <c r="F21" s="182" t="n">
        <f aca="false">D21/$D$2</f>
        <v>11.0915049155533</v>
      </c>
      <c r="G21" s="183" t="n">
        <v>33</v>
      </c>
      <c r="H21" s="184" t="n">
        <v>0</v>
      </c>
      <c r="I21" s="113" t="n">
        <f aca="false">G21+H21</f>
        <v>33</v>
      </c>
      <c r="J21" s="185" t="n">
        <f aca="false">IF(L21&gt;0,L21,0)</f>
        <v>0</v>
      </c>
      <c r="K21" s="113" t="n">
        <f aca="false">I21+J21</f>
        <v>33</v>
      </c>
      <c r="L21" s="113" t="n">
        <f aca="false">F21-(I21-X21)</f>
        <v>-2.80849508444668</v>
      </c>
      <c r="M21" s="186" t="n">
        <v>4.1</v>
      </c>
      <c r="N21" s="113" t="n">
        <v>0</v>
      </c>
      <c r="O21" s="113" t="n">
        <v>0</v>
      </c>
      <c r="P21" s="92" t="n">
        <f aca="false">M21-(N21+O21)</f>
        <v>4.1</v>
      </c>
      <c r="Q21" s="183" t="n">
        <v>0</v>
      </c>
      <c r="R21" s="183" t="n">
        <v>0</v>
      </c>
      <c r="S21" s="113" t="n">
        <f aca="false">SUM(P21:R21)</f>
        <v>4.1</v>
      </c>
      <c r="T21" s="114"/>
      <c r="U21" s="183" t="n">
        <v>0</v>
      </c>
      <c r="V21" s="183" t="n">
        <v>15</v>
      </c>
      <c r="W21" s="114" t="n">
        <f aca="false">W20-V21</f>
        <v>1835</v>
      </c>
      <c r="X21" s="6" t="n">
        <f aca="false">N21+O21+S21+U21+V21</f>
        <v>19.1</v>
      </c>
      <c r="Y21" s="113" t="n">
        <f aca="false">IF(L21&lt;0,L21*-1,0)</f>
        <v>2.80849508444668</v>
      </c>
      <c r="Z21" s="113" t="n">
        <f aca="false">X21+Y21</f>
        <v>21.9084950844467</v>
      </c>
      <c r="AA21" s="163" t="n">
        <v>0</v>
      </c>
      <c r="AB21" s="119" t="n">
        <v>47</v>
      </c>
      <c r="AC21" s="169" t="n">
        <v>19</v>
      </c>
      <c r="AD21" s="120"/>
    </row>
    <row r="22" customFormat="false" ht="11.1" hidden="false" customHeight="true" outlineLevel="0" collapsed="false">
      <c r="A22" s="120" t="n">
        <f aca="false">A21+1</f>
        <v>11</v>
      </c>
      <c r="B22" s="170" t="n">
        <v>6858.07</v>
      </c>
      <c r="C22" s="114" t="n">
        <v>158720</v>
      </c>
      <c r="D22" s="119" t="n">
        <f aca="false">C22-C21</f>
        <v>23</v>
      </c>
      <c r="E22" s="114" t="n">
        <f aca="false">C22-152000</f>
        <v>6720</v>
      </c>
      <c r="F22" s="182" t="n">
        <f aca="false">D22/$D$2</f>
        <v>11.5956642298966</v>
      </c>
      <c r="G22" s="183" t="n">
        <v>28</v>
      </c>
      <c r="H22" s="184" t="n">
        <v>0</v>
      </c>
      <c r="I22" s="113" t="n">
        <f aca="false">G22+H22</f>
        <v>28</v>
      </c>
      <c r="J22" s="185" t="n">
        <f aca="false">IF(L22&gt;0,L22,0)</f>
        <v>2.69566422989665</v>
      </c>
      <c r="K22" s="113" t="n">
        <f aca="false">I22+J22</f>
        <v>30.6956642298966</v>
      </c>
      <c r="L22" s="113" t="n">
        <f aca="false">F22-(I22-X22)</f>
        <v>2.69566422989665</v>
      </c>
      <c r="M22" s="186" t="n">
        <v>4.1</v>
      </c>
      <c r="N22" s="113" t="n">
        <v>0</v>
      </c>
      <c r="O22" s="113" t="n">
        <v>0</v>
      </c>
      <c r="P22" s="92" t="n">
        <f aca="false">M22-(N22+O22)</f>
        <v>4.1</v>
      </c>
      <c r="Q22" s="183" t="n">
        <v>0</v>
      </c>
      <c r="R22" s="183" t="n">
        <v>0</v>
      </c>
      <c r="S22" s="113" t="n">
        <f aca="false">SUM(P22:R22)</f>
        <v>4.1</v>
      </c>
      <c r="T22" s="114"/>
      <c r="U22" s="183" t="n">
        <v>0</v>
      </c>
      <c r="V22" s="183" t="n">
        <v>15</v>
      </c>
      <c r="W22" s="114" t="n">
        <f aca="false">W21-V22</f>
        <v>1820</v>
      </c>
      <c r="X22" s="6" t="n">
        <f aca="false">N22+O22+S22+U22+V22</f>
        <v>19.1</v>
      </c>
      <c r="Y22" s="113" t="n">
        <f aca="false">IF(L22&lt;0,L22*-1,0)</f>
        <v>0</v>
      </c>
      <c r="Z22" s="113" t="n">
        <f aca="false">X22+Y22</f>
        <v>19.1</v>
      </c>
      <c r="AA22" s="163" t="n">
        <v>0</v>
      </c>
      <c r="AB22" s="119" t="n">
        <v>46</v>
      </c>
      <c r="AC22" s="169" t="n">
        <v>18</v>
      </c>
      <c r="AD22" s="120"/>
    </row>
    <row r="23" customFormat="false" ht="11.1" hidden="false" customHeight="true" outlineLevel="0" collapsed="false">
      <c r="A23" s="120" t="n">
        <f aca="false">A22+1</f>
        <v>12</v>
      </c>
      <c r="B23" s="170" t="n">
        <v>6858.08</v>
      </c>
      <c r="C23" s="114" t="n">
        <v>158742</v>
      </c>
      <c r="D23" s="119" t="n">
        <f aca="false">C23-C22</f>
        <v>22</v>
      </c>
      <c r="E23" s="114" t="n">
        <f aca="false">C23-152000</f>
        <v>6742</v>
      </c>
      <c r="F23" s="182" t="n">
        <f aca="false">D23/$D$2</f>
        <v>11.0915049155533</v>
      </c>
      <c r="G23" s="183" t="n">
        <v>25</v>
      </c>
      <c r="H23" s="184" t="n">
        <v>0</v>
      </c>
      <c r="I23" s="113" t="n">
        <f aca="false">G23+H23</f>
        <v>25</v>
      </c>
      <c r="J23" s="185" t="n">
        <f aca="false">IF(L23&gt;0,L23,0)</f>
        <v>5.17150491555331</v>
      </c>
      <c r="K23" s="113" t="n">
        <f aca="false">I23+J23</f>
        <v>30.1715049155533</v>
      </c>
      <c r="L23" s="113" t="n">
        <f aca="false">F23-(I23-X23)</f>
        <v>5.17150491555331</v>
      </c>
      <c r="M23" s="186" t="n">
        <v>4.1</v>
      </c>
      <c r="N23" s="113" t="n">
        <v>0</v>
      </c>
      <c r="O23" s="113" t="n">
        <v>0</v>
      </c>
      <c r="P23" s="92" t="n">
        <f aca="false">M23-(N23+O23)</f>
        <v>4.1</v>
      </c>
      <c r="Q23" s="183" t="n">
        <v>0</v>
      </c>
      <c r="R23" s="183" t="n">
        <v>0</v>
      </c>
      <c r="S23" s="113" t="n">
        <f aca="false">SUM(P23:R23)</f>
        <v>4.1</v>
      </c>
      <c r="T23" s="114"/>
      <c r="U23" s="183" t="n">
        <v>0</v>
      </c>
      <c r="V23" s="183" t="n">
        <v>14.98</v>
      </c>
      <c r="W23" s="114" t="n">
        <f aca="false">W22-V23</f>
        <v>1805.02</v>
      </c>
      <c r="X23" s="6" t="n">
        <f aca="false">N23+O23+S23+U23+V23</f>
        <v>19.08</v>
      </c>
      <c r="Y23" s="113" t="n">
        <f aca="false">IF(L23&lt;0,L23*-1,0)</f>
        <v>0</v>
      </c>
      <c r="Z23" s="113" t="n">
        <f aca="false">X23+Y23</f>
        <v>19.08</v>
      </c>
      <c r="AA23" s="163" t="n">
        <v>0</v>
      </c>
      <c r="AB23" s="119" t="n">
        <v>48</v>
      </c>
      <c r="AC23" s="169" t="n">
        <v>18</v>
      </c>
      <c r="AD23" s="120"/>
    </row>
    <row r="24" customFormat="false" ht="11.1" hidden="false" customHeight="true" outlineLevel="0" collapsed="false">
      <c r="A24" s="120" t="n">
        <f aca="false">A23+1</f>
        <v>13</v>
      </c>
      <c r="B24" s="170" t="n">
        <v>6858.09</v>
      </c>
      <c r="C24" s="114" t="n">
        <v>158764</v>
      </c>
      <c r="D24" s="119" t="n">
        <f aca="false">C24-C23</f>
        <v>22</v>
      </c>
      <c r="E24" s="114" t="n">
        <f aca="false">C24-152000</f>
        <v>6764</v>
      </c>
      <c r="F24" s="182" t="n">
        <f aca="false">D24/$D$2</f>
        <v>11.0915049155533</v>
      </c>
      <c r="G24" s="183" t="n">
        <v>34</v>
      </c>
      <c r="H24" s="184" t="n">
        <v>0</v>
      </c>
      <c r="I24" s="113" t="n">
        <f aca="false">G24+H24</f>
        <v>34</v>
      </c>
      <c r="J24" s="185" t="n">
        <f aca="false">IF(L24&gt;0,L24,0)</f>
        <v>0</v>
      </c>
      <c r="K24" s="113" t="n">
        <f aca="false">I24+J24</f>
        <v>34</v>
      </c>
      <c r="L24" s="113" t="n">
        <f aca="false">F24-(I24-X24)</f>
        <v>-3.90849508444668</v>
      </c>
      <c r="M24" s="186" t="n">
        <v>4</v>
      </c>
      <c r="N24" s="113" t="n">
        <v>0</v>
      </c>
      <c r="O24" s="113" t="n">
        <v>0</v>
      </c>
      <c r="P24" s="92" t="n">
        <f aca="false">M24-(N24+O24)</f>
        <v>4</v>
      </c>
      <c r="Q24" s="183" t="n">
        <v>0</v>
      </c>
      <c r="R24" s="183" t="n">
        <v>0</v>
      </c>
      <c r="S24" s="113" t="n">
        <f aca="false">SUM(P24:R24)</f>
        <v>4</v>
      </c>
      <c r="T24" s="114"/>
      <c r="U24" s="183" t="n">
        <v>0</v>
      </c>
      <c r="V24" s="183" t="n">
        <v>15</v>
      </c>
      <c r="W24" s="114" t="n">
        <f aca="false">W23-V24</f>
        <v>1790.02</v>
      </c>
      <c r="X24" s="6" t="n">
        <f aca="false">N24+O24+S24+U24+V24</f>
        <v>19</v>
      </c>
      <c r="Y24" s="113" t="n">
        <f aca="false">IF(L24&lt;0,L24*-1,0)</f>
        <v>3.90849508444668</v>
      </c>
      <c r="Z24" s="113" t="n">
        <f aca="false">X24+Y24</f>
        <v>22.9084950844467</v>
      </c>
      <c r="AA24" s="163" t="n">
        <v>0</v>
      </c>
      <c r="AB24" s="119" t="n">
        <v>46</v>
      </c>
      <c r="AC24" s="169" t="n">
        <v>18</v>
      </c>
      <c r="AD24" s="120"/>
    </row>
    <row r="25" customFormat="false" ht="11.1" hidden="false" customHeight="true" outlineLevel="0" collapsed="false">
      <c r="A25" s="120" t="n">
        <f aca="false">A24+1</f>
        <v>14</v>
      </c>
      <c r="B25" s="170" t="n">
        <v>6858.1</v>
      </c>
      <c r="C25" s="114" t="n">
        <v>158787</v>
      </c>
      <c r="D25" s="119" t="n">
        <f aca="false">C25-C24</f>
        <v>23</v>
      </c>
      <c r="E25" s="114" t="n">
        <f aca="false">C25-152000</f>
        <v>6787</v>
      </c>
      <c r="F25" s="182" t="n">
        <f aca="false">D25/$D$2</f>
        <v>11.5956642298966</v>
      </c>
      <c r="G25" s="183" t="n">
        <v>40</v>
      </c>
      <c r="H25" s="184" t="n">
        <v>0</v>
      </c>
      <c r="I25" s="113" t="n">
        <f aca="false">G25+H25</f>
        <v>40</v>
      </c>
      <c r="J25" s="185" t="n">
        <f aca="false">IF(L25&gt;0,L25,0)</f>
        <v>0</v>
      </c>
      <c r="K25" s="113" t="n">
        <f aca="false">I25+J25</f>
        <v>40</v>
      </c>
      <c r="L25" s="113" t="n">
        <f aca="false">F25-(I25-X25)</f>
        <v>-9.70433577010335</v>
      </c>
      <c r="M25" s="186" t="n">
        <v>3.7</v>
      </c>
      <c r="N25" s="113" t="n">
        <v>0</v>
      </c>
      <c r="O25" s="113" t="n">
        <v>0</v>
      </c>
      <c r="P25" s="92" t="n">
        <f aca="false">M25-(N25+O25)</f>
        <v>3.7</v>
      </c>
      <c r="Q25" s="183" t="n">
        <v>0</v>
      </c>
      <c r="R25" s="183" t="n">
        <v>0</v>
      </c>
      <c r="S25" s="113" t="n">
        <f aca="false">SUM(P25:R25)</f>
        <v>3.7</v>
      </c>
      <c r="T25" s="114"/>
      <c r="U25" s="183" t="n">
        <v>0</v>
      </c>
      <c r="V25" s="183" t="n">
        <v>15</v>
      </c>
      <c r="W25" s="114" t="n">
        <f aca="false">W24-V25</f>
        <v>1775.02</v>
      </c>
      <c r="X25" s="6" t="n">
        <f aca="false">N25+O25+S25+U25+V25</f>
        <v>18.7</v>
      </c>
      <c r="Y25" s="113" t="n">
        <f aca="false">IF(L25&lt;0,L25*-1,0)</f>
        <v>9.70433577010335</v>
      </c>
      <c r="Z25" s="113" t="n">
        <f aca="false">X25+Y25</f>
        <v>28.4043357701033</v>
      </c>
      <c r="AA25" s="163" t="n">
        <v>0</v>
      </c>
      <c r="AB25" s="187" t="n">
        <v>50</v>
      </c>
      <c r="AC25" s="169" t="n">
        <v>21</v>
      </c>
      <c r="AD25" s="120"/>
    </row>
    <row r="26" customFormat="false" ht="11.1" hidden="false" customHeight="true" outlineLevel="0" collapsed="false">
      <c r="A26" s="120" t="n">
        <f aca="false">A25+1</f>
        <v>15</v>
      </c>
      <c r="B26" s="170" t="n">
        <v>6858.11</v>
      </c>
      <c r="C26" s="114" t="n">
        <v>158809</v>
      </c>
      <c r="D26" s="119" t="n">
        <f aca="false">C26-C25</f>
        <v>22</v>
      </c>
      <c r="E26" s="114" t="n">
        <f aca="false">C26-152000</f>
        <v>6809</v>
      </c>
      <c r="F26" s="182" t="n">
        <f aca="false">D26/$D$2</f>
        <v>11.0915049155533</v>
      </c>
      <c r="G26" s="183" t="n">
        <v>24</v>
      </c>
      <c r="H26" s="184" t="n">
        <v>0</v>
      </c>
      <c r="I26" s="113" t="n">
        <f aca="false">G26+H26</f>
        <v>24</v>
      </c>
      <c r="J26" s="185" t="n">
        <f aca="false">IF(L26&gt;0,L26,0)</f>
        <v>5.99150491555331</v>
      </c>
      <c r="K26" s="113" t="n">
        <f aca="false">I26+J26</f>
        <v>29.9915049155533</v>
      </c>
      <c r="L26" s="113" t="n">
        <f aca="false">F26-(I26-X26)</f>
        <v>5.99150491555331</v>
      </c>
      <c r="M26" s="186" t="n">
        <v>3.9</v>
      </c>
      <c r="N26" s="113" t="n">
        <v>0</v>
      </c>
      <c r="O26" s="113" t="n">
        <v>0</v>
      </c>
      <c r="P26" s="92" t="n">
        <f aca="false">M26-(N26+O26)</f>
        <v>3.9</v>
      </c>
      <c r="Q26" s="183" t="n">
        <v>0</v>
      </c>
      <c r="R26" s="183" t="n">
        <v>0</v>
      </c>
      <c r="S26" s="113" t="n">
        <f aca="false">SUM(P26:R26)</f>
        <v>3.9</v>
      </c>
      <c r="T26" s="114"/>
      <c r="U26" s="183" t="n">
        <v>0</v>
      </c>
      <c r="V26" s="183" t="n">
        <v>15</v>
      </c>
      <c r="W26" s="114" t="n">
        <f aca="false">W25-V26</f>
        <v>1760.02</v>
      </c>
      <c r="X26" s="6" t="n">
        <f aca="false">N26+O26+S26+U26+V26</f>
        <v>18.9</v>
      </c>
      <c r="Y26" s="113" t="n">
        <f aca="false">IF(L26&lt;0,L26*-1,0)</f>
        <v>0</v>
      </c>
      <c r="Z26" s="113" t="n">
        <f aca="false">X26+Y26</f>
        <v>18.9</v>
      </c>
      <c r="AA26" s="163" t="n">
        <v>0</v>
      </c>
      <c r="AB26" s="187" t="n">
        <v>51</v>
      </c>
      <c r="AC26" s="169" t="n">
        <v>27</v>
      </c>
      <c r="AD26" s="120"/>
    </row>
    <row r="27" customFormat="false" ht="11.1" hidden="false" customHeight="true" outlineLevel="0" collapsed="false">
      <c r="A27" s="120" t="n">
        <f aca="false">A26+1</f>
        <v>16</v>
      </c>
      <c r="B27" s="170" t="n">
        <v>6858.13</v>
      </c>
      <c r="C27" s="114" t="n">
        <v>158854</v>
      </c>
      <c r="D27" s="119" t="n">
        <f aca="false">C27-C26</f>
        <v>45</v>
      </c>
      <c r="E27" s="114" t="n">
        <f aca="false">C27-152000</f>
        <v>6854</v>
      </c>
      <c r="F27" s="182" t="n">
        <f aca="false">D27/$D$2</f>
        <v>22.68716914545</v>
      </c>
      <c r="G27" s="183" t="n">
        <v>39</v>
      </c>
      <c r="H27" s="184" t="n">
        <v>0</v>
      </c>
      <c r="I27" s="113" t="n">
        <f aca="false">G27+H27</f>
        <v>39</v>
      </c>
      <c r="J27" s="185" t="n">
        <f aca="false">IF(L27&gt;0,L27,0)</f>
        <v>2.68716914544996</v>
      </c>
      <c r="K27" s="113" t="n">
        <f aca="false">I27+J27</f>
        <v>41.68716914545</v>
      </c>
      <c r="L27" s="113" t="n">
        <f aca="false">F27-(I27-X27)</f>
        <v>2.68716914544996</v>
      </c>
      <c r="M27" s="186" t="n">
        <v>4.1</v>
      </c>
      <c r="N27" s="113" t="n">
        <v>0</v>
      </c>
      <c r="O27" s="113" t="n">
        <v>0</v>
      </c>
      <c r="P27" s="92" t="n">
        <f aca="false">M27-(N27+O27)</f>
        <v>4.1</v>
      </c>
      <c r="Q27" s="183" t="n">
        <v>0</v>
      </c>
      <c r="R27" s="183" t="n">
        <v>0</v>
      </c>
      <c r="S27" s="113" t="n">
        <f aca="false">SUM(P27:R27)</f>
        <v>4.1</v>
      </c>
      <c r="T27" s="114"/>
      <c r="U27" s="183" t="n">
        <v>0</v>
      </c>
      <c r="V27" s="183" t="n">
        <v>14.9</v>
      </c>
      <c r="W27" s="114" t="n">
        <f aca="false">W26-V27</f>
        <v>1745.12</v>
      </c>
      <c r="X27" s="6" t="n">
        <f aca="false">N27+O27+S27+U27+V27</f>
        <v>19</v>
      </c>
      <c r="Y27" s="113" t="n">
        <f aca="false">IF(L27&lt;0,L27*-1,0)</f>
        <v>0</v>
      </c>
      <c r="Z27" s="113" t="n">
        <f aca="false">X27+Y27</f>
        <v>19</v>
      </c>
      <c r="AA27" s="163" t="n">
        <v>0</v>
      </c>
      <c r="AB27" s="187" t="n">
        <v>48</v>
      </c>
      <c r="AC27" s="169" t="n">
        <v>29</v>
      </c>
      <c r="AD27" s="120"/>
    </row>
    <row r="28" customFormat="false" ht="11.1" hidden="false" customHeight="true" outlineLevel="0" collapsed="false">
      <c r="A28" s="120" t="n">
        <f aca="false">A27+1</f>
        <v>17</v>
      </c>
      <c r="B28" s="170" t="n">
        <v>6858.15</v>
      </c>
      <c r="C28" s="114" t="n">
        <v>158899</v>
      </c>
      <c r="D28" s="119" t="n">
        <f aca="false">C28-C27</f>
        <v>45</v>
      </c>
      <c r="E28" s="114" t="n">
        <f aca="false">C28-152000</f>
        <v>6899</v>
      </c>
      <c r="F28" s="182" t="n">
        <f aca="false">D28/$D$2</f>
        <v>22.68716914545</v>
      </c>
      <c r="G28" s="183" t="n">
        <v>53</v>
      </c>
      <c r="H28" s="184" t="n">
        <v>0</v>
      </c>
      <c r="I28" s="113" t="n">
        <f aca="false">G28+H28</f>
        <v>53</v>
      </c>
      <c r="J28" s="185" t="n">
        <f aca="false">IF(L28&gt;0,L28,0)</f>
        <v>0</v>
      </c>
      <c r="K28" s="113" t="n">
        <f aca="false">I28+J28</f>
        <v>53</v>
      </c>
      <c r="L28" s="113" t="n">
        <f aca="false">F28-(I28-X28)</f>
        <v>-11.41283085455</v>
      </c>
      <c r="M28" s="186" t="n">
        <v>3.9</v>
      </c>
      <c r="N28" s="113" t="n">
        <v>0</v>
      </c>
      <c r="O28" s="113" t="n">
        <v>0</v>
      </c>
      <c r="P28" s="92" t="n">
        <f aca="false">M28-(N28+O28)</f>
        <v>3.9</v>
      </c>
      <c r="Q28" s="183" t="n">
        <v>0</v>
      </c>
      <c r="R28" s="183" t="n">
        <v>0</v>
      </c>
      <c r="S28" s="113" t="n">
        <f aca="false">SUM(P28:R28)</f>
        <v>3.9</v>
      </c>
      <c r="T28" s="114"/>
      <c r="U28" s="183" t="n">
        <v>0</v>
      </c>
      <c r="V28" s="183" t="n">
        <v>15</v>
      </c>
      <c r="W28" s="114" t="n">
        <f aca="false">W27-V28</f>
        <v>1730.12</v>
      </c>
      <c r="X28" s="6" t="n">
        <f aca="false">N28+O28+S28+U28+V28</f>
        <v>18.9</v>
      </c>
      <c r="Y28" s="113" t="n">
        <f aca="false">IF(L28&lt;0,L28*-1,0)</f>
        <v>11.41283085455</v>
      </c>
      <c r="Z28" s="113" t="n">
        <f aca="false">X28+Y28</f>
        <v>30.31283085455</v>
      </c>
      <c r="AA28" s="163" t="n">
        <v>0.36</v>
      </c>
      <c r="AB28" s="187" t="n">
        <v>35</v>
      </c>
      <c r="AC28" s="169" t="n">
        <v>26</v>
      </c>
      <c r="AD28" s="120"/>
    </row>
    <row r="29" customFormat="false" ht="11.1" hidden="false" customHeight="true" outlineLevel="0" collapsed="false">
      <c r="A29" s="120" t="n">
        <f aca="false">A28+1</f>
        <v>18</v>
      </c>
      <c r="B29" s="170" t="n">
        <v>6858.17</v>
      </c>
      <c r="C29" s="114" t="n">
        <v>158944</v>
      </c>
      <c r="D29" s="119" t="n">
        <f aca="false">C29-C28</f>
        <v>45</v>
      </c>
      <c r="E29" s="114" t="n">
        <f aca="false">C29-152000</f>
        <v>6944</v>
      </c>
      <c r="F29" s="182" t="n">
        <f aca="false">D29/$D$2</f>
        <v>22.68716914545</v>
      </c>
      <c r="G29" s="183" t="n">
        <v>47</v>
      </c>
      <c r="H29" s="184" t="n">
        <v>0</v>
      </c>
      <c r="I29" s="113" t="n">
        <f aca="false">G29+H29</f>
        <v>47</v>
      </c>
      <c r="J29" s="185" t="n">
        <f aca="false">IF(L29&gt;0,L29,0)</f>
        <v>0</v>
      </c>
      <c r="K29" s="113" t="n">
        <f aca="false">I29+J29</f>
        <v>47</v>
      </c>
      <c r="L29" s="113" t="n">
        <f aca="false">F29-(I29-X29)</f>
        <v>-5.61283085455004</v>
      </c>
      <c r="M29" s="186" t="n">
        <v>3.7</v>
      </c>
      <c r="N29" s="113" t="n">
        <v>0</v>
      </c>
      <c r="O29" s="113" t="n">
        <v>0</v>
      </c>
      <c r="P29" s="92" t="n">
        <f aca="false">M29-(N29+O29)</f>
        <v>3.7</v>
      </c>
      <c r="Q29" s="183" t="n">
        <v>0</v>
      </c>
      <c r="R29" s="183" t="n">
        <v>0</v>
      </c>
      <c r="S29" s="113" t="n">
        <f aca="false">SUM(P29:R29)</f>
        <v>3.7</v>
      </c>
      <c r="T29" s="114"/>
      <c r="U29" s="183" t="n">
        <v>0</v>
      </c>
      <c r="V29" s="183" t="n">
        <v>15</v>
      </c>
      <c r="W29" s="114" t="n">
        <f aca="false">W28-V29</f>
        <v>1715.12</v>
      </c>
      <c r="X29" s="6" t="n">
        <f aca="false">N29+O29+S29+U29+V29</f>
        <v>18.7</v>
      </c>
      <c r="Y29" s="113" t="n">
        <f aca="false">IF(L29&lt;0,L29*-1,0)</f>
        <v>5.61283085455004</v>
      </c>
      <c r="Z29" s="113" t="n">
        <f aca="false">X29+Y29</f>
        <v>24.31283085455</v>
      </c>
      <c r="AA29" s="163" t="n">
        <v>0.04</v>
      </c>
      <c r="AB29" s="187" t="n">
        <v>33</v>
      </c>
      <c r="AC29" s="169" t="n">
        <v>11</v>
      </c>
      <c r="AD29" s="120"/>
    </row>
    <row r="30" customFormat="false" ht="11.1" hidden="false" customHeight="true" outlineLevel="0" collapsed="false">
      <c r="A30" s="120" t="n">
        <f aca="false">A29+1</f>
        <v>19</v>
      </c>
      <c r="B30" s="170" t="n">
        <v>6858.19</v>
      </c>
      <c r="C30" s="114" t="n">
        <v>158988</v>
      </c>
      <c r="D30" s="119" t="n">
        <f aca="false">C30-C29</f>
        <v>44</v>
      </c>
      <c r="E30" s="114" t="n">
        <f aca="false">C30-152000</f>
        <v>6988</v>
      </c>
      <c r="F30" s="182" t="n">
        <f aca="false">D30/$D$2</f>
        <v>22.1830098311066</v>
      </c>
      <c r="G30" s="183" t="n">
        <v>35</v>
      </c>
      <c r="H30" s="184" t="n">
        <v>0</v>
      </c>
      <c r="I30" s="113" t="n">
        <f aca="false">G30+H30</f>
        <v>35</v>
      </c>
      <c r="J30" s="185" t="n">
        <f aca="false">IF(L30&gt;0,L30,0)</f>
        <v>5.88300983110663</v>
      </c>
      <c r="K30" s="113" t="n">
        <f aca="false">I30+J30</f>
        <v>40.8830098311066</v>
      </c>
      <c r="L30" s="113" t="n">
        <f aca="false">F30-(I30-X30)</f>
        <v>5.88300983110663</v>
      </c>
      <c r="M30" s="186" t="n">
        <v>3.7</v>
      </c>
      <c r="N30" s="113" t="n">
        <v>0</v>
      </c>
      <c r="O30" s="113" t="n">
        <v>0</v>
      </c>
      <c r="P30" s="92" t="n">
        <f aca="false">M30-(N30+O30)</f>
        <v>3.7</v>
      </c>
      <c r="Q30" s="183" t="n">
        <v>0</v>
      </c>
      <c r="R30" s="183" t="n">
        <v>0</v>
      </c>
      <c r="S30" s="113" t="n">
        <f aca="false">SUM(P30:R30)</f>
        <v>3.7</v>
      </c>
      <c r="T30" s="114"/>
      <c r="U30" s="183" t="n">
        <v>0</v>
      </c>
      <c r="V30" s="183" t="n">
        <v>15</v>
      </c>
      <c r="W30" s="114" t="n">
        <f aca="false">W29-V30</f>
        <v>1700.12</v>
      </c>
      <c r="X30" s="6" t="n">
        <f aca="false">N30+O30+S30+U30+V30</f>
        <v>18.7</v>
      </c>
      <c r="Y30" s="113" t="n">
        <f aca="false">IF(L30&lt;0,L30*-1,0)</f>
        <v>0</v>
      </c>
      <c r="Z30" s="113" t="n">
        <f aca="false">X30+Y30</f>
        <v>18.7</v>
      </c>
      <c r="AA30" s="163" t="n">
        <v>0.01</v>
      </c>
      <c r="AB30" s="187" t="n">
        <v>28</v>
      </c>
      <c r="AC30" s="169" t="n">
        <v>7</v>
      </c>
      <c r="AD30" s="120"/>
    </row>
    <row r="31" customFormat="false" ht="11.1" hidden="false" customHeight="true" outlineLevel="0" collapsed="false">
      <c r="A31" s="120" t="n">
        <f aca="false">A30+1</f>
        <v>20</v>
      </c>
      <c r="B31" s="170" t="n">
        <v>6858.21</v>
      </c>
      <c r="C31" s="114" t="n">
        <v>159011</v>
      </c>
      <c r="D31" s="119" t="n">
        <f aca="false">C31-C30</f>
        <v>23</v>
      </c>
      <c r="E31" s="114" t="n">
        <f aca="false">C31-152000</f>
        <v>7011</v>
      </c>
      <c r="F31" s="182" t="n">
        <f aca="false">D31/$D$2</f>
        <v>11.5956642298966</v>
      </c>
      <c r="G31" s="183" t="n">
        <v>28</v>
      </c>
      <c r="H31" s="184" t="n">
        <v>0</v>
      </c>
      <c r="I31" s="113" t="n">
        <f aca="false">G31+H31</f>
        <v>28</v>
      </c>
      <c r="J31" s="185" t="n">
        <f aca="false">IF(L31&gt;0,L31,0)</f>
        <v>2.29566422989665</v>
      </c>
      <c r="K31" s="113" t="n">
        <f aca="false">I31+J31</f>
        <v>30.2956642298966</v>
      </c>
      <c r="L31" s="113" t="n">
        <f aca="false">F31-(I31-X31)</f>
        <v>2.29566422989665</v>
      </c>
      <c r="M31" s="186" t="n">
        <v>3.7</v>
      </c>
      <c r="N31" s="113" t="n">
        <v>0</v>
      </c>
      <c r="O31" s="113" t="n">
        <v>0</v>
      </c>
      <c r="P31" s="92" t="n">
        <f aca="false">M31-(N31+O31)</f>
        <v>3.7</v>
      </c>
      <c r="Q31" s="183" t="n">
        <v>0</v>
      </c>
      <c r="R31" s="183" t="n">
        <v>0</v>
      </c>
      <c r="S31" s="113" t="n">
        <f aca="false">SUM(P31:R31)</f>
        <v>3.7</v>
      </c>
      <c r="T31" s="114"/>
      <c r="U31" s="183" t="n">
        <v>0</v>
      </c>
      <c r="V31" s="183" t="n">
        <v>15</v>
      </c>
      <c r="W31" s="114" t="n">
        <f aca="false">W30-V31</f>
        <v>1685.12</v>
      </c>
      <c r="X31" s="6" t="n">
        <f aca="false">N31+O31+S31+U31+V31</f>
        <v>18.7</v>
      </c>
      <c r="Y31" s="113" t="n">
        <f aca="false">IF(L31&lt;0,L31*-1,0)</f>
        <v>0</v>
      </c>
      <c r="Z31" s="113" t="n">
        <f aca="false">X31+Y31</f>
        <v>18.7</v>
      </c>
      <c r="AA31" s="163" t="n">
        <v>0</v>
      </c>
      <c r="AB31" s="187" t="n">
        <v>36</v>
      </c>
      <c r="AC31" s="169" t="n">
        <v>11</v>
      </c>
      <c r="AD31" s="120"/>
    </row>
    <row r="32" customFormat="false" ht="11.1" hidden="false" customHeight="true" outlineLevel="0" collapsed="false">
      <c r="A32" s="120" t="n">
        <f aca="false">A31+1</f>
        <v>21</v>
      </c>
      <c r="B32" s="170" t="n">
        <v>6858.23</v>
      </c>
      <c r="C32" s="114" t="n">
        <v>159078</v>
      </c>
      <c r="D32" s="119" t="n">
        <f aca="false">C32-C31</f>
        <v>67</v>
      </c>
      <c r="E32" s="114" t="n">
        <f aca="false">C32-152000</f>
        <v>7078</v>
      </c>
      <c r="F32" s="182" t="n">
        <f aca="false">D32/$D$2</f>
        <v>33.7786740610033</v>
      </c>
      <c r="G32" s="183" t="n">
        <v>22</v>
      </c>
      <c r="H32" s="184" t="n">
        <v>0</v>
      </c>
      <c r="I32" s="113" t="n">
        <f aca="false">G32+H32</f>
        <v>22</v>
      </c>
      <c r="J32" s="185" t="n">
        <f aca="false">IF(L32&gt;0,L32,0)</f>
        <v>30.4786740610033</v>
      </c>
      <c r="K32" s="113" t="n">
        <f aca="false">I32+J32</f>
        <v>52.4786740610033</v>
      </c>
      <c r="L32" s="113" t="n">
        <f aca="false">F32-(I32-X32)</f>
        <v>30.4786740610033</v>
      </c>
      <c r="M32" s="186" t="n">
        <v>3.7</v>
      </c>
      <c r="N32" s="113" t="n">
        <v>0</v>
      </c>
      <c r="O32" s="113" t="n">
        <v>0</v>
      </c>
      <c r="P32" s="92" t="n">
        <f aca="false">M32-(N32+O32)</f>
        <v>3.7</v>
      </c>
      <c r="Q32" s="183" t="n">
        <v>0</v>
      </c>
      <c r="R32" s="183" t="n">
        <v>0</v>
      </c>
      <c r="S32" s="113" t="n">
        <f aca="false">SUM(P32:R32)</f>
        <v>3.7</v>
      </c>
      <c r="T32" s="114"/>
      <c r="U32" s="183" t="n">
        <v>0</v>
      </c>
      <c r="V32" s="183" t="n">
        <v>15</v>
      </c>
      <c r="W32" s="114" t="n">
        <f aca="false">W31-V32</f>
        <v>1670.12</v>
      </c>
      <c r="X32" s="6" t="n">
        <f aca="false">N32+O32+S32+U32+V32</f>
        <v>18.7</v>
      </c>
      <c r="Y32" s="113" t="n">
        <f aca="false">IF(L32&lt;0,L32*-1,0)</f>
        <v>0</v>
      </c>
      <c r="Z32" s="113" t="n">
        <f aca="false">X32+Y32</f>
        <v>18.7</v>
      </c>
      <c r="AA32" s="163" t="n">
        <v>0</v>
      </c>
      <c r="AB32" s="119" t="n">
        <v>32</v>
      </c>
      <c r="AC32" s="169" t="n">
        <v>9</v>
      </c>
      <c r="AD32" s="120"/>
    </row>
    <row r="33" customFormat="false" ht="11.1" hidden="false" customHeight="true" outlineLevel="0" collapsed="false">
      <c r="A33" s="120" t="n">
        <f aca="false">A32+1</f>
        <v>22</v>
      </c>
      <c r="B33" s="170" t="n">
        <v>6858.25</v>
      </c>
      <c r="C33" s="114" t="n">
        <v>159123</v>
      </c>
      <c r="D33" s="119" t="n">
        <f aca="false">C33-C32</f>
        <v>45</v>
      </c>
      <c r="E33" s="114" t="n">
        <f aca="false">C33-152000</f>
        <v>7123</v>
      </c>
      <c r="F33" s="182" t="n">
        <f aca="false">D33/$D$2</f>
        <v>22.68716914545</v>
      </c>
      <c r="G33" s="183" t="n">
        <v>20</v>
      </c>
      <c r="H33" s="184" t="n">
        <v>0</v>
      </c>
      <c r="I33" s="113" t="n">
        <f aca="false">G33+H33</f>
        <v>20</v>
      </c>
      <c r="J33" s="185" t="n">
        <f aca="false">IF(L33&gt;0,L33,0)</f>
        <v>21.18716914545</v>
      </c>
      <c r="K33" s="113" t="n">
        <f aca="false">I33+J33</f>
        <v>41.18716914545</v>
      </c>
      <c r="L33" s="113" t="n">
        <f aca="false">F33-(I33-X33)</f>
        <v>21.18716914545</v>
      </c>
      <c r="M33" s="186" t="n">
        <v>3.5</v>
      </c>
      <c r="N33" s="113" t="n">
        <v>0</v>
      </c>
      <c r="O33" s="113" t="n">
        <v>0</v>
      </c>
      <c r="P33" s="92" t="n">
        <f aca="false">M33-(N33+O33)</f>
        <v>3.5</v>
      </c>
      <c r="Q33" s="183" t="n">
        <v>0</v>
      </c>
      <c r="R33" s="183" t="n">
        <v>0</v>
      </c>
      <c r="S33" s="113" t="n">
        <f aca="false">SUM(P33:R33)</f>
        <v>3.5</v>
      </c>
      <c r="T33" s="114"/>
      <c r="U33" s="183" t="n">
        <v>0</v>
      </c>
      <c r="V33" s="183" t="n">
        <v>15</v>
      </c>
      <c r="W33" s="114" t="n">
        <f aca="false">W32-V33</f>
        <v>1655.12</v>
      </c>
      <c r="X33" s="6" t="n">
        <f aca="false">N33+O33+S33+U33+V33</f>
        <v>18.5</v>
      </c>
      <c r="Y33" s="113" t="n">
        <f aca="false">IF(L33&lt;0,L33*-1,0)</f>
        <v>0</v>
      </c>
      <c r="Z33" s="113" t="n">
        <f aca="false">X33+Y33</f>
        <v>18.5</v>
      </c>
      <c r="AA33" s="163" t="n">
        <v>0</v>
      </c>
      <c r="AB33" s="119" t="n">
        <v>36</v>
      </c>
      <c r="AC33" s="169" t="n">
        <v>5</v>
      </c>
      <c r="AD33" s="120"/>
    </row>
    <row r="34" customFormat="false" ht="11.1" hidden="false" customHeight="true" outlineLevel="0" collapsed="false">
      <c r="A34" s="120" t="n">
        <f aca="false">A33+1</f>
        <v>23</v>
      </c>
      <c r="B34" s="170" t="n">
        <v>6858.26</v>
      </c>
      <c r="C34" s="114" t="n">
        <v>159154</v>
      </c>
      <c r="D34" s="119" t="n">
        <f aca="false">C34-C33</f>
        <v>31</v>
      </c>
      <c r="E34" s="114" t="n">
        <f aca="false">C34-152000</f>
        <v>7154</v>
      </c>
      <c r="F34" s="182" t="n">
        <f aca="false">D34/$D$2</f>
        <v>15.6289387446433</v>
      </c>
      <c r="G34" s="183" t="n">
        <v>20</v>
      </c>
      <c r="H34" s="184" t="n">
        <v>0</v>
      </c>
      <c r="I34" s="113" t="n">
        <f aca="false">G34+H34</f>
        <v>20</v>
      </c>
      <c r="J34" s="185" t="n">
        <f aca="false">IF(L34&gt;0,L34,0)</f>
        <v>13.0289387446433</v>
      </c>
      <c r="K34" s="113" t="n">
        <f aca="false">I34+J34</f>
        <v>33.0289387446433</v>
      </c>
      <c r="L34" s="113" t="n">
        <f aca="false">F34-(I34-X34)</f>
        <v>13.0289387446433</v>
      </c>
      <c r="M34" s="186" t="n">
        <v>3.4</v>
      </c>
      <c r="N34" s="113" t="n">
        <v>0</v>
      </c>
      <c r="O34" s="113" t="n">
        <v>0</v>
      </c>
      <c r="P34" s="92" t="n">
        <f aca="false">M34-(N34+O34)</f>
        <v>3.4</v>
      </c>
      <c r="Q34" s="183" t="n">
        <v>0</v>
      </c>
      <c r="R34" s="183" t="n">
        <v>0</v>
      </c>
      <c r="S34" s="113" t="n">
        <f aca="false">SUM(P34:R34)</f>
        <v>3.4</v>
      </c>
      <c r="T34" s="114"/>
      <c r="U34" s="183" t="n">
        <v>0</v>
      </c>
      <c r="V34" s="183" t="n">
        <v>14</v>
      </c>
      <c r="W34" s="114" t="n">
        <f aca="false">W33-V34</f>
        <v>1641.12</v>
      </c>
      <c r="X34" s="6" t="n">
        <f aca="false">N34+O34+S34+U34+V34</f>
        <v>17.4</v>
      </c>
      <c r="Y34" s="113" t="n">
        <f aca="false">IF(L34&lt;0,L34*-1,0)</f>
        <v>0</v>
      </c>
      <c r="Z34" s="113" t="n">
        <f aca="false">X34+Y34</f>
        <v>17.4</v>
      </c>
      <c r="AA34" s="163" t="n">
        <v>0</v>
      </c>
      <c r="AB34" s="119" t="n">
        <v>34</v>
      </c>
      <c r="AC34" s="188" t="n">
        <v>14</v>
      </c>
      <c r="AD34" s="120"/>
    </row>
    <row r="35" customFormat="false" ht="11.1" hidden="false" customHeight="true" outlineLevel="0" collapsed="false">
      <c r="A35" s="120" t="n">
        <f aca="false">A34+1</f>
        <v>24</v>
      </c>
      <c r="B35" s="170" t="n">
        <v>6858.28</v>
      </c>
      <c r="C35" s="114" t="n">
        <v>159190</v>
      </c>
      <c r="D35" s="119" t="n">
        <f aca="false">C35-C34</f>
        <v>36</v>
      </c>
      <c r="E35" s="114" t="n">
        <f aca="false">C35-152000</f>
        <v>7190</v>
      </c>
      <c r="F35" s="182" t="n">
        <f aca="false">D35/$D$2</f>
        <v>18.14973531636</v>
      </c>
      <c r="G35" s="183" t="n">
        <v>23</v>
      </c>
      <c r="H35" s="184" t="n">
        <v>0</v>
      </c>
      <c r="I35" s="113" t="n">
        <f aca="false">G35+H35</f>
        <v>23</v>
      </c>
      <c r="J35" s="185" t="n">
        <f aca="false">IF(L35&gt;0,L35,0)</f>
        <v>12.54973531636</v>
      </c>
      <c r="K35" s="113" t="n">
        <f aca="false">I35+J35</f>
        <v>35.54973531636</v>
      </c>
      <c r="L35" s="113" t="n">
        <f aca="false">F35-(I35-X35)</f>
        <v>12.54973531636</v>
      </c>
      <c r="M35" s="186" t="n">
        <v>3.4</v>
      </c>
      <c r="N35" s="113" t="n">
        <v>0</v>
      </c>
      <c r="O35" s="113" t="n">
        <v>0</v>
      </c>
      <c r="P35" s="92" t="n">
        <f aca="false">M35-(N35+O35)</f>
        <v>3.4</v>
      </c>
      <c r="Q35" s="183" t="n">
        <v>0</v>
      </c>
      <c r="R35" s="183" t="n">
        <v>0</v>
      </c>
      <c r="S35" s="113" t="n">
        <f aca="false">SUM(P35:R35)</f>
        <v>3.4</v>
      </c>
      <c r="T35" s="114"/>
      <c r="U35" s="183" t="n">
        <v>0</v>
      </c>
      <c r="V35" s="183" t="n">
        <v>14</v>
      </c>
      <c r="W35" s="114" t="n">
        <f aca="false">W34-V35</f>
        <v>1627.12</v>
      </c>
      <c r="X35" s="6" t="n">
        <f aca="false">N35+O35+S35+U35+V35</f>
        <v>17.4</v>
      </c>
      <c r="Y35" s="113" t="n">
        <f aca="false">IF(L35&lt;0,L35*-1,0)</f>
        <v>0</v>
      </c>
      <c r="Z35" s="113" t="n">
        <f aca="false">X35+Y35</f>
        <v>17.4</v>
      </c>
      <c r="AA35" s="163" t="n">
        <v>0.15</v>
      </c>
      <c r="AB35" s="119" t="n">
        <v>24</v>
      </c>
      <c r="AC35" s="188" t="n">
        <v>17</v>
      </c>
      <c r="AD35" s="120"/>
    </row>
    <row r="36" customFormat="false" ht="11.1" hidden="false" customHeight="true" outlineLevel="0" collapsed="false">
      <c r="A36" s="120" t="n">
        <f aca="false">A35+1</f>
        <v>25</v>
      </c>
      <c r="B36" s="170" t="n">
        <v>6858.3</v>
      </c>
      <c r="C36" s="114" t="n">
        <v>159235</v>
      </c>
      <c r="D36" s="119" t="n">
        <f aca="false">C36-C35</f>
        <v>45</v>
      </c>
      <c r="E36" s="114" t="n">
        <f aca="false">C36-152000</f>
        <v>7235</v>
      </c>
      <c r="F36" s="182" t="n">
        <f aca="false">D36/$D$2</f>
        <v>22.68716914545</v>
      </c>
      <c r="G36" s="183" t="n">
        <v>23</v>
      </c>
      <c r="H36" s="184" t="n">
        <v>0</v>
      </c>
      <c r="I36" s="113" t="n">
        <f aca="false">G36+H36</f>
        <v>23</v>
      </c>
      <c r="J36" s="185" t="n">
        <f aca="false">IF(L36&gt;0,L36,0)</f>
        <v>17.08716914545</v>
      </c>
      <c r="K36" s="113" t="n">
        <f aca="false">I36+J36</f>
        <v>40.08716914545</v>
      </c>
      <c r="L36" s="113" t="n">
        <f aca="false">F36-(I36-X36)</f>
        <v>17.08716914545</v>
      </c>
      <c r="M36" s="186" t="n">
        <v>3.4</v>
      </c>
      <c r="N36" s="113" t="n">
        <v>0</v>
      </c>
      <c r="O36" s="113" t="n">
        <v>0</v>
      </c>
      <c r="P36" s="92" t="n">
        <f aca="false">M36-(N36+O36)</f>
        <v>3.4</v>
      </c>
      <c r="Q36" s="183" t="n">
        <v>0</v>
      </c>
      <c r="R36" s="183" t="n">
        <v>0</v>
      </c>
      <c r="S36" s="113" t="n">
        <f aca="false">SUM(P36:R36)</f>
        <v>3.4</v>
      </c>
      <c r="T36" s="114"/>
      <c r="U36" s="183" t="n">
        <v>0</v>
      </c>
      <c r="V36" s="183" t="n">
        <v>14</v>
      </c>
      <c r="W36" s="114" t="n">
        <f aca="false">W35-V36</f>
        <v>1613.12</v>
      </c>
      <c r="X36" s="6" t="n">
        <f aca="false">N36+O36+S36+U36+V36</f>
        <v>17.4</v>
      </c>
      <c r="Y36" s="113" t="n">
        <f aca="false">IF(L36&lt;0,L36*-1,0)</f>
        <v>0</v>
      </c>
      <c r="Z36" s="113" t="n">
        <f aca="false">X36+Y36</f>
        <v>17.4</v>
      </c>
      <c r="AA36" s="163" t="n">
        <v>0.03</v>
      </c>
      <c r="AB36" s="119" t="n">
        <v>30</v>
      </c>
      <c r="AC36" s="188" t="n">
        <v>19</v>
      </c>
      <c r="AD36" s="120"/>
    </row>
    <row r="37" customFormat="false" ht="11.1" hidden="false" customHeight="true" outlineLevel="0" collapsed="false">
      <c r="A37" s="120" t="n">
        <f aca="false">A36+1</f>
        <v>26</v>
      </c>
      <c r="B37" s="170" t="n">
        <v>6858.32</v>
      </c>
      <c r="C37" s="114" t="n">
        <v>159280</v>
      </c>
      <c r="D37" s="119" t="n">
        <f aca="false">C37-C36</f>
        <v>45</v>
      </c>
      <c r="E37" s="114" t="n">
        <f aca="false">C37-152000</f>
        <v>7280</v>
      </c>
      <c r="F37" s="182" t="n">
        <f aca="false">D37/$D$2</f>
        <v>22.68716914545</v>
      </c>
      <c r="G37" s="183" t="n">
        <v>24</v>
      </c>
      <c r="H37" s="184" t="n">
        <v>0</v>
      </c>
      <c r="I37" s="113" t="n">
        <f aca="false">G37+H37</f>
        <v>24</v>
      </c>
      <c r="J37" s="185" t="n">
        <f aca="false">IF(L37&gt;0,L37,0)</f>
        <v>16.08716914545</v>
      </c>
      <c r="K37" s="113" t="n">
        <f aca="false">I37+J37</f>
        <v>40.08716914545</v>
      </c>
      <c r="L37" s="113" t="n">
        <f aca="false">F37-(I37-X37)</f>
        <v>16.08716914545</v>
      </c>
      <c r="M37" s="186" t="n">
        <v>3.4</v>
      </c>
      <c r="N37" s="113" t="n">
        <v>0</v>
      </c>
      <c r="O37" s="113" t="n">
        <v>0</v>
      </c>
      <c r="P37" s="92" t="n">
        <f aca="false">M37-(N37+O37)</f>
        <v>3.4</v>
      </c>
      <c r="Q37" s="183" t="n">
        <v>0</v>
      </c>
      <c r="R37" s="183" t="n">
        <v>0</v>
      </c>
      <c r="S37" s="113" t="n">
        <f aca="false">SUM(P37:R37)</f>
        <v>3.4</v>
      </c>
      <c r="T37" s="114"/>
      <c r="U37" s="183" t="n">
        <v>0</v>
      </c>
      <c r="V37" s="183" t="n">
        <v>14</v>
      </c>
      <c r="W37" s="114" t="n">
        <f aca="false">W36-V37</f>
        <v>1599.12</v>
      </c>
      <c r="X37" s="6" t="n">
        <f aca="false">N37+O37+S37+U37+V37</f>
        <v>17.4</v>
      </c>
      <c r="Y37" s="113" t="n">
        <f aca="false">IF(L37&lt;0,L37*-1,0)</f>
        <v>0</v>
      </c>
      <c r="Z37" s="113" t="n">
        <f aca="false">X37+Y37</f>
        <v>17.4</v>
      </c>
      <c r="AA37" s="163" t="n">
        <v>0</v>
      </c>
      <c r="AB37" s="119" t="n">
        <v>9</v>
      </c>
      <c r="AC37" s="169" t="n">
        <v>4</v>
      </c>
      <c r="AD37" s="120"/>
    </row>
    <row r="38" customFormat="false" ht="11.1" hidden="false" customHeight="true" outlineLevel="0" collapsed="false">
      <c r="A38" s="120" t="n">
        <f aca="false">A37+1</f>
        <v>27</v>
      </c>
      <c r="B38" s="170" t="n">
        <v>6858.34</v>
      </c>
      <c r="C38" s="114" t="n">
        <v>159324</v>
      </c>
      <c r="D38" s="119" t="n">
        <f aca="false">C38-C37</f>
        <v>44</v>
      </c>
      <c r="E38" s="114" t="n">
        <f aca="false">C38-152000</f>
        <v>7324</v>
      </c>
      <c r="F38" s="182" t="n">
        <f aca="false">D38/$D$2</f>
        <v>22.1830098311066</v>
      </c>
      <c r="G38" s="183" t="n">
        <v>24</v>
      </c>
      <c r="H38" s="184" t="n">
        <v>0</v>
      </c>
      <c r="I38" s="113" t="n">
        <f aca="false">G38+H38</f>
        <v>24</v>
      </c>
      <c r="J38" s="185" t="n">
        <f aca="false">IF(L38&gt;0,L38,0)</f>
        <v>15.5830098311066</v>
      </c>
      <c r="K38" s="113" t="n">
        <f aca="false">I38+J38</f>
        <v>39.5830098311066</v>
      </c>
      <c r="L38" s="113" t="n">
        <f aca="false">F38-(I38-X38)</f>
        <v>15.5830098311066</v>
      </c>
      <c r="M38" s="186" t="n">
        <v>3.4</v>
      </c>
      <c r="N38" s="113" t="n">
        <v>0</v>
      </c>
      <c r="O38" s="113" t="n">
        <v>0</v>
      </c>
      <c r="P38" s="92" t="n">
        <f aca="false">M38-(N38+O38)</f>
        <v>3.4</v>
      </c>
      <c r="Q38" s="183" t="n">
        <v>0</v>
      </c>
      <c r="R38" s="183" t="n">
        <v>0</v>
      </c>
      <c r="S38" s="113" t="n">
        <f aca="false">SUM(P38:R38)</f>
        <v>3.4</v>
      </c>
      <c r="T38" s="114"/>
      <c r="U38" s="183" t="n">
        <v>0</v>
      </c>
      <c r="V38" s="183" t="n">
        <v>14</v>
      </c>
      <c r="W38" s="114" t="n">
        <f aca="false">W37-V38</f>
        <v>1585.12</v>
      </c>
      <c r="X38" s="6" t="n">
        <f aca="false">N38+O38+S38+U38+V38</f>
        <v>17.4</v>
      </c>
      <c r="Y38" s="113" t="n">
        <f aca="false">IF(L38&lt;0,L38*-1,0)</f>
        <v>0</v>
      </c>
      <c r="Z38" s="113" t="n">
        <f aca="false">X38+Y38</f>
        <v>17.4</v>
      </c>
      <c r="AA38" s="163" t="n">
        <v>0</v>
      </c>
      <c r="AB38" s="119" t="n">
        <v>16</v>
      </c>
      <c r="AC38" s="169" t="n">
        <v>8</v>
      </c>
      <c r="AD38" s="120"/>
    </row>
    <row r="39" customFormat="false" ht="11.1" hidden="false" customHeight="true" outlineLevel="0" collapsed="false">
      <c r="A39" s="120" t="n">
        <f aca="false">A38+1</f>
        <v>28</v>
      </c>
      <c r="B39" s="170" t="n">
        <v>6858.36</v>
      </c>
      <c r="C39" s="114" t="n">
        <v>159369</v>
      </c>
      <c r="D39" s="119" t="n">
        <f aca="false">C39-C38</f>
        <v>45</v>
      </c>
      <c r="E39" s="114" t="n">
        <f aca="false">C39-152000</f>
        <v>7369</v>
      </c>
      <c r="F39" s="182" t="n">
        <f aca="false">D39/$D$2</f>
        <v>22.68716914545</v>
      </c>
      <c r="G39" s="183" t="n">
        <v>21</v>
      </c>
      <c r="H39" s="184" t="n">
        <v>0</v>
      </c>
      <c r="I39" s="113" t="n">
        <f aca="false">G39+H39</f>
        <v>21</v>
      </c>
      <c r="J39" s="185" t="n">
        <f aca="false">IF(L39&gt;0,L39,0)</f>
        <v>19.08716914545</v>
      </c>
      <c r="K39" s="113" t="n">
        <f aca="false">I39+J39</f>
        <v>40.08716914545</v>
      </c>
      <c r="L39" s="113" t="n">
        <f aca="false">F39-(I39-X39)</f>
        <v>19.08716914545</v>
      </c>
      <c r="M39" s="186" t="n">
        <v>3.4</v>
      </c>
      <c r="N39" s="113" t="n">
        <v>0</v>
      </c>
      <c r="O39" s="113" t="n">
        <v>0</v>
      </c>
      <c r="P39" s="92" t="n">
        <f aca="false">M39-(N39+O39)</f>
        <v>3.4</v>
      </c>
      <c r="Q39" s="183" t="n">
        <v>0</v>
      </c>
      <c r="R39" s="183" t="n">
        <v>0</v>
      </c>
      <c r="S39" s="113" t="n">
        <f aca="false">SUM(P39:R39)</f>
        <v>3.4</v>
      </c>
      <c r="T39" s="114"/>
      <c r="U39" s="183" t="n">
        <v>0</v>
      </c>
      <c r="V39" s="183" t="n">
        <v>14</v>
      </c>
      <c r="W39" s="114" t="n">
        <f aca="false">W38-V39</f>
        <v>1571.12</v>
      </c>
      <c r="X39" s="6" t="n">
        <f aca="false">N39+O39+S39+U39+V39</f>
        <v>17.4</v>
      </c>
      <c r="Y39" s="113" t="n">
        <f aca="false">IF(L39&lt;0,L39*-1,0)</f>
        <v>0</v>
      </c>
      <c r="Z39" s="113" t="n">
        <f aca="false">X39+Y39</f>
        <v>17.4</v>
      </c>
      <c r="AA39" s="163" t="n">
        <v>0</v>
      </c>
      <c r="AB39" s="119" t="n">
        <v>25</v>
      </c>
      <c r="AC39" s="169" t="n">
        <v>12</v>
      </c>
      <c r="AD39" s="120"/>
    </row>
    <row r="40" customFormat="false" ht="11.1" hidden="false" customHeight="true" outlineLevel="0" collapsed="false">
      <c r="A40" s="120" t="n">
        <f aca="false">A39+1</f>
        <v>29</v>
      </c>
      <c r="B40" s="170" t="n">
        <v>6858.38</v>
      </c>
      <c r="C40" s="114" t="n">
        <v>159414</v>
      </c>
      <c r="D40" s="119" t="n">
        <f aca="false">C40-C39</f>
        <v>45</v>
      </c>
      <c r="E40" s="114" t="n">
        <f aca="false">C40-152000</f>
        <v>7414</v>
      </c>
      <c r="F40" s="182" t="n">
        <f aca="false">D40/$D$2</f>
        <v>22.68716914545</v>
      </c>
      <c r="G40" s="183" t="n">
        <v>20</v>
      </c>
      <c r="H40" s="184" t="n">
        <v>0</v>
      </c>
      <c r="I40" s="113" t="n">
        <f aca="false">G40+H40</f>
        <v>20</v>
      </c>
      <c r="J40" s="185" t="n">
        <f aca="false">IF(L40&gt;0,L40,0)</f>
        <v>20.08716914545</v>
      </c>
      <c r="K40" s="113" t="n">
        <f aca="false">I40+J40</f>
        <v>40.08716914545</v>
      </c>
      <c r="L40" s="113" t="n">
        <f aca="false">F40-(I40-X40)</f>
        <v>20.08716914545</v>
      </c>
      <c r="M40" s="186" t="n">
        <v>3.4</v>
      </c>
      <c r="N40" s="113" t="n">
        <v>0</v>
      </c>
      <c r="O40" s="113" t="n">
        <v>0</v>
      </c>
      <c r="P40" s="92" t="n">
        <f aca="false">M40-(N40+O40)</f>
        <v>3.4</v>
      </c>
      <c r="Q40" s="183" t="n">
        <v>0</v>
      </c>
      <c r="R40" s="183" t="n">
        <v>0</v>
      </c>
      <c r="S40" s="113" t="n">
        <f aca="false">SUM(P40:R40)</f>
        <v>3.4</v>
      </c>
      <c r="T40" s="114"/>
      <c r="U40" s="183" t="n">
        <v>0</v>
      </c>
      <c r="V40" s="183" t="n">
        <v>14</v>
      </c>
      <c r="W40" s="114" t="n">
        <f aca="false">W39-V40</f>
        <v>1557.12</v>
      </c>
      <c r="X40" s="6" t="n">
        <f aca="false">N40+O40+S40+U40+V40</f>
        <v>17.4</v>
      </c>
      <c r="Y40" s="113" t="n">
        <f aca="false">IF(L40&lt;0,L40*-1,0)</f>
        <v>0</v>
      </c>
      <c r="Z40" s="113" t="n">
        <f aca="false">X40+Y40</f>
        <v>17.4</v>
      </c>
      <c r="AA40" s="163" t="n">
        <v>0</v>
      </c>
      <c r="AB40" s="187" t="n">
        <v>35</v>
      </c>
      <c r="AC40" s="169" t="n">
        <v>20</v>
      </c>
      <c r="AD40" s="120"/>
    </row>
    <row r="41" customFormat="false" ht="11.1" hidden="false" customHeight="true" outlineLevel="0" collapsed="false">
      <c r="A41" s="120" t="n">
        <v>30</v>
      </c>
      <c r="B41" s="170" t="n">
        <v>6858.39</v>
      </c>
      <c r="C41" s="114" t="n">
        <v>159436</v>
      </c>
      <c r="D41" s="119" t="n">
        <f aca="false">C41-C40</f>
        <v>22</v>
      </c>
      <c r="E41" s="114" t="n">
        <f aca="false">C41-152000</f>
        <v>7436</v>
      </c>
      <c r="F41" s="182" t="n">
        <f aca="false">D41/$D$2</f>
        <v>11.0915049155533</v>
      </c>
      <c r="G41" s="183" t="n">
        <v>20</v>
      </c>
      <c r="H41" s="184" t="n">
        <v>0</v>
      </c>
      <c r="I41" s="113" t="n">
        <f aca="false">G41+H41</f>
        <v>20</v>
      </c>
      <c r="J41" s="185" t="n">
        <f aca="false">IF(L41&gt;0,L41,0)</f>
        <v>8.49150491555331</v>
      </c>
      <c r="K41" s="113" t="n">
        <f aca="false">I41+J41</f>
        <v>28.4915049155533</v>
      </c>
      <c r="L41" s="113" t="n">
        <f aca="false">F41-(I41-X41)</f>
        <v>8.49150491555331</v>
      </c>
      <c r="M41" s="186" t="n">
        <v>3.4</v>
      </c>
      <c r="N41" s="113" t="n">
        <v>0</v>
      </c>
      <c r="O41" s="113" t="n">
        <v>0</v>
      </c>
      <c r="P41" s="92" t="n">
        <f aca="false">M41-(N41+O41)</f>
        <v>3.4</v>
      </c>
      <c r="Q41" s="183" t="n">
        <v>0</v>
      </c>
      <c r="R41" s="183" t="n">
        <v>0</v>
      </c>
      <c r="S41" s="113" t="n">
        <f aca="false">SUM(P41:R41)</f>
        <v>3.4</v>
      </c>
      <c r="T41" s="114"/>
      <c r="U41" s="183" t="n">
        <v>0</v>
      </c>
      <c r="V41" s="183" t="n">
        <v>14</v>
      </c>
      <c r="W41" s="114" t="n">
        <f aca="false">W40-V41</f>
        <v>1543.12</v>
      </c>
      <c r="X41" s="6" t="n">
        <f aca="false">N41+O41+S41+U41+V41</f>
        <v>17.4</v>
      </c>
      <c r="Y41" s="113" t="n">
        <f aca="false">IF(L41&lt;0,L41*-1,0)</f>
        <v>0</v>
      </c>
      <c r="Z41" s="113" t="n">
        <f aca="false">X41+Y41</f>
        <v>17.4</v>
      </c>
      <c r="AA41" s="163" t="n">
        <v>0.1</v>
      </c>
      <c r="AB41" s="187" t="n">
        <v>37</v>
      </c>
      <c r="AC41" s="169" t="n">
        <v>14</v>
      </c>
      <c r="AD41" s="120"/>
    </row>
    <row r="42" customFormat="false" ht="11.1" hidden="false" customHeight="true" outlineLevel="0" collapsed="false">
      <c r="A42" s="120" t="n">
        <v>31</v>
      </c>
      <c r="B42" s="170" t="n">
        <v>6858.4</v>
      </c>
      <c r="C42" s="114" t="n">
        <v>159459</v>
      </c>
      <c r="D42" s="119" t="n">
        <f aca="false">C42-C41</f>
        <v>23</v>
      </c>
      <c r="E42" s="114" t="n">
        <f aca="false">C42-152000</f>
        <v>7459</v>
      </c>
      <c r="F42" s="182" t="n">
        <f aca="false">D42/$D$2</f>
        <v>11.5956642298966</v>
      </c>
      <c r="G42" s="183" t="n">
        <v>21</v>
      </c>
      <c r="H42" s="184" t="n">
        <v>0</v>
      </c>
      <c r="I42" s="113" t="n">
        <f aca="false">G42+H42</f>
        <v>21</v>
      </c>
      <c r="J42" s="185" t="n">
        <f aca="false">IF(L42&gt;0,L42,0)</f>
        <v>8.09566422989665</v>
      </c>
      <c r="K42" s="113" t="n">
        <f aca="false">I42+J42</f>
        <v>29.0956642298966</v>
      </c>
      <c r="L42" s="113" t="n">
        <f aca="false">F42-(I42-X42)</f>
        <v>8.09566422989665</v>
      </c>
      <c r="M42" s="186" t="n">
        <v>3.5</v>
      </c>
      <c r="N42" s="113" t="n">
        <v>0</v>
      </c>
      <c r="O42" s="113" t="n">
        <v>0</v>
      </c>
      <c r="P42" s="92" t="n">
        <f aca="false">M42-(N42+O42)</f>
        <v>3.5</v>
      </c>
      <c r="Q42" s="183" t="n">
        <v>0</v>
      </c>
      <c r="R42" s="183" t="n">
        <v>0</v>
      </c>
      <c r="S42" s="113" t="n">
        <f aca="false">SUM(P42:R42)</f>
        <v>3.5</v>
      </c>
      <c r="T42" s="114"/>
      <c r="U42" s="183" t="n">
        <v>0</v>
      </c>
      <c r="V42" s="183" t="n">
        <v>14</v>
      </c>
      <c r="W42" s="114" t="n">
        <f aca="false">W41-V42</f>
        <v>1529.12</v>
      </c>
      <c r="X42" s="6" t="n">
        <f aca="false">N42+O42+S42+U42+V42</f>
        <v>17.5</v>
      </c>
      <c r="Y42" s="113" t="n">
        <f aca="false">IF(L42&lt;0,L42*-1,0)</f>
        <v>0</v>
      </c>
      <c r="Z42" s="113" t="n">
        <f aca="false">X42+Y42</f>
        <v>17.5</v>
      </c>
      <c r="AA42" s="163" t="n">
        <v>0</v>
      </c>
      <c r="AB42" s="187" t="n">
        <v>36</v>
      </c>
      <c r="AC42" s="169" t="n">
        <v>13</v>
      </c>
      <c r="AD42" s="120"/>
    </row>
    <row r="43" customFormat="false" ht="3" hidden="false" customHeight="true" outlineLevel="0" collapsed="false">
      <c r="A43" s="171"/>
      <c r="B43" s="189"/>
      <c r="C43" s="173"/>
      <c r="D43" s="171"/>
      <c r="E43" s="173"/>
      <c r="F43" s="174"/>
      <c r="G43" s="171"/>
      <c r="H43" s="175"/>
      <c r="I43" s="171"/>
      <c r="J43" s="171"/>
      <c r="K43" s="171"/>
      <c r="L43" s="171"/>
      <c r="M43" s="171"/>
      <c r="N43" s="171"/>
      <c r="O43" s="171"/>
      <c r="P43" s="177"/>
      <c r="Q43" s="171"/>
      <c r="R43" s="171"/>
      <c r="S43" s="171"/>
      <c r="T43" s="173"/>
      <c r="U43" s="171"/>
      <c r="V43" s="171"/>
      <c r="W43" s="171"/>
      <c r="X43" s="171"/>
      <c r="Y43" s="171"/>
      <c r="Z43" s="171"/>
      <c r="AA43" s="178"/>
      <c r="AB43" s="179"/>
      <c r="AC43" s="180"/>
      <c r="AD43" s="181"/>
      <c r="AE43" s="181"/>
      <c r="AF43" s="181"/>
    </row>
    <row r="44" customFormat="false" ht="11.1" hidden="false" customHeight="true" outlineLevel="0" collapsed="false">
      <c r="A44" s="113" t="s">
        <v>54</v>
      </c>
      <c r="B44" s="165"/>
      <c r="C44" s="114"/>
      <c r="D44" s="114"/>
      <c r="E44" s="114"/>
      <c r="F44" s="166" t="n">
        <f aca="false">SUM(F12:F42)</f>
        <v>563.650113435846</v>
      </c>
      <c r="G44" s="114" t="n">
        <f aca="false">SUM(G12:G42)</f>
        <v>1133</v>
      </c>
      <c r="H44" s="114" t="n">
        <f aca="false">SUM(H12:H42)</f>
        <v>0</v>
      </c>
      <c r="I44" s="114" t="n">
        <f aca="false">SUM(I12:I42)</f>
        <v>1133</v>
      </c>
      <c r="J44" s="114" t="n">
        <f aca="false">SUM(J12:J42)</f>
        <v>206.487890093269</v>
      </c>
      <c r="K44" s="114" t="n">
        <f aca="false">SUM(K12:K42)</f>
        <v>1339.48789009327</v>
      </c>
      <c r="L44" s="114" t="n">
        <f aca="false">SUM(L12:L42)</f>
        <v>4.33011343584572</v>
      </c>
      <c r="M44" s="167" t="n">
        <f aca="false">SUM(M12:M42)</f>
        <v>117.8</v>
      </c>
      <c r="N44" s="114" t="n">
        <f aca="false">SUM(N12:N42)</f>
        <v>0</v>
      </c>
      <c r="O44" s="114" t="n">
        <f aca="false">SUM(O12:O42)</f>
        <v>0</v>
      </c>
      <c r="P44" s="168" t="n">
        <f aca="false">SUM(P12:P42)</f>
        <v>117.8</v>
      </c>
      <c r="Q44" s="114" t="n">
        <f aca="false">SUM(Q12:Q42)</f>
        <v>0</v>
      </c>
      <c r="R44" s="114" t="n">
        <f aca="false">SUM(R12:R42)</f>
        <v>0</v>
      </c>
      <c r="S44" s="114" t="n">
        <f aca="false">SUM(S12:S42)</f>
        <v>117.8</v>
      </c>
      <c r="T44" s="114"/>
      <c r="U44" s="114" t="n">
        <f aca="false">SUM(U12:U42)</f>
        <v>0</v>
      </c>
      <c r="V44" s="114" t="n">
        <f aca="false">SUM(V12:V42)</f>
        <v>455.88</v>
      </c>
      <c r="W44" s="114"/>
      <c r="X44" s="114" t="n">
        <f aca="false">SUM(X12:X42)</f>
        <v>573.68</v>
      </c>
      <c r="Y44" s="114" t="n">
        <f aca="false">SUM(Y12:Y42)</f>
        <v>202.157776657424</v>
      </c>
      <c r="Z44" s="114" t="n">
        <f aca="false">SUM(Z12:Z42)</f>
        <v>775.837776657424</v>
      </c>
      <c r="AA44" s="163" t="n">
        <f aca="false">SUM(AA12:AA42)</f>
        <v>0.82</v>
      </c>
      <c r="AB44" s="119" t="n">
        <f aca="false">AVERAGE(AB12:AB42)</f>
        <v>37.8709677419355</v>
      </c>
      <c r="AC44" s="169" t="n">
        <f aca="false">AVERAGE(AC12:AC42)</f>
        <v>16.7741935483871</v>
      </c>
      <c r="AD44" s="120" t="s">
        <v>55</v>
      </c>
    </row>
    <row r="45" customFormat="false" ht="11.1" hidden="false" customHeight="true" outlineLevel="0" collapsed="false">
      <c r="A45" s="113" t="s">
        <v>56</v>
      </c>
      <c r="B45" s="165"/>
      <c r="C45" s="114"/>
      <c r="D45" s="114" t="n">
        <f aca="false">SUM(D12:D42)</f>
        <v>1118</v>
      </c>
      <c r="E45" s="114"/>
      <c r="F45" s="166" t="n">
        <f aca="false">F44*$D$2</f>
        <v>1118</v>
      </c>
      <c r="G45" s="114" t="n">
        <f aca="false">G44*$D$2</f>
        <v>2247.3055</v>
      </c>
      <c r="H45" s="114" t="n">
        <f aca="false">H44*$D$2</f>
        <v>0</v>
      </c>
      <c r="I45" s="114" t="n">
        <f aca="false">I44*$D$2</f>
        <v>2247.3055</v>
      </c>
      <c r="J45" s="114" t="n">
        <f aca="false">J44*$D$2</f>
        <v>409.56873</v>
      </c>
      <c r="K45" s="114" t="n">
        <f aca="false">K44*$D$2</f>
        <v>2656.87423</v>
      </c>
      <c r="L45" s="114" t="n">
        <f aca="false">L44*$D$2</f>
        <v>8.58877999999998</v>
      </c>
      <c r="M45" s="167" t="n">
        <f aca="false">M44*$D$2</f>
        <v>233.6563</v>
      </c>
      <c r="N45" s="114" t="n">
        <f aca="false">N44*$D$2</f>
        <v>0</v>
      </c>
      <c r="O45" s="114" t="n">
        <f aca="false">O44*$D$2</f>
        <v>0</v>
      </c>
      <c r="P45" s="168" t="n">
        <f aca="false">P44*$D$2</f>
        <v>233.6563</v>
      </c>
      <c r="Q45" s="114" t="n">
        <f aca="false">Q44*$D$2</f>
        <v>0</v>
      </c>
      <c r="R45" s="114" t="n">
        <f aca="false">R44*$D$2</f>
        <v>0</v>
      </c>
      <c r="S45" s="114" t="n">
        <f aca="false">S44*$D$2</f>
        <v>233.6563</v>
      </c>
      <c r="T45" s="114"/>
      <c r="U45" s="114" t="n">
        <f aca="false">U44*$D$2</f>
        <v>0</v>
      </c>
      <c r="V45" s="114" t="n">
        <f aca="false">V44*$D$2</f>
        <v>904.23798</v>
      </c>
      <c r="W45" s="114"/>
      <c r="X45" s="114" t="n">
        <f aca="false">X44*$D$2</f>
        <v>1137.89428</v>
      </c>
      <c r="Y45" s="114" t="n">
        <f aca="false">Y44*$D$2</f>
        <v>400.97995</v>
      </c>
      <c r="Z45" s="114" t="n">
        <f aca="false">Z44*$D$2</f>
        <v>1538.87423</v>
      </c>
      <c r="AA45" s="163"/>
      <c r="AB45" s="119" t="n">
        <f aca="false">MAX(AB12:AB42)</f>
        <v>51</v>
      </c>
      <c r="AC45" s="169" t="n">
        <f aca="false">MAX(AC12:AC42)</f>
        <v>29</v>
      </c>
      <c r="AD45" s="120" t="s">
        <v>57</v>
      </c>
    </row>
    <row r="46" customFormat="false" ht="3" hidden="false" customHeight="true" outlineLevel="0" collapsed="false">
      <c r="A46" s="171"/>
      <c r="B46" s="189"/>
      <c r="C46" s="173"/>
      <c r="D46" s="173"/>
      <c r="E46" s="173"/>
      <c r="F46" s="190"/>
      <c r="G46" s="173"/>
      <c r="H46" s="173"/>
      <c r="I46" s="173"/>
      <c r="J46" s="173"/>
      <c r="K46" s="173"/>
      <c r="L46" s="173"/>
      <c r="M46" s="191"/>
      <c r="N46" s="173"/>
      <c r="O46" s="173"/>
      <c r="P46" s="192"/>
      <c r="Q46" s="173"/>
      <c r="R46" s="173"/>
      <c r="S46" s="173"/>
      <c r="T46" s="173"/>
      <c r="U46" s="173"/>
      <c r="V46" s="173"/>
      <c r="W46" s="171"/>
      <c r="X46" s="173"/>
      <c r="Y46" s="173"/>
      <c r="Z46" s="173"/>
      <c r="AA46" s="193"/>
      <c r="AB46" s="173"/>
      <c r="AC46" s="190"/>
      <c r="AD46" s="173"/>
      <c r="AE46" s="173"/>
      <c r="AF46" s="173"/>
    </row>
    <row r="47" customFormat="false" ht="11.1" hidden="false" customHeight="true" outlineLevel="0" collapsed="false">
      <c r="A47" s="113" t="s">
        <v>58</v>
      </c>
      <c r="B47" s="165"/>
      <c r="C47" s="114"/>
      <c r="D47" s="114"/>
      <c r="E47" s="114"/>
      <c r="F47" s="166"/>
      <c r="G47" s="114"/>
      <c r="H47" s="114"/>
      <c r="I47" s="114"/>
      <c r="J47" s="114"/>
      <c r="K47" s="114"/>
      <c r="L47" s="114"/>
      <c r="M47" s="167"/>
      <c r="N47" s="114"/>
      <c r="O47" s="114"/>
      <c r="P47" s="168"/>
      <c r="Q47" s="114"/>
      <c r="R47" s="114"/>
      <c r="S47" s="114"/>
      <c r="T47" s="114"/>
      <c r="U47" s="114"/>
      <c r="V47" s="114"/>
      <c r="W47" s="114"/>
      <c r="X47" s="114"/>
      <c r="Y47" s="114"/>
      <c r="Z47" s="114"/>
      <c r="AA47" s="163"/>
      <c r="AB47" s="119" t="n">
        <f aca="false">MIN(AB12:AB42)</f>
        <v>9</v>
      </c>
      <c r="AC47" s="169" t="n">
        <f aca="false">MIN(AC12:AC42)</f>
        <v>4</v>
      </c>
      <c r="AD47" s="120" t="s">
        <v>59</v>
      </c>
    </row>
    <row r="48" customFormat="false" ht="11.1" hidden="false" customHeight="true" outlineLevel="0" collapsed="false">
      <c r="A48" s="113" t="s">
        <v>60</v>
      </c>
      <c r="B48" s="165"/>
      <c r="C48" s="114"/>
      <c r="D48" s="114"/>
      <c r="E48" s="114"/>
      <c r="F48" s="166"/>
      <c r="G48" s="114"/>
      <c r="H48" s="114"/>
      <c r="I48" s="114"/>
      <c r="J48" s="114"/>
      <c r="K48" s="114"/>
      <c r="L48" s="114"/>
      <c r="M48" s="167"/>
      <c r="N48" s="114"/>
      <c r="O48" s="114"/>
      <c r="P48" s="168"/>
      <c r="Q48" s="114"/>
      <c r="R48" s="114"/>
      <c r="S48" s="114"/>
      <c r="T48" s="114"/>
      <c r="U48" s="114"/>
      <c r="V48" s="114"/>
      <c r="W48" s="114"/>
      <c r="X48" s="114"/>
      <c r="Y48" s="114"/>
      <c r="Z48" s="114"/>
      <c r="AA48" s="163"/>
      <c r="AB48" s="119"/>
      <c r="AC48" s="169"/>
      <c r="AD48" s="120"/>
    </row>
    <row r="49" customFormat="false" ht="3" hidden="false" customHeight="true" outlineLevel="0" collapsed="false">
      <c r="A49" s="171"/>
      <c r="B49" s="189"/>
      <c r="C49" s="173"/>
      <c r="D49" s="173"/>
      <c r="E49" s="173"/>
      <c r="F49" s="190"/>
      <c r="G49" s="173"/>
      <c r="H49" s="179"/>
      <c r="I49" s="173"/>
      <c r="J49" s="173"/>
      <c r="K49" s="173"/>
      <c r="L49" s="173"/>
      <c r="M49" s="191"/>
      <c r="N49" s="173"/>
      <c r="O49" s="173"/>
      <c r="P49" s="192"/>
      <c r="Q49" s="173"/>
      <c r="R49" s="173"/>
      <c r="S49" s="173"/>
      <c r="T49" s="173"/>
      <c r="U49" s="173"/>
      <c r="V49" s="173"/>
      <c r="W49" s="173"/>
      <c r="X49" s="173"/>
      <c r="Y49" s="173"/>
      <c r="Z49" s="173"/>
      <c r="AA49" s="178"/>
      <c r="AB49" s="194"/>
      <c r="AC49" s="195"/>
      <c r="AD49" s="194"/>
      <c r="AE49" s="194"/>
      <c r="AF49" s="194"/>
    </row>
    <row r="50" customFormat="false" ht="11.1" hidden="false" customHeight="true" outlineLevel="0" collapsed="false">
      <c r="A50" s="113" t="s">
        <v>61</v>
      </c>
      <c r="B50" s="165"/>
      <c r="C50" s="114"/>
      <c r="D50" s="114"/>
      <c r="E50" s="114"/>
      <c r="F50" s="166" t="n">
        <f aca="false">F10+F44</f>
        <v>1458.02873708092</v>
      </c>
      <c r="G50" s="114" t="n">
        <f aca="false">G10+G44</f>
        <v>2992</v>
      </c>
      <c r="H50" s="119" t="n">
        <f aca="false">H10+H44</f>
        <v>0</v>
      </c>
      <c r="I50" s="114" t="n">
        <f aca="false">I10+I44</f>
        <v>2992</v>
      </c>
      <c r="J50" s="114" t="n">
        <f aca="false">J10+J44</f>
        <v>273.836843962692</v>
      </c>
      <c r="K50" s="114" t="n">
        <f aca="false">K10+K44</f>
        <v>3265.83684396269</v>
      </c>
      <c r="L50" s="114" t="n">
        <f aca="false">L10+L44</f>
        <v>-213.191262919082</v>
      </c>
      <c r="M50" s="167" t="n">
        <f aca="false">M10+M44</f>
        <v>326.9</v>
      </c>
      <c r="N50" s="114" t="n">
        <f aca="false">N10+N44</f>
        <v>0</v>
      </c>
      <c r="O50" s="114" t="n">
        <f aca="false">O10+O44</f>
        <v>0</v>
      </c>
      <c r="P50" s="168" t="n">
        <f aca="false">P10+P44</f>
        <v>326.9</v>
      </c>
      <c r="Q50" s="114" t="n">
        <f aca="false">Q10+Q44</f>
        <v>62</v>
      </c>
      <c r="R50" s="114" t="n">
        <f aca="false">R10+R44</f>
        <v>51</v>
      </c>
      <c r="S50" s="114" t="n">
        <f aca="false">S10+S44</f>
        <v>439.9</v>
      </c>
      <c r="T50" s="114"/>
      <c r="U50" s="114" t="n">
        <f aca="false">U10+U44</f>
        <v>0</v>
      </c>
      <c r="V50" s="114" t="n">
        <f aca="false">V10+V44</f>
        <v>880.88</v>
      </c>
      <c r="W50" s="114" t="n">
        <f aca="false">W42</f>
        <v>1529.12</v>
      </c>
      <c r="X50" s="114" t="n">
        <f aca="false">X10+X44</f>
        <v>1320.78</v>
      </c>
      <c r="Y50" s="114" t="n">
        <f aca="false">Y10+Y44</f>
        <v>487.028106881775</v>
      </c>
      <c r="Z50" s="114" t="n">
        <f aca="false">Z10+Z44</f>
        <v>1807.80810688177</v>
      </c>
      <c r="AA50" s="163" t="n">
        <f aca="false">AA10+AA44</f>
        <v>2.05</v>
      </c>
      <c r="AB50" s="119"/>
      <c r="AC50" s="169"/>
      <c r="AD50" s="120"/>
    </row>
    <row r="51" customFormat="false" ht="11.1" hidden="false" customHeight="true" outlineLevel="0" collapsed="false">
      <c r="A51" s="113" t="s">
        <v>62</v>
      </c>
      <c r="B51" s="165"/>
      <c r="C51" s="114"/>
      <c r="D51" s="114" t="n">
        <f aca="false">D10+D45</f>
        <v>2892</v>
      </c>
      <c r="E51" s="114" t="n">
        <f aca="false">E42</f>
        <v>7459</v>
      </c>
      <c r="F51" s="166" t="n">
        <f aca="false">F50*$D$2</f>
        <v>2892</v>
      </c>
      <c r="G51" s="114" t="n">
        <f aca="false">G50*$D$2</f>
        <v>5934.632</v>
      </c>
      <c r="H51" s="119" t="n">
        <f aca="false">H50*$D$2</f>
        <v>0</v>
      </c>
      <c r="I51" s="114" t="n">
        <f aca="false">I50*$D$2</f>
        <v>5934.632</v>
      </c>
      <c r="J51" s="114" t="n">
        <f aca="false">J50*$D$2</f>
        <v>543.15538</v>
      </c>
      <c r="K51" s="114" t="n">
        <f aca="false">K50*$D$2</f>
        <v>6477.78738</v>
      </c>
      <c r="L51" s="114" t="n">
        <f aca="false">L50*$D$2</f>
        <v>-422.86487</v>
      </c>
      <c r="M51" s="167" t="n">
        <f aca="false">M50*$D$2</f>
        <v>648.40615</v>
      </c>
      <c r="N51" s="114" t="n">
        <f aca="false">N50*$D$2</f>
        <v>0</v>
      </c>
      <c r="O51" s="114" t="n">
        <f aca="false">O50*$D$2</f>
        <v>0</v>
      </c>
      <c r="P51" s="168" t="n">
        <f aca="false">P50*$D$2</f>
        <v>648.40615</v>
      </c>
      <c r="Q51" s="114" t="n">
        <f aca="false">Q50*$D$2</f>
        <v>122.977</v>
      </c>
      <c r="R51" s="114" t="n">
        <f aca="false">R50*$D$2</f>
        <v>101.1585</v>
      </c>
      <c r="S51" s="114" t="n">
        <f aca="false">S50*$D$2</f>
        <v>872.54165</v>
      </c>
      <c r="T51" s="114" t="n">
        <f aca="false">T50*$D$2</f>
        <v>0</v>
      </c>
      <c r="U51" s="114" t="n">
        <f aca="false">U50*$D$2</f>
        <v>0</v>
      </c>
      <c r="V51" s="114" t="n">
        <f aca="false">V50*$D$2</f>
        <v>1747.22548</v>
      </c>
      <c r="W51" s="114" t="n">
        <f aca="false">W50*$D$2</f>
        <v>3033.00952</v>
      </c>
      <c r="X51" s="114" t="n">
        <f aca="false">X50*$D$2</f>
        <v>2619.76713</v>
      </c>
      <c r="Y51" s="114" t="n">
        <f aca="false">Y50*$D$2</f>
        <v>966.02025</v>
      </c>
      <c r="Z51" s="114" t="n">
        <f aca="false">Z50*$D$2</f>
        <v>3585.78738</v>
      </c>
      <c r="AA51" s="163"/>
      <c r="AB51" s="119"/>
      <c r="AC51" s="169"/>
      <c r="AD51" s="120"/>
    </row>
    <row r="52" customFormat="false" ht="3" hidden="false" customHeight="true" outlineLevel="0" collapsed="false">
      <c r="A52" s="171"/>
      <c r="B52" s="189"/>
      <c r="C52" s="173"/>
      <c r="D52" s="171"/>
      <c r="E52" s="173"/>
      <c r="F52" s="174"/>
      <c r="G52" s="171"/>
      <c r="H52" s="175"/>
      <c r="I52" s="171"/>
      <c r="J52" s="171"/>
      <c r="K52" s="171"/>
      <c r="L52" s="171"/>
      <c r="M52" s="176"/>
      <c r="N52" s="171"/>
      <c r="O52" s="171"/>
      <c r="P52" s="177"/>
      <c r="Q52" s="171"/>
      <c r="R52" s="171"/>
      <c r="S52" s="171"/>
      <c r="T52" s="173"/>
      <c r="U52" s="171"/>
      <c r="V52" s="171"/>
      <c r="W52" s="173"/>
      <c r="X52" s="171"/>
      <c r="Y52" s="171"/>
      <c r="Z52" s="171"/>
      <c r="AA52" s="189"/>
      <c r="AB52" s="171"/>
      <c r="AC52" s="174"/>
      <c r="AD52" s="171"/>
      <c r="AE52" s="171"/>
      <c r="AF52" s="171"/>
    </row>
    <row r="53" customFormat="false" ht="11.1" hidden="false" customHeight="true" outlineLevel="0" collapsed="false">
      <c r="A53" s="113"/>
      <c r="B53" s="196"/>
      <c r="C53" s="114"/>
      <c r="D53" s="113"/>
      <c r="E53" s="114"/>
      <c r="F53" s="113"/>
      <c r="G53" s="113"/>
      <c r="H53" s="118"/>
      <c r="I53" s="113"/>
      <c r="J53" s="113"/>
      <c r="K53" s="113"/>
      <c r="L53" s="113"/>
      <c r="M53" s="113"/>
      <c r="N53" s="113"/>
      <c r="O53" s="113"/>
      <c r="P53" s="113"/>
      <c r="Q53" s="113"/>
      <c r="R53" s="113"/>
      <c r="S53" s="113"/>
      <c r="T53" s="114"/>
      <c r="U53" s="113"/>
      <c r="V53" s="113"/>
      <c r="W53" s="114"/>
      <c r="X53" s="113"/>
      <c r="Y53" s="113"/>
      <c r="Z53" s="113"/>
      <c r="AA53" s="118"/>
      <c r="AB53" s="119"/>
      <c r="AC53" s="119"/>
      <c r="AD53" s="120"/>
    </row>
    <row r="54" customFormat="false" ht="11.1" hidden="false" customHeight="true" outlineLevel="0" collapsed="false">
      <c r="A54" s="113"/>
      <c r="B54" s="197"/>
      <c r="C54" s="114"/>
      <c r="D54" s="187"/>
      <c r="E54" s="114"/>
      <c r="F54" s="113"/>
      <c r="G54" s="113"/>
      <c r="H54" s="118"/>
      <c r="I54" s="115"/>
      <c r="J54" s="113"/>
      <c r="K54" s="104"/>
      <c r="L54" s="113"/>
      <c r="M54" s="113"/>
      <c r="N54" s="113"/>
      <c r="O54" s="113"/>
      <c r="P54" s="113"/>
      <c r="Q54" s="113"/>
      <c r="R54" s="113"/>
      <c r="S54" s="113"/>
      <c r="T54" s="114"/>
      <c r="U54" s="113"/>
      <c r="V54" s="113"/>
      <c r="W54" s="114"/>
      <c r="X54" s="113"/>
      <c r="Y54" s="113"/>
      <c r="Z54" s="113"/>
      <c r="AA54" s="118"/>
      <c r="AB54" s="119"/>
      <c r="AC54" s="119"/>
      <c r="AD54" s="120"/>
    </row>
    <row r="55" customFormat="false" ht="11.1" hidden="false" customHeight="true" outlineLevel="0" collapsed="false">
      <c r="A55" s="187"/>
      <c r="B55" s="187"/>
      <c r="C55" s="114"/>
      <c r="D55" s="114"/>
      <c r="E55" s="114"/>
      <c r="F55" s="187"/>
      <c r="G55" s="187"/>
      <c r="H55" s="118"/>
      <c r="I55" s="187"/>
      <c r="J55" s="187"/>
      <c r="K55" s="187"/>
      <c r="L55" s="187"/>
      <c r="M55" s="185"/>
      <c r="N55" s="185"/>
      <c r="O55" s="185"/>
      <c r="P55" s="185"/>
      <c r="Q55" s="187"/>
      <c r="R55" s="187"/>
      <c r="S55" s="187"/>
      <c r="T55" s="114"/>
      <c r="U55" s="187"/>
      <c r="V55" s="187"/>
      <c r="W55" s="114"/>
      <c r="X55" s="187"/>
      <c r="Y55" s="187"/>
      <c r="Z55" s="187"/>
      <c r="AA55" s="118"/>
      <c r="AB55" s="119"/>
      <c r="AC55" s="119"/>
      <c r="AD55" s="120"/>
    </row>
    <row r="56" customFormat="false" ht="11.1" hidden="false" customHeight="true" outlineLevel="0" collapsed="false">
      <c r="A56" s="187"/>
      <c r="B56" s="117"/>
      <c r="C56" s="114"/>
      <c r="D56" s="114"/>
      <c r="E56" s="114"/>
      <c r="F56" s="187"/>
      <c r="G56" s="187"/>
      <c r="H56" s="118"/>
      <c r="I56" s="187"/>
      <c r="J56" s="187"/>
      <c r="K56" s="187"/>
      <c r="L56" s="187"/>
      <c r="M56" s="185"/>
      <c r="N56" s="185"/>
      <c r="O56" s="185"/>
      <c r="P56" s="187"/>
      <c r="Q56" s="187"/>
      <c r="R56" s="187"/>
      <c r="S56" s="114"/>
      <c r="T56" s="187"/>
      <c r="U56" s="187"/>
      <c r="V56" s="114"/>
      <c r="W56" s="187"/>
      <c r="X56" s="187"/>
      <c r="Y56" s="187"/>
      <c r="Z56" s="117"/>
      <c r="AA56" s="118"/>
      <c r="AB56" s="119"/>
      <c r="AC56" s="120"/>
    </row>
    <row r="57" customFormat="false" ht="11.1" hidden="false" customHeight="true" outlineLevel="0" collapsed="false">
      <c r="A57" s="187"/>
      <c r="B57" s="187"/>
      <c r="C57" s="114"/>
      <c r="D57" s="187"/>
      <c r="E57" s="114"/>
      <c r="F57" s="187"/>
      <c r="G57" s="198"/>
      <c r="H57" s="118"/>
      <c r="I57" s="187"/>
      <c r="J57" s="187"/>
      <c r="K57" s="187"/>
      <c r="L57" s="187"/>
      <c r="M57" s="185"/>
      <c r="N57" s="185"/>
      <c r="O57" s="185"/>
      <c r="P57" s="187"/>
      <c r="Q57" s="187"/>
      <c r="R57" s="187"/>
      <c r="S57" s="114"/>
      <c r="T57" s="187"/>
      <c r="U57" s="187"/>
      <c r="V57" s="114"/>
      <c r="W57" s="187"/>
      <c r="X57" s="187"/>
      <c r="Y57" s="187"/>
      <c r="Z57" s="117"/>
      <c r="AA57" s="118"/>
      <c r="AB57" s="119"/>
      <c r="AC57" s="120"/>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5" activePane="bottomRight" state="frozen"/>
      <selection pane="topLeft" activeCell="A1" activeCellId="0" sqref="A1"/>
      <selection pane="topRight" activeCell="B1" activeCellId="0" sqref="B1"/>
      <selection pane="bottomLeft" activeCell="A15" activeCellId="0" sqref="A15"/>
      <selection pane="bottomRight" activeCell="G31" activeCellId="0" sqref="G31"/>
    </sheetView>
  </sheetViews>
  <sheetFormatPr defaultColWidth="9.328125" defaultRowHeight="11.1" zeroHeight="false" outlineLevelRow="0" outlineLevelCol="0"/>
  <cols>
    <col collapsed="false" customWidth="true" hidden="false" outlineLevel="0" max="1" min="1" style="106" width="5.66"/>
    <col collapsed="false" customWidth="true" hidden="false" outlineLevel="0" max="2" min="2" style="106" width="7.49"/>
    <col collapsed="false" customWidth="true" hidden="false" outlineLevel="0" max="3" min="3" style="107" width="6.82"/>
    <col collapsed="false" customWidth="true" hidden="false" outlineLevel="0" max="4" min="4" style="106" width="6.99"/>
    <col collapsed="false" customWidth="true" hidden="false" outlineLevel="0" max="5" min="5" style="107" width="7.66"/>
    <col collapsed="false" customWidth="true" hidden="false" outlineLevel="0" max="6" min="6" style="106" width="7.66"/>
    <col collapsed="false" customWidth="true" hidden="false" outlineLevel="0" max="7" min="7" style="106" width="7.16"/>
    <col collapsed="false" customWidth="true" hidden="false" outlineLevel="0" max="8" min="8" style="108" width="6.66"/>
    <col collapsed="false" customWidth="true" hidden="false" outlineLevel="0" max="9" min="9" style="106" width="7.99"/>
    <col collapsed="false" customWidth="true" hidden="false" outlineLevel="0" max="11" min="10" style="106" width="6.66"/>
    <col collapsed="false" customWidth="true" hidden="false" outlineLevel="0" max="12" min="12" style="106" width="7.16"/>
    <col collapsed="false" customWidth="true" hidden="false" outlineLevel="0" max="13" min="13" style="199" width="6.16"/>
    <col collapsed="false" customWidth="true" hidden="false" outlineLevel="0" max="14" min="14" style="109" width="5.99"/>
    <col collapsed="false" customWidth="true" hidden="false" outlineLevel="0" max="15" min="15" style="109" width="6.49"/>
    <col collapsed="false" customWidth="true" hidden="false" outlineLevel="0" max="16" min="16" style="106" width="7.16"/>
    <col collapsed="false" customWidth="true" hidden="false" outlineLevel="0" max="18" min="17" style="106" width="5.49"/>
    <col collapsed="false" customWidth="true" hidden="false" outlineLevel="0" max="19" min="19" style="107" width="6.82"/>
    <col collapsed="false" customWidth="true" hidden="false" outlineLevel="0" max="20" min="20" style="106" width="6.49"/>
    <col collapsed="false" customWidth="true" hidden="false" outlineLevel="0" max="21" min="21" style="106" width="5.66"/>
    <col collapsed="false" customWidth="true" hidden="false" outlineLevel="0" max="22" min="22" style="107" width="6.16"/>
    <col collapsed="false" customWidth="true" hidden="false" outlineLevel="0" max="23" min="23" style="106" width="6.82"/>
    <col collapsed="false" customWidth="true" hidden="false" outlineLevel="0" max="25" min="24" style="106" width="7.82"/>
    <col collapsed="false" customWidth="true" hidden="false" outlineLevel="0" max="26" min="26" style="110" width="7.82"/>
    <col collapsed="false" customWidth="true" hidden="false" outlineLevel="0" max="27" min="27" style="108" width="5.49"/>
    <col collapsed="false" customWidth="true" hidden="false" outlineLevel="0" max="28" min="28" style="111" width="3.82"/>
    <col collapsed="false" customWidth="true" hidden="false" outlineLevel="0" max="29" min="29" style="112" width="3.82"/>
    <col collapsed="false" customWidth="true" hidden="false" outlineLevel="0" max="30" min="30" style="106" width="5.99"/>
    <col collapsed="false" customWidth="true" hidden="false" outlineLevel="0" max="31" min="31" style="106" width="6.66"/>
    <col collapsed="false" customWidth="false" hidden="false" outlineLevel="0" max="257" min="32" style="106" width="9.32"/>
  </cols>
  <sheetData>
    <row r="1" customFormat="false" ht="14.1" hidden="false" customHeight="true" outlineLevel="0" collapsed="false">
      <c r="A1" s="113"/>
      <c r="B1" s="113"/>
      <c r="C1" s="114"/>
      <c r="D1" s="113"/>
      <c r="E1" s="114"/>
      <c r="F1" s="113"/>
      <c r="G1" s="113"/>
      <c r="H1" s="118"/>
      <c r="I1" s="113"/>
      <c r="J1" s="113"/>
      <c r="K1" s="116" t="s">
        <v>0</v>
      </c>
      <c r="L1" s="113"/>
      <c r="M1" s="200"/>
      <c r="N1" s="113"/>
      <c r="O1" s="113"/>
      <c r="P1" s="113"/>
      <c r="Q1" s="113"/>
      <c r="R1" s="113"/>
      <c r="S1" s="114"/>
      <c r="T1" s="113"/>
      <c r="U1" s="113"/>
      <c r="V1" s="114"/>
      <c r="W1" s="113"/>
      <c r="X1" s="113"/>
      <c r="Y1" s="113"/>
      <c r="Z1" s="117"/>
      <c r="AA1" s="118"/>
      <c r="AB1" s="119"/>
      <c r="AC1" s="120"/>
      <c r="AD1" s="201"/>
      <c r="AE1" s="201"/>
    </row>
    <row r="2" customFormat="false" ht="14.1" hidden="false" customHeight="true" outlineLevel="0" collapsed="false">
      <c r="A2" s="113" t="s">
        <v>1</v>
      </c>
      <c r="B2" s="113"/>
      <c r="C2" s="114"/>
      <c r="D2" s="121" t="n">
        <v>1.9835</v>
      </c>
      <c r="E2" s="114"/>
      <c r="F2" s="113"/>
      <c r="G2" s="113"/>
      <c r="H2" s="118"/>
      <c r="I2" s="113"/>
      <c r="J2" s="113"/>
      <c r="K2" s="122" t="s">
        <v>68</v>
      </c>
      <c r="L2" s="122"/>
      <c r="M2" s="122"/>
      <c r="N2" s="122"/>
      <c r="O2" s="122"/>
      <c r="P2" s="122"/>
      <c r="Q2" s="122"/>
      <c r="R2" s="122"/>
      <c r="S2" s="122"/>
      <c r="T2" s="122"/>
      <c r="U2" s="113"/>
      <c r="V2" s="114"/>
      <c r="W2" s="113"/>
      <c r="X2" s="113"/>
      <c r="Y2" s="113"/>
      <c r="Z2" s="117"/>
      <c r="AA2" s="118"/>
      <c r="AB2" s="119"/>
      <c r="AC2" s="120"/>
      <c r="AD2" s="201"/>
      <c r="AE2" s="201"/>
    </row>
    <row r="3" customFormat="false" ht="14.1" hidden="false" customHeight="true" outlineLevel="0" collapsed="false">
      <c r="A3" s="123"/>
      <c r="B3" s="123"/>
      <c r="C3" s="124"/>
      <c r="D3" s="125"/>
      <c r="E3" s="124"/>
      <c r="F3" s="123"/>
      <c r="G3" s="123"/>
      <c r="H3" s="128"/>
      <c r="I3" s="123"/>
      <c r="J3" s="123"/>
      <c r="K3" s="123"/>
      <c r="L3" s="123"/>
      <c r="M3" s="202"/>
      <c r="N3" s="123"/>
      <c r="O3" s="123"/>
      <c r="P3" s="123"/>
      <c r="Q3" s="123"/>
      <c r="R3" s="123"/>
      <c r="S3" s="124"/>
      <c r="T3" s="123"/>
      <c r="U3" s="123"/>
      <c r="V3" s="124"/>
      <c r="W3" s="123"/>
      <c r="X3" s="123"/>
      <c r="Y3" s="123"/>
      <c r="Z3" s="127"/>
      <c r="AA3" s="128"/>
      <c r="AB3" s="129"/>
      <c r="AC3" s="130"/>
      <c r="AD3" s="203"/>
      <c r="AE3" s="203"/>
      <c r="AF3" s="131"/>
    </row>
    <row r="4" customFormat="false" ht="14.1" hidden="false" customHeight="true" outlineLevel="0" collapsed="false">
      <c r="A4" s="113"/>
      <c r="B4" s="132"/>
      <c r="C4" s="133"/>
      <c r="D4" s="204" t="s">
        <v>3</v>
      </c>
      <c r="E4" s="133"/>
      <c r="F4" s="135"/>
      <c r="G4" s="113"/>
      <c r="H4" s="118"/>
      <c r="I4" s="113"/>
      <c r="J4" s="113"/>
      <c r="K4" s="113"/>
      <c r="L4" s="113"/>
      <c r="M4" s="200"/>
      <c r="N4" s="113"/>
      <c r="O4" s="113"/>
      <c r="P4" s="113"/>
      <c r="Q4" s="136" t="s">
        <v>4</v>
      </c>
      <c r="R4" s="113"/>
      <c r="S4" s="114"/>
      <c r="T4" s="113"/>
      <c r="U4" s="113"/>
      <c r="V4" s="114"/>
      <c r="W4" s="113"/>
      <c r="X4" s="113"/>
      <c r="Y4" s="113"/>
      <c r="Z4" s="117"/>
      <c r="AA4" s="137"/>
      <c r="AB4" s="138" t="s">
        <v>5</v>
      </c>
      <c r="AC4" s="139"/>
      <c r="AD4" s="201"/>
      <c r="AE4" s="201"/>
    </row>
    <row r="5" customFormat="false" ht="11.1" hidden="false" customHeight="true" outlineLevel="0" collapsed="false">
      <c r="A5" s="140" t="s">
        <v>6</v>
      </c>
      <c r="B5" s="141" t="s">
        <v>7</v>
      </c>
      <c r="C5" s="142" t="s">
        <v>7</v>
      </c>
      <c r="D5" s="140" t="s">
        <v>8</v>
      </c>
      <c r="E5" s="142" t="s">
        <v>9</v>
      </c>
      <c r="F5" s="143" t="s">
        <v>10</v>
      </c>
      <c r="G5" s="140" t="s">
        <v>11</v>
      </c>
      <c r="H5" s="205" t="s">
        <v>12</v>
      </c>
      <c r="I5" s="140" t="s">
        <v>13</v>
      </c>
      <c r="J5" s="140" t="s">
        <v>14</v>
      </c>
      <c r="K5" s="140" t="s">
        <v>15</v>
      </c>
      <c r="L5" s="140" t="s">
        <v>14</v>
      </c>
      <c r="M5" s="206" t="s">
        <v>16</v>
      </c>
      <c r="N5" s="206"/>
      <c r="O5" s="206"/>
      <c r="P5" s="206"/>
      <c r="Q5" s="140" t="s">
        <v>17</v>
      </c>
      <c r="R5" s="140" t="s">
        <v>18</v>
      </c>
      <c r="S5" s="140" t="s">
        <v>15</v>
      </c>
      <c r="T5" s="142" t="s">
        <v>19</v>
      </c>
      <c r="U5" s="140" t="s">
        <v>20</v>
      </c>
      <c r="V5" s="140" t="s">
        <v>21</v>
      </c>
      <c r="W5" s="142" t="s">
        <v>22</v>
      </c>
      <c r="X5" s="140" t="s">
        <v>13</v>
      </c>
      <c r="Y5" s="140" t="s">
        <v>14</v>
      </c>
      <c r="Z5" s="140" t="s">
        <v>15</v>
      </c>
      <c r="AA5" s="146" t="s">
        <v>23</v>
      </c>
      <c r="AB5" s="147" t="s">
        <v>24</v>
      </c>
      <c r="AC5" s="148" t="s">
        <v>25</v>
      </c>
      <c r="AD5" s="147" t="s">
        <v>64</v>
      </c>
      <c r="AE5" s="207" t="s">
        <v>19</v>
      </c>
      <c r="AF5" s="201"/>
    </row>
    <row r="6" customFormat="false" ht="11.1" hidden="false" customHeight="true" outlineLevel="0" collapsed="false">
      <c r="A6" s="150" t="s">
        <v>69</v>
      </c>
      <c r="B6" s="141" t="s">
        <v>28</v>
      </c>
      <c r="C6" s="142" t="s">
        <v>8</v>
      </c>
      <c r="D6" s="140" t="s">
        <v>29</v>
      </c>
      <c r="E6" s="142" t="s">
        <v>30</v>
      </c>
      <c r="F6" s="143" t="s">
        <v>31</v>
      </c>
      <c r="G6" s="140" t="s">
        <v>32</v>
      </c>
      <c r="H6" s="205" t="s">
        <v>33</v>
      </c>
      <c r="I6" s="140" t="s">
        <v>34</v>
      </c>
      <c r="J6" s="140" t="s">
        <v>34</v>
      </c>
      <c r="K6" s="140" t="s">
        <v>34</v>
      </c>
      <c r="L6" s="140" t="s">
        <v>35</v>
      </c>
      <c r="M6" s="208" t="s">
        <v>36</v>
      </c>
      <c r="N6" s="140" t="s">
        <v>37</v>
      </c>
      <c r="O6" s="140" t="s">
        <v>38</v>
      </c>
      <c r="P6" s="152" t="s">
        <v>39</v>
      </c>
      <c r="Q6" s="140" t="s">
        <v>40</v>
      </c>
      <c r="R6" s="140" t="s">
        <v>41</v>
      </c>
      <c r="S6" s="140" t="s">
        <v>19</v>
      </c>
      <c r="T6" s="142" t="s">
        <v>42</v>
      </c>
      <c r="U6" s="140" t="s">
        <v>43</v>
      </c>
      <c r="V6" s="140" t="s">
        <v>44</v>
      </c>
      <c r="W6" s="142" t="s">
        <v>45</v>
      </c>
      <c r="X6" s="140" t="s">
        <v>46</v>
      </c>
      <c r="Y6" s="140" t="s">
        <v>46</v>
      </c>
      <c r="Z6" s="140" t="s">
        <v>46</v>
      </c>
      <c r="AA6" s="153"/>
      <c r="AB6" s="147" t="s">
        <v>47</v>
      </c>
      <c r="AC6" s="148" t="s">
        <v>47</v>
      </c>
      <c r="AD6" s="154" t="s">
        <v>42</v>
      </c>
      <c r="AE6" s="207" t="s">
        <v>42</v>
      </c>
      <c r="AF6" s="201"/>
    </row>
    <row r="7" customFormat="false" ht="11.1" hidden="false" customHeight="true" outlineLevel="0" collapsed="false">
      <c r="A7" s="155"/>
      <c r="B7" s="156"/>
      <c r="C7" s="157"/>
      <c r="D7" s="155"/>
      <c r="E7" s="158" t="s">
        <v>48</v>
      </c>
      <c r="F7" s="159"/>
      <c r="G7" s="155"/>
      <c r="H7" s="209"/>
      <c r="I7" s="155"/>
      <c r="J7" s="155"/>
      <c r="K7" s="155"/>
      <c r="L7" s="155"/>
      <c r="M7" s="210"/>
      <c r="N7" s="155"/>
      <c r="O7" s="155"/>
      <c r="P7" s="162"/>
      <c r="Q7" s="155"/>
      <c r="R7" s="155"/>
      <c r="S7" s="155"/>
      <c r="T7" s="158" t="s">
        <v>49</v>
      </c>
      <c r="U7" s="155"/>
      <c r="V7" s="155"/>
      <c r="W7" s="157"/>
      <c r="X7" s="155"/>
      <c r="Y7" s="155"/>
      <c r="Z7" s="155"/>
      <c r="AA7" s="163"/>
      <c r="AB7" s="154" t="s">
        <v>50</v>
      </c>
      <c r="AC7" s="164"/>
      <c r="AD7" s="120"/>
      <c r="AE7" s="211" t="s">
        <v>51</v>
      </c>
      <c r="AF7" s="212"/>
    </row>
    <row r="8" customFormat="false" ht="11.1" hidden="false" customHeight="true" outlineLevel="0" collapsed="false">
      <c r="A8" s="155"/>
      <c r="B8" s="156"/>
      <c r="C8" s="157"/>
      <c r="D8" s="155"/>
      <c r="E8" s="157"/>
      <c r="F8" s="159"/>
      <c r="G8" s="155"/>
      <c r="H8" s="209"/>
      <c r="I8" s="155"/>
      <c r="J8" s="155"/>
      <c r="K8" s="155"/>
      <c r="L8" s="155"/>
      <c r="M8" s="210"/>
      <c r="N8" s="155"/>
      <c r="O8" s="155"/>
      <c r="P8" s="162"/>
      <c r="Q8" s="155"/>
      <c r="R8" s="155"/>
      <c r="S8" s="155"/>
      <c r="T8" s="157"/>
      <c r="U8" s="155"/>
      <c r="V8" s="155"/>
      <c r="W8" s="157"/>
      <c r="X8" s="155"/>
      <c r="Y8" s="155"/>
      <c r="Z8" s="155"/>
      <c r="AA8" s="163"/>
      <c r="AB8" s="120"/>
      <c r="AC8" s="164"/>
      <c r="AD8" s="120"/>
      <c r="AE8" s="212"/>
      <c r="AF8" s="212"/>
    </row>
    <row r="9" customFormat="false" ht="11.1" hidden="false" customHeight="true" outlineLevel="0" collapsed="false">
      <c r="A9" s="113" t="s">
        <v>52</v>
      </c>
      <c r="B9" s="165"/>
      <c r="C9" s="114"/>
      <c r="D9" s="114"/>
      <c r="E9" s="114"/>
      <c r="F9" s="166"/>
      <c r="G9" s="114"/>
      <c r="H9" s="118"/>
      <c r="I9" s="114"/>
      <c r="J9" s="114"/>
      <c r="K9" s="114"/>
      <c r="L9" s="114"/>
      <c r="M9" s="213"/>
      <c r="N9" s="114"/>
      <c r="O9" s="114"/>
      <c r="P9" s="168"/>
      <c r="Q9" s="114"/>
      <c r="R9" s="114"/>
      <c r="S9" s="114"/>
      <c r="T9" s="114"/>
      <c r="U9" s="114"/>
      <c r="V9" s="114"/>
      <c r="W9" s="114"/>
      <c r="X9" s="114"/>
      <c r="Y9" s="114"/>
      <c r="Z9" s="114"/>
      <c r="AA9" s="163"/>
      <c r="AB9" s="119"/>
      <c r="AC9" s="169"/>
      <c r="AD9" s="120"/>
      <c r="AE9" s="212"/>
      <c r="AF9" s="214"/>
    </row>
    <row r="10" s="107" customFormat="true" ht="11.1" hidden="false" customHeight="true" outlineLevel="0" collapsed="false">
      <c r="A10" s="114" t="s">
        <v>53</v>
      </c>
      <c r="B10" s="170" t="n">
        <f aca="false">DEC!B42</f>
        <v>6858.4</v>
      </c>
      <c r="C10" s="114" t="n">
        <f aca="false">DEC!C42</f>
        <v>159459</v>
      </c>
      <c r="D10" s="114" t="n">
        <f aca="false">DEC!$D$51</f>
        <v>2892</v>
      </c>
      <c r="E10" s="114" t="n">
        <f aca="false">DEC!$E$42</f>
        <v>7459</v>
      </c>
      <c r="F10" s="166" t="n">
        <f aca="false">DEC!F50</f>
        <v>1458.02873708092</v>
      </c>
      <c r="G10" s="114" t="n">
        <f aca="false">DEC!G50</f>
        <v>2992</v>
      </c>
      <c r="H10" s="118" t="n">
        <f aca="false">DEC!H50</f>
        <v>0</v>
      </c>
      <c r="I10" s="114" t="n">
        <f aca="false">DEC!I50</f>
        <v>2992</v>
      </c>
      <c r="J10" s="114" t="n">
        <f aca="false">DEC!J50</f>
        <v>273.836843962692</v>
      </c>
      <c r="K10" s="114" t="n">
        <f aca="false">DEC!K50</f>
        <v>3265.83684396269</v>
      </c>
      <c r="L10" s="114" t="n">
        <f aca="false">DEC!L50</f>
        <v>-213.191262919082</v>
      </c>
      <c r="M10" s="213" t="n">
        <f aca="false">DEC!M50</f>
        <v>326.9</v>
      </c>
      <c r="N10" s="114" t="n">
        <f aca="false">DEC!N50</f>
        <v>0</v>
      </c>
      <c r="O10" s="114" t="n">
        <f aca="false">DEC!O50</f>
        <v>0</v>
      </c>
      <c r="P10" s="168" t="n">
        <f aca="false">DEC!P50</f>
        <v>326.9</v>
      </c>
      <c r="Q10" s="114" t="n">
        <f aca="false">DEC!Q50</f>
        <v>62</v>
      </c>
      <c r="R10" s="114" t="n">
        <f aca="false">DEC!R50</f>
        <v>51</v>
      </c>
      <c r="S10" s="114" t="n">
        <f aca="false">DEC!S50</f>
        <v>439.9</v>
      </c>
      <c r="T10" s="114" t="n">
        <f aca="false">DEC!T50</f>
        <v>0</v>
      </c>
      <c r="U10" s="114" t="n">
        <f aca="false">DEC!U50</f>
        <v>0</v>
      </c>
      <c r="V10" s="114" t="n">
        <f aca="false">DEC!V50</f>
        <v>880.88</v>
      </c>
      <c r="W10" s="114" t="n">
        <f aca="false">DEC!W50</f>
        <v>1529.12</v>
      </c>
      <c r="X10" s="114" t="n">
        <f aca="false">DEC!X50</f>
        <v>1320.78</v>
      </c>
      <c r="Y10" s="114" t="n">
        <f aca="false">DEC!Y50</f>
        <v>487.028106881775</v>
      </c>
      <c r="Z10" s="114" t="n">
        <f aca="false">DEC!Z50</f>
        <v>1807.80810688177</v>
      </c>
      <c r="AA10" s="163" t="n">
        <f aca="false">DEC!AA50</f>
        <v>2.05</v>
      </c>
      <c r="AB10" s="119"/>
      <c r="AC10" s="169"/>
      <c r="AD10" s="120"/>
      <c r="AE10" s="215"/>
      <c r="AF10" s="212"/>
    </row>
    <row r="11" customFormat="false" ht="3" hidden="false" customHeight="true" outlineLevel="0" collapsed="false">
      <c r="A11" s="171"/>
      <c r="B11" s="172"/>
      <c r="C11" s="173"/>
      <c r="D11" s="171"/>
      <c r="E11" s="173"/>
      <c r="F11" s="174"/>
      <c r="G11" s="171"/>
      <c r="H11" s="194"/>
      <c r="I11" s="171"/>
      <c r="J11" s="171"/>
      <c r="K11" s="171"/>
      <c r="L11" s="171"/>
      <c r="M11" s="216"/>
      <c r="N11" s="171"/>
      <c r="O11" s="171"/>
      <c r="P11" s="177"/>
      <c r="Q11" s="171"/>
      <c r="R11" s="171"/>
      <c r="S11" s="171"/>
      <c r="T11" s="173"/>
      <c r="U11" s="171"/>
      <c r="V11" s="171"/>
      <c r="W11" s="173"/>
      <c r="X11" s="171"/>
      <c r="Y11" s="171"/>
      <c r="Z11" s="171"/>
      <c r="AA11" s="178"/>
      <c r="AB11" s="179"/>
      <c r="AC11" s="180"/>
      <c r="AD11" s="181"/>
      <c r="AE11" s="181"/>
      <c r="AF11" s="181"/>
    </row>
    <row r="12" customFormat="false" ht="11.1" hidden="false" customHeight="true" outlineLevel="0" collapsed="false">
      <c r="A12" s="120" t="n">
        <v>1</v>
      </c>
      <c r="B12" s="170" t="n">
        <v>6858.41</v>
      </c>
      <c r="C12" s="114" t="n">
        <v>159481</v>
      </c>
      <c r="D12" s="119" t="n">
        <f aca="false">C12-C10</f>
        <v>22</v>
      </c>
      <c r="E12" s="114" t="n">
        <f aca="false">C12-152000</f>
        <v>7481</v>
      </c>
      <c r="F12" s="182" t="n">
        <f aca="false">D12/$D$2</f>
        <v>11.0915049155533</v>
      </c>
      <c r="G12" s="183" t="n">
        <v>22</v>
      </c>
      <c r="H12" s="217" t="n">
        <v>0</v>
      </c>
      <c r="I12" s="113" t="n">
        <f aca="false">G12+H12</f>
        <v>22</v>
      </c>
      <c r="J12" s="185" t="n">
        <f aca="false">IF(L12&gt;0,L12,0)</f>
        <v>7.59150491555332</v>
      </c>
      <c r="K12" s="113" t="n">
        <f aca="false">I12+J12</f>
        <v>29.5915049155533</v>
      </c>
      <c r="L12" s="113" t="n">
        <f aca="false">F12-(I12-X12)</f>
        <v>7.59150491555332</v>
      </c>
      <c r="M12" s="218" t="n">
        <v>4.5</v>
      </c>
      <c r="N12" s="113" t="n">
        <v>0</v>
      </c>
      <c r="O12" s="113" t="n">
        <v>0</v>
      </c>
      <c r="P12" s="92" t="n">
        <f aca="false">M12-(N12+O12)</f>
        <v>4.5</v>
      </c>
      <c r="Q12" s="183" t="n">
        <v>0</v>
      </c>
      <c r="R12" s="183" t="n">
        <v>0</v>
      </c>
      <c r="S12" s="113" t="n">
        <f aca="false">SUM(P12:R12)</f>
        <v>4.5</v>
      </c>
      <c r="T12" s="114"/>
      <c r="U12" s="183" t="n">
        <v>0</v>
      </c>
      <c r="V12" s="183" t="n">
        <v>14</v>
      </c>
      <c r="W12" s="114" t="n">
        <f aca="false">W10-V12</f>
        <v>1515.12</v>
      </c>
      <c r="X12" s="6" t="n">
        <f aca="false">N12+O12+S12+U12+V12</f>
        <v>18.5</v>
      </c>
      <c r="Y12" s="113" t="n">
        <f aca="false">IF(L12&lt;0,L12*-1,0)</f>
        <v>0</v>
      </c>
      <c r="Z12" s="113" t="n">
        <f aca="false">X12+Y12</f>
        <v>18.5</v>
      </c>
      <c r="AA12" s="163" t="n">
        <v>0</v>
      </c>
      <c r="AB12" s="119" t="n">
        <v>37</v>
      </c>
      <c r="AC12" s="169" t="n">
        <v>16</v>
      </c>
      <c r="AD12" s="120"/>
      <c r="AE12" s="214"/>
      <c r="AF12" s="215"/>
    </row>
    <row r="13" customFormat="false" ht="11.1" hidden="false" customHeight="true" outlineLevel="0" collapsed="false">
      <c r="A13" s="120" t="n">
        <f aca="false">A12+1</f>
        <v>2</v>
      </c>
      <c r="B13" s="170" t="n">
        <v>6858.42</v>
      </c>
      <c r="C13" s="114" t="n">
        <v>159504</v>
      </c>
      <c r="D13" s="119" t="n">
        <f aca="false">C13-C12</f>
        <v>23</v>
      </c>
      <c r="E13" s="114" t="n">
        <f aca="false">C13-152000</f>
        <v>7504</v>
      </c>
      <c r="F13" s="182" t="n">
        <f aca="false">D13/$D$2</f>
        <v>11.5956642298966</v>
      </c>
      <c r="G13" s="183" t="n">
        <v>24</v>
      </c>
      <c r="H13" s="217" t="n">
        <v>0</v>
      </c>
      <c r="I13" s="113" t="n">
        <f aca="false">G13+H13</f>
        <v>24</v>
      </c>
      <c r="J13" s="185" t="n">
        <f aca="false">IF(L13&gt;0,L13,0)</f>
        <v>6.79566422989665</v>
      </c>
      <c r="K13" s="113" t="n">
        <f aca="false">I13+J13</f>
        <v>30.7956642298966</v>
      </c>
      <c r="L13" s="113" t="n">
        <f aca="false">F13-(I13-X13)</f>
        <v>6.79566422989665</v>
      </c>
      <c r="M13" s="218" t="n">
        <v>5.2</v>
      </c>
      <c r="N13" s="113" t="n">
        <v>0</v>
      </c>
      <c r="O13" s="113" t="n">
        <v>0</v>
      </c>
      <c r="P13" s="92" t="n">
        <f aca="false">M13-(N13+O13)</f>
        <v>5.2</v>
      </c>
      <c r="Q13" s="183" t="n">
        <v>0</v>
      </c>
      <c r="R13" s="183" t="n">
        <v>0</v>
      </c>
      <c r="S13" s="113" t="n">
        <f aca="false">SUM(P13:R13)</f>
        <v>5.2</v>
      </c>
      <c r="T13" s="114"/>
      <c r="U13" s="183" t="n">
        <v>0</v>
      </c>
      <c r="V13" s="183" t="n">
        <v>14</v>
      </c>
      <c r="W13" s="114" t="n">
        <f aca="false">W12-V13</f>
        <v>1501.12</v>
      </c>
      <c r="X13" s="6" t="n">
        <f aca="false">N13+O13+S13+U13+V13</f>
        <v>19.2</v>
      </c>
      <c r="Y13" s="113" t="n">
        <f aca="false">IF(L13&lt;0,L13*-1,0)</f>
        <v>0</v>
      </c>
      <c r="Z13" s="113" t="n">
        <f aca="false">X13+Y13</f>
        <v>19.2</v>
      </c>
      <c r="AA13" s="163" t="n">
        <v>0</v>
      </c>
      <c r="AB13" s="119" t="n">
        <v>46</v>
      </c>
      <c r="AC13" s="169" t="n">
        <v>10</v>
      </c>
      <c r="AD13" s="120"/>
      <c r="AE13" s="214"/>
      <c r="AF13" s="215"/>
    </row>
    <row r="14" customFormat="false" ht="11.1" hidden="false" customHeight="true" outlineLevel="0" collapsed="false">
      <c r="A14" s="120" t="n">
        <f aca="false">A13+1</f>
        <v>3</v>
      </c>
      <c r="B14" s="170" t="n">
        <v>6858.43</v>
      </c>
      <c r="C14" s="114" t="n">
        <v>159526</v>
      </c>
      <c r="D14" s="119" t="n">
        <f aca="false">C14-C13</f>
        <v>22</v>
      </c>
      <c r="E14" s="114" t="n">
        <f aca="false">C14-152000</f>
        <v>7526</v>
      </c>
      <c r="F14" s="182" t="n">
        <f aca="false">D14/$D$2</f>
        <v>11.0915049155533</v>
      </c>
      <c r="G14" s="183" t="n">
        <v>34</v>
      </c>
      <c r="H14" s="217" t="n">
        <v>0</v>
      </c>
      <c r="I14" s="113" t="n">
        <f aca="false">G14+H14</f>
        <v>34</v>
      </c>
      <c r="J14" s="185" t="n">
        <f aca="false">IF(L14&gt;0,L14,0)</f>
        <v>0</v>
      </c>
      <c r="K14" s="113" t="n">
        <f aca="false">I14+J14</f>
        <v>34</v>
      </c>
      <c r="L14" s="113" t="n">
        <f aca="false">F14-(I14-X14)</f>
        <v>-3.90849508444668</v>
      </c>
      <c r="M14" s="218" t="n">
        <v>5</v>
      </c>
      <c r="N14" s="113" t="n">
        <v>0</v>
      </c>
      <c r="O14" s="113" t="n">
        <v>0</v>
      </c>
      <c r="P14" s="92" t="n">
        <f aca="false">M14-(N14+O14)</f>
        <v>5</v>
      </c>
      <c r="Q14" s="183" t="n">
        <v>0</v>
      </c>
      <c r="R14" s="183" t="n">
        <v>0</v>
      </c>
      <c r="S14" s="113" t="n">
        <f aca="false">SUM(P14:R14)</f>
        <v>5</v>
      </c>
      <c r="T14" s="114"/>
      <c r="U14" s="183" t="n">
        <v>0</v>
      </c>
      <c r="V14" s="183" t="n">
        <v>14</v>
      </c>
      <c r="W14" s="114" t="n">
        <f aca="false">W13-V14</f>
        <v>1487.12</v>
      </c>
      <c r="X14" s="6" t="n">
        <f aca="false">N14+O14+S14+U14+V14</f>
        <v>19</v>
      </c>
      <c r="Y14" s="113" t="n">
        <f aca="false">IF(L14&lt;0,L14*-1,0)</f>
        <v>3.90849508444668</v>
      </c>
      <c r="Z14" s="113" t="n">
        <f aca="false">X14+Y14</f>
        <v>22.9084950844467</v>
      </c>
      <c r="AA14" s="163" t="n">
        <v>0</v>
      </c>
      <c r="AB14" s="119" t="n">
        <v>46</v>
      </c>
      <c r="AC14" s="169" t="n">
        <v>16</v>
      </c>
      <c r="AD14" s="120"/>
      <c r="AE14" s="214"/>
      <c r="AF14" s="215"/>
    </row>
    <row r="15" customFormat="false" ht="11.1" hidden="false" customHeight="true" outlineLevel="0" collapsed="false">
      <c r="A15" s="120" t="n">
        <f aca="false">A14+1</f>
        <v>4</v>
      </c>
      <c r="B15" s="170" t="n">
        <v>6858.44</v>
      </c>
      <c r="C15" s="114" t="n">
        <v>159548</v>
      </c>
      <c r="D15" s="119" t="n">
        <f aca="false">C15-C14</f>
        <v>22</v>
      </c>
      <c r="E15" s="114" t="n">
        <f aca="false">C15-152000</f>
        <v>7548</v>
      </c>
      <c r="F15" s="182" t="n">
        <f aca="false">D15/$D$2</f>
        <v>11.0915049155533</v>
      </c>
      <c r="G15" s="183" t="n">
        <v>38</v>
      </c>
      <c r="H15" s="217" t="n">
        <v>0</v>
      </c>
      <c r="I15" s="113" t="n">
        <f aca="false">G15+H15</f>
        <v>38</v>
      </c>
      <c r="J15" s="185" t="n">
        <f aca="false">IF(L15&gt;0,L15,0)</f>
        <v>0</v>
      </c>
      <c r="K15" s="113" t="n">
        <f aca="false">I15+J15</f>
        <v>38</v>
      </c>
      <c r="L15" s="113" t="n">
        <f aca="false">F15-(I15-X15)</f>
        <v>-7.40849508444668</v>
      </c>
      <c r="M15" s="218" t="n">
        <v>5.5</v>
      </c>
      <c r="N15" s="113" t="n">
        <v>0</v>
      </c>
      <c r="O15" s="113" t="n">
        <v>0</v>
      </c>
      <c r="P15" s="92" t="n">
        <f aca="false">M15-(N15+O15)</f>
        <v>5.5</v>
      </c>
      <c r="Q15" s="183" t="n">
        <v>0</v>
      </c>
      <c r="R15" s="183" t="n">
        <v>0</v>
      </c>
      <c r="S15" s="113" t="n">
        <f aca="false">SUM(P15:R15)</f>
        <v>5.5</v>
      </c>
      <c r="T15" s="114"/>
      <c r="U15" s="183" t="n">
        <v>0</v>
      </c>
      <c r="V15" s="183" t="n">
        <v>14</v>
      </c>
      <c r="W15" s="114" t="n">
        <f aca="false">W14-V15</f>
        <v>1473.12</v>
      </c>
      <c r="X15" s="6" t="n">
        <f aca="false">N15+O15+S15+U15+V15</f>
        <v>19.5</v>
      </c>
      <c r="Y15" s="113" t="n">
        <f aca="false">IF(L15&lt;0,L15*-1,0)</f>
        <v>7.40849508444668</v>
      </c>
      <c r="Z15" s="113" t="n">
        <f aca="false">X15+Y15</f>
        <v>26.9084950844467</v>
      </c>
      <c r="AA15" s="163" t="n">
        <v>0</v>
      </c>
      <c r="AB15" s="119" t="n">
        <v>47</v>
      </c>
      <c r="AC15" s="169" t="n">
        <v>21</v>
      </c>
      <c r="AD15" s="120"/>
      <c r="AE15" s="214"/>
      <c r="AF15" s="215"/>
    </row>
    <row r="16" customFormat="false" ht="11.1" hidden="false" customHeight="true" outlineLevel="0" collapsed="false">
      <c r="A16" s="120" t="n">
        <f aca="false">A15+1</f>
        <v>5</v>
      </c>
      <c r="B16" s="170" t="n">
        <v>6858.45</v>
      </c>
      <c r="C16" s="114" t="n">
        <v>159571</v>
      </c>
      <c r="D16" s="119" t="n">
        <f aca="false">C16-C15</f>
        <v>23</v>
      </c>
      <c r="E16" s="114" t="n">
        <f aca="false">C16-152000</f>
        <v>7571</v>
      </c>
      <c r="F16" s="182" t="n">
        <f aca="false">D16/$D$2</f>
        <v>11.5956642298966</v>
      </c>
      <c r="G16" s="183" t="n">
        <v>25</v>
      </c>
      <c r="H16" s="217" t="n">
        <v>0</v>
      </c>
      <c r="I16" s="113" t="n">
        <f aca="false">G16+H16</f>
        <v>25</v>
      </c>
      <c r="J16" s="185" t="n">
        <f aca="false">IF(L16&gt;0,L16,0)</f>
        <v>4.49566422989665</v>
      </c>
      <c r="K16" s="113" t="n">
        <f aca="false">I16+J16</f>
        <v>29.4956642298966</v>
      </c>
      <c r="L16" s="113" t="n">
        <f aca="false">F16-(I16-X16)</f>
        <v>4.49566422989665</v>
      </c>
      <c r="M16" s="218" t="n">
        <v>3.9</v>
      </c>
      <c r="N16" s="113" t="n">
        <v>0</v>
      </c>
      <c r="O16" s="113" t="n">
        <v>0</v>
      </c>
      <c r="P16" s="92" t="n">
        <f aca="false">M16-(N16+O16)</f>
        <v>3.9</v>
      </c>
      <c r="Q16" s="183" t="n">
        <v>0</v>
      </c>
      <c r="R16" s="183" t="n">
        <v>0</v>
      </c>
      <c r="S16" s="113" t="n">
        <f aca="false">SUM(P16:R16)</f>
        <v>3.9</v>
      </c>
      <c r="T16" s="114"/>
      <c r="U16" s="183" t="n">
        <v>0</v>
      </c>
      <c r="V16" s="183" t="n">
        <v>14</v>
      </c>
      <c r="W16" s="114" t="n">
        <f aca="false">W15-V16</f>
        <v>1459.12</v>
      </c>
      <c r="X16" s="6" t="n">
        <f aca="false">N16+O16+S16+U16+V16</f>
        <v>17.9</v>
      </c>
      <c r="Y16" s="113" t="n">
        <f aca="false">IF(L16&lt;0,L16*-1,0)</f>
        <v>0</v>
      </c>
      <c r="Z16" s="113" t="n">
        <f aca="false">X16+Y16</f>
        <v>17.9</v>
      </c>
      <c r="AA16" s="163" t="n">
        <v>0</v>
      </c>
      <c r="AB16" s="119" t="n">
        <v>44</v>
      </c>
      <c r="AC16" s="169" t="n">
        <v>22</v>
      </c>
      <c r="AD16" s="120"/>
      <c r="AE16" s="214"/>
      <c r="AF16" s="215"/>
    </row>
    <row r="17" customFormat="false" ht="11.1" hidden="false" customHeight="true" outlineLevel="0" collapsed="false">
      <c r="A17" s="120" t="n">
        <f aca="false">A16+1</f>
        <v>6</v>
      </c>
      <c r="B17" s="170" t="n">
        <v>6858.47</v>
      </c>
      <c r="C17" s="114" t="n">
        <v>159616</v>
      </c>
      <c r="D17" s="119" t="n">
        <f aca="false">C17-C16</f>
        <v>45</v>
      </c>
      <c r="E17" s="114" t="n">
        <f aca="false">C17-152000</f>
        <v>7616</v>
      </c>
      <c r="F17" s="182" t="n">
        <f aca="false">D17/$D$2</f>
        <v>22.68716914545</v>
      </c>
      <c r="G17" s="183" t="n">
        <v>27</v>
      </c>
      <c r="H17" s="217" t="n">
        <v>0</v>
      </c>
      <c r="I17" s="113" t="n">
        <f aca="false">G17+H17</f>
        <v>27</v>
      </c>
      <c r="J17" s="185" t="n">
        <f aca="false">IF(L17&gt;0,L17,0)</f>
        <v>13.38716914545</v>
      </c>
      <c r="K17" s="113" t="n">
        <f aca="false">I17+J17</f>
        <v>40.38716914545</v>
      </c>
      <c r="L17" s="113" t="n">
        <f aca="false">F17-(I17-X17)</f>
        <v>13.38716914545</v>
      </c>
      <c r="M17" s="218" t="n">
        <v>3.7</v>
      </c>
      <c r="N17" s="113" t="n">
        <v>0</v>
      </c>
      <c r="O17" s="113" t="n">
        <v>0</v>
      </c>
      <c r="P17" s="92" t="n">
        <f aca="false">M17-(N17+O17)</f>
        <v>3.7</v>
      </c>
      <c r="Q17" s="183" t="n">
        <v>0</v>
      </c>
      <c r="R17" s="183" t="n">
        <v>0</v>
      </c>
      <c r="S17" s="113" t="n">
        <f aca="false">SUM(P17:R17)</f>
        <v>3.7</v>
      </c>
      <c r="T17" s="114"/>
      <c r="U17" s="183" t="n">
        <v>0</v>
      </c>
      <c r="V17" s="183" t="n">
        <v>14</v>
      </c>
      <c r="W17" s="114" t="n">
        <f aca="false">W16-V17</f>
        <v>1445.12</v>
      </c>
      <c r="X17" s="6" t="n">
        <f aca="false">N17+O17+S17+U17+V17</f>
        <v>17.7</v>
      </c>
      <c r="Y17" s="113" t="n">
        <f aca="false">IF(L17&lt;0,L17*-1,0)</f>
        <v>0</v>
      </c>
      <c r="Z17" s="113" t="n">
        <f aca="false">X17+Y17</f>
        <v>17.7</v>
      </c>
      <c r="AA17" s="163" t="n">
        <v>0</v>
      </c>
      <c r="AB17" s="119" t="n">
        <v>46</v>
      </c>
      <c r="AC17" s="169" t="n">
        <v>29</v>
      </c>
      <c r="AD17" s="120"/>
      <c r="AE17" s="212"/>
      <c r="AF17" s="215"/>
    </row>
    <row r="18" customFormat="false" ht="11.1" hidden="false" customHeight="true" outlineLevel="0" collapsed="false">
      <c r="A18" s="120" t="n">
        <f aca="false">A17+1</f>
        <v>7</v>
      </c>
      <c r="B18" s="170" t="n">
        <v>6858.49</v>
      </c>
      <c r="C18" s="114" t="n">
        <v>159660</v>
      </c>
      <c r="D18" s="119" t="n">
        <f aca="false">C18-C17</f>
        <v>44</v>
      </c>
      <c r="E18" s="114" t="n">
        <f aca="false">C18-152000</f>
        <v>7660</v>
      </c>
      <c r="F18" s="182" t="n">
        <f aca="false">D18/$D$2</f>
        <v>22.1830098311066</v>
      </c>
      <c r="G18" s="183" t="n">
        <v>37</v>
      </c>
      <c r="H18" s="217" t="n">
        <v>0</v>
      </c>
      <c r="I18" s="113" t="n">
        <f aca="false">G18+H18</f>
        <v>37</v>
      </c>
      <c r="J18" s="185" t="n">
        <f aca="false">IF(L18&gt;0,L18,0)</f>
        <v>2.88300983110663</v>
      </c>
      <c r="K18" s="113" t="n">
        <f aca="false">I18+J18</f>
        <v>39.8830098311066</v>
      </c>
      <c r="L18" s="113" t="n">
        <f aca="false">F18-(I18-X18)</f>
        <v>2.88300983110663</v>
      </c>
      <c r="M18" s="218" t="n">
        <v>3.7</v>
      </c>
      <c r="N18" s="113" t="n">
        <v>0</v>
      </c>
      <c r="O18" s="113" t="n">
        <v>0</v>
      </c>
      <c r="P18" s="92" t="n">
        <f aca="false">M18-(N18+O18)</f>
        <v>3.7</v>
      </c>
      <c r="Q18" s="183" t="n">
        <v>0</v>
      </c>
      <c r="R18" s="183" t="n">
        <v>0</v>
      </c>
      <c r="S18" s="113" t="n">
        <f aca="false">SUM(P18:R18)</f>
        <v>3.7</v>
      </c>
      <c r="T18" s="114"/>
      <c r="U18" s="183" t="n">
        <v>0</v>
      </c>
      <c r="V18" s="183" t="n">
        <v>14</v>
      </c>
      <c r="W18" s="114" t="n">
        <f aca="false">W17-V18</f>
        <v>1431.12</v>
      </c>
      <c r="X18" s="6" t="n">
        <f aca="false">N18+O18+S18+U18+V18</f>
        <v>17.7</v>
      </c>
      <c r="Y18" s="113" t="n">
        <f aca="false">IF(L18&lt;0,L18*-1,0)</f>
        <v>0</v>
      </c>
      <c r="Z18" s="113" t="n">
        <f aca="false">X18+Y18</f>
        <v>17.7</v>
      </c>
      <c r="AA18" s="163" t="n">
        <v>0</v>
      </c>
      <c r="AB18" s="119" t="n">
        <v>50</v>
      </c>
      <c r="AC18" s="169" t="n">
        <v>21</v>
      </c>
      <c r="AD18" s="120"/>
      <c r="AE18" s="212"/>
      <c r="AF18" s="215"/>
    </row>
    <row r="19" customFormat="false" ht="11.1" hidden="false" customHeight="true" outlineLevel="0" collapsed="false">
      <c r="A19" s="120" t="n">
        <f aca="false">A18+1</f>
        <v>8</v>
      </c>
      <c r="B19" s="170" t="n">
        <v>6858.51</v>
      </c>
      <c r="C19" s="114" t="n">
        <v>159705</v>
      </c>
      <c r="D19" s="119" t="n">
        <f aca="false">C19-C18</f>
        <v>45</v>
      </c>
      <c r="E19" s="114" t="n">
        <f aca="false">C19-152000</f>
        <v>7705</v>
      </c>
      <c r="F19" s="182" t="n">
        <f aca="false">D19/$D$2</f>
        <v>22.68716914545</v>
      </c>
      <c r="G19" s="183" t="n">
        <v>35</v>
      </c>
      <c r="H19" s="217" t="n">
        <v>0</v>
      </c>
      <c r="I19" s="113" t="n">
        <f aca="false">G19+H19</f>
        <v>35</v>
      </c>
      <c r="J19" s="185" t="n">
        <f aca="false">IF(L19&gt;0,L19,0)</f>
        <v>5.38716914544996</v>
      </c>
      <c r="K19" s="113" t="n">
        <f aca="false">I19+J19</f>
        <v>40.38716914545</v>
      </c>
      <c r="L19" s="113" t="n">
        <f aca="false">F19-(I19-X19)</f>
        <v>5.38716914544996</v>
      </c>
      <c r="M19" s="218" t="n">
        <v>3.7</v>
      </c>
      <c r="N19" s="113" t="n">
        <v>0</v>
      </c>
      <c r="O19" s="113" t="n">
        <v>0</v>
      </c>
      <c r="P19" s="92" t="n">
        <f aca="false">M19-(N19+O19)</f>
        <v>3.7</v>
      </c>
      <c r="Q19" s="183" t="n">
        <v>0</v>
      </c>
      <c r="R19" s="183" t="n">
        <v>0</v>
      </c>
      <c r="S19" s="113" t="n">
        <f aca="false">SUM(P19:R19)</f>
        <v>3.7</v>
      </c>
      <c r="T19" s="114"/>
      <c r="U19" s="183" t="n">
        <v>0</v>
      </c>
      <c r="V19" s="183" t="n">
        <v>14</v>
      </c>
      <c r="W19" s="114" t="n">
        <f aca="false">W18-V19</f>
        <v>1417.12</v>
      </c>
      <c r="X19" s="6" t="n">
        <f aca="false">N19+O19+S19+U19+V19</f>
        <v>17.7</v>
      </c>
      <c r="Y19" s="113" t="n">
        <f aca="false">IF(L19&lt;0,L19*-1,0)</f>
        <v>0</v>
      </c>
      <c r="Z19" s="113" t="n">
        <f aca="false">X19+Y19</f>
        <v>17.7</v>
      </c>
      <c r="AA19" s="163" t="n">
        <v>0</v>
      </c>
      <c r="AB19" s="119" t="n">
        <v>52</v>
      </c>
      <c r="AC19" s="169" t="n">
        <v>20</v>
      </c>
      <c r="AD19" s="120"/>
      <c r="AE19" s="212"/>
      <c r="AF19" s="215"/>
    </row>
    <row r="20" customFormat="false" ht="11.1" hidden="false" customHeight="true" outlineLevel="0" collapsed="false">
      <c r="A20" s="120" t="n">
        <f aca="false">A19+1</f>
        <v>9</v>
      </c>
      <c r="B20" s="170" t="n">
        <v>6858.54</v>
      </c>
      <c r="C20" s="114" t="n">
        <v>159772</v>
      </c>
      <c r="D20" s="119" t="n">
        <f aca="false">C20-C19</f>
        <v>67</v>
      </c>
      <c r="E20" s="114" t="n">
        <f aca="false">C20-152000</f>
        <v>7772</v>
      </c>
      <c r="F20" s="182" t="n">
        <f aca="false">D20/$D$2</f>
        <v>33.7786740610033</v>
      </c>
      <c r="G20" s="183" t="n">
        <v>40</v>
      </c>
      <c r="H20" s="217" t="n">
        <v>0</v>
      </c>
      <c r="I20" s="113" t="n">
        <f aca="false">G20+H20</f>
        <v>40</v>
      </c>
      <c r="J20" s="185" t="n">
        <f aca="false">IF(L20&gt;0,L20,0)</f>
        <v>12.4786740610033</v>
      </c>
      <c r="K20" s="113" t="n">
        <f aca="false">I20+J20</f>
        <v>52.4786740610033</v>
      </c>
      <c r="L20" s="113" t="n">
        <f aca="false">F20-(I20-X20)</f>
        <v>12.4786740610033</v>
      </c>
      <c r="M20" s="218" t="n">
        <v>3.7</v>
      </c>
      <c r="N20" s="113" t="n">
        <v>0</v>
      </c>
      <c r="O20" s="113" t="n">
        <v>0</v>
      </c>
      <c r="P20" s="92" t="n">
        <f aca="false">M20-(N20+O20)</f>
        <v>3.7</v>
      </c>
      <c r="Q20" s="183" t="n">
        <v>0</v>
      </c>
      <c r="R20" s="183" t="n">
        <v>0</v>
      </c>
      <c r="S20" s="113" t="n">
        <f aca="false">SUM(P20:R20)</f>
        <v>3.7</v>
      </c>
      <c r="T20" s="114"/>
      <c r="U20" s="183" t="n">
        <v>0</v>
      </c>
      <c r="V20" s="183" t="n">
        <v>15</v>
      </c>
      <c r="W20" s="114" t="n">
        <f aca="false">W19-V20</f>
        <v>1402.12</v>
      </c>
      <c r="X20" s="6" t="n">
        <f aca="false">N20+O20+S20+U20+V20</f>
        <v>18.7</v>
      </c>
      <c r="Y20" s="113" t="n">
        <f aca="false">IF(L20&lt;0,L20*-1,0)</f>
        <v>0</v>
      </c>
      <c r="Z20" s="113" t="n">
        <f aca="false">X20+Y20</f>
        <v>18.7</v>
      </c>
      <c r="AA20" s="163" t="n">
        <v>0.04</v>
      </c>
      <c r="AB20" s="187" t="n">
        <v>38</v>
      </c>
      <c r="AC20" s="169" t="n">
        <v>27</v>
      </c>
      <c r="AD20" s="120"/>
      <c r="AE20" s="212"/>
      <c r="AF20" s="215"/>
    </row>
    <row r="21" customFormat="false" ht="11.1" hidden="false" customHeight="true" outlineLevel="0" collapsed="false">
      <c r="A21" s="120" t="n">
        <f aca="false">A20+1</f>
        <v>10</v>
      </c>
      <c r="B21" s="170" t="n">
        <v>6858.56</v>
      </c>
      <c r="C21" s="114" t="n">
        <v>159817</v>
      </c>
      <c r="D21" s="119" t="n">
        <f aca="false">C21-C20</f>
        <v>45</v>
      </c>
      <c r="E21" s="114" t="n">
        <f aca="false">C21-152000</f>
        <v>7817</v>
      </c>
      <c r="F21" s="182" t="n">
        <f aca="false">D21/$D$2</f>
        <v>22.68716914545</v>
      </c>
      <c r="G21" s="183" t="n">
        <v>44</v>
      </c>
      <c r="H21" s="217" t="n">
        <v>0</v>
      </c>
      <c r="I21" s="113" t="n">
        <f aca="false">G21+H21</f>
        <v>44</v>
      </c>
      <c r="J21" s="185" t="n">
        <f aca="false">IF(L21&gt;0,L21,0)</f>
        <v>0</v>
      </c>
      <c r="K21" s="113" t="n">
        <f aca="false">I21+J21</f>
        <v>44</v>
      </c>
      <c r="L21" s="113" t="n">
        <f aca="false">F21-(I21-X21)</f>
        <v>-3.61283085455004</v>
      </c>
      <c r="M21" s="218" t="n">
        <v>3.7</v>
      </c>
      <c r="N21" s="113" t="n">
        <v>0</v>
      </c>
      <c r="O21" s="113" t="n">
        <v>0</v>
      </c>
      <c r="P21" s="92" t="n">
        <f aca="false">M21-(N21+O21)</f>
        <v>3.7</v>
      </c>
      <c r="Q21" s="183" t="n">
        <v>0</v>
      </c>
      <c r="R21" s="183" t="n">
        <v>0</v>
      </c>
      <c r="S21" s="113" t="n">
        <f aca="false">SUM(P21:R21)</f>
        <v>3.7</v>
      </c>
      <c r="T21" s="114"/>
      <c r="U21" s="183" t="n">
        <v>0</v>
      </c>
      <c r="V21" s="183" t="n">
        <v>14</v>
      </c>
      <c r="W21" s="114" t="n">
        <f aca="false">W20-V21</f>
        <v>1388.12</v>
      </c>
      <c r="X21" s="6" t="n">
        <f aca="false">N21+O21+S21+U21+V21</f>
        <v>17.7</v>
      </c>
      <c r="Y21" s="113" t="n">
        <f aca="false">IF(L21&lt;0,L21*-1,0)</f>
        <v>3.61283085455004</v>
      </c>
      <c r="Z21" s="113" t="n">
        <f aca="false">X21+Y21</f>
        <v>21.31283085455</v>
      </c>
      <c r="AA21" s="163" t="n">
        <v>0</v>
      </c>
      <c r="AB21" s="119" t="n">
        <v>41</v>
      </c>
      <c r="AC21" s="169" t="n">
        <v>31</v>
      </c>
      <c r="AD21" s="120"/>
      <c r="AE21" s="212"/>
      <c r="AF21" s="215"/>
    </row>
    <row r="22" customFormat="false" ht="11.1" hidden="false" customHeight="true" outlineLevel="0" collapsed="false">
      <c r="A22" s="120" t="n">
        <f aca="false">A21+1</f>
        <v>11</v>
      </c>
      <c r="B22" s="170" t="n">
        <v>6858.62</v>
      </c>
      <c r="C22" s="114" t="n">
        <v>159952</v>
      </c>
      <c r="D22" s="119" t="n">
        <f aca="false">C22-C21</f>
        <v>135</v>
      </c>
      <c r="E22" s="114" t="n">
        <f aca="false">C22-152000</f>
        <v>7952</v>
      </c>
      <c r="F22" s="182" t="n">
        <f aca="false">D22/$D$2</f>
        <v>68.0615074363499</v>
      </c>
      <c r="G22" s="183" t="n">
        <v>27</v>
      </c>
      <c r="H22" s="217" t="n">
        <v>0</v>
      </c>
      <c r="I22" s="113" t="n">
        <f aca="false">G22+H22</f>
        <v>27</v>
      </c>
      <c r="J22" s="185" t="n">
        <f aca="false">IF(L22&gt;0,L22,0)</f>
        <v>58.7615074363499</v>
      </c>
      <c r="K22" s="113" t="n">
        <f aca="false">I22+J22</f>
        <v>85.7615074363499</v>
      </c>
      <c r="L22" s="113" t="n">
        <f aca="false">F22-(I22-X22)</f>
        <v>58.7615074363499</v>
      </c>
      <c r="M22" s="218" t="n">
        <v>3.7</v>
      </c>
      <c r="N22" s="113" t="n">
        <v>0</v>
      </c>
      <c r="O22" s="113" t="n">
        <v>0</v>
      </c>
      <c r="P22" s="92" t="n">
        <f aca="false">M22-(N22+O22)</f>
        <v>3.7</v>
      </c>
      <c r="Q22" s="183" t="n">
        <v>0</v>
      </c>
      <c r="R22" s="183" t="n">
        <v>0</v>
      </c>
      <c r="S22" s="113" t="n">
        <f aca="false">SUM(P22:R22)</f>
        <v>3.7</v>
      </c>
      <c r="T22" s="114"/>
      <c r="U22" s="183" t="n">
        <v>0</v>
      </c>
      <c r="V22" s="183" t="n">
        <v>14</v>
      </c>
      <c r="W22" s="114" t="n">
        <f aca="false">W21-V22</f>
        <v>1374.12</v>
      </c>
      <c r="X22" s="6" t="n">
        <f aca="false">N22+O22+S22+U22+V22</f>
        <v>17.7</v>
      </c>
      <c r="Y22" s="113" t="n">
        <f aca="false">IF(L22&lt;0,L22*-1,0)</f>
        <v>0</v>
      </c>
      <c r="Z22" s="113" t="n">
        <f aca="false">X22+Y22</f>
        <v>17.7</v>
      </c>
      <c r="AA22" s="163" t="n">
        <v>0.18</v>
      </c>
      <c r="AB22" s="119" t="n">
        <v>38</v>
      </c>
      <c r="AC22" s="169" t="n">
        <v>18</v>
      </c>
      <c r="AD22" s="120"/>
      <c r="AE22" s="212"/>
      <c r="AF22" s="215"/>
    </row>
    <row r="23" customFormat="false" ht="11.1" hidden="false" customHeight="true" outlineLevel="0" collapsed="false">
      <c r="A23" s="120" t="n">
        <f aca="false">A22+1</f>
        <v>12</v>
      </c>
      <c r="B23" s="170" t="n">
        <v>6858.64</v>
      </c>
      <c r="C23" s="114" t="n">
        <v>159995</v>
      </c>
      <c r="D23" s="119" t="n">
        <f aca="false">C23-C22</f>
        <v>43</v>
      </c>
      <c r="E23" s="114" t="n">
        <f aca="false">C23-152000</f>
        <v>7995</v>
      </c>
      <c r="F23" s="182" t="n">
        <f aca="false">D23/$D$2</f>
        <v>21.6788505167633</v>
      </c>
      <c r="G23" s="183" t="n">
        <v>16</v>
      </c>
      <c r="H23" s="217" t="n">
        <v>0</v>
      </c>
      <c r="I23" s="113" t="n">
        <f aca="false">G23+H23</f>
        <v>16</v>
      </c>
      <c r="J23" s="185" t="n">
        <f aca="false">IF(L23&gt;0,L23,0)</f>
        <v>23.3788505167633</v>
      </c>
      <c r="K23" s="113" t="n">
        <f aca="false">I23+J23</f>
        <v>39.3788505167633</v>
      </c>
      <c r="L23" s="113" t="n">
        <f aca="false">F23-(I23-X23)</f>
        <v>23.3788505167633</v>
      </c>
      <c r="M23" s="218" t="n">
        <v>3.7</v>
      </c>
      <c r="N23" s="113" t="n">
        <v>0</v>
      </c>
      <c r="O23" s="113" t="n">
        <v>0</v>
      </c>
      <c r="P23" s="92" t="n">
        <f aca="false">M23-(N23+O23)</f>
        <v>3.7</v>
      </c>
      <c r="Q23" s="183" t="n">
        <v>0</v>
      </c>
      <c r="R23" s="183" t="n">
        <v>0</v>
      </c>
      <c r="S23" s="113" t="n">
        <f aca="false">SUM(P23:R23)</f>
        <v>3.7</v>
      </c>
      <c r="T23" s="114"/>
      <c r="U23" s="183" t="n">
        <v>0</v>
      </c>
      <c r="V23" s="183" t="n">
        <v>14</v>
      </c>
      <c r="W23" s="114" t="n">
        <f aca="false">W22-V23</f>
        <v>1360.12</v>
      </c>
      <c r="X23" s="6" t="n">
        <f aca="false">N23+O23+S23+U23+V23</f>
        <v>17.7</v>
      </c>
      <c r="Y23" s="113" t="n">
        <f aca="false">IF(L23&lt;0,L23*-1,0)</f>
        <v>0</v>
      </c>
      <c r="Z23" s="113" t="n">
        <f aca="false">X23+Y23</f>
        <v>17.7</v>
      </c>
      <c r="AA23" s="163" t="n">
        <v>0</v>
      </c>
      <c r="AB23" s="119" t="n">
        <v>42</v>
      </c>
      <c r="AC23" s="169" t="n">
        <v>15</v>
      </c>
      <c r="AD23" s="120"/>
      <c r="AE23" s="212"/>
      <c r="AF23" s="215"/>
    </row>
    <row r="24" customFormat="false" ht="11.1" hidden="false" customHeight="true" outlineLevel="0" collapsed="false">
      <c r="A24" s="120" t="n">
        <v>13</v>
      </c>
      <c r="B24" s="170" t="n">
        <v>6858.65</v>
      </c>
      <c r="C24" s="114" t="n">
        <v>160019</v>
      </c>
      <c r="D24" s="119" t="n">
        <f aca="false">C24-C23</f>
        <v>24</v>
      </c>
      <c r="E24" s="114" t="n">
        <f aca="false">C24-152000</f>
        <v>8019</v>
      </c>
      <c r="F24" s="182" t="n">
        <f aca="false">D24/$D$2</f>
        <v>12.09982354424</v>
      </c>
      <c r="G24" s="183" t="n">
        <v>25</v>
      </c>
      <c r="H24" s="217" t="n">
        <v>0</v>
      </c>
      <c r="I24" s="113" t="n">
        <f aca="false">G24+H24</f>
        <v>25</v>
      </c>
      <c r="J24" s="185" t="n">
        <f aca="false">IF(L24&gt;0,L24,0)</f>
        <v>5.19982354423998</v>
      </c>
      <c r="K24" s="113" t="n">
        <f aca="false">I24+J24</f>
        <v>30.19982354424</v>
      </c>
      <c r="L24" s="113" t="n">
        <f aca="false">F24-(I24-X24)</f>
        <v>5.19982354423998</v>
      </c>
      <c r="M24" s="218" t="n">
        <v>4.1</v>
      </c>
      <c r="N24" s="113" t="n">
        <v>0</v>
      </c>
      <c r="O24" s="113" t="n">
        <v>0</v>
      </c>
      <c r="P24" s="92" t="n">
        <f aca="false">M24-(N24+O24)</f>
        <v>4.1</v>
      </c>
      <c r="Q24" s="183" t="n">
        <v>0</v>
      </c>
      <c r="R24" s="183" t="n">
        <v>0</v>
      </c>
      <c r="S24" s="113" t="n">
        <f aca="false">SUM(P24:R24)</f>
        <v>4.1</v>
      </c>
      <c r="T24" s="114"/>
      <c r="U24" s="183" t="n">
        <v>0</v>
      </c>
      <c r="V24" s="183" t="n">
        <v>14</v>
      </c>
      <c r="W24" s="114" t="n">
        <f aca="false">W23-V24</f>
        <v>1346.12</v>
      </c>
      <c r="X24" s="6" t="n">
        <f aca="false">N24+O24+S24+U24+V24</f>
        <v>18.1</v>
      </c>
      <c r="Y24" s="113" t="n">
        <f aca="false">IF(L24&lt;0,L24*-1,0)</f>
        <v>0</v>
      </c>
      <c r="Z24" s="113" t="n">
        <f aca="false">X24+Y24</f>
        <v>18.1</v>
      </c>
      <c r="AA24" s="163" t="n">
        <v>0</v>
      </c>
      <c r="AB24" s="119" t="n">
        <v>46</v>
      </c>
      <c r="AC24" s="169" t="n">
        <v>15</v>
      </c>
      <c r="AD24" s="120"/>
      <c r="AE24" s="212"/>
      <c r="AF24" s="215"/>
    </row>
    <row r="25" customFormat="false" ht="11.1" hidden="false" customHeight="true" outlineLevel="0" collapsed="false">
      <c r="A25" s="120" t="n">
        <f aca="false">A24+1</f>
        <v>14</v>
      </c>
      <c r="B25" s="170" t="n">
        <v>6858.66</v>
      </c>
      <c r="C25" s="114" t="n">
        <v>160041</v>
      </c>
      <c r="D25" s="119" t="n">
        <f aca="false">C25-C24</f>
        <v>22</v>
      </c>
      <c r="E25" s="114" t="n">
        <f aca="false">C25-152000</f>
        <v>8041</v>
      </c>
      <c r="F25" s="182" t="n">
        <f aca="false">D25/$D$2</f>
        <v>11.0915049155533</v>
      </c>
      <c r="G25" s="183" t="n">
        <v>36</v>
      </c>
      <c r="H25" s="217" t="n">
        <v>0</v>
      </c>
      <c r="I25" s="113" t="n">
        <f aca="false">G25+H25</f>
        <v>36</v>
      </c>
      <c r="J25" s="185" t="n">
        <f aca="false">IF(L25&gt;0,L25,0)</f>
        <v>0</v>
      </c>
      <c r="K25" s="113" t="n">
        <f aca="false">I25+J25</f>
        <v>36</v>
      </c>
      <c r="L25" s="113" t="n">
        <f aca="false">F25-(I25-X25)</f>
        <v>-6.10849508444668</v>
      </c>
      <c r="M25" s="218" t="n">
        <v>4.8</v>
      </c>
      <c r="N25" s="113" t="n">
        <v>0</v>
      </c>
      <c r="O25" s="113" t="n">
        <v>0</v>
      </c>
      <c r="P25" s="92" t="n">
        <f aca="false">M25-(N25+O25)</f>
        <v>4.8</v>
      </c>
      <c r="Q25" s="183" t="n">
        <v>0</v>
      </c>
      <c r="R25" s="183" t="n">
        <v>0</v>
      </c>
      <c r="S25" s="113" t="n">
        <f aca="false">SUM(P25:R25)</f>
        <v>4.8</v>
      </c>
      <c r="T25" s="114"/>
      <c r="U25" s="183" t="n">
        <v>0</v>
      </c>
      <c r="V25" s="183" t="n">
        <v>14</v>
      </c>
      <c r="W25" s="114" t="n">
        <f aca="false">W24-V25</f>
        <v>1332.12</v>
      </c>
      <c r="X25" s="6" t="n">
        <f aca="false">N25+O25+S25+U25+V25</f>
        <v>18.8</v>
      </c>
      <c r="Y25" s="113" t="n">
        <f aca="false">IF(L25&lt;0,L25*-1,0)</f>
        <v>6.10849508444668</v>
      </c>
      <c r="Z25" s="113" t="n">
        <f aca="false">X25+Y25</f>
        <v>24.9084950844467</v>
      </c>
      <c r="AA25" s="163" t="n">
        <v>0</v>
      </c>
      <c r="AB25" s="187" t="n">
        <v>50</v>
      </c>
      <c r="AC25" s="169" t="n">
        <v>22</v>
      </c>
      <c r="AD25" s="120"/>
      <c r="AE25" s="212"/>
      <c r="AF25" s="215"/>
    </row>
    <row r="26" customFormat="false" ht="11.1" hidden="false" customHeight="true" outlineLevel="0" collapsed="false">
      <c r="A26" s="120" t="n">
        <f aca="false">A25+1</f>
        <v>15</v>
      </c>
      <c r="B26" s="170" t="n">
        <v>6858.67</v>
      </c>
      <c r="C26" s="114" t="n">
        <v>160064</v>
      </c>
      <c r="D26" s="119" t="n">
        <f aca="false">C26-C25</f>
        <v>23</v>
      </c>
      <c r="E26" s="114" t="n">
        <f aca="false">C26-152000</f>
        <v>8064</v>
      </c>
      <c r="F26" s="182" t="n">
        <f aca="false">D26/$D$2</f>
        <v>11.5956642298966</v>
      </c>
      <c r="G26" s="183" t="n">
        <v>41</v>
      </c>
      <c r="H26" s="217" t="n">
        <v>0</v>
      </c>
      <c r="I26" s="113" t="n">
        <f aca="false">G26+H26</f>
        <v>41</v>
      </c>
      <c r="J26" s="185" t="n">
        <f aca="false">IF(L26&gt;0,L26,0)</f>
        <v>0</v>
      </c>
      <c r="K26" s="113" t="n">
        <f aca="false">I26+J26</f>
        <v>41</v>
      </c>
      <c r="L26" s="113" t="n">
        <f aca="false">F26-(I26-X26)</f>
        <v>-11.9043357701034</v>
      </c>
      <c r="M26" s="218" t="n">
        <v>3.5</v>
      </c>
      <c r="N26" s="113" t="n">
        <v>0</v>
      </c>
      <c r="O26" s="113" t="n">
        <v>0</v>
      </c>
      <c r="P26" s="92" t="n">
        <f aca="false">M26-(N26+O26)</f>
        <v>3.5</v>
      </c>
      <c r="Q26" s="183" t="n">
        <v>0</v>
      </c>
      <c r="R26" s="183" t="n">
        <v>0</v>
      </c>
      <c r="S26" s="113" t="n">
        <f aca="false">SUM(P26:R26)</f>
        <v>3.5</v>
      </c>
      <c r="T26" s="114"/>
      <c r="U26" s="183" t="n">
        <v>0</v>
      </c>
      <c r="V26" s="183" t="n">
        <v>14</v>
      </c>
      <c r="W26" s="114" t="n">
        <f aca="false">W25-V26</f>
        <v>1318.12</v>
      </c>
      <c r="X26" s="6" t="n">
        <f aca="false">N26+O26+S26+U26+V26</f>
        <v>17.5</v>
      </c>
      <c r="Y26" s="113" t="n">
        <f aca="false">IF(L26&lt;0,L26*-1,0)</f>
        <v>11.9043357701034</v>
      </c>
      <c r="Z26" s="113" t="n">
        <f aca="false">X26+Y26</f>
        <v>29.4043357701034</v>
      </c>
      <c r="AA26" s="163" t="n">
        <v>0</v>
      </c>
      <c r="AB26" s="187" t="n">
        <v>44</v>
      </c>
      <c r="AC26" s="169" t="n">
        <v>24</v>
      </c>
      <c r="AD26" s="120"/>
      <c r="AE26" s="212"/>
      <c r="AF26" s="215"/>
    </row>
    <row r="27" customFormat="false" ht="11.1" hidden="false" customHeight="true" outlineLevel="0" collapsed="false">
      <c r="A27" s="120" t="n">
        <f aca="false">A26+1</f>
        <v>16</v>
      </c>
      <c r="B27" s="170" t="n">
        <v>6858.68</v>
      </c>
      <c r="C27" s="114" t="n">
        <v>160086</v>
      </c>
      <c r="D27" s="119" t="n">
        <f aca="false">C27-C26</f>
        <v>22</v>
      </c>
      <c r="E27" s="114" t="n">
        <f aca="false">C27-152000</f>
        <v>8086</v>
      </c>
      <c r="F27" s="182" t="n">
        <f aca="false">D27/$D$2</f>
        <v>11.0915049155533</v>
      </c>
      <c r="G27" s="183" t="n">
        <v>34</v>
      </c>
      <c r="H27" s="217" t="n">
        <v>0</v>
      </c>
      <c r="I27" s="113" t="n">
        <f aca="false">G27+H27</f>
        <v>34</v>
      </c>
      <c r="J27" s="185" t="n">
        <f aca="false">IF(L27&gt;0,L27,0)</f>
        <v>0</v>
      </c>
      <c r="K27" s="113" t="n">
        <f aca="false">I27+J27</f>
        <v>34</v>
      </c>
      <c r="L27" s="113" t="n">
        <f aca="false">F27-(I27-X27)</f>
        <v>-5.20849508444669</v>
      </c>
      <c r="M27" s="218" t="n">
        <v>3.7</v>
      </c>
      <c r="N27" s="113" t="n">
        <v>0</v>
      </c>
      <c r="O27" s="113" t="n">
        <v>0</v>
      </c>
      <c r="P27" s="92" t="n">
        <f aca="false">M27-(N27+O27)</f>
        <v>3.7</v>
      </c>
      <c r="Q27" s="183" t="n">
        <v>0</v>
      </c>
      <c r="R27" s="183" t="n">
        <v>0</v>
      </c>
      <c r="S27" s="113" t="n">
        <f aca="false">SUM(P27:R27)</f>
        <v>3.7</v>
      </c>
      <c r="T27" s="114"/>
      <c r="U27" s="183" t="n">
        <v>0</v>
      </c>
      <c r="V27" s="183" t="n">
        <v>14</v>
      </c>
      <c r="W27" s="114" t="n">
        <f aca="false">W26-V27</f>
        <v>1304.12</v>
      </c>
      <c r="X27" s="6" t="n">
        <f aca="false">N27+O27+S27+U27+V27</f>
        <v>17.7</v>
      </c>
      <c r="Y27" s="113" t="n">
        <f aca="false">IF(L27&lt;0,L27*-1,0)</f>
        <v>5.20849508444669</v>
      </c>
      <c r="Z27" s="113" t="n">
        <f aca="false">X27+Y27</f>
        <v>22.9084950844467</v>
      </c>
      <c r="AA27" s="163" t="n">
        <v>0</v>
      </c>
      <c r="AB27" s="187" t="n">
        <v>46</v>
      </c>
      <c r="AC27" s="169" t="n">
        <v>20</v>
      </c>
      <c r="AD27" s="120"/>
      <c r="AE27" s="212"/>
      <c r="AF27" s="0"/>
    </row>
    <row r="28" customFormat="false" ht="11.1" hidden="false" customHeight="true" outlineLevel="0" collapsed="false">
      <c r="A28" s="120" t="n">
        <f aca="false">A27+1</f>
        <v>17</v>
      </c>
      <c r="B28" s="170" t="n">
        <v>6858.69</v>
      </c>
      <c r="C28" s="114" t="n">
        <v>160109</v>
      </c>
      <c r="D28" s="119" t="n">
        <f aca="false">C28-C27</f>
        <v>23</v>
      </c>
      <c r="E28" s="114" t="n">
        <f aca="false">C28-152000</f>
        <v>8109</v>
      </c>
      <c r="F28" s="182" t="n">
        <f aca="false">D28/$D$2</f>
        <v>11.5956642298966</v>
      </c>
      <c r="G28" s="183" t="n">
        <v>32</v>
      </c>
      <c r="H28" s="217" t="n">
        <v>0</v>
      </c>
      <c r="I28" s="113" t="n">
        <f aca="false">G28+H28</f>
        <v>32</v>
      </c>
      <c r="J28" s="185" t="n">
        <f aca="false">IF(L28&gt;0,L28,0)</f>
        <v>0</v>
      </c>
      <c r="K28" s="113" t="n">
        <f aca="false">I28+J28</f>
        <v>32</v>
      </c>
      <c r="L28" s="113" t="n">
        <f aca="false">F28-(I28-X28)</f>
        <v>-1.10433577010335</v>
      </c>
      <c r="M28" s="218" t="n">
        <v>5.3</v>
      </c>
      <c r="N28" s="113" t="n">
        <v>0</v>
      </c>
      <c r="O28" s="113" t="n">
        <v>0</v>
      </c>
      <c r="P28" s="92" t="n">
        <f aca="false">M28-(N28+O28)</f>
        <v>5.3</v>
      </c>
      <c r="Q28" s="183" t="n">
        <v>0</v>
      </c>
      <c r="R28" s="183" t="n">
        <v>0</v>
      </c>
      <c r="S28" s="113" t="n">
        <f aca="false">SUM(P28:R28)</f>
        <v>5.3</v>
      </c>
      <c r="T28" s="114"/>
      <c r="U28" s="183" t="n">
        <v>0</v>
      </c>
      <c r="V28" s="183" t="n">
        <v>14</v>
      </c>
      <c r="W28" s="114" t="n">
        <f aca="false">W27-V28</f>
        <v>1290.12</v>
      </c>
      <c r="X28" s="6" t="n">
        <f aca="false">N28+O28+S28+U28+V28</f>
        <v>19.3</v>
      </c>
      <c r="Y28" s="113" t="n">
        <f aca="false">IF(L28&lt;0,L28*-1,0)</f>
        <v>1.10433577010335</v>
      </c>
      <c r="Z28" s="113" t="n">
        <f aca="false">X28+Y28</f>
        <v>20.4043357701034</v>
      </c>
      <c r="AA28" s="163" t="n">
        <v>0</v>
      </c>
      <c r="AB28" s="187" t="n">
        <v>45</v>
      </c>
      <c r="AC28" s="169" t="n">
        <v>22</v>
      </c>
      <c r="AD28" s="120"/>
      <c r="AE28" s="212"/>
      <c r="AF28" s="215"/>
    </row>
    <row r="29" customFormat="false" ht="11.1" hidden="false" customHeight="true" outlineLevel="0" collapsed="false">
      <c r="A29" s="120" t="n">
        <f aca="false">A28+1</f>
        <v>18</v>
      </c>
      <c r="B29" s="170" t="n">
        <v>6858.7</v>
      </c>
      <c r="C29" s="114" t="n">
        <v>160131</v>
      </c>
      <c r="D29" s="119" t="n">
        <f aca="false">C29-C28</f>
        <v>22</v>
      </c>
      <c r="E29" s="114" t="n">
        <f aca="false">C29-152000</f>
        <v>8131</v>
      </c>
      <c r="F29" s="182" t="n">
        <f aca="false">D29/$D$2</f>
        <v>11.0915049155533</v>
      </c>
      <c r="G29" s="183" t="n">
        <v>20</v>
      </c>
      <c r="H29" s="217" t="n">
        <v>0</v>
      </c>
      <c r="I29" s="113" t="n">
        <f aca="false">G29+H29</f>
        <v>20</v>
      </c>
      <c r="J29" s="185" t="n">
        <f aca="false">IF(L29&gt;0,L29,0)</f>
        <v>12.5915049155533</v>
      </c>
      <c r="K29" s="113" t="n">
        <f aca="false">I29+J29</f>
        <v>32.5915049155533</v>
      </c>
      <c r="L29" s="113" t="n">
        <f aca="false">F29-(I29-X29)</f>
        <v>12.5915049155533</v>
      </c>
      <c r="M29" s="218" t="n">
        <v>7.5</v>
      </c>
      <c r="N29" s="113" t="n">
        <v>0</v>
      </c>
      <c r="O29" s="113" t="n">
        <v>0</v>
      </c>
      <c r="P29" s="92" t="n">
        <f aca="false">M29-(N29+O29)</f>
        <v>7.5</v>
      </c>
      <c r="Q29" s="183" t="n">
        <v>0</v>
      </c>
      <c r="R29" s="183" t="n">
        <v>0</v>
      </c>
      <c r="S29" s="113" t="n">
        <f aca="false">SUM(P29:R29)</f>
        <v>7.5</v>
      </c>
      <c r="T29" s="114"/>
      <c r="U29" s="183" t="n">
        <v>0</v>
      </c>
      <c r="V29" s="183" t="n">
        <v>14</v>
      </c>
      <c r="W29" s="114" t="n">
        <f aca="false">W28-V29</f>
        <v>1276.12</v>
      </c>
      <c r="X29" s="6" t="n">
        <f aca="false">N29+O29+S29+U29+V29</f>
        <v>21.5</v>
      </c>
      <c r="Y29" s="113" t="n">
        <f aca="false">IF(L29&lt;0,L29*-1,0)</f>
        <v>0</v>
      </c>
      <c r="Z29" s="113" t="n">
        <f aca="false">X29+Y29</f>
        <v>21.5</v>
      </c>
      <c r="AA29" s="163" t="n">
        <v>0</v>
      </c>
      <c r="AB29" s="187" t="n">
        <v>47</v>
      </c>
      <c r="AC29" s="169" t="n">
        <v>18</v>
      </c>
      <c r="AD29" s="120"/>
      <c r="AE29" s="212"/>
      <c r="AF29" s="215"/>
    </row>
    <row r="30" customFormat="false" ht="11.1" hidden="false" customHeight="true" outlineLevel="0" collapsed="false">
      <c r="A30" s="120" t="n">
        <f aca="false">A29+1</f>
        <v>19</v>
      </c>
      <c r="B30" s="170" t="n">
        <v>6858.72</v>
      </c>
      <c r="C30" s="114" t="n">
        <v>160176</v>
      </c>
      <c r="D30" s="119" t="n">
        <f aca="false">C30-C29</f>
        <v>45</v>
      </c>
      <c r="E30" s="114" t="n">
        <f aca="false">C30-152000</f>
        <v>8176</v>
      </c>
      <c r="F30" s="182" t="n">
        <f aca="false">D30/$D$2</f>
        <v>22.68716914545</v>
      </c>
      <c r="G30" s="183" t="n">
        <v>21</v>
      </c>
      <c r="H30" s="217" t="n">
        <v>0</v>
      </c>
      <c r="I30" s="113" t="n">
        <f aca="false">G30+H30</f>
        <v>21</v>
      </c>
      <c r="J30" s="185" t="n">
        <f aca="false">IF(L30&gt;0,L30,0)</f>
        <v>23.18716914545</v>
      </c>
      <c r="K30" s="113" t="n">
        <f aca="false">I30+J30</f>
        <v>44.18716914545</v>
      </c>
      <c r="L30" s="113" t="n">
        <f aca="false">F30-(I30-X30)</f>
        <v>23.18716914545</v>
      </c>
      <c r="M30" s="218" t="n">
        <v>7.5</v>
      </c>
      <c r="N30" s="113" t="n">
        <v>0</v>
      </c>
      <c r="O30" s="113" t="n">
        <v>0</v>
      </c>
      <c r="P30" s="92" t="n">
        <f aca="false">M30-(N30+O30)</f>
        <v>7.5</v>
      </c>
      <c r="Q30" s="183" t="n">
        <v>0</v>
      </c>
      <c r="R30" s="183" t="n">
        <v>0</v>
      </c>
      <c r="S30" s="113" t="n">
        <f aca="false">SUM(P30:R30)</f>
        <v>7.5</v>
      </c>
      <c r="T30" s="114"/>
      <c r="U30" s="183" t="n">
        <v>0</v>
      </c>
      <c r="V30" s="183" t="n">
        <v>14</v>
      </c>
      <c r="W30" s="114" t="n">
        <f aca="false">W29-V30</f>
        <v>1262.12</v>
      </c>
      <c r="X30" s="6" t="n">
        <f aca="false">N30+O30+S30+U30+V30</f>
        <v>21.5</v>
      </c>
      <c r="Y30" s="113" t="n">
        <f aca="false">IF(L30&lt;0,L30*-1,0)</f>
        <v>0</v>
      </c>
      <c r="Z30" s="113" t="n">
        <f aca="false">X30+Y30</f>
        <v>21.5</v>
      </c>
      <c r="AA30" s="163" t="n">
        <v>0</v>
      </c>
      <c r="AB30" s="187" t="n">
        <v>50</v>
      </c>
      <c r="AC30" s="169" t="n">
        <v>20</v>
      </c>
      <c r="AD30" s="120"/>
      <c r="AE30" s="212"/>
      <c r="AF30" s="215"/>
    </row>
    <row r="31" customFormat="false" ht="11.1" hidden="false" customHeight="true" outlineLevel="0" collapsed="false">
      <c r="A31" s="120" t="n">
        <f aca="false">A30+1</f>
        <v>20</v>
      </c>
      <c r="B31" s="170" t="n">
        <v>6858.74</v>
      </c>
      <c r="C31" s="114" t="n">
        <v>160221</v>
      </c>
      <c r="D31" s="119" t="n">
        <f aca="false">C31-C30</f>
        <v>45</v>
      </c>
      <c r="E31" s="114" t="n">
        <f aca="false">C31-152000</f>
        <v>8221</v>
      </c>
      <c r="F31" s="182" t="n">
        <f aca="false">D31/$D$2</f>
        <v>22.68716914545</v>
      </c>
      <c r="G31" s="183" t="n">
        <v>21</v>
      </c>
      <c r="H31" s="217" t="n">
        <v>0</v>
      </c>
      <c r="I31" s="113" t="n">
        <f aca="false">G31+H31</f>
        <v>21</v>
      </c>
      <c r="J31" s="185" t="n">
        <f aca="false">IF(L31&gt;0,L31,0)</f>
        <v>24.38716914545</v>
      </c>
      <c r="K31" s="113" t="n">
        <f aca="false">I31+J31</f>
        <v>45.38716914545</v>
      </c>
      <c r="L31" s="113" t="n">
        <f aca="false">F31-(I31-X31)</f>
        <v>24.38716914545</v>
      </c>
      <c r="M31" s="218" t="n">
        <v>8.7</v>
      </c>
      <c r="N31" s="113" t="n">
        <v>0</v>
      </c>
      <c r="O31" s="113" t="n">
        <v>0</v>
      </c>
      <c r="P31" s="92" t="n">
        <f aca="false">M31-(N31+O31)</f>
        <v>8.7</v>
      </c>
      <c r="Q31" s="183" t="n">
        <v>0</v>
      </c>
      <c r="R31" s="183" t="n">
        <v>0</v>
      </c>
      <c r="S31" s="113" t="n">
        <f aca="false">SUM(P31:R31)</f>
        <v>8.7</v>
      </c>
      <c r="T31" s="114"/>
      <c r="U31" s="183" t="n">
        <v>0</v>
      </c>
      <c r="V31" s="183" t="n">
        <v>14</v>
      </c>
      <c r="W31" s="114" t="n">
        <f aca="false">W30-V31</f>
        <v>1248.12</v>
      </c>
      <c r="X31" s="6" t="n">
        <f aca="false">N31+O31+S31+U31+V31</f>
        <v>22.7</v>
      </c>
      <c r="Y31" s="113" t="n">
        <f aca="false">IF(L31&lt;0,L31*-1,0)</f>
        <v>0</v>
      </c>
      <c r="Z31" s="113" t="n">
        <f aca="false">X31+Y31</f>
        <v>22.7</v>
      </c>
      <c r="AA31" s="163" t="n">
        <v>0</v>
      </c>
      <c r="AB31" s="187" t="n">
        <v>51</v>
      </c>
      <c r="AC31" s="169" t="n">
        <v>24</v>
      </c>
      <c r="AD31" s="120"/>
      <c r="AE31" s="212"/>
      <c r="AF31" s="215"/>
    </row>
    <row r="32" customFormat="false" ht="11.1" hidden="false" customHeight="true" outlineLevel="0" collapsed="false">
      <c r="A32" s="120" t="n">
        <f aca="false">A31+1</f>
        <v>21</v>
      </c>
      <c r="B32" s="170" t="n">
        <v>6858.75</v>
      </c>
      <c r="C32" s="114" t="n">
        <v>160243</v>
      </c>
      <c r="D32" s="119" t="n">
        <f aca="false">C32-C31</f>
        <v>22</v>
      </c>
      <c r="E32" s="114" t="n">
        <f aca="false">C32-152000</f>
        <v>8243</v>
      </c>
      <c r="F32" s="182" t="n">
        <f aca="false">D32/$D$2</f>
        <v>11.0915049155533</v>
      </c>
      <c r="G32" s="183" t="n">
        <v>30</v>
      </c>
      <c r="H32" s="217" t="n">
        <v>0</v>
      </c>
      <c r="I32" s="113" t="n">
        <f aca="false">G32+H32</f>
        <v>30</v>
      </c>
      <c r="J32" s="185" t="n">
        <f aca="false">IF(L32&gt;0,L32,0)</f>
        <v>5.99150491555331</v>
      </c>
      <c r="K32" s="113" t="n">
        <f aca="false">I32+J32</f>
        <v>35.9915049155533</v>
      </c>
      <c r="L32" s="113" t="n">
        <f aca="false">F32-(I32-X32)</f>
        <v>5.99150491555331</v>
      </c>
      <c r="M32" s="218" t="n">
        <v>9.9</v>
      </c>
      <c r="N32" s="113" t="n">
        <v>0</v>
      </c>
      <c r="O32" s="113" t="n">
        <v>0</v>
      </c>
      <c r="P32" s="92" t="n">
        <f aca="false">M32-(N32+O32)</f>
        <v>9.9</v>
      </c>
      <c r="Q32" s="183" t="n">
        <v>0</v>
      </c>
      <c r="R32" s="183" t="n">
        <v>0</v>
      </c>
      <c r="S32" s="113" t="n">
        <f aca="false">SUM(P32:R32)</f>
        <v>9.9</v>
      </c>
      <c r="T32" s="114"/>
      <c r="U32" s="183" t="n">
        <v>0</v>
      </c>
      <c r="V32" s="183" t="n">
        <v>15</v>
      </c>
      <c r="W32" s="114" t="n">
        <f aca="false">W31-V32</f>
        <v>1233.12</v>
      </c>
      <c r="X32" s="6" t="n">
        <f aca="false">N32+O32+S32+U32+V32</f>
        <v>24.9</v>
      </c>
      <c r="Y32" s="113" t="n">
        <f aca="false">IF(L32&lt;0,L32*-1,0)</f>
        <v>0</v>
      </c>
      <c r="Z32" s="113" t="n">
        <f aca="false">X32+Y32</f>
        <v>24.9</v>
      </c>
      <c r="AA32" s="163" t="n">
        <v>0</v>
      </c>
      <c r="AB32" s="119" t="n">
        <v>49</v>
      </c>
      <c r="AC32" s="169" t="n">
        <v>23</v>
      </c>
      <c r="AD32" s="120"/>
      <c r="AE32" s="212"/>
      <c r="AF32" s="215"/>
    </row>
    <row r="33" customFormat="false" ht="11.1" hidden="false" customHeight="true" outlineLevel="0" collapsed="false">
      <c r="A33" s="120" t="n">
        <f aca="false">A32+1</f>
        <v>22</v>
      </c>
      <c r="B33" s="170" t="n">
        <v>6858.76</v>
      </c>
      <c r="C33" s="114" t="n">
        <v>160265</v>
      </c>
      <c r="D33" s="119" t="n">
        <f aca="false">C33-C32</f>
        <v>22</v>
      </c>
      <c r="E33" s="114" t="n">
        <f aca="false">C33-152000</f>
        <v>8265</v>
      </c>
      <c r="F33" s="182" t="n">
        <f aca="false">D33/$D$2</f>
        <v>11.0915049155533</v>
      </c>
      <c r="G33" s="183" t="n">
        <v>37</v>
      </c>
      <c r="H33" s="217" t="n">
        <v>0</v>
      </c>
      <c r="I33" s="113" t="n">
        <f aca="false">G33+H33</f>
        <v>37</v>
      </c>
      <c r="J33" s="185" t="n">
        <f aca="false">IF(L33&gt;0,L33,0)</f>
        <v>0</v>
      </c>
      <c r="K33" s="113" t="n">
        <f aca="false">I33+J33</f>
        <v>37</v>
      </c>
      <c r="L33" s="113" t="n">
        <f aca="false">F33-(I33-X33)</f>
        <v>-3.40849508444668</v>
      </c>
      <c r="M33" s="218" t="n">
        <v>8.5</v>
      </c>
      <c r="N33" s="113" t="n">
        <v>0</v>
      </c>
      <c r="O33" s="113" t="n">
        <v>0</v>
      </c>
      <c r="P33" s="92" t="n">
        <f aca="false">M33-(N33+O33)</f>
        <v>8.5</v>
      </c>
      <c r="Q33" s="183" t="n">
        <v>0</v>
      </c>
      <c r="R33" s="183" t="n">
        <v>0</v>
      </c>
      <c r="S33" s="113" t="n">
        <f aca="false">SUM(P33:R33)</f>
        <v>8.5</v>
      </c>
      <c r="T33" s="114"/>
      <c r="U33" s="183" t="n">
        <v>0</v>
      </c>
      <c r="V33" s="183" t="n">
        <v>14</v>
      </c>
      <c r="W33" s="114" t="n">
        <f aca="false">W32-V33</f>
        <v>1219.12</v>
      </c>
      <c r="X33" s="6" t="n">
        <f aca="false">N33+O33+S33+U33+V33</f>
        <v>22.5</v>
      </c>
      <c r="Y33" s="113" t="n">
        <f aca="false">IF(L33&lt;0,L33*-1,0)</f>
        <v>3.40849508444668</v>
      </c>
      <c r="Z33" s="113" t="n">
        <f aca="false">X33+Y33</f>
        <v>25.9084950844467</v>
      </c>
      <c r="AA33" s="163" t="n">
        <v>0</v>
      </c>
      <c r="AB33" s="119" t="n">
        <v>48</v>
      </c>
      <c r="AC33" s="169" t="n">
        <v>24</v>
      </c>
      <c r="AD33" s="120"/>
      <c r="AE33" s="212"/>
      <c r="AF33" s="215"/>
    </row>
    <row r="34" customFormat="false" ht="11.1" hidden="false" customHeight="true" outlineLevel="0" collapsed="false">
      <c r="A34" s="120" t="n">
        <f aca="false">A33+1</f>
        <v>23</v>
      </c>
      <c r="B34" s="170" t="n">
        <v>6858.78</v>
      </c>
      <c r="C34" s="114" t="n">
        <v>160310</v>
      </c>
      <c r="D34" s="119" t="n">
        <f aca="false">C34-C33</f>
        <v>45</v>
      </c>
      <c r="E34" s="114" t="n">
        <f aca="false">C34-152000</f>
        <v>8310</v>
      </c>
      <c r="F34" s="182" t="n">
        <f aca="false">D34/$D$2</f>
        <v>22.68716914545</v>
      </c>
      <c r="G34" s="183" t="n">
        <v>35</v>
      </c>
      <c r="H34" s="217" t="n">
        <v>0</v>
      </c>
      <c r="I34" s="113" t="n">
        <f aca="false">G34+H34</f>
        <v>35</v>
      </c>
      <c r="J34" s="185" t="n">
        <f aca="false">IF(L34&gt;0,L34,0)</f>
        <v>10.08716914545</v>
      </c>
      <c r="K34" s="113" t="n">
        <f aca="false">I34+J34</f>
        <v>45.08716914545</v>
      </c>
      <c r="L34" s="113" t="n">
        <f aca="false">F34-(I34-X34)</f>
        <v>10.08716914545</v>
      </c>
      <c r="M34" s="218" t="n">
        <v>8.4</v>
      </c>
      <c r="N34" s="113" t="n">
        <v>0</v>
      </c>
      <c r="O34" s="113" t="n">
        <v>0</v>
      </c>
      <c r="P34" s="92" t="n">
        <f aca="false">M34-(N34+O34)</f>
        <v>8.4</v>
      </c>
      <c r="Q34" s="183" t="n">
        <v>0</v>
      </c>
      <c r="R34" s="183" t="n">
        <v>0</v>
      </c>
      <c r="S34" s="113" t="n">
        <f aca="false">SUM(P34:R34)</f>
        <v>8.4</v>
      </c>
      <c r="T34" s="114"/>
      <c r="U34" s="183" t="n">
        <v>0</v>
      </c>
      <c r="V34" s="183" t="n">
        <v>14</v>
      </c>
      <c r="W34" s="114" t="n">
        <f aca="false">W33-V34</f>
        <v>1205.12</v>
      </c>
      <c r="X34" s="6" t="n">
        <f aca="false">N34+O34+S34+U34+V34</f>
        <v>22.4</v>
      </c>
      <c r="Y34" s="113" t="n">
        <f aca="false">IF(L34&lt;0,L34*-1,0)</f>
        <v>0</v>
      </c>
      <c r="Z34" s="113" t="n">
        <f aca="false">X34+Y34</f>
        <v>22.4</v>
      </c>
      <c r="AA34" s="163" t="n">
        <v>0</v>
      </c>
      <c r="AB34" s="119" t="n">
        <v>53</v>
      </c>
      <c r="AC34" s="188" t="n">
        <v>26</v>
      </c>
      <c r="AD34" s="120"/>
      <c r="AE34" s="212"/>
      <c r="AF34" s="215"/>
    </row>
    <row r="35" customFormat="false" ht="11.1" hidden="false" customHeight="true" outlineLevel="0" collapsed="false">
      <c r="A35" s="120" t="n">
        <f aca="false">A34+1</f>
        <v>24</v>
      </c>
      <c r="B35" s="170" t="n">
        <v>6858.8</v>
      </c>
      <c r="C35" s="114" t="n">
        <v>160355</v>
      </c>
      <c r="D35" s="119" t="n">
        <f aca="false">C35-C34</f>
        <v>45</v>
      </c>
      <c r="E35" s="114" t="n">
        <f aca="false">C35-152000</f>
        <v>8355</v>
      </c>
      <c r="F35" s="182" t="n">
        <f aca="false">D35/$D$2</f>
        <v>22.68716914545</v>
      </c>
      <c r="G35" s="183" t="n">
        <v>35</v>
      </c>
      <c r="H35" s="217" t="n">
        <v>0</v>
      </c>
      <c r="I35" s="113" t="n">
        <f aca="false">G35+H35</f>
        <v>35</v>
      </c>
      <c r="J35" s="185" t="n">
        <f aca="false">IF(L35&gt;0,L35,0)</f>
        <v>10.98716914545</v>
      </c>
      <c r="K35" s="113" t="n">
        <f aca="false">I35+J35</f>
        <v>45.98716914545</v>
      </c>
      <c r="L35" s="113" t="n">
        <f aca="false">F35-(I35-X35)</f>
        <v>10.98716914545</v>
      </c>
      <c r="M35" s="218" t="n">
        <v>9.3</v>
      </c>
      <c r="N35" s="113" t="n">
        <v>0</v>
      </c>
      <c r="O35" s="113" t="n">
        <v>0</v>
      </c>
      <c r="P35" s="92" t="n">
        <f aca="false">M35-(N35+O35)</f>
        <v>9.3</v>
      </c>
      <c r="Q35" s="183" t="n">
        <v>0</v>
      </c>
      <c r="R35" s="183" t="n">
        <v>0</v>
      </c>
      <c r="S35" s="113" t="n">
        <f aca="false">SUM(P35:R35)</f>
        <v>9.3</v>
      </c>
      <c r="T35" s="114"/>
      <c r="U35" s="183" t="n">
        <v>0</v>
      </c>
      <c r="V35" s="183" t="n">
        <v>14</v>
      </c>
      <c r="W35" s="114" t="n">
        <f aca="false">W34-V35</f>
        <v>1191.12</v>
      </c>
      <c r="X35" s="6" t="n">
        <f aca="false">N35+O35+S35+U35+V35</f>
        <v>23.3</v>
      </c>
      <c r="Y35" s="113" t="n">
        <f aca="false">IF(L35&lt;0,L35*-1,0)</f>
        <v>0</v>
      </c>
      <c r="Z35" s="113" t="n">
        <f aca="false">X35+Y35</f>
        <v>23.3</v>
      </c>
      <c r="AA35" s="163" t="n">
        <v>0</v>
      </c>
      <c r="AB35" s="119" t="n">
        <v>52</v>
      </c>
      <c r="AC35" s="188" t="n">
        <v>27</v>
      </c>
      <c r="AD35" s="120"/>
      <c r="AE35" s="212"/>
      <c r="AF35" s="215"/>
    </row>
    <row r="36" customFormat="false" ht="11.1" hidden="false" customHeight="true" outlineLevel="0" collapsed="false">
      <c r="A36" s="120" t="n">
        <f aca="false">A35+1</f>
        <v>25</v>
      </c>
      <c r="B36" s="170" t="n">
        <v>6858.81</v>
      </c>
      <c r="C36" s="114" t="n">
        <v>160377</v>
      </c>
      <c r="D36" s="119" t="n">
        <f aca="false">C36-C35</f>
        <v>22</v>
      </c>
      <c r="E36" s="114" t="n">
        <f aca="false">C36-152000</f>
        <v>8377</v>
      </c>
      <c r="F36" s="182" t="n">
        <f aca="false">D36/$D$2</f>
        <v>11.0915049155533</v>
      </c>
      <c r="G36" s="183" t="n">
        <v>34</v>
      </c>
      <c r="H36" s="217" t="n">
        <v>0</v>
      </c>
      <c r="I36" s="113" t="n">
        <f aca="false">G36+H36</f>
        <v>34</v>
      </c>
      <c r="J36" s="185" t="n">
        <f aca="false">IF(L36&gt;0,L36,0)</f>
        <v>0</v>
      </c>
      <c r="K36" s="113" t="n">
        <f aca="false">I36+J36</f>
        <v>34</v>
      </c>
      <c r="L36" s="113" t="n">
        <f aca="false">F36-(I36-X36)</f>
        <v>-0.908495084446685</v>
      </c>
      <c r="M36" s="218" t="n">
        <v>8</v>
      </c>
      <c r="N36" s="113" t="n">
        <v>0</v>
      </c>
      <c r="O36" s="113" t="n">
        <v>0</v>
      </c>
      <c r="P36" s="92" t="n">
        <f aca="false">M36-(N36+O36)</f>
        <v>8</v>
      </c>
      <c r="Q36" s="183" t="n">
        <v>0</v>
      </c>
      <c r="R36" s="183" t="n">
        <v>0</v>
      </c>
      <c r="S36" s="113" t="n">
        <f aca="false">SUM(P36:R36)</f>
        <v>8</v>
      </c>
      <c r="T36" s="114"/>
      <c r="U36" s="183" t="n">
        <v>0</v>
      </c>
      <c r="V36" s="183" t="n">
        <v>14</v>
      </c>
      <c r="W36" s="114" t="n">
        <f aca="false">W35-V36</f>
        <v>1177.12</v>
      </c>
      <c r="X36" s="6" t="n">
        <f aca="false">N36+O36+S36+U36+V36</f>
        <v>22</v>
      </c>
      <c r="Y36" s="113" t="n">
        <f aca="false">IF(L36&lt;0,L36*-1,0)</f>
        <v>0.908495084446685</v>
      </c>
      <c r="Z36" s="113" t="n">
        <f aca="false">X36+Y36</f>
        <v>22.9084950844467</v>
      </c>
      <c r="AA36" s="163" t="n">
        <v>0</v>
      </c>
      <c r="AB36" s="119" t="n">
        <v>47</v>
      </c>
      <c r="AC36" s="188" t="n">
        <v>29</v>
      </c>
      <c r="AD36" s="120"/>
      <c r="AE36" s="212"/>
      <c r="AF36" s="215"/>
    </row>
    <row r="37" customFormat="false" ht="11.1" hidden="false" customHeight="true" outlineLevel="0" collapsed="false">
      <c r="A37" s="120" t="n">
        <f aca="false">A36+1</f>
        <v>26</v>
      </c>
      <c r="B37" s="170" t="n">
        <v>6858.82</v>
      </c>
      <c r="C37" s="114" t="n">
        <v>160400</v>
      </c>
      <c r="D37" s="119" t="n">
        <f aca="false">C37-C36</f>
        <v>23</v>
      </c>
      <c r="E37" s="114" t="n">
        <f aca="false">C37-152000</f>
        <v>8400</v>
      </c>
      <c r="F37" s="182" t="n">
        <f aca="false">D37/$D$2</f>
        <v>11.5956642298966</v>
      </c>
      <c r="G37" s="183" t="n">
        <v>34</v>
      </c>
      <c r="H37" s="217" t="n">
        <v>0.26</v>
      </c>
      <c r="I37" s="113" t="n">
        <f aca="false">G37+H37</f>
        <v>34.26</v>
      </c>
      <c r="J37" s="185" t="n">
        <f aca="false">IF(L37&gt;0,L37,0)</f>
        <v>0</v>
      </c>
      <c r="K37" s="113" t="n">
        <f aca="false">I37+J37</f>
        <v>34.26</v>
      </c>
      <c r="L37" s="113" t="n">
        <f aca="false">F37-(I37-X37)</f>
        <v>-0.664335770103351</v>
      </c>
      <c r="M37" s="218" t="n">
        <v>8</v>
      </c>
      <c r="N37" s="113" t="n">
        <v>0</v>
      </c>
      <c r="O37" s="113" t="n">
        <v>0</v>
      </c>
      <c r="P37" s="92" t="n">
        <f aca="false">M37-(N37+O37)</f>
        <v>8</v>
      </c>
      <c r="Q37" s="183" t="n">
        <v>0</v>
      </c>
      <c r="R37" s="183" t="n">
        <v>0</v>
      </c>
      <c r="S37" s="113" t="n">
        <f aca="false">SUM(P37:R37)</f>
        <v>8</v>
      </c>
      <c r="T37" s="114"/>
      <c r="U37" s="183" t="n">
        <v>0</v>
      </c>
      <c r="V37" s="183" t="n">
        <v>14</v>
      </c>
      <c r="W37" s="114" t="n">
        <f aca="false">W36-V37</f>
        <v>1163.12</v>
      </c>
      <c r="X37" s="6" t="n">
        <f aca="false">N37+O37+S37+U37+V37</f>
        <v>22</v>
      </c>
      <c r="Y37" s="113" t="n">
        <f aca="false">IF(L37&lt;0,L37*-1,0)</f>
        <v>0.664335770103351</v>
      </c>
      <c r="Z37" s="113" t="n">
        <f aca="false">X37+Y37</f>
        <v>22.6643357701033</v>
      </c>
      <c r="AA37" s="163" t="n">
        <v>0</v>
      </c>
      <c r="AB37" s="119" t="n">
        <v>51</v>
      </c>
      <c r="AC37" s="169" t="n">
        <v>24</v>
      </c>
      <c r="AD37" s="120"/>
      <c r="AE37" s="212"/>
      <c r="AF37" s="215"/>
    </row>
    <row r="38" customFormat="false" ht="11.1" hidden="false" customHeight="true" outlineLevel="0" collapsed="false">
      <c r="A38" s="120" t="n">
        <f aca="false">A37+1</f>
        <v>27</v>
      </c>
      <c r="B38" s="170" t="n">
        <v>6858.84</v>
      </c>
      <c r="C38" s="114" t="n">
        <v>160445</v>
      </c>
      <c r="D38" s="119" t="n">
        <f aca="false">C38-C37</f>
        <v>45</v>
      </c>
      <c r="E38" s="114" t="n">
        <f aca="false">C38-152000</f>
        <v>8445</v>
      </c>
      <c r="F38" s="182" t="n">
        <f aca="false">D38/$D$2</f>
        <v>22.68716914545</v>
      </c>
      <c r="G38" s="183" t="n">
        <v>26</v>
      </c>
      <c r="H38" s="217" t="n">
        <v>0.25</v>
      </c>
      <c r="I38" s="113" t="n">
        <f aca="false">G38+H38</f>
        <v>26.25</v>
      </c>
      <c r="J38" s="185" t="n">
        <f aca="false">IF(L38&gt;0,L38,0)</f>
        <v>18.43716914545</v>
      </c>
      <c r="K38" s="113" t="n">
        <f aca="false">I38+J38</f>
        <v>44.68716914545</v>
      </c>
      <c r="L38" s="113" t="n">
        <f aca="false">F38-(I38-X38)</f>
        <v>18.43716914545</v>
      </c>
      <c r="M38" s="218" t="n">
        <v>8</v>
      </c>
      <c r="N38" s="113" t="n">
        <v>0</v>
      </c>
      <c r="O38" s="113" t="n">
        <v>0</v>
      </c>
      <c r="P38" s="92" t="n">
        <f aca="false">M38-(N38+O38)</f>
        <v>8</v>
      </c>
      <c r="Q38" s="183" t="n">
        <v>0</v>
      </c>
      <c r="R38" s="183" t="n">
        <v>0</v>
      </c>
      <c r="S38" s="113" t="n">
        <f aca="false">SUM(P38:R38)</f>
        <v>8</v>
      </c>
      <c r="T38" s="114"/>
      <c r="U38" s="183" t="n">
        <v>0</v>
      </c>
      <c r="V38" s="183" t="n">
        <v>14</v>
      </c>
      <c r="W38" s="114" t="n">
        <f aca="false">W37-V38</f>
        <v>1149.12</v>
      </c>
      <c r="X38" s="6" t="n">
        <f aca="false">N38+O38+S38+U38+V38</f>
        <v>22</v>
      </c>
      <c r="Y38" s="113" t="n">
        <f aca="false">IF(L38&lt;0,L38*-1,0)</f>
        <v>0</v>
      </c>
      <c r="Z38" s="113" t="n">
        <f aca="false">X38+Y38</f>
        <v>22</v>
      </c>
      <c r="AA38" s="163" t="n">
        <v>0</v>
      </c>
      <c r="AB38" s="119" t="n">
        <v>54</v>
      </c>
      <c r="AC38" s="169" t="n">
        <v>27</v>
      </c>
      <c r="AD38" s="120"/>
      <c r="AE38" s="212"/>
      <c r="AF38" s="215"/>
    </row>
    <row r="39" customFormat="false" ht="11.1" hidden="false" customHeight="true" outlineLevel="0" collapsed="false">
      <c r="A39" s="120" t="n">
        <f aca="false">A38+1</f>
        <v>28</v>
      </c>
      <c r="B39" s="170" t="n">
        <v>6858.86</v>
      </c>
      <c r="C39" s="114" t="n">
        <v>160489</v>
      </c>
      <c r="D39" s="119" t="n">
        <f aca="false">C39-C38</f>
        <v>44</v>
      </c>
      <c r="E39" s="114" t="n">
        <f aca="false">C39-152000</f>
        <v>8489</v>
      </c>
      <c r="F39" s="182" t="n">
        <f aca="false">D39/$D$2</f>
        <v>22.1830098311066</v>
      </c>
      <c r="G39" s="183" t="n">
        <v>28</v>
      </c>
      <c r="H39" s="217" t="n">
        <v>0.28</v>
      </c>
      <c r="I39" s="113" t="n">
        <f aca="false">G39+H39</f>
        <v>28.28</v>
      </c>
      <c r="J39" s="185" t="n">
        <f aca="false">IF(L39&gt;0,L39,0)</f>
        <v>15.9030098311066</v>
      </c>
      <c r="K39" s="113" t="n">
        <f aca="false">I39+J39</f>
        <v>44.1830098311066</v>
      </c>
      <c r="L39" s="113" t="n">
        <f aca="false">F39-(I39-X39)</f>
        <v>15.9030098311066</v>
      </c>
      <c r="M39" s="218" t="n">
        <v>8</v>
      </c>
      <c r="N39" s="113" t="n">
        <v>0</v>
      </c>
      <c r="O39" s="113" t="n">
        <v>0</v>
      </c>
      <c r="P39" s="92" t="n">
        <f aca="false">M39-(N39+O39)</f>
        <v>8</v>
      </c>
      <c r="Q39" s="183" t="n">
        <v>0</v>
      </c>
      <c r="R39" s="183" t="n">
        <v>0</v>
      </c>
      <c r="S39" s="113" t="n">
        <f aca="false">SUM(P39:R39)</f>
        <v>8</v>
      </c>
      <c r="T39" s="114"/>
      <c r="U39" s="183" t="n">
        <v>0</v>
      </c>
      <c r="V39" s="183" t="n">
        <v>14</v>
      </c>
      <c r="W39" s="114" t="n">
        <f aca="false">W38-V39</f>
        <v>1135.12</v>
      </c>
      <c r="X39" s="6" t="n">
        <f aca="false">N39+O39+S39+U39+V39</f>
        <v>22</v>
      </c>
      <c r="Y39" s="113" t="n">
        <f aca="false">IF(L39&lt;0,L39*-1,0)</f>
        <v>0</v>
      </c>
      <c r="Z39" s="113" t="n">
        <f aca="false">X39+Y39</f>
        <v>22</v>
      </c>
      <c r="AA39" s="163" t="n">
        <v>0</v>
      </c>
      <c r="AB39" s="119" t="n">
        <v>51</v>
      </c>
      <c r="AC39" s="169" t="n">
        <v>29</v>
      </c>
      <c r="AD39" s="120"/>
      <c r="AE39" s="212"/>
      <c r="AF39" s="215"/>
    </row>
    <row r="40" customFormat="false" ht="11.1" hidden="false" customHeight="true" outlineLevel="0" collapsed="false">
      <c r="A40" s="120" t="n">
        <f aca="false">A39+1</f>
        <v>29</v>
      </c>
      <c r="B40" s="170" t="n">
        <v>6858.88</v>
      </c>
      <c r="C40" s="114" t="n">
        <v>160534</v>
      </c>
      <c r="D40" s="119" t="n">
        <f aca="false">C40-C39</f>
        <v>45</v>
      </c>
      <c r="E40" s="114" t="n">
        <f aca="false">C40-152000</f>
        <v>8534</v>
      </c>
      <c r="F40" s="182" t="n">
        <f aca="false">D40/$D$2</f>
        <v>22.68716914545</v>
      </c>
      <c r="G40" s="183" t="n">
        <v>37</v>
      </c>
      <c r="H40" s="217" t="n">
        <v>0.3</v>
      </c>
      <c r="I40" s="113" t="n">
        <f aca="false">G40+H40</f>
        <v>37.3</v>
      </c>
      <c r="J40" s="185" t="n">
        <f aca="false">IF(L40&gt;0,L40,0)</f>
        <v>7.38716914544996</v>
      </c>
      <c r="K40" s="113" t="n">
        <f aca="false">I40+J40</f>
        <v>44.68716914545</v>
      </c>
      <c r="L40" s="113" t="n">
        <f aca="false">F40-(I40-X40)</f>
        <v>7.38716914544996</v>
      </c>
      <c r="M40" s="218" t="n">
        <v>8</v>
      </c>
      <c r="N40" s="113" t="n">
        <v>0</v>
      </c>
      <c r="O40" s="113" t="n">
        <v>0</v>
      </c>
      <c r="P40" s="92" t="n">
        <f aca="false">M40-(N40+O40)</f>
        <v>8</v>
      </c>
      <c r="Q40" s="183" t="n">
        <v>0</v>
      </c>
      <c r="R40" s="183" t="n">
        <v>0</v>
      </c>
      <c r="S40" s="113" t="n">
        <f aca="false">SUM(P40:R40)</f>
        <v>8</v>
      </c>
      <c r="T40" s="114"/>
      <c r="U40" s="183" t="n">
        <v>0</v>
      </c>
      <c r="V40" s="183" t="n">
        <v>14</v>
      </c>
      <c r="W40" s="114" t="n">
        <f aca="false">W39-V40</f>
        <v>1121.12</v>
      </c>
      <c r="X40" s="6" t="n">
        <f aca="false">N40+O40+S40+U40+V40</f>
        <v>22</v>
      </c>
      <c r="Y40" s="113" t="n">
        <f aca="false">IF(L40&lt;0,L40*-1,0)</f>
        <v>0</v>
      </c>
      <c r="Z40" s="113" t="n">
        <f aca="false">X40+Y40</f>
        <v>22</v>
      </c>
      <c r="AA40" s="163" t="n">
        <v>0</v>
      </c>
      <c r="AB40" s="187" t="n">
        <v>50</v>
      </c>
      <c r="AC40" s="169" t="n">
        <v>26</v>
      </c>
      <c r="AD40" s="120"/>
      <c r="AE40" s="212"/>
      <c r="AF40" s="215"/>
    </row>
    <row r="41" customFormat="false" ht="11.1" hidden="false" customHeight="true" outlineLevel="0" collapsed="false">
      <c r="A41" s="120" t="n">
        <v>30</v>
      </c>
      <c r="B41" s="170" t="n">
        <v>6858.91</v>
      </c>
      <c r="C41" s="114" t="n">
        <v>160601</v>
      </c>
      <c r="D41" s="119" t="n">
        <f aca="false">C41-C40</f>
        <v>67</v>
      </c>
      <c r="E41" s="114" t="n">
        <f aca="false">C41-152000</f>
        <v>8601</v>
      </c>
      <c r="F41" s="182" t="n">
        <f aca="false">D41/$D$2</f>
        <v>33.7786740610033</v>
      </c>
      <c r="G41" s="183" t="n">
        <v>34</v>
      </c>
      <c r="H41" s="217" t="n">
        <v>0.38</v>
      </c>
      <c r="I41" s="113" t="n">
        <f aca="false">G41+H41</f>
        <v>34.38</v>
      </c>
      <c r="J41" s="185" t="n">
        <f aca="false">IF(L41&gt;0,L41,0)</f>
        <v>22.4086740610033</v>
      </c>
      <c r="K41" s="113" t="n">
        <f aca="false">I41+J41</f>
        <v>56.7886740610033</v>
      </c>
      <c r="L41" s="113" t="n">
        <f aca="false">F41-(I41-X41)</f>
        <v>22.4086740610033</v>
      </c>
      <c r="M41" s="218" t="n">
        <v>8</v>
      </c>
      <c r="N41" s="113" t="n">
        <v>0</v>
      </c>
      <c r="O41" s="113" t="n">
        <v>0</v>
      </c>
      <c r="P41" s="92" t="n">
        <f aca="false">M41-(N41+O41)</f>
        <v>8</v>
      </c>
      <c r="Q41" s="183" t="n">
        <v>0</v>
      </c>
      <c r="R41" s="183" t="n">
        <v>0</v>
      </c>
      <c r="S41" s="113" t="n">
        <f aca="false">SUM(P41:R41)</f>
        <v>8</v>
      </c>
      <c r="T41" s="114"/>
      <c r="U41" s="183" t="n">
        <v>0</v>
      </c>
      <c r="V41" s="183" t="n">
        <v>15.01</v>
      </c>
      <c r="W41" s="114" t="n">
        <f aca="false">W40-V41</f>
        <v>1106.11</v>
      </c>
      <c r="X41" s="6" t="n">
        <f aca="false">N41+O41+S41+U41+V41</f>
        <v>23.01</v>
      </c>
      <c r="Y41" s="113" t="n">
        <f aca="false">IF(L41&lt;0,L41*-1,0)</f>
        <v>0</v>
      </c>
      <c r="Z41" s="113" t="n">
        <f aca="false">X41+Y41</f>
        <v>23.01</v>
      </c>
      <c r="AA41" s="163" t="n">
        <v>0</v>
      </c>
      <c r="AB41" s="187" t="n">
        <v>52</v>
      </c>
      <c r="AC41" s="169" t="n">
        <v>27</v>
      </c>
      <c r="AD41" s="120"/>
      <c r="AE41" s="212"/>
      <c r="AF41" s="215"/>
    </row>
    <row r="42" customFormat="false" ht="11.1" hidden="false" customHeight="true" outlineLevel="0" collapsed="false">
      <c r="A42" s="120" t="n">
        <v>31</v>
      </c>
      <c r="B42" s="170" t="n">
        <v>6858.93</v>
      </c>
      <c r="C42" s="114" t="n">
        <v>160646</v>
      </c>
      <c r="D42" s="119" t="n">
        <f aca="false">C42-C41</f>
        <v>45</v>
      </c>
      <c r="E42" s="114" t="n">
        <f aca="false">C42-152000</f>
        <v>8646</v>
      </c>
      <c r="F42" s="182" t="n">
        <f aca="false">D42/$D$2</f>
        <v>22.68716914545</v>
      </c>
      <c r="G42" s="183" t="n">
        <v>29</v>
      </c>
      <c r="H42" s="217" t="n">
        <v>0.43</v>
      </c>
      <c r="I42" s="113" t="n">
        <f aca="false">G42+H42</f>
        <v>29.43</v>
      </c>
      <c r="J42" s="185" t="n">
        <f aca="false">IF(L42&gt;0,L42,0)</f>
        <v>15.25716914545</v>
      </c>
      <c r="K42" s="113" t="n">
        <f aca="false">I42+J42</f>
        <v>44.68716914545</v>
      </c>
      <c r="L42" s="113" t="n">
        <f aca="false">F42-(I42-X42)</f>
        <v>15.25716914545</v>
      </c>
      <c r="M42" s="218" t="n">
        <v>8</v>
      </c>
      <c r="N42" s="113" t="n">
        <v>0</v>
      </c>
      <c r="O42" s="113" t="n">
        <v>0</v>
      </c>
      <c r="P42" s="92" t="n">
        <f aca="false">M42-(N42+O42)</f>
        <v>8</v>
      </c>
      <c r="Q42" s="183" t="n">
        <v>0</v>
      </c>
      <c r="R42" s="183" t="n">
        <v>0</v>
      </c>
      <c r="S42" s="113" t="n">
        <f aca="false">SUM(P42:R42)</f>
        <v>8</v>
      </c>
      <c r="T42" s="114"/>
      <c r="U42" s="183" t="n">
        <v>0</v>
      </c>
      <c r="V42" s="183" t="n">
        <v>14</v>
      </c>
      <c r="W42" s="114" t="n">
        <f aca="false">W41-V42</f>
        <v>1092.11</v>
      </c>
      <c r="X42" s="6" t="n">
        <f aca="false">N42+O42+S42+U42+V42</f>
        <v>22</v>
      </c>
      <c r="Y42" s="113" t="n">
        <f aca="false">IF(L42&lt;0,L42*-1,0)</f>
        <v>0</v>
      </c>
      <c r="Z42" s="113" t="n">
        <f aca="false">X42+Y42</f>
        <v>22</v>
      </c>
      <c r="AA42" s="163" t="n">
        <v>0</v>
      </c>
      <c r="AB42" s="187" t="n">
        <v>51</v>
      </c>
      <c r="AC42" s="169" t="n">
        <v>29</v>
      </c>
      <c r="AD42" s="120"/>
      <c r="AE42" s="212"/>
      <c r="AF42" s="212"/>
    </row>
    <row r="43" customFormat="false" ht="3" hidden="false" customHeight="true" outlineLevel="0" collapsed="false">
      <c r="A43" s="171"/>
      <c r="B43" s="173"/>
      <c r="C43" s="173"/>
      <c r="D43" s="171"/>
      <c r="E43" s="173"/>
      <c r="F43" s="174"/>
      <c r="G43" s="174"/>
      <c r="H43" s="194"/>
      <c r="I43" s="171"/>
      <c r="J43" s="171"/>
      <c r="K43" s="171"/>
      <c r="L43" s="171"/>
      <c r="M43" s="171"/>
      <c r="N43" s="171"/>
      <c r="O43" s="171"/>
      <c r="P43" s="177"/>
      <c r="Q43" s="171"/>
      <c r="R43" s="171"/>
      <c r="S43" s="171"/>
      <c r="T43" s="173"/>
      <c r="U43" s="171"/>
      <c r="V43" s="171"/>
      <c r="W43" s="171"/>
      <c r="X43" s="171"/>
      <c r="Y43" s="171"/>
      <c r="Z43" s="171"/>
      <c r="AA43" s="178"/>
      <c r="AB43" s="179" t="n">
        <v>39</v>
      </c>
      <c r="AC43" s="180"/>
      <c r="AD43" s="181"/>
      <c r="AE43" s="181"/>
      <c r="AF43" s="181"/>
    </row>
    <row r="44" customFormat="false" ht="11.1" hidden="false" customHeight="true" outlineLevel="0" collapsed="false">
      <c r="A44" s="113" t="s">
        <v>54</v>
      </c>
      <c r="B44" s="165"/>
      <c r="C44" s="114"/>
      <c r="D44" s="114"/>
      <c r="E44" s="114"/>
      <c r="F44" s="166" t="n">
        <f aca="false">SUM(F12:F42)</f>
        <v>598.437106125536</v>
      </c>
      <c r="G44" s="114" t="n">
        <f aca="false">SUM(G12:G42)</f>
        <v>958</v>
      </c>
      <c r="H44" s="118" t="n">
        <f aca="false">SUM(H12:H42)</f>
        <v>1.9</v>
      </c>
      <c r="I44" s="114" t="n">
        <f aca="false">SUM(I12:I42)</f>
        <v>959.9</v>
      </c>
      <c r="J44" s="114" t="n">
        <f aca="false">SUM(J12:J42)</f>
        <v>306.983914797076</v>
      </c>
      <c r="K44" s="114" t="n">
        <f aca="false">SUM(K12:K42)</f>
        <v>1266.88391479708</v>
      </c>
      <c r="L44" s="114" t="n">
        <f aca="false">SUM(L12:L42)</f>
        <v>262.747106125536</v>
      </c>
      <c r="M44" s="213" t="n">
        <f aca="false">SUM(M12:M42)</f>
        <v>187.2</v>
      </c>
      <c r="N44" s="114" t="n">
        <f aca="false">SUM(N12:N42)</f>
        <v>0</v>
      </c>
      <c r="O44" s="114" t="n">
        <f aca="false">SUM(O12:O42)</f>
        <v>0</v>
      </c>
      <c r="P44" s="168" t="n">
        <f aca="false">SUM(P12:P42)</f>
        <v>187.2</v>
      </c>
      <c r="Q44" s="114" t="n">
        <f aca="false">SUM(Q12:Q42)</f>
        <v>0</v>
      </c>
      <c r="R44" s="114" t="n">
        <f aca="false">SUM(R12:R42)</f>
        <v>0</v>
      </c>
      <c r="S44" s="114" t="n">
        <f aca="false">SUM(S12:S42)</f>
        <v>187.2</v>
      </c>
      <c r="T44" s="114"/>
      <c r="U44" s="114" t="n">
        <f aca="false">SUM(U12:U42)</f>
        <v>0</v>
      </c>
      <c r="V44" s="114" t="n">
        <f aca="false">SUM(V12:V42)</f>
        <v>437.01</v>
      </c>
      <c r="W44" s="114"/>
      <c r="X44" s="114" t="n">
        <f aca="false">SUM(X12:X42)</f>
        <v>624.21</v>
      </c>
      <c r="Y44" s="114" t="n">
        <f aca="false">SUM(Y12:Y42)</f>
        <v>44.2368086715402</v>
      </c>
      <c r="Z44" s="114" t="n">
        <f aca="false">SUM(Z12:Z42)</f>
        <v>668.44680867154</v>
      </c>
      <c r="AA44" s="163" t="n">
        <f aca="false">SUM(AA12:AA42)</f>
        <v>0.22</v>
      </c>
      <c r="AB44" s="119" t="n">
        <f aca="false">AVERAGE(AB12:AB42)</f>
        <v>47.2258064516129</v>
      </c>
      <c r="AC44" s="169" t="n">
        <f aca="false">AVERAGE(AC12:AC42)</f>
        <v>22.6451612903226</v>
      </c>
      <c r="AD44" s="120" t="s">
        <v>70</v>
      </c>
      <c r="AE44" s="212"/>
      <c r="AF44" s="212"/>
    </row>
    <row r="45" customFormat="false" ht="11.1" hidden="false" customHeight="true" outlineLevel="0" collapsed="false">
      <c r="A45" s="113" t="s">
        <v>56</v>
      </c>
      <c r="B45" s="165"/>
      <c r="C45" s="114"/>
      <c r="D45" s="114" t="n">
        <f aca="false">SUM(D12:D42)</f>
        <v>1187</v>
      </c>
      <c r="E45" s="114"/>
      <c r="F45" s="166" t="n">
        <f aca="false">F44*$D$2</f>
        <v>1187</v>
      </c>
      <c r="G45" s="114" t="n">
        <f aca="false">G44*$D$2</f>
        <v>1900.193</v>
      </c>
      <c r="H45" s="118" t="n">
        <f aca="false">H44*$D$2</f>
        <v>3.76865</v>
      </c>
      <c r="I45" s="114" t="n">
        <f aca="false">I44*$D$2</f>
        <v>1903.96165</v>
      </c>
      <c r="J45" s="114" t="n">
        <f aca="false">J44*$D$2</f>
        <v>608.902595</v>
      </c>
      <c r="K45" s="114" t="n">
        <f aca="false">K44*$D$2</f>
        <v>2512.864245</v>
      </c>
      <c r="L45" s="114" t="n">
        <f aca="false">L44*$D$2</f>
        <v>521.158885</v>
      </c>
      <c r="M45" s="213" t="n">
        <f aca="false">M44*$D$2</f>
        <v>371.3112</v>
      </c>
      <c r="N45" s="114" t="n">
        <f aca="false">N44*$D$2</f>
        <v>0</v>
      </c>
      <c r="O45" s="114" t="n">
        <f aca="false">O44*$D$2</f>
        <v>0</v>
      </c>
      <c r="P45" s="168" t="n">
        <f aca="false">P44*$D$2</f>
        <v>371.3112</v>
      </c>
      <c r="Q45" s="114" t="n">
        <f aca="false">Q44*$D$2</f>
        <v>0</v>
      </c>
      <c r="R45" s="114" t="n">
        <f aca="false">R44*$D$2</f>
        <v>0</v>
      </c>
      <c r="S45" s="114" t="n">
        <f aca="false">S44*$D$2</f>
        <v>371.3112</v>
      </c>
      <c r="T45" s="114"/>
      <c r="U45" s="114" t="n">
        <f aca="false">U44*$D$2</f>
        <v>0</v>
      </c>
      <c r="V45" s="114" t="n">
        <f aca="false">V44*$D$2</f>
        <v>866.809335</v>
      </c>
      <c r="W45" s="114"/>
      <c r="X45" s="114" t="n">
        <f aca="false">X44*$D$2</f>
        <v>1238.120535</v>
      </c>
      <c r="Y45" s="114" t="n">
        <f aca="false">Y44*$D$2</f>
        <v>87.74371</v>
      </c>
      <c r="Z45" s="114" t="n">
        <f aca="false">Z44*$D$2</f>
        <v>1325.864245</v>
      </c>
      <c r="AA45" s="163"/>
      <c r="AB45" s="119" t="n">
        <f aca="false">MAX(AB12:AB42)</f>
        <v>54</v>
      </c>
      <c r="AC45" s="169" t="n">
        <f aca="false">MAX(AC12:AC42)</f>
        <v>31</v>
      </c>
      <c r="AD45" s="120" t="s">
        <v>57</v>
      </c>
      <c r="AE45" s="212"/>
      <c r="AF45" s="212"/>
    </row>
    <row r="46" customFormat="false" ht="3" hidden="false" customHeight="true" outlineLevel="0" collapsed="false">
      <c r="A46" s="171"/>
      <c r="B46" s="189"/>
      <c r="C46" s="173"/>
      <c r="D46" s="173"/>
      <c r="E46" s="173"/>
      <c r="F46" s="190"/>
      <c r="G46" s="173"/>
      <c r="H46" s="194"/>
      <c r="I46" s="173"/>
      <c r="J46" s="173"/>
      <c r="K46" s="173"/>
      <c r="L46" s="173"/>
      <c r="M46" s="216"/>
      <c r="N46" s="173"/>
      <c r="O46" s="173"/>
      <c r="P46" s="192"/>
      <c r="Q46" s="173"/>
      <c r="R46" s="173"/>
      <c r="S46" s="173"/>
      <c r="T46" s="173"/>
      <c r="U46" s="173"/>
      <c r="V46" s="173"/>
      <c r="W46" s="171"/>
      <c r="X46" s="173"/>
      <c r="Y46" s="173"/>
      <c r="Z46" s="173"/>
      <c r="AA46" s="193"/>
      <c r="AB46" s="173"/>
      <c r="AC46" s="190"/>
      <c r="AD46" s="173"/>
      <c r="AE46" s="173"/>
      <c r="AF46" s="173"/>
    </row>
    <row r="47" customFormat="false" ht="11.1" hidden="false" customHeight="true" outlineLevel="0" collapsed="false">
      <c r="A47" s="113" t="s">
        <v>58</v>
      </c>
      <c r="B47" s="165"/>
      <c r="C47" s="114"/>
      <c r="D47" s="114"/>
      <c r="E47" s="114"/>
      <c r="F47" s="166"/>
      <c r="G47" s="114"/>
      <c r="H47" s="118"/>
      <c r="I47" s="114"/>
      <c r="J47" s="114"/>
      <c r="K47" s="114"/>
      <c r="L47" s="114"/>
      <c r="M47" s="213"/>
      <c r="N47" s="114"/>
      <c r="O47" s="114"/>
      <c r="P47" s="168"/>
      <c r="Q47" s="114"/>
      <c r="R47" s="114"/>
      <c r="S47" s="114"/>
      <c r="T47" s="114"/>
      <c r="U47" s="114"/>
      <c r="V47" s="114"/>
      <c r="W47" s="114"/>
      <c r="X47" s="114"/>
      <c r="Y47" s="114"/>
      <c r="Z47" s="114"/>
      <c r="AA47" s="163"/>
      <c r="AB47" s="119" t="n">
        <f aca="false">MIN(AB12:AB42)</f>
        <v>37</v>
      </c>
      <c r="AC47" s="169" t="n">
        <f aca="false">MIN(AC12:AC42)</f>
        <v>10</v>
      </c>
      <c r="AD47" s="120" t="s">
        <v>59</v>
      </c>
      <c r="AE47" s="212"/>
      <c r="AF47" s="212"/>
    </row>
    <row r="48" customFormat="false" ht="11.1" hidden="false" customHeight="true" outlineLevel="0" collapsed="false">
      <c r="A48" s="113" t="s">
        <v>60</v>
      </c>
      <c r="B48" s="165"/>
      <c r="C48" s="114"/>
      <c r="D48" s="114"/>
      <c r="E48" s="114"/>
      <c r="F48" s="166"/>
      <c r="G48" s="114"/>
      <c r="H48" s="118"/>
      <c r="I48" s="114"/>
      <c r="J48" s="114"/>
      <c r="K48" s="114"/>
      <c r="L48" s="114"/>
      <c r="M48" s="213"/>
      <c r="N48" s="114"/>
      <c r="O48" s="114"/>
      <c r="P48" s="168"/>
      <c r="Q48" s="114"/>
      <c r="R48" s="114"/>
      <c r="S48" s="114"/>
      <c r="T48" s="114"/>
      <c r="U48" s="114"/>
      <c r="V48" s="114"/>
      <c r="W48" s="114"/>
      <c r="X48" s="114"/>
      <c r="Y48" s="114"/>
      <c r="Z48" s="114"/>
      <c r="AA48" s="163"/>
      <c r="AB48" s="119"/>
      <c r="AC48" s="169"/>
      <c r="AD48" s="120"/>
      <c r="AE48" s="212"/>
      <c r="AF48" s="212"/>
    </row>
    <row r="49" customFormat="false" ht="3" hidden="false" customHeight="true" outlineLevel="0" collapsed="false">
      <c r="A49" s="171"/>
      <c r="B49" s="189"/>
      <c r="C49" s="173"/>
      <c r="D49" s="173"/>
      <c r="E49" s="173"/>
      <c r="F49" s="190"/>
      <c r="G49" s="173"/>
      <c r="H49" s="194"/>
      <c r="I49" s="173"/>
      <c r="J49" s="173"/>
      <c r="K49" s="173"/>
      <c r="L49" s="173"/>
      <c r="M49" s="216"/>
      <c r="N49" s="173"/>
      <c r="O49" s="173"/>
      <c r="P49" s="192"/>
      <c r="Q49" s="173"/>
      <c r="R49" s="173"/>
      <c r="S49" s="173"/>
      <c r="T49" s="173"/>
      <c r="U49" s="173"/>
      <c r="V49" s="173"/>
      <c r="W49" s="173"/>
      <c r="X49" s="173"/>
      <c r="Y49" s="173"/>
      <c r="Z49" s="173"/>
      <c r="AA49" s="178"/>
      <c r="AB49" s="194"/>
      <c r="AC49" s="195"/>
      <c r="AD49" s="194"/>
      <c r="AE49" s="194"/>
      <c r="AF49" s="194"/>
    </row>
    <row r="50" customFormat="false" ht="11.1" hidden="false" customHeight="true" outlineLevel="0" collapsed="false">
      <c r="A50" s="113" t="s">
        <v>61</v>
      </c>
      <c r="B50" s="165"/>
      <c r="C50" s="114"/>
      <c r="D50" s="114"/>
      <c r="E50" s="114"/>
      <c r="F50" s="166" t="n">
        <f aca="false">F10+F44</f>
        <v>2056.46584320645</v>
      </c>
      <c r="G50" s="114" t="n">
        <f aca="false">G10+G44</f>
        <v>3950</v>
      </c>
      <c r="H50" s="118" t="n">
        <f aca="false">H10+H44</f>
        <v>1.9</v>
      </c>
      <c r="I50" s="114" t="n">
        <f aca="false">I10+I44</f>
        <v>3951.9</v>
      </c>
      <c r="J50" s="114" t="n">
        <f aca="false">J10+J44</f>
        <v>580.820758759768</v>
      </c>
      <c r="K50" s="114" t="n">
        <f aca="false">K10+K44</f>
        <v>4532.72075875977</v>
      </c>
      <c r="L50" s="114" t="n">
        <f aca="false">L10+L44</f>
        <v>49.5558432064532</v>
      </c>
      <c r="M50" s="213" t="n">
        <f aca="false">M10+M44</f>
        <v>514.1</v>
      </c>
      <c r="N50" s="114" t="n">
        <f aca="false">N10+N44</f>
        <v>0</v>
      </c>
      <c r="O50" s="114" t="n">
        <f aca="false">O10+O44</f>
        <v>0</v>
      </c>
      <c r="P50" s="168" t="n">
        <f aca="false">P10+P44</f>
        <v>514.1</v>
      </c>
      <c r="Q50" s="114" t="n">
        <f aca="false">Q10+Q44</f>
        <v>62</v>
      </c>
      <c r="R50" s="114" t="n">
        <f aca="false">R10+R44</f>
        <v>51</v>
      </c>
      <c r="S50" s="114" t="n">
        <f aca="false">S10+S44</f>
        <v>627.1</v>
      </c>
      <c r="T50" s="114"/>
      <c r="U50" s="114" t="n">
        <f aca="false">U10+U44</f>
        <v>0</v>
      </c>
      <c r="V50" s="114" t="n">
        <f aca="false">V10+V44</f>
        <v>1317.89</v>
      </c>
      <c r="W50" s="114" t="n">
        <f aca="false">W42</f>
        <v>1092.11</v>
      </c>
      <c r="X50" s="114" t="n">
        <f aca="false">X10+X44</f>
        <v>1944.99</v>
      </c>
      <c r="Y50" s="114" t="n">
        <f aca="false">Y10+Y44</f>
        <v>531.264915553315</v>
      </c>
      <c r="Z50" s="114" t="n">
        <f aca="false">Z10+Z44</f>
        <v>2476.25491555331</v>
      </c>
      <c r="AA50" s="163" t="n">
        <f aca="false">AA10+AA44</f>
        <v>2.27</v>
      </c>
      <c r="AB50" s="119"/>
      <c r="AC50" s="169"/>
      <c r="AD50" s="120"/>
      <c r="AE50" s="212"/>
      <c r="AF50" s="212"/>
    </row>
    <row r="51" customFormat="false" ht="11.1" hidden="false" customHeight="true" outlineLevel="0" collapsed="false">
      <c r="A51" s="113" t="s">
        <v>62</v>
      </c>
      <c r="B51" s="165"/>
      <c r="C51" s="114"/>
      <c r="D51" s="114" t="n">
        <f aca="false">D10+D45</f>
        <v>4079</v>
      </c>
      <c r="E51" s="114" t="n">
        <f aca="false">E42</f>
        <v>8646</v>
      </c>
      <c r="F51" s="166" t="n">
        <f aca="false">F50*$D$2</f>
        <v>4079</v>
      </c>
      <c r="G51" s="114" t="n">
        <f aca="false">G50*$D$2</f>
        <v>7834.825</v>
      </c>
      <c r="H51" s="118" t="n">
        <f aca="false">H50*$D$2</f>
        <v>3.76865</v>
      </c>
      <c r="I51" s="114" t="n">
        <f aca="false">I50*$D$2</f>
        <v>7838.59365</v>
      </c>
      <c r="J51" s="114" t="n">
        <f aca="false">J50*$D$2</f>
        <v>1152.057975</v>
      </c>
      <c r="K51" s="114" t="n">
        <f aca="false">K50*$D$2</f>
        <v>8990.651625</v>
      </c>
      <c r="L51" s="114" t="n">
        <f aca="false">L50*$D$2</f>
        <v>98.294015</v>
      </c>
      <c r="M51" s="213" t="n">
        <f aca="false">M50*$D$2</f>
        <v>1019.71735</v>
      </c>
      <c r="N51" s="114" t="n">
        <f aca="false">N50*$D$2</f>
        <v>0</v>
      </c>
      <c r="O51" s="114" t="n">
        <f aca="false">O50*$D$2</f>
        <v>0</v>
      </c>
      <c r="P51" s="168" t="n">
        <f aca="false">P50*$D$2</f>
        <v>1019.71735</v>
      </c>
      <c r="Q51" s="114" t="n">
        <f aca="false">Q50*$D$2</f>
        <v>122.977</v>
      </c>
      <c r="R51" s="114" t="n">
        <f aca="false">R50*$D$2</f>
        <v>101.1585</v>
      </c>
      <c r="S51" s="114" t="n">
        <f aca="false">S50*$D$2</f>
        <v>1243.85285</v>
      </c>
      <c r="T51" s="114" t="n">
        <f aca="false">T50*$D$2</f>
        <v>0</v>
      </c>
      <c r="U51" s="114" t="n">
        <f aca="false">U50*$D$2</f>
        <v>0</v>
      </c>
      <c r="V51" s="114" t="n">
        <f aca="false">V50*$D$2</f>
        <v>2614.034815</v>
      </c>
      <c r="W51" s="114" t="n">
        <f aca="false">W50*$D$2</f>
        <v>2166.200185</v>
      </c>
      <c r="X51" s="114" t="n">
        <f aca="false">X50*$D$2</f>
        <v>3857.887665</v>
      </c>
      <c r="Y51" s="114" t="n">
        <f aca="false">Y50*$D$2</f>
        <v>1053.76396</v>
      </c>
      <c r="Z51" s="114" t="n">
        <f aca="false">Z50*$D$2</f>
        <v>4911.651625</v>
      </c>
      <c r="AA51" s="163"/>
      <c r="AB51" s="119"/>
      <c r="AC51" s="169"/>
      <c r="AD51" s="120"/>
      <c r="AE51" s="212"/>
      <c r="AF51" s="212"/>
    </row>
    <row r="52" customFormat="false" ht="3" hidden="false" customHeight="true" outlineLevel="0" collapsed="false">
      <c r="A52" s="171"/>
      <c r="B52" s="189"/>
      <c r="C52" s="173"/>
      <c r="D52" s="171"/>
      <c r="E52" s="173"/>
      <c r="F52" s="174"/>
      <c r="G52" s="171"/>
      <c r="H52" s="194"/>
      <c r="I52" s="171"/>
      <c r="J52" s="171"/>
      <c r="K52" s="171"/>
      <c r="L52" s="171"/>
      <c r="M52" s="216"/>
      <c r="N52" s="171"/>
      <c r="O52" s="171"/>
      <c r="P52" s="177"/>
      <c r="Q52" s="171"/>
      <c r="R52" s="171"/>
      <c r="S52" s="171"/>
      <c r="T52" s="173"/>
      <c r="U52" s="171"/>
      <c r="V52" s="171"/>
      <c r="W52" s="173"/>
      <c r="X52" s="171"/>
      <c r="Y52" s="171"/>
      <c r="Z52" s="171"/>
      <c r="AA52" s="189"/>
      <c r="AB52" s="171"/>
      <c r="AC52" s="174"/>
      <c r="AD52" s="171"/>
      <c r="AE52" s="171"/>
      <c r="AF52" s="171"/>
    </row>
    <row r="53" customFormat="false" ht="11.1" hidden="false" customHeight="true" outlineLevel="0" collapsed="false">
      <c r="A53" s="113"/>
      <c r="B53" s="196"/>
      <c r="C53" s="114"/>
      <c r="D53" s="113"/>
      <c r="E53" s="114"/>
      <c r="F53" s="113"/>
      <c r="G53" s="113"/>
      <c r="H53" s="118"/>
      <c r="I53" s="113"/>
      <c r="J53" s="113"/>
      <c r="K53" s="113"/>
      <c r="L53" s="113"/>
      <c r="M53" s="200"/>
      <c r="N53" s="113"/>
      <c r="O53" s="113"/>
      <c r="P53" s="113"/>
      <c r="Q53" s="113"/>
      <c r="R53" s="113"/>
      <c r="S53" s="113"/>
      <c r="T53" s="114"/>
      <c r="U53" s="113"/>
      <c r="V53" s="113"/>
      <c r="W53" s="114"/>
      <c r="X53" s="113"/>
      <c r="Y53" s="113"/>
      <c r="Z53" s="113"/>
      <c r="AA53" s="118"/>
      <c r="AB53" s="119"/>
      <c r="AC53" s="119"/>
      <c r="AD53" s="120"/>
      <c r="AE53" s="201"/>
      <c r="AF53" s="201"/>
    </row>
    <row r="54" customFormat="false" ht="11.1" hidden="false" customHeight="true" outlineLevel="0" collapsed="false">
      <c r="A54" s="113"/>
      <c r="B54" s="197"/>
      <c r="C54" s="114"/>
      <c r="D54" s="187"/>
      <c r="E54" s="114"/>
      <c r="F54" s="113"/>
      <c r="G54" s="113"/>
      <c r="H54" s="118"/>
      <c r="I54" s="115"/>
      <c r="J54" s="113"/>
      <c r="K54" s="104"/>
      <c r="L54" s="113"/>
      <c r="M54" s="200"/>
      <c r="N54" s="113"/>
      <c r="O54" s="113"/>
      <c r="P54" s="113"/>
      <c r="Q54" s="113"/>
      <c r="R54" s="113"/>
      <c r="S54" s="113"/>
      <c r="T54" s="114"/>
      <c r="U54" s="113"/>
      <c r="V54" s="113"/>
      <c r="W54" s="114"/>
      <c r="X54" s="113"/>
      <c r="Y54" s="113"/>
      <c r="Z54" s="113"/>
      <c r="AA54" s="118"/>
      <c r="AB54" s="119"/>
      <c r="AC54" s="119"/>
      <c r="AD54" s="120"/>
      <c r="AE54" s="201"/>
      <c r="AF54" s="201"/>
    </row>
    <row r="55" customFormat="false" ht="11.1" hidden="false" customHeight="true" outlineLevel="0" collapsed="false">
      <c r="A55" s="187"/>
      <c r="B55" s="187"/>
      <c r="C55" s="114"/>
      <c r="D55" s="114"/>
      <c r="E55" s="114"/>
      <c r="F55" s="187"/>
      <c r="G55" s="187"/>
      <c r="H55" s="118"/>
      <c r="I55" s="187"/>
      <c r="J55" s="187"/>
      <c r="K55" s="187"/>
      <c r="L55" s="187"/>
      <c r="M55" s="200"/>
      <c r="N55" s="185"/>
      <c r="O55" s="185"/>
      <c r="P55" s="185"/>
      <c r="Q55" s="187"/>
      <c r="R55" s="187"/>
      <c r="S55" s="187"/>
      <c r="T55" s="114"/>
      <c r="U55" s="187"/>
      <c r="V55" s="187"/>
      <c r="W55" s="114"/>
      <c r="X55" s="187"/>
      <c r="Y55" s="187"/>
      <c r="Z55" s="187"/>
      <c r="AA55" s="118"/>
      <c r="AB55" s="119"/>
      <c r="AC55" s="119"/>
      <c r="AD55" s="120"/>
      <c r="AE55" s="219"/>
      <c r="AF55" s="219"/>
    </row>
    <row r="56" customFormat="false" ht="11.1" hidden="false" customHeight="true" outlineLevel="0" collapsed="false">
      <c r="A56" s="187"/>
      <c r="B56" s="117"/>
      <c r="C56" s="114"/>
      <c r="D56" s="114"/>
      <c r="E56" s="114"/>
      <c r="F56" s="187"/>
      <c r="G56" s="187"/>
      <c r="H56" s="118"/>
      <c r="I56" s="187"/>
      <c r="J56" s="187"/>
      <c r="K56" s="187"/>
      <c r="L56" s="187"/>
      <c r="M56" s="200"/>
      <c r="N56" s="185"/>
      <c r="O56" s="185"/>
      <c r="P56" s="187"/>
      <c r="Q56" s="187"/>
      <c r="R56" s="187"/>
      <c r="S56" s="114"/>
      <c r="T56" s="187"/>
      <c r="U56" s="187"/>
      <c r="V56" s="114"/>
      <c r="W56" s="187"/>
      <c r="X56" s="187"/>
      <c r="Y56" s="187"/>
      <c r="Z56" s="117"/>
      <c r="AA56" s="118"/>
      <c r="AB56" s="119"/>
      <c r="AC56" s="120"/>
      <c r="AD56" s="219"/>
      <c r="AE56" s="219"/>
    </row>
    <row r="57" customFormat="false" ht="11.1" hidden="false" customHeight="true" outlineLevel="0" collapsed="false">
      <c r="A57" s="187"/>
      <c r="B57" s="187"/>
      <c r="C57" s="114"/>
      <c r="D57" s="187"/>
      <c r="E57" s="114"/>
      <c r="F57" s="187"/>
      <c r="G57" s="198"/>
      <c r="H57" s="118"/>
      <c r="I57" s="187"/>
      <c r="J57" s="187"/>
      <c r="K57" s="187"/>
      <c r="L57" s="187"/>
      <c r="M57" s="200"/>
      <c r="N57" s="185"/>
      <c r="O57" s="185"/>
      <c r="P57" s="187"/>
      <c r="Q57" s="187"/>
      <c r="R57" s="187"/>
      <c r="S57" s="114"/>
      <c r="T57" s="187"/>
      <c r="U57" s="187"/>
      <c r="V57" s="114"/>
      <c r="W57" s="187"/>
      <c r="X57" s="187"/>
      <c r="Y57" s="187"/>
      <c r="Z57" s="117"/>
      <c r="AA57" s="118"/>
      <c r="AB57" s="119"/>
      <c r="AC57" s="120"/>
      <c r="AD57" s="219"/>
      <c r="AE57" s="219"/>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N28" activePane="bottomRight" state="frozen"/>
      <selection pane="topLeft" activeCell="A1" activeCellId="0" sqref="A1"/>
      <selection pane="topRight" activeCell="N1" activeCellId="0" sqref="N1"/>
      <selection pane="bottomLeft" activeCell="A28" activeCellId="0" sqref="A28"/>
      <selection pane="bottomRight" activeCell="AE6" activeCellId="0" sqref="AE6"/>
    </sheetView>
  </sheetViews>
  <sheetFormatPr defaultColWidth="9.328125" defaultRowHeight="11.1" zeroHeight="false" outlineLevelRow="0" outlineLevelCol="0"/>
  <cols>
    <col collapsed="false" customWidth="true" hidden="false" outlineLevel="0" max="1" min="1" style="106" width="5.66"/>
    <col collapsed="false" customWidth="true" hidden="false" outlineLevel="0" max="2" min="2" style="106" width="7.49"/>
    <col collapsed="false" customWidth="true" hidden="false" outlineLevel="0" max="3" min="3" style="107" width="6.82"/>
    <col collapsed="false" customWidth="true" hidden="false" outlineLevel="0" max="4" min="4" style="106" width="6.99"/>
    <col collapsed="false" customWidth="true" hidden="false" outlineLevel="0" max="5" min="5" style="107" width="7.66"/>
    <col collapsed="false" customWidth="true" hidden="false" outlineLevel="0" max="6" min="6" style="106" width="7.66"/>
    <col collapsed="false" customWidth="true" hidden="false" outlineLevel="0" max="7" min="7" style="106" width="7.16"/>
    <col collapsed="false" customWidth="true" hidden="false" outlineLevel="0" max="8" min="8" style="199" width="6.66"/>
    <col collapsed="false" customWidth="true" hidden="false" outlineLevel="0" max="9" min="9" style="106" width="7.99"/>
    <col collapsed="false" customWidth="true" hidden="false" outlineLevel="0" max="11" min="10" style="106" width="6.66"/>
    <col collapsed="false" customWidth="true" hidden="false" outlineLevel="0" max="12" min="12"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10" width="7.16"/>
    <col collapsed="false" customWidth="true" hidden="false" outlineLevel="0" max="18" min="17" style="106" width="5.49"/>
    <col collapsed="false" customWidth="true" hidden="false" outlineLevel="0" max="19" min="19" style="107" width="6.82"/>
    <col collapsed="false" customWidth="true" hidden="false" outlineLevel="0" max="20" min="20" style="106" width="6.49"/>
    <col collapsed="false" customWidth="true" hidden="false" outlineLevel="0" max="21" min="21" style="106" width="5.66"/>
    <col collapsed="false" customWidth="true" hidden="false" outlineLevel="0" max="22" min="22" style="107" width="6.16"/>
    <col collapsed="false" customWidth="true" hidden="false" outlineLevel="0" max="23" min="23" style="106" width="6.82"/>
    <col collapsed="false" customWidth="true" hidden="false" outlineLevel="0" max="25" min="24" style="106" width="7.82"/>
    <col collapsed="false" customWidth="true" hidden="false" outlineLevel="0" max="26" min="26" style="110" width="7.82"/>
    <col collapsed="false" customWidth="true" hidden="false" outlineLevel="0" max="27" min="27" style="108" width="5.32"/>
    <col collapsed="false" customWidth="true" hidden="false" outlineLevel="0" max="28" min="28" style="111" width="3.82"/>
    <col collapsed="false" customWidth="true" hidden="false" outlineLevel="0" max="29" min="29" style="112" width="3.82"/>
    <col collapsed="false" customWidth="true" hidden="false" outlineLevel="0" max="30" min="30" style="109" width="5.99"/>
    <col collapsed="false" customWidth="true" hidden="false" outlineLevel="0" max="31" min="31" style="106" width="6.66"/>
    <col collapsed="false" customWidth="false" hidden="false" outlineLevel="0" max="257" min="32" style="106" width="9.32"/>
  </cols>
  <sheetData>
    <row r="1" customFormat="false" ht="14.1" hidden="false" customHeight="true" outlineLevel="0" collapsed="false">
      <c r="A1" s="113" t="s">
        <v>71</v>
      </c>
      <c r="B1" s="113"/>
      <c r="C1" s="114"/>
      <c r="D1" s="113"/>
      <c r="E1" s="114"/>
      <c r="F1" s="113"/>
      <c r="G1" s="113"/>
      <c r="H1" s="200"/>
      <c r="I1" s="113"/>
      <c r="J1" s="113"/>
      <c r="K1" s="116" t="s">
        <v>0</v>
      </c>
      <c r="L1" s="113"/>
      <c r="M1" s="113"/>
      <c r="N1" s="113"/>
      <c r="O1" s="113"/>
      <c r="P1" s="117"/>
      <c r="Q1" s="113"/>
      <c r="R1" s="113"/>
      <c r="S1" s="114"/>
      <c r="T1" s="113"/>
      <c r="U1" s="113"/>
      <c r="V1" s="114"/>
      <c r="W1" s="113"/>
      <c r="X1" s="113"/>
      <c r="Y1" s="113"/>
      <c r="Z1" s="117"/>
      <c r="AA1" s="118"/>
      <c r="AB1" s="119"/>
      <c r="AC1" s="120"/>
      <c r="AD1" s="220"/>
      <c r="AE1" s="201"/>
    </row>
    <row r="2" customFormat="false" ht="14.1" hidden="false" customHeight="true" outlineLevel="0" collapsed="false">
      <c r="A2" s="113" t="s">
        <v>1</v>
      </c>
      <c r="B2" s="113"/>
      <c r="C2" s="114"/>
      <c r="D2" s="121" t="n">
        <v>1.9835</v>
      </c>
      <c r="E2" s="114"/>
      <c r="F2" s="113"/>
      <c r="G2" s="113"/>
      <c r="H2" s="200"/>
      <c r="I2" s="113"/>
      <c r="J2" s="113"/>
      <c r="K2" s="122" t="s">
        <v>72</v>
      </c>
      <c r="L2" s="122"/>
      <c r="M2" s="122"/>
      <c r="N2" s="122"/>
      <c r="O2" s="122"/>
      <c r="P2" s="122"/>
      <c r="Q2" s="122"/>
      <c r="R2" s="122"/>
      <c r="S2" s="122"/>
      <c r="T2" s="122"/>
      <c r="U2" s="113"/>
      <c r="V2" s="114"/>
      <c r="W2" s="113"/>
      <c r="X2" s="113"/>
      <c r="Y2" s="113"/>
      <c r="Z2" s="117"/>
      <c r="AA2" s="118"/>
      <c r="AB2" s="119"/>
      <c r="AC2" s="120"/>
      <c r="AD2" s="220"/>
      <c r="AE2" s="201"/>
    </row>
    <row r="3" customFormat="false" ht="14.1" hidden="false" customHeight="true" outlineLevel="0" collapsed="false">
      <c r="A3" s="123"/>
      <c r="B3" s="123"/>
      <c r="C3" s="124"/>
      <c r="D3" s="125"/>
      <c r="E3" s="124"/>
      <c r="F3" s="123"/>
      <c r="G3" s="123"/>
      <c r="H3" s="202"/>
      <c r="I3" s="123"/>
      <c r="J3" s="123"/>
      <c r="K3" s="123"/>
      <c r="L3" s="123"/>
      <c r="M3" s="123"/>
      <c r="N3" s="123"/>
      <c r="O3" s="123"/>
      <c r="P3" s="127"/>
      <c r="Q3" s="123"/>
      <c r="R3" s="123"/>
      <c r="S3" s="124"/>
      <c r="T3" s="123"/>
      <c r="U3" s="123"/>
      <c r="V3" s="124"/>
      <c r="W3" s="123"/>
      <c r="X3" s="123"/>
      <c r="Y3" s="123"/>
      <c r="Z3" s="127"/>
      <c r="AA3" s="128"/>
      <c r="AB3" s="129"/>
      <c r="AC3" s="130"/>
      <c r="AD3" s="221"/>
      <c r="AE3" s="203"/>
      <c r="AF3" s="131"/>
    </row>
    <row r="4" customFormat="false" ht="14.1" hidden="false" customHeight="true" outlineLevel="0" collapsed="false">
      <c r="A4" s="113"/>
      <c r="B4" s="132"/>
      <c r="C4" s="133"/>
      <c r="D4" s="204" t="s">
        <v>3</v>
      </c>
      <c r="E4" s="133"/>
      <c r="F4" s="135"/>
      <c r="G4" s="113"/>
      <c r="H4" s="200"/>
      <c r="I4" s="113"/>
      <c r="J4" s="113"/>
      <c r="K4" s="113"/>
      <c r="L4" s="113"/>
      <c r="M4" s="113"/>
      <c r="N4" s="113"/>
      <c r="O4" s="113"/>
      <c r="P4" s="117"/>
      <c r="Q4" s="136" t="s">
        <v>4</v>
      </c>
      <c r="R4" s="113"/>
      <c r="S4" s="114"/>
      <c r="T4" s="113"/>
      <c r="U4" s="113"/>
      <c r="V4" s="114"/>
      <c r="W4" s="113"/>
      <c r="X4" s="113"/>
      <c r="Y4" s="113"/>
      <c r="Z4" s="117"/>
      <c r="AA4" s="137"/>
      <c r="AB4" s="138" t="s">
        <v>5</v>
      </c>
      <c r="AC4" s="139"/>
      <c r="AD4" s="220"/>
      <c r="AE4" s="201"/>
    </row>
    <row r="5" customFormat="false" ht="11.1" hidden="false" customHeight="true" outlineLevel="0" collapsed="false">
      <c r="A5" s="140" t="s">
        <v>6</v>
      </c>
      <c r="B5" s="141" t="s">
        <v>7</v>
      </c>
      <c r="C5" s="142" t="s">
        <v>7</v>
      </c>
      <c r="D5" s="140" t="s">
        <v>8</v>
      </c>
      <c r="E5" s="142" t="s">
        <v>9</v>
      </c>
      <c r="F5" s="143" t="s">
        <v>10</v>
      </c>
      <c r="G5" s="140" t="s">
        <v>11</v>
      </c>
      <c r="H5" s="222" t="s">
        <v>12</v>
      </c>
      <c r="I5" s="140" t="s">
        <v>13</v>
      </c>
      <c r="J5" s="140" t="s">
        <v>14</v>
      </c>
      <c r="K5" s="140" t="s">
        <v>15</v>
      </c>
      <c r="L5" s="140" t="s">
        <v>14</v>
      </c>
      <c r="M5" s="145" t="s">
        <v>16</v>
      </c>
      <c r="N5" s="145"/>
      <c r="O5" s="145"/>
      <c r="P5" s="145"/>
      <c r="Q5" s="140" t="s">
        <v>17</v>
      </c>
      <c r="R5" s="140" t="s">
        <v>18</v>
      </c>
      <c r="S5" s="140" t="s">
        <v>15</v>
      </c>
      <c r="T5" s="142" t="s">
        <v>19</v>
      </c>
      <c r="U5" s="140" t="s">
        <v>20</v>
      </c>
      <c r="V5" s="140" t="s">
        <v>21</v>
      </c>
      <c r="W5" s="142" t="s">
        <v>22</v>
      </c>
      <c r="X5" s="140" t="s">
        <v>13</v>
      </c>
      <c r="Y5" s="140" t="s">
        <v>14</v>
      </c>
      <c r="Z5" s="140" t="s">
        <v>15</v>
      </c>
      <c r="AA5" s="146" t="s">
        <v>23</v>
      </c>
      <c r="AB5" s="147" t="s">
        <v>24</v>
      </c>
      <c r="AC5" s="148" t="s">
        <v>25</v>
      </c>
      <c r="AD5" s="223" t="s">
        <v>64</v>
      </c>
      <c r="AE5" s="207" t="s">
        <v>19</v>
      </c>
      <c r="AF5" s="201"/>
    </row>
    <row r="6" customFormat="false" ht="11.1" hidden="false" customHeight="true" outlineLevel="0" collapsed="false">
      <c r="A6" s="150" t="s">
        <v>73</v>
      </c>
      <c r="B6" s="141" t="s">
        <v>28</v>
      </c>
      <c r="C6" s="142" t="s">
        <v>8</v>
      </c>
      <c r="D6" s="140" t="s">
        <v>29</v>
      </c>
      <c r="E6" s="142" t="s">
        <v>30</v>
      </c>
      <c r="F6" s="143" t="s">
        <v>31</v>
      </c>
      <c r="G6" s="140" t="s">
        <v>32</v>
      </c>
      <c r="H6" s="222" t="s">
        <v>33</v>
      </c>
      <c r="I6" s="140" t="s">
        <v>34</v>
      </c>
      <c r="J6" s="140" t="s">
        <v>34</v>
      </c>
      <c r="K6" s="140" t="s">
        <v>34</v>
      </c>
      <c r="L6" s="140" t="s">
        <v>35</v>
      </c>
      <c r="M6" s="151" t="s">
        <v>36</v>
      </c>
      <c r="N6" s="140" t="s">
        <v>37</v>
      </c>
      <c r="O6" s="140" t="s">
        <v>38</v>
      </c>
      <c r="P6" s="224" t="s">
        <v>39</v>
      </c>
      <c r="Q6" s="140" t="s">
        <v>40</v>
      </c>
      <c r="R6" s="140" t="s">
        <v>41</v>
      </c>
      <c r="S6" s="140" t="s">
        <v>19</v>
      </c>
      <c r="T6" s="142" t="s">
        <v>42</v>
      </c>
      <c r="U6" s="140" t="s">
        <v>43</v>
      </c>
      <c r="V6" s="140" t="s">
        <v>44</v>
      </c>
      <c r="W6" s="142" t="s">
        <v>45</v>
      </c>
      <c r="X6" s="140" t="s">
        <v>46</v>
      </c>
      <c r="Y6" s="140" t="s">
        <v>46</v>
      </c>
      <c r="Z6" s="140" t="s">
        <v>46</v>
      </c>
      <c r="AA6" s="153"/>
      <c r="AB6" s="147" t="s">
        <v>47</v>
      </c>
      <c r="AC6" s="148" t="s">
        <v>47</v>
      </c>
      <c r="AD6" s="225" t="s">
        <v>42</v>
      </c>
      <c r="AE6" s="207" t="s">
        <v>42</v>
      </c>
      <c r="AF6" s="201"/>
    </row>
    <row r="7" customFormat="false" ht="11.1" hidden="false" customHeight="true" outlineLevel="0" collapsed="false">
      <c r="A7" s="155"/>
      <c r="B7" s="156"/>
      <c r="C7" s="157"/>
      <c r="D7" s="155"/>
      <c r="E7" s="158" t="s">
        <v>48</v>
      </c>
      <c r="F7" s="159"/>
      <c r="G7" s="155"/>
      <c r="H7" s="226"/>
      <c r="I7" s="155"/>
      <c r="J7" s="155"/>
      <c r="K7" s="155"/>
      <c r="L7" s="155"/>
      <c r="M7" s="161"/>
      <c r="N7" s="155"/>
      <c r="O7" s="155"/>
      <c r="P7" s="227"/>
      <c r="Q7" s="155"/>
      <c r="R7" s="155"/>
      <c r="S7" s="155"/>
      <c r="T7" s="158" t="s">
        <v>49</v>
      </c>
      <c r="U7" s="155"/>
      <c r="V7" s="155"/>
      <c r="W7" s="157"/>
      <c r="X7" s="155"/>
      <c r="Y7" s="155"/>
      <c r="Z7" s="155"/>
      <c r="AA7" s="163"/>
      <c r="AB7" s="154" t="s">
        <v>50</v>
      </c>
      <c r="AC7" s="164"/>
      <c r="AD7" s="228"/>
      <c r="AE7" s="207" t="s">
        <v>51</v>
      </c>
      <c r="AF7" s="212"/>
    </row>
    <row r="8" customFormat="false" ht="11.1" hidden="false" customHeight="true" outlineLevel="0" collapsed="false">
      <c r="A8" s="155"/>
      <c r="B8" s="156"/>
      <c r="C8" s="157"/>
      <c r="D8" s="155"/>
      <c r="E8" s="157"/>
      <c r="F8" s="159"/>
      <c r="G8" s="155"/>
      <c r="H8" s="226"/>
      <c r="I8" s="155"/>
      <c r="J8" s="155"/>
      <c r="K8" s="155"/>
      <c r="L8" s="155"/>
      <c r="M8" s="161"/>
      <c r="N8" s="155"/>
      <c r="O8" s="155"/>
      <c r="P8" s="227"/>
      <c r="Q8" s="155"/>
      <c r="R8" s="155"/>
      <c r="S8" s="155"/>
      <c r="T8" s="157"/>
      <c r="U8" s="155"/>
      <c r="V8" s="155"/>
      <c r="W8" s="157"/>
      <c r="X8" s="155"/>
      <c r="Y8" s="155"/>
      <c r="Z8" s="155"/>
      <c r="AA8" s="163"/>
      <c r="AB8" s="120"/>
      <c r="AC8" s="164"/>
      <c r="AD8" s="228"/>
      <c r="AE8" s="212"/>
      <c r="AF8" s="212"/>
    </row>
    <row r="9" customFormat="false" ht="11.1" hidden="false" customHeight="true" outlineLevel="0" collapsed="false">
      <c r="A9" s="113" t="s">
        <v>52</v>
      </c>
      <c r="B9" s="165"/>
      <c r="C9" s="114"/>
      <c r="D9" s="114"/>
      <c r="E9" s="114"/>
      <c r="F9" s="166"/>
      <c r="G9" s="114"/>
      <c r="H9" s="200"/>
      <c r="I9" s="114"/>
      <c r="J9" s="114"/>
      <c r="K9" s="114"/>
      <c r="L9" s="114"/>
      <c r="M9" s="167"/>
      <c r="N9" s="114"/>
      <c r="O9" s="114"/>
      <c r="P9" s="229"/>
      <c r="Q9" s="114"/>
      <c r="R9" s="114"/>
      <c r="S9" s="114"/>
      <c r="T9" s="114"/>
      <c r="U9" s="114"/>
      <c r="V9" s="114"/>
      <c r="W9" s="114"/>
      <c r="X9" s="114"/>
      <c r="Y9" s="114"/>
      <c r="Z9" s="114"/>
      <c r="AA9" s="163"/>
      <c r="AB9" s="119"/>
      <c r="AC9" s="169"/>
      <c r="AD9" s="228"/>
      <c r="AE9" s="212"/>
      <c r="AF9" s="214"/>
    </row>
    <row r="10" s="107" customFormat="true" ht="11.1" hidden="false" customHeight="true" outlineLevel="0" collapsed="false">
      <c r="A10" s="114" t="s">
        <v>53</v>
      </c>
      <c r="B10" s="170" t="n">
        <f aca="false">JAN!B42</f>
        <v>6858.93</v>
      </c>
      <c r="C10" s="114" t="n">
        <f aca="false">JAN!C42</f>
        <v>160646</v>
      </c>
      <c r="D10" s="114" t="n">
        <f aca="false">JAN!$D$51</f>
        <v>4079</v>
      </c>
      <c r="E10" s="114" t="n">
        <f aca="false">JAN!$E$42</f>
        <v>8646</v>
      </c>
      <c r="F10" s="166" t="n">
        <f aca="false">JAN!F50</f>
        <v>2056.46584320645</v>
      </c>
      <c r="G10" s="114" t="n">
        <f aca="false">JAN!G50</f>
        <v>3950</v>
      </c>
      <c r="H10" s="200" t="n">
        <f aca="false">JAN!H50</f>
        <v>1.9</v>
      </c>
      <c r="I10" s="114" t="n">
        <f aca="false">JAN!I50</f>
        <v>3951.9</v>
      </c>
      <c r="J10" s="114" t="n">
        <f aca="false">JAN!J50</f>
        <v>580.820758759768</v>
      </c>
      <c r="K10" s="114" t="n">
        <f aca="false">JAN!K50</f>
        <v>4532.72075875977</v>
      </c>
      <c r="L10" s="114" t="n">
        <f aca="false">JAN!L50</f>
        <v>49.5558432064532</v>
      </c>
      <c r="M10" s="167" t="n">
        <f aca="false">JAN!M50</f>
        <v>514.1</v>
      </c>
      <c r="N10" s="114" t="n">
        <f aca="false">JAN!N50</f>
        <v>0</v>
      </c>
      <c r="O10" s="114" t="n">
        <f aca="false">JAN!O50</f>
        <v>0</v>
      </c>
      <c r="P10" s="229" t="n">
        <f aca="false">JAN!P50</f>
        <v>514.1</v>
      </c>
      <c r="Q10" s="114" t="n">
        <f aca="false">JAN!Q50</f>
        <v>62</v>
      </c>
      <c r="R10" s="114" t="n">
        <f aca="false">JAN!R50</f>
        <v>51</v>
      </c>
      <c r="S10" s="114" t="n">
        <f aca="false">JAN!S50</f>
        <v>627.1</v>
      </c>
      <c r="T10" s="114" t="n">
        <f aca="false">JAN!T50</f>
        <v>0</v>
      </c>
      <c r="U10" s="114" t="n">
        <f aca="false">JAN!U50</f>
        <v>0</v>
      </c>
      <c r="V10" s="114" t="n">
        <f aca="false">JAN!V50</f>
        <v>1317.89</v>
      </c>
      <c r="W10" s="114" t="n">
        <f aca="false">JAN!W50</f>
        <v>1092.11</v>
      </c>
      <c r="X10" s="114" t="n">
        <f aca="false">JAN!X50</f>
        <v>1944.99</v>
      </c>
      <c r="Y10" s="114" t="n">
        <f aca="false">JAN!Y50</f>
        <v>531.264915553315</v>
      </c>
      <c r="Z10" s="114" t="n">
        <f aca="false">JAN!Z50</f>
        <v>2476.25491555331</v>
      </c>
      <c r="AA10" s="163" t="n">
        <f aca="false">JAN!AA50</f>
        <v>2.27</v>
      </c>
      <c r="AB10" s="119"/>
      <c r="AC10" s="169"/>
      <c r="AD10" s="228"/>
      <c r="AE10" s="215"/>
      <c r="AF10" s="212"/>
    </row>
    <row r="11" customFormat="false" ht="3" hidden="false" customHeight="true" outlineLevel="0" collapsed="false">
      <c r="A11" s="171"/>
      <c r="B11" s="172"/>
      <c r="C11" s="173"/>
      <c r="D11" s="171"/>
      <c r="E11" s="173"/>
      <c r="F11" s="174"/>
      <c r="G11" s="171"/>
      <c r="H11" s="230"/>
      <c r="I11" s="171"/>
      <c r="J11" s="171"/>
      <c r="K11" s="171"/>
      <c r="L11" s="171"/>
      <c r="M11" s="176"/>
      <c r="N11" s="171"/>
      <c r="O11" s="171"/>
      <c r="P11" s="231"/>
      <c r="Q11" s="171"/>
      <c r="R11" s="171"/>
      <c r="S11" s="171"/>
      <c r="T11" s="173"/>
      <c r="U11" s="171"/>
      <c r="V11" s="171"/>
      <c r="W11" s="173"/>
      <c r="X11" s="171"/>
      <c r="Y11" s="171"/>
      <c r="Z11" s="171"/>
      <c r="AA11" s="178"/>
      <c r="AB11" s="179"/>
      <c r="AC11" s="180"/>
      <c r="AD11" s="232"/>
      <c r="AE11" s="181"/>
      <c r="AF11" s="181"/>
    </row>
    <row r="12" customFormat="false" ht="11.1" hidden="false" customHeight="true" outlineLevel="0" collapsed="false">
      <c r="A12" s="120" t="n">
        <v>1</v>
      </c>
      <c r="B12" s="170" t="n">
        <v>6858.96</v>
      </c>
      <c r="C12" s="114" t="n">
        <v>160713</v>
      </c>
      <c r="D12" s="119" t="n">
        <f aca="false">C12-C10</f>
        <v>67</v>
      </c>
      <c r="E12" s="114" t="n">
        <f aca="false">C12-152000</f>
        <v>8713</v>
      </c>
      <c r="F12" s="182" t="n">
        <f aca="false">D12/$D$2</f>
        <v>33.7786740610033</v>
      </c>
      <c r="G12" s="183" t="n">
        <v>28</v>
      </c>
      <c r="H12" s="233" t="n">
        <v>0.47</v>
      </c>
      <c r="I12" s="113" t="n">
        <f aca="false">G12+H12</f>
        <v>28.47</v>
      </c>
      <c r="J12" s="185" t="n">
        <f aca="false">IF(L12&gt;0,L12,0)</f>
        <v>27.3086740610033</v>
      </c>
      <c r="K12" s="113" t="n">
        <f aca="false">I12+J12</f>
        <v>55.7786740610033</v>
      </c>
      <c r="L12" s="113" t="n">
        <f aca="false">F12-(I12-X12)</f>
        <v>27.3086740610033</v>
      </c>
      <c r="M12" s="186" t="n">
        <v>8</v>
      </c>
      <c r="N12" s="113" t="n">
        <v>0</v>
      </c>
      <c r="O12" s="113" t="n">
        <v>0</v>
      </c>
      <c r="P12" s="234" t="n">
        <f aca="false">M12-(N12+O12)</f>
        <v>8</v>
      </c>
      <c r="Q12" s="183" t="n">
        <v>0</v>
      </c>
      <c r="R12" s="183" t="n">
        <v>0</v>
      </c>
      <c r="S12" s="113" t="n">
        <f aca="false">SUM(P12:R12)</f>
        <v>8</v>
      </c>
      <c r="T12" s="114"/>
      <c r="U12" s="183" t="n">
        <v>0</v>
      </c>
      <c r="V12" s="183" t="n">
        <v>14</v>
      </c>
      <c r="W12" s="114" t="n">
        <f aca="false">W10-V12</f>
        <v>1078.11</v>
      </c>
      <c r="X12" s="6" t="n">
        <f aca="false">N12+O12+S12+U12+V12</f>
        <v>22</v>
      </c>
      <c r="Y12" s="113" t="n">
        <f aca="false">IF(L12&lt;0,L12*-1,0)</f>
        <v>0</v>
      </c>
      <c r="Z12" s="113" t="n">
        <f aca="false">X12+Y12</f>
        <v>22</v>
      </c>
      <c r="AA12" s="163" t="n">
        <v>0</v>
      </c>
      <c r="AB12" s="119" t="n">
        <v>53</v>
      </c>
      <c r="AC12" s="169" t="n">
        <v>30</v>
      </c>
      <c r="AD12" s="228"/>
      <c r="AE12" s="214"/>
      <c r="AF12" s="215"/>
    </row>
    <row r="13" customFormat="false" ht="11.1" hidden="false" customHeight="true" outlineLevel="0" collapsed="false">
      <c r="A13" s="120" t="n">
        <f aca="false">A12+1</f>
        <v>2</v>
      </c>
      <c r="B13" s="170" t="n">
        <v>6858.98</v>
      </c>
      <c r="C13" s="114" t="n">
        <v>160758</v>
      </c>
      <c r="D13" s="119" t="n">
        <f aca="false">C13-C12</f>
        <v>45</v>
      </c>
      <c r="E13" s="114" t="n">
        <f aca="false">C13-152000</f>
        <v>8758</v>
      </c>
      <c r="F13" s="182" t="n">
        <f aca="false">D13/$D$2</f>
        <v>22.68716914545</v>
      </c>
      <c r="G13" s="183" t="n">
        <v>35</v>
      </c>
      <c r="H13" s="233" t="n">
        <v>0.6</v>
      </c>
      <c r="I13" s="113" t="n">
        <f aca="false">G13+H13</f>
        <v>35.6</v>
      </c>
      <c r="J13" s="185" t="n">
        <f aca="false">IF(L13&gt;0,L13,0)</f>
        <v>9.08716914544996</v>
      </c>
      <c r="K13" s="113" t="n">
        <f aca="false">I13+J13</f>
        <v>44.68716914545</v>
      </c>
      <c r="L13" s="113" t="n">
        <f aca="false">F13-(I13-X13)</f>
        <v>9.08716914544996</v>
      </c>
      <c r="M13" s="186" t="n">
        <v>8</v>
      </c>
      <c r="N13" s="113" t="n">
        <v>0</v>
      </c>
      <c r="O13" s="113" t="n">
        <v>0</v>
      </c>
      <c r="P13" s="234" t="n">
        <f aca="false">M13-(N13+O13)</f>
        <v>8</v>
      </c>
      <c r="Q13" s="183" t="n">
        <v>0</v>
      </c>
      <c r="R13" s="183" t="n">
        <v>0</v>
      </c>
      <c r="S13" s="113" t="n">
        <f aca="false">SUM(P13:R13)</f>
        <v>8</v>
      </c>
      <c r="T13" s="114"/>
      <c r="U13" s="183" t="n">
        <v>0</v>
      </c>
      <c r="V13" s="183" t="n">
        <v>14</v>
      </c>
      <c r="W13" s="114" t="n">
        <f aca="false">W12-V13</f>
        <v>1064.11</v>
      </c>
      <c r="X13" s="6" t="n">
        <f aca="false">N13+O13+S13+U13+V13</f>
        <v>22</v>
      </c>
      <c r="Y13" s="113" t="n">
        <f aca="false">IF(L13&lt;0,L13*-1,0)</f>
        <v>0</v>
      </c>
      <c r="Z13" s="113" t="n">
        <f aca="false">X13+Y13</f>
        <v>22</v>
      </c>
      <c r="AA13" s="163" t="n">
        <v>0.08</v>
      </c>
      <c r="AB13" s="119" t="n">
        <v>47</v>
      </c>
      <c r="AC13" s="169" t="n">
        <v>35</v>
      </c>
      <c r="AD13" s="228"/>
      <c r="AE13" s="214"/>
      <c r="AF13" s="215"/>
    </row>
    <row r="14" customFormat="false" ht="11.1" hidden="false" customHeight="true" outlineLevel="0" collapsed="false">
      <c r="A14" s="120" t="n">
        <f aca="false">A13+1</f>
        <v>3</v>
      </c>
      <c r="B14" s="170" t="n">
        <v>6858.98</v>
      </c>
      <c r="C14" s="114" t="n">
        <v>160758</v>
      </c>
      <c r="D14" s="119" t="n">
        <f aca="false">C14-C13</f>
        <v>0</v>
      </c>
      <c r="E14" s="114" t="n">
        <f aca="false">C14-152000</f>
        <v>8758</v>
      </c>
      <c r="F14" s="182" t="n">
        <f aca="false">D14/$D$2</f>
        <v>0</v>
      </c>
      <c r="G14" s="183" t="n">
        <v>34</v>
      </c>
      <c r="H14" s="233" t="n">
        <v>0.64</v>
      </c>
      <c r="I14" s="113" t="n">
        <f aca="false">G14+H14</f>
        <v>34.64</v>
      </c>
      <c r="J14" s="185" t="n">
        <f aca="false">IF(L14&gt;0,L14,0)</f>
        <v>0</v>
      </c>
      <c r="K14" s="113" t="n">
        <f aca="false">I14+J14</f>
        <v>34.64</v>
      </c>
      <c r="L14" s="113" t="n">
        <f aca="false">F14-(I14-X14)</f>
        <v>-12.94</v>
      </c>
      <c r="M14" s="186" t="n">
        <v>7.7</v>
      </c>
      <c r="N14" s="113" t="n">
        <v>0</v>
      </c>
      <c r="O14" s="113" t="n">
        <v>0</v>
      </c>
      <c r="P14" s="234" t="n">
        <f aca="false">M14-(N14+O14)</f>
        <v>7.7</v>
      </c>
      <c r="Q14" s="183" t="n">
        <v>0</v>
      </c>
      <c r="R14" s="183" t="n">
        <v>0</v>
      </c>
      <c r="S14" s="113" t="n">
        <f aca="false">SUM(P14:R14)</f>
        <v>7.7</v>
      </c>
      <c r="T14" s="114"/>
      <c r="U14" s="183" t="n">
        <v>0</v>
      </c>
      <c r="V14" s="183" t="n">
        <v>14</v>
      </c>
      <c r="W14" s="114" t="n">
        <f aca="false">W13-V14</f>
        <v>1050.11</v>
      </c>
      <c r="X14" s="6" t="n">
        <f aca="false">N14+O14+S14+U14+V14</f>
        <v>21.7</v>
      </c>
      <c r="Y14" s="113" t="n">
        <f aca="false">IF(L14&lt;0,L14*-1,0)</f>
        <v>12.94</v>
      </c>
      <c r="Z14" s="113" t="n">
        <f aca="false">X14+Y14</f>
        <v>34.64</v>
      </c>
      <c r="AA14" s="163" t="n">
        <v>0</v>
      </c>
      <c r="AB14" s="119" t="n">
        <v>35</v>
      </c>
      <c r="AC14" s="169" t="n">
        <v>14</v>
      </c>
      <c r="AD14" s="228"/>
      <c r="AE14" s="214"/>
      <c r="AF14" s="215"/>
    </row>
    <row r="15" customFormat="false" ht="11.1" hidden="false" customHeight="true" outlineLevel="0" collapsed="false">
      <c r="A15" s="120" t="n">
        <f aca="false">A14+1</f>
        <v>4</v>
      </c>
      <c r="B15" s="170" t="n">
        <v>6858.98</v>
      </c>
      <c r="C15" s="114" t="n">
        <v>160758</v>
      </c>
      <c r="D15" s="119" t="n">
        <f aca="false">C15-C14</f>
        <v>0</v>
      </c>
      <c r="E15" s="114" t="n">
        <f aca="false">C15-152000</f>
        <v>8758</v>
      </c>
      <c r="F15" s="182" t="n">
        <f aca="false">D15/$D$2</f>
        <v>0</v>
      </c>
      <c r="G15" s="183" t="n">
        <v>25</v>
      </c>
      <c r="H15" s="233" t="n">
        <v>0.58</v>
      </c>
      <c r="I15" s="113" t="n">
        <f aca="false">G15+H15</f>
        <v>25.58</v>
      </c>
      <c r="J15" s="185" t="n">
        <f aca="false">IF(L15&gt;0,L15,0)</f>
        <v>0</v>
      </c>
      <c r="K15" s="113" t="n">
        <f aca="false">I15+J15</f>
        <v>25.58</v>
      </c>
      <c r="L15" s="113" t="n">
        <f aca="false">F15-(I15-X15)</f>
        <v>-4.08</v>
      </c>
      <c r="M15" s="186" t="n">
        <v>7.5</v>
      </c>
      <c r="N15" s="113" t="n">
        <v>0</v>
      </c>
      <c r="O15" s="113" t="n">
        <v>0</v>
      </c>
      <c r="P15" s="234" t="n">
        <f aca="false">M15-(N15+O15)</f>
        <v>7.5</v>
      </c>
      <c r="Q15" s="183" t="n">
        <v>0</v>
      </c>
      <c r="R15" s="183" t="n">
        <v>0</v>
      </c>
      <c r="S15" s="113" t="n">
        <f aca="false">SUM(P15:R15)</f>
        <v>7.5</v>
      </c>
      <c r="T15" s="114"/>
      <c r="U15" s="183" t="n">
        <v>0</v>
      </c>
      <c r="V15" s="183" t="n">
        <v>14</v>
      </c>
      <c r="W15" s="114" t="n">
        <f aca="false">W14-V15</f>
        <v>1036.11</v>
      </c>
      <c r="X15" s="6" t="n">
        <f aca="false">N15+O15+S15+U15+V15</f>
        <v>21.5</v>
      </c>
      <c r="Y15" s="113" t="n">
        <f aca="false">IF(L15&lt;0,L15*-1,0)</f>
        <v>4.08</v>
      </c>
      <c r="Z15" s="113" t="n">
        <f aca="false">X15+Y15</f>
        <v>25.58</v>
      </c>
      <c r="AA15" s="163" t="n">
        <v>0</v>
      </c>
      <c r="AB15" s="119" t="n">
        <v>39</v>
      </c>
      <c r="AC15" s="169" t="n">
        <v>10.9</v>
      </c>
      <c r="AD15" s="228"/>
      <c r="AE15" s="214"/>
      <c r="AF15" s="215"/>
    </row>
    <row r="16" customFormat="false" ht="11.1" hidden="false" customHeight="true" outlineLevel="0" collapsed="false">
      <c r="A16" s="120" t="n">
        <f aca="false">A15+1</f>
        <v>5</v>
      </c>
      <c r="B16" s="170" t="n">
        <v>6858.98</v>
      </c>
      <c r="C16" s="114" t="n">
        <v>160758</v>
      </c>
      <c r="D16" s="119" t="n">
        <f aca="false">C16-C15</f>
        <v>0</v>
      </c>
      <c r="E16" s="114" t="n">
        <f aca="false">C16-152000</f>
        <v>8758</v>
      </c>
      <c r="F16" s="182" t="n">
        <f aca="false">D16/$D$2</f>
        <v>0</v>
      </c>
      <c r="G16" s="183" t="n">
        <v>28</v>
      </c>
      <c r="H16" s="233" t="n">
        <v>0.56</v>
      </c>
      <c r="I16" s="113" t="n">
        <f aca="false">G16+H16</f>
        <v>28.56</v>
      </c>
      <c r="J16" s="185" t="n">
        <f aca="false">IF(L16&gt;0,L16,0)</f>
        <v>0</v>
      </c>
      <c r="K16" s="113" t="n">
        <f aca="false">I16+J16</f>
        <v>28.56</v>
      </c>
      <c r="L16" s="113" t="n">
        <f aca="false">F16-(I16-X16)</f>
        <v>-7.06</v>
      </c>
      <c r="M16" s="186" t="n">
        <v>7.5</v>
      </c>
      <c r="N16" s="113" t="n">
        <v>0</v>
      </c>
      <c r="O16" s="113" t="n">
        <v>0</v>
      </c>
      <c r="P16" s="234" t="n">
        <f aca="false">M16-(N16+O16)</f>
        <v>7.5</v>
      </c>
      <c r="Q16" s="183" t="n">
        <v>0</v>
      </c>
      <c r="R16" s="183" t="n">
        <v>0</v>
      </c>
      <c r="S16" s="113" t="n">
        <f aca="false">SUM(P16:R16)</f>
        <v>7.5</v>
      </c>
      <c r="T16" s="114"/>
      <c r="U16" s="183" t="n">
        <v>0</v>
      </c>
      <c r="V16" s="183" t="n">
        <v>14</v>
      </c>
      <c r="W16" s="114" t="n">
        <f aca="false">W15-V16</f>
        <v>1022.11</v>
      </c>
      <c r="X16" s="6" t="n">
        <f aca="false">N16+O16+S16+U16+V16</f>
        <v>21.5</v>
      </c>
      <c r="Y16" s="113" t="n">
        <f aca="false">IF(L16&lt;0,L16*-1,0)</f>
        <v>7.06</v>
      </c>
      <c r="Z16" s="113" t="n">
        <f aca="false">X16+Y16</f>
        <v>28.56</v>
      </c>
      <c r="AA16" s="163" t="n">
        <v>0</v>
      </c>
      <c r="AB16" s="119" t="n">
        <v>34</v>
      </c>
      <c r="AC16" s="169" t="n">
        <v>10</v>
      </c>
      <c r="AD16" s="228"/>
      <c r="AE16" s="214"/>
      <c r="AF16" s="215"/>
    </row>
    <row r="17" customFormat="false" ht="11.1" hidden="false" customHeight="true" outlineLevel="0" collapsed="false">
      <c r="A17" s="120" t="n">
        <f aca="false">A16+1</f>
        <v>6</v>
      </c>
      <c r="B17" s="170" t="n">
        <v>6858.98</v>
      </c>
      <c r="C17" s="114" t="n">
        <v>160758</v>
      </c>
      <c r="D17" s="119" t="n">
        <f aca="false">C17-C16</f>
        <v>0</v>
      </c>
      <c r="E17" s="114" t="n">
        <f aca="false">C17-152000</f>
        <v>8758</v>
      </c>
      <c r="F17" s="182" t="n">
        <f aca="false">D17/$D$2</f>
        <v>0</v>
      </c>
      <c r="G17" s="183" t="n">
        <v>24</v>
      </c>
      <c r="H17" s="233" t="n">
        <v>0.51</v>
      </c>
      <c r="I17" s="113" t="n">
        <f aca="false">G17+H17</f>
        <v>24.51</v>
      </c>
      <c r="J17" s="185" t="n">
        <f aca="false">IF(L17&gt;0,L17,0)</f>
        <v>0</v>
      </c>
      <c r="K17" s="113" t="n">
        <f aca="false">I17+J17</f>
        <v>24.51</v>
      </c>
      <c r="L17" s="113" t="n">
        <f aca="false">F17-(I17-X17)</f>
        <v>-3.01</v>
      </c>
      <c r="M17" s="186" t="n">
        <v>7.5</v>
      </c>
      <c r="N17" s="113" t="n">
        <v>0</v>
      </c>
      <c r="O17" s="113" t="n">
        <v>0</v>
      </c>
      <c r="P17" s="234" t="n">
        <f aca="false">M17-(N17+O17)</f>
        <v>7.5</v>
      </c>
      <c r="Q17" s="183" t="n">
        <v>0</v>
      </c>
      <c r="R17" s="183" t="n">
        <v>0</v>
      </c>
      <c r="S17" s="113" t="n">
        <f aca="false">SUM(P17:R17)</f>
        <v>7.5</v>
      </c>
      <c r="T17" s="114"/>
      <c r="U17" s="183" t="n">
        <v>0</v>
      </c>
      <c r="V17" s="183" t="n">
        <v>14</v>
      </c>
      <c r="W17" s="114" t="n">
        <f aca="false">W16-V17</f>
        <v>1008.11</v>
      </c>
      <c r="X17" s="6" t="n">
        <f aca="false">N17+O17+S17+U17+V17</f>
        <v>21.5</v>
      </c>
      <c r="Y17" s="113" t="n">
        <f aca="false">IF(L17&lt;0,L17*-1,0)</f>
        <v>3.01</v>
      </c>
      <c r="Z17" s="113" t="n">
        <f aca="false">X17+Y17</f>
        <v>24.51</v>
      </c>
      <c r="AA17" s="163" t="n">
        <v>0</v>
      </c>
      <c r="AB17" s="119" t="n">
        <v>28</v>
      </c>
      <c r="AC17" s="169" t="n">
        <v>8.1</v>
      </c>
      <c r="AD17" s="228"/>
      <c r="AE17" s="212"/>
      <c r="AF17" s="215"/>
    </row>
    <row r="18" customFormat="false" ht="11.1" hidden="false" customHeight="true" outlineLevel="0" collapsed="false">
      <c r="A18" s="120" t="n">
        <f aca="false">A17+1</f>
        <v>7</v>
      </c>
      <c r="B18" s="170" t="n">
        <v>6858.98</v>
      </c>
      <c r="C18" s="114" t="n">
        <v>160758</v>
      </c>
      <c r="D18" s="119" t="n">
        <f aca="false">C18-C17</f>
        <v>0</v>
      </c>
      <c r="E18" s="114" t="n">
        <f aca="false">C18-152000</f>
        <v>8758</v>
      </c>
      <c r="F18" s="182" t="n">
        <f aca="false">D18/$D$2</f>
        <v>0</v>
      </c>
      <c r="G18" s="183" t="n">
        <v>17</v>
      </c>
      <c r="H18" s="233" t="n">
        <v>0.44</v>
      </c>
      <c r="I18" s="113" t="n">
        <f aca="false">G18+H18</f>
        <v>17.44</v>
      </c>
      <c r="J18" s="185" t="n">
        <f aca="false">IF(L18&gt;0,L18,0)</f>
        <v>4.36</v>
      </c>
      <c r="K18" s="113" t="n">
        <f aca="false">I18+J18</f>
        <v>21.8</v>
      </c>
      <c r="L18" s="113" t="n">
        <f aca="false">F18-(I18-X18)</f>
        <v>4.36</v>
      </c>
      <c r="M18" s="186" t="n">
        <v>7.8</v>
      </c>
      <c r="N18" s="113" t="n">
        <v>0</v>
      </c>
      <c r="O18" s="113" t="n">
        <v>0</v>
      </c>
      <c r="P18" s="234" t="n">
        <f aca="false">M18-(N18+O18)</f>
        <v>7.8</v>
      </c>
      <c r="Q18" s="183" t="n">
        <v>0</v>
      </c>
      <c r="R18" s="183" t="n">
        <v>0</v>
      </c>
      <c r="S18" s="113" t="n">
        <f aca="false">SUM(P18:R18)</f>
        <v>7.8</v>
      </c>
      <c r="T18" s="114"/>
      <c r="U18" s="183" t="n">
        <v>0</v>
      </c>
      <c r="V18" s="183" t="n">
        <v>14</v>
      </c>
      <c r="W18" s="114" t="n">
        <f aca="false">W17-V18</f>
        <v>994.11</v>
      </c>
      <c r="X18" s="6" t="n">
        <f aca="false">N18+O18+S18+U18+V18</f>
        <v>21.8</v>
      </c>
      <c r="Y18" s="113" t="n">
        <f aca="false">IF(L18&lt;0,L18*-1,0)</f>
        <v>0</v>
      </c>
      <c r="Z18" s="113" t="n">
        <f aca="false">X18+Y18</f>
        <v>21.8</v>
      </c>
      <c r="AA18" s="163" t="n">
        <v>0</v>
      </c>
      <c r="AB18" s="119" t="n">
        <v>34</v>
      </c>
      <c r="AC18" s="169" t="n">
        <v>1</v>
      </c>
      <c r="AD18" s="228"/>
      <c r="AE18" s="212"/>
      <c r="AF18" s="215"/>
    </row>
    <row r="19" customFormat="false" ht="11.1" hidden="false" customHeight="true" outlineLevel="0" collapsed="false">
      <c r="A19" s="120" t="n">
        <f aca="false">A18+1</f>
        <v>8</v>
      </c>
      <c r="B19" s="170" t="n">
        <v>6858.98</v>
      </c>
      <c r="C19" s="114" t="n">
        <v>160758</v>
      </c>
      <c r="D19" s="119" t="n">
        <f aca="false">C19-C18</f>
        <v>0</v>
      </c>
      <c r="E19" s="114" t="n">
        <f aca="false">C19-152000</f>
        <v>8758</v>
      </c>
      <c r="F19" s="182" t="n">
        <f aca="false">D19/$D$2</f>
        <v>0</v>
      </c>
      <c r="G19" s="183" t="n">
        <v>19</v>
      </c>
      <c r="H19" s="233" t="n">
        <v>0.31</v>
      </c>
      <c r="I19" s="113" t="n">
        <f aca="false">G19+H19</f>
        <v>19.31</v>
      </c>
      <c r="J19" s="185" t="n">
        <f aca="false">IF(L19&gt;0,L19,0)</f>
        <v>2.69</v>
      </c>
      <c r="K19" s="113" t="n">
        <f aca="false">I19+J19</f>
        <v>22</v>
      </c>
      <c r="L19" s="113" t="n">
        <f aca="false">F19-(I19-X19)</f>
        <v>2.69</v>
      </c>
      <c r="M19" s="186" t="n">
        <v>8</v>
      </c>
      <c r="N19" s="113" t="n">
        <v>0</v>
      </c>
      <c r="O19" s="113" t="n">
        <v>0</v>
      </c>
      <c r="P19" s="234" t="n">
        <f aca="false">M19-(N19+O19)</f>
        <v>8</v>
      </c>
      <c r="Q19" s="183" t="n">
        <v>0</v>
      </c>
      <c r="R19" s="183" t="n">
        <v>0</v>
      </c>
      <c r="S19" s="113" t="n">
        <f aca="false">SUM(P19:R19)</f>
        <v>8</v>
      </c>
      <c r="T19" s="114"/>
      <c r="U19" s="183" t="n">
        <v>0</v>
      </c>
      <c r="V19" s="183" t="n">
        <v>14</v>
      </c>
      <c r="W19" s="114" t="n">
        <f aca="false">W18-V19</f>
        <v>980.11</v>
      </c>
      <c r="X19" s="6" t="n">
        <f aca="false">N19+O19+S19+U19+V19</f>
        <v>22</v>
      </c>
      <c r="Y19" s="113" t="n">
        <f aca="false">IF(L19&lt;0,L19*-1,0)</f>
        <v>0</v>
      </c>
      <c r="Z19" s="113" t="n">
        <f aca="false">X19+Y19</f>
        <v>22</v>
      </c>
      <c r="AA19" s="163" t="n">
        <v>0</v>
      </c>
      <c r="AB19" s="119" t="n">
        <v>38</v>
      </c>
      <c r="AC19" s="169" t="n">
        <v>5</v>
      </c>
      <c r="AD19" s="228"/>
      <c r="AE19" s="212"/>
      <c r="AF19" s="215"/>
    </row>
    <row r="20" customFormat="false" ht="11.1" hidden="false" customHeight="true" outlineLevel="0" collapsed="false">
      <c r="A20" s="120" t="n">
        <f aca="false">A19+1</f>
        <v>9</v>
      </c>
      <c r="B20" s="170" t="n">
        <v>6858.99</v>
      </c>
      <c r="C20" s="114" t="n">
        <v>160781</v>
      </c>
      <c r="D20" s="119" t="n">
        <f aca="false">C20-C19</f>
        <v>23</v>
      </c>
      <c r="E20" s="114" t="n">
        <f aca="false">C20-152000</f>
        <v>8781</v>
      </c>
      <c r="F20" s="182" t="n">
        <f aca="false">D20/$D$2</f>
        <v>11.5956642298966</v>
      </c>
      <c r="G20" s="183" t="n">
        <v>22</v>
      </c>
      <c r="H20" s="233" t="n">
        <v>0.22</v>
      </c>
      <c r="I20" s="113" t="n">
        <f aca="false">G20+H20</f>
        <v>22.22</v>
      </c>
      <c r="J20" s="185" t="n">
        <f aca="false">IF(L20&gt;0,L20,0)</f>
        <v>11.3756642298966</v>
      </c>
      <c r="K20" s="113" t="n">
        <f aca="false">I20+J20</f>
        <v>33.5956642298966</v>
      </c>
      <c r="L20" s="113" t="n">
        <f aca="false">F20-(I20-X20)</f>
        <v>11.3756642298966</v>
      </c>
      <c r="M20" s="186" t="n">
        <v>8</v>
      </c>
      <c r="N20" s="113" t="n">
        <v>0</v>
      </c>
      <c r="O20" s="113" t="n">
        <v>0</v>
      </c>
      <c r="P20" s="234" t="n">
        <f aca="false">M20-(N20+O20)</f>
        <v>8</v>
      </c>
      <c r="Q20" s="183" t="n">
        <v>0</v>
      </c>
      <c r="R20" s="183" t="n">
        <v>0</v>
      </c>
      <c r="S20" s="113" t="n">
        <f aca="false">SUM(P20:R20)</f>
        <v>8</v>
      </c>
      <c r="T20" s="114"/>
      <c r="U20" s="183" t="n">
        <v>0</v>
      </c>
      <c r="V20" s="183" t="n">
        <v>14</v>
      </c>
      <c r="W20" s="114" t="n">
        <f aca="false">W19-V20</f>
        <v>966.11</v>
      </c>
      <c r="X20" s="6" t="n">
        <f aca="false">N20+O20+S20+U20+V20</f>
        <v>22</v>
      </c>
      <c r="Y20" s="113" t="n">
        <f aca="false">IF(L20&lt;0,L20*-1,0)</f>
        <v>0</v>
      </c>
      <c r="Z20" s="113" t="n">
        <f aca="false">X20+Y20</f>
        <v>22</v>
      </c>
      <c r="AA20" s="163" t="n">
        <v>0</v>
      </c>
      <c r="AB20" s="187" t="n">
        <v>32</v>
      </c>
      <c r="AC20" s="169" t="n">
        <v>8.1</v>
      </c>
      <c r="AD20" s="228"/>
      <c r="AE20" s="212"/>
      <c r="AF20" s="215"/>
    </row>
    <row r="21" customFormat="false" ht="11.1" hidden="false" customHeight="true" outlineLevel="0" collapsed="false">
      <c r="A21" s="120" t="n">
        <f aca="false">A20+1</f>
        <v>10</v>
      </c>
      <c r="B21" s="170" t="n">
        <v>6859</v>
      </c>
      <c r="C21" s="114" t="n">
        <v>160803</v>
      </c>
      <c r="D21" s="119" t="n">
        <f aca="false">C21-C20</f>
        <v>22</v>
      </c>
      <c r="E21" s="114" t="n">
        <f aca="false">C21-152000</f>
        <v>8803</v>
      </c>
      <c r="F21" s="182" t="n">
        <f aca="false">D21/$D$2</f>
        <v>11.0915049155533</v>
      </c>
      <c r="G21" s="183" t="n">
        <v>28</v>
      </c>
      <c r="H21" s="233" t="n">
        <v>0.2</v>
      </c>
      <c r="I21" s="113" t="n">
        <f aca="false">G21+H21</f>
        <v>28.2</v>
      </c>
      <c r="J21" s="185" t="n">
        <f aca="false">IF(L21&gt;0,L21,0)</f>
        <v>4.89150491555332</v>
      </c>
      <c r="K21" s="113" t="n">
        <f aca="false">I21+J21</f>
        <v>33.0915049155533</v>
      </c>
      <c r="L21" s="113" t="n">
        <f aca="false">F21-(I21-X21)</f>
        <v>4.89150491555332</v>
      </c>
      <c r="M21" s="186" t="n">
        <v>8</v>
      </c>
      <c r="N21" s="113" t="n">
        <v>0</v>
      </c>
      <c r="O21" s="113" t="n">
        <v>0</v>
      </c>
      <c r="P21" s="234" t="n">
        <f aca="false">M21-(N21+O21)</f>
        <v>8</v>
      </c>
      <c r="Q21" s="183" t="n">
        <v>0</v>
      </c>
      <c r="R21" s="183" t="n">
        <v>0</v>
      </c>
      <c r="S21" s="113" t="n">
        <f aca="false">SUM(P21:R21)</f>
        <v>8</v>
      </c>
      <c r="T21" s="114"/>
      <c r="U21" s="183" t="n">
        <v>0</v>
      </c>
      <c r="V21" s="183" t="n">
        <v>14</v>
      </c>
      <c r="W21" s="114" t="n">
        <f aca="false">W20-V21</f>
        <v>952.11</v>
      </c>
      <c r="X21" s="6" t="n">
        <f aca="false">N21+O21+S21+U21+V21</f>
        <v>22</v>
      </c>
      <c r="Y21" s="113" t="n">
        <f aca="false">IF(L21&lt;0,L21*-1,0)</f>
        <v>0</v>
      </c>
      <c r="Z21" s="113" t="n">
        <f aca="false">X21+Y21</f>
        <v>22</v>
      </c>
      <c r="AA21" s="163" t="n">
        <v>0</v>
      </c>
      <c r="AB21" s="119" t="n">
        <v>43</v>
      </c>
      <c r="AC21" s="169" t="n">
        <v>11</v>
      </c>
      <c r="AD21" s="228"/>
      <c r="AE21" s="212"/>
      <c r="AF21" s="215"/>
    </row>
    <row r="22" customFormat="false" ht="11.1" hidden="false" customHeight="true" outlineLevel="0" collapsed="false">
      <c r="A22" s="120" t="n">
        <f aca="false">A21+1</f>
        <v>11</v>
      </c>
      <c r="B22" s="170" t="n">
        <v>6859.01</v>
      </c>
      <c r="C22" s="114" t="n">
        <v>160826</v>
      </c>
      <c r="D22" s="119" t="n">
        <f aca="false">C22-C21</f>
        <v>23</v>
      </c>
      <c r="E22" s="114" t="n">
        <f aca="false">C22-152000</f>
        <v>8826</v>
      </c>
      <c r="F22" s="182" t="n">
        <f aca="false">D22/$D$2</f>
        <v>11.5956642298966</v>
      </c>
      <c r="G22" s="183" t="n">
        <v>28</v>
      </c>
      <c r="H22" s="233" t="n">
        <v>0.22</v>
      </c>
      <c r="I22" s="113" t="n">
        <f aca="false">G22+H22</f>
        <v>28.22</v>
      </c>
      <c r="J22" s="185" t="n">
        <f aca="false">IF(L22&gt;0,L22,0)</f>
        <v>5.37566422989665</v>
      </c>
      <c r="K22" s="113" t="n">
        <f aca="false">I22+J22</f>
        <v>33.5956642298966</v>
      </c>
      <c r="L22" s="113" t="n">
        <f aca="false">F22-(I22-X22)</f>
        <v>5.37566422989665</v>
      </c>
      <c r="M22" s="186" t="n">
        <v>8</v>
      </c>
      <c r="N22" s="113" t="n">
        <v>0</v>
      </c>
      <c r="O22" s="113" t="n">
        <v>0</v>
      </c>
      <c r="P22" s="234" t="n">
        <f aca="false">M22-(N22+O22)</f>
        <v>8</v>
      </c>
      <c r="Q22" s="183" t="n">
        <v>0</v>
      </c>
      <c r="R22" s="183" t="n">
        <v>0</v>
      </c>
      <c r="S22" s="113" t="n">
        <f aca="false">SUM(P22:R22)</f>
        <v>8</v>
      </c>
      <c r="T22" s="114"/>
      <c r="U22" s="183" t="n">
        <v>0</v>
      </c>
      <c r="V22" s="183" t="n">
        <v>14</v>
      </c>
      <c r="W22" s="114" t="n">
        <f aca="false">W21-V22</f>
        <v>938.11</v>
      </c>
      <c r="X22" s="6" t="n">
        <f aca="false">N22+O22+S22+U22+V22</f>
        <v>22</v>
      </c>
      <c r="Y22" s="113" t="n">
        <f aca="false">IF(L22&lt;0,L22*-1,0)</f>
        <v>0</v>
      </c>
      <c r="Z22" s="113" t="n">
        <f aca="false">X22+Y22</f>
        <v>22</v>
      </c>
      <c r="AA22" s="163" t="n">
        <v>0</v>
      </c>
      <c r="AB22" s="119" t="n">
        <v>44</v>
      </c>
      <c r="AC22" s="169" t="n">
        <v>21</v>
      </c>
      <c r="AD22" s="228"/>
      <c r="AE22" s="212"/>
      <c r="AF22" s="215"/>
    </row>
    <row r="23" customFormat="false" ht="11.1" hidden="false" customHeight="true" outlineLevel="0" collapsed="false">
      <c r="A23" s="120" t="n">
        <f aca="false">A22+1</f>
        <v>12</v>
      </c>
      <c r="B23" s="170" t="n">
        <v>6859.02</v>
      </c>
      <c r="C23" s="114" t="n">
        <v>160848</v>
      </c>
      <c r="D23" s="119" t="n">
        <f aca="false">C23-C22</f>
        <v>22</v>
      </c>
      <c r="E23" s="114" t="n">
        <f aca="false">C23-152000</f>
        <v>8848</v>
      </c>
      <c r="F23" s="182" t="n">
        <f aca="false">D23/$D$2</f>
        <v>11.0915049155533</v>
      </c>
      <c r="G23" s="183" t="n">
        <v>57</v>
      </c>
      <c r="H23" s="233" t="n">
        <v>0.23</v>
      </c>
      <c r="I23" s="113" t="n">
        <f aca="false">G23+H23</f>
        <v>57.23</v>
      </c>
      <c r="J23" s="185" t="n">
        <f aca="false">IF(L23&gt;0,L23,0)</f>
        <v>0</v>
      </c>
      <c r="K23" s="113" t="n">
        <f aca="false">I23+J23</f>
        <v>57.23</v>
      </c>
      <c r="L23" s="113" t="n">
        <f aca="false">F23-(I23-X23)</f>
        <v>-24.1384950844467</v>
      </c>
      <c r="M23" s="186" t="n">
        <v>8</v>
      </c>
      <c r="N23" s="113" t="n">
        <v>0</v>
      </c>
      <c r="O23" s="113" t="n">
        <v>0</v>
      </c>
      <c r="P23" s="234" t="n">
        <f aca="false">M23-(N23+O23)</f>
        <v>8</v>
      </c>
      <c r="Q23" s="183" t="n">
        <v>0</v>
      </c>
      <c r="R23" s="183" t="n">
        <v>0</v>
      </c>
      <c r="S23" s="113" t="n">
        <f aca="false">SUM(P23:R23)</f>
        <v>8</v>
      </c>
      <c r="T23" s="114"/>
      <c r="U23" s="183" t="n">
        <v>0</v>
      </c>
      <c r="V23" s="183" t="n">
        <v>14</v>
      </c>
      <c r="W23" s="114" t="n">
        <f aca="false">W22-V23</f>
        <v>924.11</v>
      </c>
      <c r="X23" s="6" t="n">
        <f aca="false">N23+O23+S23+U23+V23</f>
        <v>22</v>
      </c>
      <c r="Y23" s="113" t="n">
        <f aca="false">IF(L23&lt;0,L23*-1,0)</f>
        <v>24.1384950844467</v>
      </c>
      <c r="Z23" s="113" t="n">
        <f aca="false">X23+Y23</f>
        <v>46.1384950844467</v>
      </c>
      <c r="AA23" s="163" t="n">
        <v>0</v>
      </c>
      <c r="AB23" s="119" t="n">
        <v>50</v>
      </c>
      <c r="AC23" s="169" t="n">
        <v>27</v>
      </c>
      <c r="AD23" s="228"/>
      <c r="AE23" s="212"/>
      <c r="AF23" s="215"/>
    </row>
    <row r="24" customFormat="false" ht="11.1" hidden="false" customHeight="true" outlineLevel="0" collapsed="false">
      <c r="A24" s="120" t="n">
        <f aca="false">A23+1</f>
        <v>13</v>
      </c>
      <c r="B24" s="170" t="n">
        <v>6859.5</v>
      </c>
      <c r="C24" s="114" t="n">
        <v>161935</v>
      </c>
      <c r="D24" s="119" t="n">
        <f aca="false">C24-C23</f>
        <v>1087</v>
      </c>
      <c r="E24" s="114" t="n">
        <f aca="false">C24-152000</f>
        <v>9935</v>
      </c>
      <c r="F24" s="182" t="n">
        <f aca="false">D24/$D$2</f>
        <v>548.021174691202</v>
      </c>
      <c r="G24" s="183" t="n">
        <v>69</v>
      </c>
      <c r="H24" s="233" t="n">
        <v>0.76</v>
      </c>
      <c r="I24" s="113" t="n">
        <f aca="false">G24+H24</f>
        <v>69.76</v>
      </c>
      <c r="J24" s="185" t="n">
        <f aca="false">IF(L24&gt;0,L24,0)</f>
        <v>501.261174691202</v>
      </c>
      <c r="K24" s="113" t="n">
        <f aca="false">I24+J24</f>
        <v>571.021174691202</v>
      </c>
      <c r="L24" s="113" t="n">
        <f aca="false">F24-(I24-X24)</f>
        <v>501.261174691202</v>
      </c>
      <c r="M24" s="186" t="n">
        <v>8</v>
      </c>
      <c r="N24" s="113" t="n">
        <v>0</v>
      </c>
      <c r="O24" s="113" t="n">
        <v>0</v>
      </c>
      <c r="P24" s="234" t="n">
        <f aca="false">M24-(N24+O24)</f>
        <v>8</v>
      </c>
      <c r="Q24" s="183" t="n">
        <v>0</v>
      </c>
      <c r="R24" s="183" t="n">
        <v>0</v>
      </c>
      <c r="S24" s="113" t="n">
        <f aca="false">SUM(P24:R24)</f>
        <v>8</v>
      </c>
      <c r="T24" s="114"/>
      <c r="U24" s="183" t="n">
        <v>0</v>
      </c>
      <c r="V24" s="183" t="n">
        <v>15</v>
      </c>
      <c r="W24" s="114" t="n">
        <f aca="false">W23-V24</f>
        <v>909.11</v>
      </c>
      <c r="X24" s="6" t="n">
        <f aca="false">N24+O24+S24+U24+V24</f>
        <v>23</v>
      </c>
      <c r="Y24" s="113" t="n">
        <f aca="false">IF(L24&lt;0,L24*-1,0)</f>
        <v>0</v>
      </c>
      <c r="Z24" s="113" t="n">
        <f aca="false">X24+Y24</f>
        <v>23</v>
      </c>
      <c r="AA24" s="163" t="n">
        <v>0.75</v>
      </c>
      <c r="AB24" s="119" t="n">
        <v>41</v>
      </c>
      <c r="AC24" s="169" t="n">
        <v>35</v>
      </c>
      <c r="AD24" s="228"/>
      <c r="AE24" s="212"/>
      <c r="AF24" s="215"/>
    </row>
    <row r="25" customFormat="false" ht="11.1" hidden="false" customHeight="true" outlineLevel="0" collapsed="false">
      <c r="A25" s="120" t="n">
        <f aca="false">A24+1</f>
        <v>14</v>
      </c>
      <c r="B25" s="170" t="n">
        <v>6859.6</v>
      </c>
      <c r="C25" s="114" t="n">
        <v>162161</v>
      </c>
      <c r="D25" s="119" t="n">
        <f aca="false">C25-C24</f>
        <v>226</v>
      </c>
      <c r="E25" s="114" t="n">
        <f aca="false">C25-152000</f>
        <v>10161</v>
      </c>
      <c r="F25" s="182" t="n">
        <f aca="false">D25/$D$2</f>
        <v>113.940005041593</v>
      </c>
      <c r="G25" s="183" t="n">
        <v>69</v>
      </c>
      <c r="H25" s="233" t="n">
        <v>1.2</v>
      </c>
      <c r="I25" s="113" t="n">
        <f aca="false">G25+H25</f>
        <v>70.2</v>
      </c>
      <c r="J25" s="185" t="n">
        <f aca="false">IF(L25&gt;0,L25,0)</f>
        <v>65.7400050415931</v>
      </c>
      <c r="K25" s="113" t="n">
        <f aca="false">I25+J25</f>
        <v>135.940005041593</v>
      </c>
      <c r="L25" s="113" t="n">
        <f aca="false">F25-(I25-X25)</f>
        <v>65.7400050415931</v>
      </c>
      <c r="M25" s="186" t="n">
        <v>8</v>
      </c>
      <c r="N25" s="113" t="n">
        <v>0</v>
      </c>
      <c r="O25" s="113" t="n">
        <v>0</v>
      </c>
      <c r="P25" s="234" t="n">
        <f aca="false">M25-(N25+O25)</f>
        <v>8</v>
      </c>
      <c r="Q25" s="183" t="n">
        <v>0</v>
      </c>
      <c r="R25" s="183" t="n">
        <v>0</v>
      </c>
      <c r="S25" s="113" t="n">
        <f aca="false">SUM(P25:R25)</f>
        <v>8</v>
      </c>
      <c r="T25" s="114"/>
      <c r="U25" s="183" t="n">
        <v>0</v>
      </c>
      <c r="V25" s="183" t="n">
        <v>14</v>
      </c>
      <c r="W25" s="114" t="n">
        <f aca="false">W24-V25</f>
        <v>895.11</v>
      </c>
      <c r="X25" s="6" t="n">
        <f aca="false">N25+O25+S25+U25+V25</f>
        <v>22</v>
      </c>
      <c r="Y25" s="113" t="n">
        <f aca="false">IF(L25&lt;0,L25*-1,0)</f>
        <v>0</v>
      </c>
      <c r="Z25" s="113" t="n">
        <f aca="false">X25+Y25</f>
        <v>22</v>
      </c>
      <c r="AA25" s="163" t="n">
        <v>0</v>
      </c>
      <c r="AB25" s="187" t="n">
        <v>46</v>
      </c>
      <c r="AC25" s="169" t="n">
        <v>29</v>
      </c>
      <c r="AD25" s="228"/>
      <c r="AE25" s="212"/>
      <c r="AF25" s="215"/>
    </row>
    <row r="26" customFormat="false" ht="11.1" hidden="false" customHeight="true" outlineLevel="0" collapsed="false">
      <c r="A26" s="120" t="n">
        <f aca="false">A25+1</f>
        <v>15</v>
      </c>
      <c r="B26" s="170" t="n">
        <v>6859.67</v>
      </c>
      <c r="C26" s="114" t="n">
        <v>162319</v>
      </c>
      <c r="D26" s="119" t="n">
        <f aca="false">C26-C25</f>
        <v>158</v>
      </c>
      <c r="E26" s="114" t="n">
        <f aca="false">C26-152000</f>
        <v>10319</v>
      </c>
      <c r="F26" s="182" t="n">
        <f aca="false">D26/$D$2</f>
        <v>79.6571716662465</v>
      </c>
      <c r="G26" s="183" t="n">
        <v>52</v>
      </c>
      <c r="H26" s="233" t="n">
        <v>1.5</v>
      </c>
      <c r="I26" s="113" t="n">
        <f aca="false">G26+H26</f>
        <v>53.5</v>
      </c>
      <c r="J26" s="185" t="n">
        <f aca="false">IF(L26&gt;0,L26,0)</f>
        <v>48.1571716662465</v>
      </c>
      <c r="K26" s="113" t="n">
        <f aca="false">I26+J26</f>
        <v>101.657171666247</v>
      </c>
      <c r="L26" s="113" t="n">
        <f aca="false">F26-(I26-X26)</f>
        <v>48.1571716662465</v>
      </c>
      <c r="M26" s="186" t="n">
        <v>8</v>
      </c>
      <c r="N26" s="113" t="n">
        <v>0</v>
      </c>
      <c r="O26" s="113" t="n">
        <v>0</v>
      </c>
      <c r="P26" s="234" t="n">
        <f aca="false">M26-(N26+O26)</f>
        <v>8</v>
      </c>
      <c r="Q26" s="183" t="n">
        <v>0</v>
      </c>
      <c r="R26" s="183" t="n">
        <v>0</v>
      </c>
      <c r="S26" s="113" t="n">
        <f aca="false">SUM(P26:R26)</f>
        <v>8</v>
      </c>
      <c r="T26" s="114"/>
      <c r="U26" s="183" t="n">
        <v>0</v>
      </c>
      <c r="V26" s="183" t="n">
        <v>14</v>
      </c>
      <c r="W26" s="114" t="n">
        <f aca="false">W25-V26</f>
        <v>881.11</v>
      </c>
      <c r="X26" s="6" t="n">
        <f aca="false">N26+O26+S26+U26+V26</f>
        <v>22</v>
      </c>
      <c r="Y26" s="113" t="n">
        <f aca="false">IF(L26&lt;0,L26*-1,0)</f>
        <v>0</v>
      </c>
      <c r="Z26" s="113" t="n">
        <f aca="false">X26+Y26</f>
        <v>22</v>
      </c>
      <c r="AA26" s="163" t="n">
        <v>0</v>
      </c>
      <c r="AB26" s="187" t="n">
        <v>45</v>
      </c>
      <c r="AC26" s="169" t="n">
        <v>27</v>
      </c>
      <c r="AD26" s="228"/>
      <c r="AE26" s="212"/>
      <c r="AF26" s="215"/>
    </row>
    <row r="27" customFormat="false" ht="11.1" hidden="false" customHeight="true" outlineLevel="0" collapsed="false">
      <c r="A27" s="120" t="n">
        <f aca="false">A26+1</f>
        <v>16</v>
      </c>
      <c r="B27" s="170" t="n">
        <v>6859.73</v>
      </c>
      <c r="C27" s="114" t="n">
        <v>162455</v>
      </c>
      <c r="D27" s="119" t="n">
        <f aca="false">C27-C26</f>
        <v>136</v>
      </c>
      <c r="E27" s="114" t="n">
        <f aca="false">C27-152000</f>
        <v>10455</v>
      </c>
      <c r="F27" s="182" t="n">
        <f aca="false">D27/$D$2</f>
        <v>68.5656667506932</v>
      </c>
      <c r="G27" s="183" t="n">
        <v>35</v>
      </c>
      <c r="H27" s="233" t="n">
        <v>1.6</v>
      </c>
      <c r="I27" s="113" t="n">
        <f aca="false">G27+H27</f>
        <v>36.6</v>
      </c>
      <c r="J27" s="185" t="n">
        <f aca="false">IF(L27&gt;0,L27,0)</f>
        <v>53.8656667506932</v>
      </c>
      <c r="K27" s="113" t="n">
        <f aca="false">I27+J27</f>
        <v>90.4656667506932</v>
      </c>
      <c r="L27" s="113" t="n">
        <f aca="false">F27-(I27-X27)</f>
        <v>53.8656667506932</v>
      </c>
      <c r="M27" s="186" t="n">
        <v>7.9</v>
      </c>
      <c r="N27" s="113" t="n">
        <v>0</v>
      </c>
      <c r="O27" s="113" t="n">
        <v>0</v>
      </c>
      <c r="P27" s="234" t="n">
        <f aca="false">M27-(N27+O27)</f>
        <v>7.9</v>
      </c>
      <c r="Q27" s="183" t="n">
        <v>0</v>
      </c>
      <c r="R27" s="183" t="n">
        <v>0</v>
      </c>
      <c r="S27" s="113" t="n">
        <f aca="false">SUM(P27:R27)</f>
        <v>7.9</v>
      </c>
      <c r="T27" s="114"/>
      <c r="U27" s="183" t="n">
        <v>0</v>
      </c>
      <c r="V27" s="183" t="n">
        <v>14</v>
      </c>
      <c r="W27" s="114" t="n">
        <f aca="false">W26-V27</f>
        <v>867.11</v>
      </c>
      <c r="X27" s="6" t="n">
        <f aca="false">N27+O27+S27+U27+V27</f>
        <v>21.9</v>
      </c>
      <c r="Y27" s="113" t="n">
        <f aca="false">IF(L27&lt;0,L27*-1,0)</f>
        <v>0</v>
      </c>
      <c r="Z27" s="113" t="n">
        <f aca="false">X27+Y27</f>
        <v>21.9</v>
      </c>
      <c r="AA27" s="163" t="n">
        <v>0</v>
      </c>
      <c r="AB27" s="187" t="n">
        <v>49</v>
      </c>
      <c r="AC27" s="169" t="n">
        <v>24</v>
      </c>
      <c r="AD27" s="228"/>
      <c r="AE27" s="212"/>
      <c r="AF27" s="215"/>
    </row>
    <row r="28" customFormat="false" ht="11.1" hidden="false" customHeight="true" outlineLevel="0" collapsed="false">
      <c r="A28" s="120" t="n">
        <f aca="false">A27+1</f>
        <v>17</v>
      </c>
      <c r="B28" s="170" t="n">
        <v>6859.78</v>
      </c>
      <c r="C28" s="114" t="n">
        <v>162568</v>
      </c>
      <c r="D28" s="119" t="n">
        <f aca="false">C28-C27</f>
        <v>113</v>
      </c>
      <c r="E28" s="114" t="n">
        <f aca="false">C28-152000</f>
        <v>10568</v>
      </c>
      <c r="F28" s="182" t="n">
        <f aca="false">D28/$D$2</f>
        <v>56.9700025207966</v>
      </c>
      <c r="G28" s="183" t="n">
        <v>33</v>
      </c>
      <c r="H28" s="233" t="n">
        <v>1.8</v>
      </c>
      <c r="I28" s="113" t="n">
        <f aca="false">G28+H28</f>
        <v>34.8</v>
      </c>
      <c r="J28" s="185" t="n">
        <f aca="false">IF(L28&gt;0,L28,0)</f>
        <v>45.1700025207966</v>
      </c>
      <c r="K28" s="113" t="n">
        <f aca="false">I28+J28</f>
        <v>79.9700025207966</v>
      </c>
      <c r="L28" s="113" t="n">
        <f aca="false">F28-(I28-X28)</f>
        <v>45.1700025207966</v>
      </c>
      <c r="M28" s="186" t="n">
        <v>8</v>
      </c>
      <c r="N28" s="113" t="n">
        <v>0</v>
      </c>
      <c r="O28" s="113" t="n">
        <v>0</v>
      </c>
      <c r="P28" s="234" t="n">
        <f aca="false">M28-(N28+O28)</f>
        <v>8</v>
      </c>
      <c r="Q28" s="183" t="n">
        <v>0</v>
      </c>
      <c r="R28" s="183" t="n">
        <v>0</v>
      </c>
      <c r="S28" s="113" t="n">
        <f aca="false">SUM(P28:R28)</f>
        <v>8</v>
      </c>
      <c r="T28" s="114"/>
      <c r="U28" s="183" t="n">
        <v>0</v>
      </c>
      <c r="V28" s="183" t="n">
        <v>15</v>
      </c>
      <c r="W28" s="114" t="n">
        <f aca="false">W27-V28</f>
        <v>852.11</v>
      </c>
      <c r="X28" s="6" t="n">
        <f aca="false">N28+O28+S28+U28+V28</f>
        <v>23</v>
      </c>
      <c r="Y28" s="113" t="n">
        <f aca="false">IF(L28&lt;0,L28*-1,0)</f>
        <v>0</v>
      </c>
      <c r="Z28" s="113" t="n">
        <f aca="false">X28+Y28</f>
        <v>23</v>
      </c>
      <c r="AA28" s="163" t="n">
        <v>0</v>
      </c>
      <c r="AB28" s="187" t="n">
        <v>45</v>
      </c>
      <c r="AC28" s="169" t="n">
        <v>30</v>
      </c>
      <c r="AD28" s="228"/>
      <c r="AE28" s="212"/>
      <c r="AF28" s="215"/>
    </row>
    <row r="29" customFormat="false" ht="11.1" hidden="false" customHeight="true" outlineLevel="0" collapsed="false">
      <c r="A29" s="120" t="n">
        <f aca="false">A28+1</f>
        <v>18</v>
      </c>
      <c r="B29" s="170" t="n">
        <v>6859.84</v>
      </c>
      <c r="C29" s="114" t="n">
        <v>162704</v>
      </c>
      <c r="D29" s="119" t="n">
        <f aca="false">C29-C28</f>
        <v>136</v>
      </c>
      <c r="E29" s="114" t="n">
        <f aca="false">C29-152000</f>
        <v>10704</v>
      </c>
      <c r="F29" s="182" t="n">
        <f aca="false">D29/$D$2</f>
        <v>68.5656667506932</v>
      </c>
      <c r="G29" s="183" t="n">
        <v>43</v>
      </c>
      <c r="H29" s="233" t="n">
        <v>1.9</v>
      </c>
      <c r="I29" s="113" t="n">
        <f aca="false">G29+H29</f>
        <v>44.9</v>
      </c>
      <c r="J29" s="185" t="n">
        <f aca="false">IF(L29&gt;0,L29,0)</f>
        <v>46.6656667506932</v>
      </c>
      <c r="K29" s="113" t="n">
        <f aca="false">I29+J29</f>
        <v>91.5656667506932</v>
      </c>
      <c r="L29" s="113" t="n">
        <f aca="false">F29-(I29-X29)</f>
        <v>46.6656667506932</v>
      </c>
      <c r="M29" s="186" t="n">
        <v>8</v>
      </c>
      <c r="N29" s="113" t="n">
        <v>0</v>
      </c>
      <c r="O29" s="113" t="n">
        <v>0</v>
      </c>
      <c r="P29" s="234" t="n">
        <f aca="false">M29-(N29+O29)</f>
        <v>8</v>
      </c>
      <c r="Q29" s="183" t="n">
        <v>0</v>
      </c>
      <c r="R29" s="183" t="n">
        <v>0</v>
      </c>
      <c r="S29" s="113" t="n">
        <f aca="false">SUM(P29:R29)</f>
        <v>8</v>
      </c>
      <c r="T29" s="114"/>
      <c r="U29" s="183" t="n">
        <v>0</v>
      </c>
      <c r="V29" s="183" t="n">
        <v>15</v>
      </c>
      <c r="W29" s="114" t="n">
        <f aca="false">W28-V29</f>
        <v>837.11</v>
      </c>
      <c r="X29" s="6" t="n">
        <f aca="false">N29+O29+S29+U29+V29</f>
        <v>23</v>
      </c>
      <c r="Y29" s="113" t="n">
        <f aca="false">IF(L29&lt;0,L29*-1,0)</f>
        <v>0</v>
      </c>
      <c r="Z29" s="113" t="n">
        <f aca="false">X29+Y29</f>
        <v>23</v>
      </c>
      <c r="AA29" s="235" t="n">
        <v>0.26</v>
      </c>
      <c r="AB29" s="187" t="n">
        <v>40</v>
      </c>
      <c r="AC29" s="169" t="n">
        <v>27</v>
      </c>
      <c r="AD29" s="228"/>
      <c r="AE29" s="212"/>
      <c r="AF29" s="215"/>
    </row>
    <row r="30" customFormat="false" ht="11.1" hidden="false" customHeight="true" outlineLevel="0" collapsed="false">
      <c r="A30" s="120" t="n">
        <f aca="false">A29+1</f>
        <v>19</v>
      </c>
      <c r="B30" s="170" t="n">
        <v>6859.86</v>
      </c>
      <c r="C30" s="236" t="n">
        <v>162750</v>
      </c>
      <c r="D30" s="119" t="n">
        <f aca="false">C30-C29</f>
        <v>46</v>
      </c>
      <c r="E30" s="114" t="n">
        <f aca="false">C30-152000</f>
        <v>10750</v>
      </c>
      <c r="F30" s="182" t="n">
        <f aca="false">D30/$D$2</f>
        <v>23.1913284597933</v>
      </c>
      <c r="G30" s="183" t="n">
        <v>39</v>
      </c>
      <c r="H30" s="233" t="n">
        <v>1.8</v>
      </c>
      <c r="I30" s="113" t="n">
        <f aca="false">G30+H30</f>
        <v>40.8</v>
      </c>
      <c r="J30" s="185" t="n">
        <f aca="false">IF(L30&gt;0,L30,0)</f>
        <v>5.3913284597933</v>
      </c>
      <c r="K30" s="113" t="n">
        <f aca="false">I30+J30</f>
        <v>46.1913284597933</v>
      </c>
      <c r="L30" s="113" t="n">
        <f aca="false">F30-(I30-X30)</f>
        <v>5.3913284597933</v>
      </c>
      <c r="M30" s="186" t="n">
        <v>8</v>
      </c>
      <c r="N30" s="113" t="n">
        <v>0</v>
      </c>
      <c r="O30" s="113" t="n">
        <v>0</v>
      </c>
      <c r="P30" s="234" t="n">
        <f aca="false">M30-(N30+O30)</f>
        <v>8</v>
      </c>
      <c r="Q30" s="183" t="n">
        <v>0</v>
      </c>
      <c r="R30" s="183" t="n">
        <v>0</v>
      </c>
      <c r="S30" s="113" t="n">
        <f aca="false">SUM(P30:R30)</f>
        <v>8</v>
      </c>
      <c r="T30" s="114"/>
      <c r="U30" s="183" t="n">
        <v>0</v>
      </c>
      <c r="V30" s="183" t="n">
        <v>15</v>
      </c>
      <c r="W30" s="114" t="n">
        <f aca="false">W29-V30</f>
        <v>822.11</v>
      </c>
      <c r="X30" s="6" t="n">
        <f aca="false">N30+O30+S30+U30+V30</f>
        <v>23</v>
      </c>
      <c r="Y30" s="113" t="n">
        <f aca="false">IF(L30&lt;0,L30*-1,0)</f>
        <v>0</v>
      </c>
      <c r="Z30" s="113" t="n">
        <f aca="false">X30+Y30</f>
        <v>23</v>
      </c>
      <c r="AA30" s="163" t="n">
        <v>0</v>
      </c>
      <c r="AB30" s="187" t="n">
        <v>41</v>
      </c>
      <c r="AC30" s="169" t="n">
        <v>18</v>
      </c>
      <c r="AD30" s="228"/>
      <c r="AE30" s="212"/>
      <c r="AF30" s="215"/>
    </row>
    <row r="31" customFormat="false" ht="11.1" hidden="false" customHeight="true" outlineLevel="0" collapsed="false">
      <c r="A31" s="120" t="n">
        <f aca="false">A30+1</f>
        <v>20</v>
      </c>
      <c r="B31" s="170" t="n">
        <v>6859.9</v>
      </c>
      <c r="C31" s="114" t="n">
        <v>162840</v>
      </c>
      <c r="D31" s="119" t="n">
        <f aca="false">C31-C30</f>
        <v>90</v>
      </c>
      <c r="E31" s="114" t="n">
        <f aca="false">C31-152000</f>
        <v>10840</v>
      </c>
      <c r="F31" s="182" t="n">
        <f aca="false">D31/$D$2</f>
        <v>45.3743382908999</v>
      </c>
      <c r="G31" s="183" t="n">
        <v>38</v>
      </c>
      <c r="H31" s="233" t="n">
        <v>1.6</v>
      </c>
      <c r="I31" s="113" t="n">
        <f aca="false">G31+H31</f>
        <v>39.6</v>
      </c>
      <c r="J31" s="185" t="n">
        <f aca="false">IF(L31&gt;0,L31,0)</f>
        <v>28.7743382908999</v>
      </c>
      <c r="K31" s="113" t="n">
        <f aca="false">I31+J31</f>
        <v>68.3743382908999</v>
      </c>
      <c r="L31" s="113" t="n">
        <f aca="false">F31-(I31-X31)</f>
        <v>28.7743382908999</v>
      </c>
      <c r="M31" s="186" t="n">
        <v>8</v>
      </c>
      <c r="N31" s="113" t="n">
        <v>0</v>
      </c>
      <c r="O31" s="113" t="n">
        <v>0</v>
      </c>
      <c r="P31" s="234" t="n">
        <f aca="false">M31-(N31+O31)</f>
        <v>8</v>
      </c>
      <c r="Q31" s="183" t="n">
        <v>0</v>
      </c>
      <c r="R31" s="183" t="n">
        <v>0</v>
      </c>
      <c r="S31" s="113" t="n">
        <f aca="false">SUM(P31:R31)</f>
        <v>8</v>
      </c>
      <c r="T31" s="114"/>
      <c r="U31" s="183" t="n">
        <v>0</v>
      </c>
      <c r="V31" s="183" t="n">
        <v>15</v>
      </c>
      <c r="W31" s="114" t="n">
        <f aca="false">W30-V31</f>
        <v>807.11</v>
      </c>
      <c r="X31" s="6" t="n">
        <f aca="false">N31+O31+S31+U31+V31</f>
        <v>23</v>
      </c>
      <c r="Y31" s="113" t="n">
        <f aca="false">IF(L31&lt;0,L31*-1,0)</f>
        <v>0</v>
      </c>
      <c r="Z31" s="113" t="n">
        <f aca="false">X31+Y31</f>
        <v>23</v>
      </c>
      <c r="AA31" s="163" t="n">
        <v>0</v>
      </c>
      <c r="AB31" s="187" t="n">
        <v>46</v>
      </c>
      <c r="AC31" s="169" t="n">
        <v>28</v>
      </c>
      <c r="AD31" s="228"/>
      <c r="AE31" s="212"/>
      <c r="AF31" s="215"/>
    </row>
    <row r="32" customFormat="false" ht="11.1" hidden="false" customHeight="true" outlineLevel="0" collapsed="false">
      <c r="A32" s="120" t="n">
        <f aca="false">A31+1</f>
        <v>21</v>
      </c>
      <c r="B32" s="170" t="n">
        <v>6859.91</v>
      </c>
      <c r="C32" s="114" t="n">
        <v>162863</v>
      </c>
      <c r="D32" s="119" t="n">
        <f aca="false">C32-C31</f>
        <v>23</v>
      </c>
      <c r="E32" s="114" t="n">
        <f aca="false">C32-152000</f>
        <v>10863</v>
      </c>
      <c r="F32" s="182" t="n">
        <f aca="false">D32/$D$2</f>
        <v>11.5956642298966</v>
      </c>
      <c r="G32" s="183" t="n">
        <v>39</v>
      </c>
      <c r="H32" s="233" t="n">
        <v>1.4</v>
      </c>
      <c r="I32" s="113" t="n">
        <f aca="false">G32+H32</f>
        <v>40.4</v>
      </c>
      <c r="J32" s="185" t="n">
        <f aca="false">IF(L32&gt;0,L32,0)</f>
        <v>0</v>
      </c>
      <c r="K32" s="113" t="n">
        <f aca="false">I32+J32</f>
        <v>40.4</v>
      </c>
      <c r="L32" s="113" t="n">
        <f aca="false">F32-(I32-X32)</f>
        <v>-6.30433577010335</v>
      </c>
      <c r="M32" s="186" t="n">
        <v>7.5</v>
      </c>
      <c r="N32" s="113" t="n">
        <v>0</v>
      </c>
      <c r="O32" s="113" t="n">
        <v>0</v>
      </c>
      <c r="P32" s="234" t="n">
        <f aca="false">M32-(N32+O32)</f>
        <v>7.5</v>
      </c>
      <c r="Q32" s="183" t="n">
        <v>0</v>
      </c>
      <c r="R32" s="183" t="n">
        <v>0</v>
      </c>
      <c r="S32" s="113" t="n">
        <f aca="false">SUM(P32:R32)</f>
        <v>7.5</v>
      </c>
      <c r="T32" s="114"/>
      <c r="U32" s="183" t="n">
        <v>0</v>
      </c>
      <c r="V32" s="183" t="n">
        <v>15</v>
      </c>
      <c r="W32" s="114" t="n">
        <f aca="false">W31-V32</f>
        <v>792.11</v>
      </c>
      <c r="X32" s="6" t="n">
        <f aca="false">N32+O32+S32+U32+V32</f>
        <v>22.5</v>
      </c>
      <c r="Y32" s="113" t="n">
        <f aca="false">IF(L32&lt;0,L32*-1,0)</f>
        <v>6.30433577010335</v>
      </c>
      <c r="Z32" s="113" t="n">
        <f aca="false">X32+Y32</f>
        <v>28.8043357701033</v>
      </c>
      <c r="AA32" s="163" t="n">
        <v>0</v>
      </c>
      <c r="AB32" s="119" t="n">
        <v>44</v>
      </c>
      <c r="AC32" s="169" t="n">
        <v>24</v>
      </c>
      <c r="AD32" s="228" t="n">
        <f aca="false">(G32+H32-P32-3.35)*0.33*1.9835</f>
        <v>19.34210025</v>
      </c>
      <c r="AE32" s="212"/>
      <c r="AF32" s="215"/>
    </row>
    <row r="33" customFormat="false" ht="11.1" hidden="false" customHeight="true" outlineLevel="0" collapsed="false">
      <c r="A33" s="120" t="n">
        <f aca="false">A32+1</f>
        <v>22</v>
      </c>
      <c r="B33" s="170" t="n">
        <v>6859.92</v>
      </c>
      <c r="C33" s="114" t="n">
        <v>162885</v>
      </c>
      <c r="D33" s="119" t="n">
        <f aca="false">C33-C32</f>
        <v>22</v>
      </c>
      <c r="E33" s="114" t="n">
        <f aca="false">C33-152000</f>
        <v>10885</v>
      </c>
      <c r="F33" s="182" t="n">
        <f aca="false">D33/$D$2</f>
        <v>11.0915049155533</v>
      </c>
      <c r="G33" s="183" t="n">
        <v>23</v>
      </c>
      <c r="H33" s="233" t="n">
        <v>1.3</v>
      </c>
      <c r="I33" s="113" t="n">
        <f aca="false">G33+H33</f>
        <v>24.3</v>
      </c>
      <c r="J33" s="185" t="n">
        <f aca="false">IF(L33&gt;0,L33,0)</f>
        <v>9.39150491555332</v>
      </c>
      <c r="K33" s="113" t="n">
        <f aca="false">I33+J33</f>
        <v>33.6915049155533</v>
      </c>
      <c r="L33" s="113" t="n">
        <f aca="false">F33-(I33-X33)</f>
        <v>9.39150491555332</v>
      </c>
      <c r="M33" s="186" t="n">
        <v>7.6</v>
      </c>
      <c r="N33" s="113" t="n">
        <v>0</v>
      </c>
      <c r="O33" s="113" t="n">
        <v>0</v>
      </c>
      <c r="P33" s="234" t="n">
        <f aca="false">M33-(N33+O33)</f>
        <v>7.6</v>
      </c>
      <c r="Q33" s="183" t="n">
        <v>0</v>
      </c>
      <c r="R33" s="183" t="n">
        <v>0</v>
      </c>
      <c r="S33" s="113" t="n">
        <f aca="false">SUM(P33:R33)</f>
        <v>7.6</v>
      </c>
      <c r="T33" s="114"/>
      <c r="U33" s="183" t="n">
        <v>0</v>
      </c>
      <c r="V33" s="183" t="n">
        <v>15</v>
      </c>
      <c r="W33" s="114" t="n">
        <f aca="false">W32-V33</f>
        <v>777.11</v>
      </c>
      <c r="X33" s="6" t="n">
        <f aca="false">N33+O33+S33+U33+V33</f>
        <v>22.6</v>
      </c>
      <c r="Y33" s="113" t="n">
        <f aca="false">IF(L33&lt;0,L33*-1,0)</f>
        <v>0</v>
      </c>
      <c r="Z33" s="113" t="n">
        <f aca="false">X33+Y33</f>
        <v>22.6</v>
      </c>
      <c r="AA33" s="163" t="n">
        <v>0</v>
      </c>
      <c r="AB33" s="119" t="n">
        <v>45</v>
      </c>
      <c r="AC33" s="169" t="n">
        <v>22</v>
      </c>
      <c r="AD33" s="228" t="n">
        <f aca="false">AD32+(G33+H33-P33-3.35)*1.9835</f>
        <v>45.82182525</v>
      </c>
      <c r="AE33" s="212"/>
      <c r="AF33" s="215"/>
    </row>
    <row r="34" customFormat="false" ht="11.1" hidden="false" customHeight="true" outlineLevel="0" collapsed="false">
      <c r="A34" s="120" t="n">
        <f aca="false">A33+1</f>
        <v>23</v>
      </c>
      <c r="B34" s="170" t="n">
        <v>6859.93</v>
      </c>
      <c r="C34" s="114" t="n">
        <v>162908</v>
      </c>
      <c r="D34" s="119" t="n">
        <f aca="false">C34-C33</f>
        <v>23</v>
      </c>
      <c r="E34" s="114" t="n">
        <f aca="false">C34-152000</f>
        <v>10908</v>
      </c>
      <c r="F34" s="182" t="n">
        <f aca="false">D34/$D$2</f>
        <v>11.5956642298966</v>
      </c>
      <c r="G34" s="183" t="n">
        <v>19</v>
      </c>
      <c r="H34" s="233" t="n">
        <v>1.2</v>
      </c>
      <c r="I34" s="113" t="n">
        <f aca="false">G34+H34</f>
        <v>20.2</v>
      </c>
      <c r="J34" s="185" t="n">
        <f aca="false">IF(L34&gt;0,L34,0)</f>
        <v>13.8956642298966</v>
      </c>
      <c r="K34" s="113" t="n">
        <f aca="false">I34+J34</f>
        <v>34.0956642298966</v>
      </c>
      <c r="L34" s="113" t="n">
        <f aca="false">F34-(I34-X34)</f>
        <v>13.8956642298966</v>
      </c>
      <c r="M34" s="186" t="n">
        <v>7.5</v>
      </c>
      <c r="N34" s="113" t="n">
        <v>0</v>
      </c>
      <c r="O34" s="113" t="n">
        <v>0</v>
      </c>
      <c r="P34" s="234" t="n">
        <f aca="false">M34-(N34+O34)</f>
        <v>7.5</v>
      </c>
      <c r="Q34" s="183" t="n">
        <v>0</v>
      </c>
      <c r="R34" s="183" t="n">
        <v>0</v>
      </c>
      <c r="S34" s="113" t="n">
        <f aca="false">SUM(P34:R34)</f>
        <v>7.5</v>
      </c>
      <c r="T34" s="114"/>
      <c r="U34" s="183" t="n">
        <v>0</v>
      </c>
      <c r="V34" s="183" t="n">
        <v>15</v>
      </c>
      <c r="W34" s="114" t="n">
        <f aca="false">W33-V34</f>
        <v>762.11</v>
      </c>
      <c r="X34" s="6" t="n">
        <f aca="false">N34+O34+S34+U34+V34</f>
        <v>22.5</v>
      </c>
      <c r="Y34" s="113" t="n">
        <f aca="false">IF(L34&lt;0,L34*-1,0)</f>
        <v>0</v>
      </c>
      <c r="Z34" s="113" t="n">
        <f aca="false">X34+Y34</f>
        <v>22.5</v>
      </c>
      <c r="AA34" s="163" t="n">
        <v>0</v>
      </c>
      <c r="AB34" s="119" t="n">
        <v>38</v>
      </c>
      <c r="AC34" s="188" t="n">
        <v>16</v>
      </c>
      <c r="AD34" s="228" t="n">
        <f aca="false">AD33+(G34+H34-P34-3.35)*1.9835</f>
        <v>64.36755025</v>
      </c>
      <c r="AE34" s="212"/>
      <c r="AF34" s="215"/>
    </row>
    <row r="35" customFormat="false" ht="11.1" hidden="false" customHeight="true" outlineLevel="0" collapsed="false">
      <c r="A35" s="120" t="n">
        <f aca="false">A34+1</f>
        <v>24</v>
      </c>
      <c r="B35" s="170" t="n">
        <v>6859.94</v>
      </c>
      <c r="C35" s="114" t="n">
        <v>162931</v>
      </c>
      <c r="D35" s="119" t="n">
        <f aca="false">C35-C34</f>
        <v>23</v>
      </c>
      <c r="E35" s="114" t="n">
        <f aca="false">C35-152000</f>
        <v>10931</v>
      </c>
      <c r="F35" s="182" t="n">
        <f aca="false">D35/$D$2</f>
        <v>11.5956642298966</v>
      </c>
      <c r="G35" s="183" t="n">
        <v>21</v>
      </c>
      <c r="H35" s="233" t="n">
        <v>1.1</v>
      </c>
      <c r="I35" s="113" t="n">
        <f aca="false">G35+H35</f>
        <v>22.1</v>
      </c>
      <c r="J35" s="185" t="n">
        <f aca="false">IF(L35&gt;0,L35,0)</f>
        <v>11.9956642298966</v>
      </c>
      <c r="K35" s="113" t="n">
        <f aca="false">I35+J35</f>
        <v>34.0956642298966</v>
      </c>
      <c r="L35" s="113" t="n">
        <f aca="false">F35-(I35-X35)</f>
        <v>11.9956642298966</v>
      </c>
      <c r="M35" s="186" t="n">
        <v>7.5</v>
      </c>
      <c r="N35" s="113" t="n">
        <v>0</v>
      </c>
      <c r="O35" s="113" t="n">
        <v>0</v>
      </c>
      <c r="P35" s="234" t="n">
        <f aca="false">M35-(N35+O35)</f>
        <v>7.5</v>
      </c>
      <c r="Q35" s="183" t="n">
        <v>0</v>
      </c>
      <c r="R35" s="183" t="n">
        <v>0</v>
      </c>
      <c r="S35" s="113" t="n">
        <f aca="false">SUM(P35:R35)</f>
        <v>7.5</v>
      </c>
      <c r="T35" s="114"/>
      <c r="U35" s="183" t="n">
        <v>0</v>
      </c>
      <c r="V35" s="183" t="n">
        <v>15</v>
      </c>
      <c r="W35" s="114" t="n">
        <f aca="false">W34-V35</f>
        <v>747.11</v>
      </c>
      <c r="X35" s="6" t="n">
        <f aca="false">N35+O35+S35+U35+V35</f>
        <v>22.5</v>
      </c>
      <c r="Y35" s="113" t="n">
        <f aca="false">IF(L35&lt;0,L35*-1,0)</f>
        <v>0</v>
      </c>
      <c r="Z35" s="113" t="n">
        <f aca="false">X35+Y35</f>
        <v>22.5</v>
      </c>
      <c r="AA35" s="163" t="n">
        <v>0</v>
      </c>
      <c r="AB35" s="119" t="n">
        <v>45</v>
      </c>
      <c r="AC35" s="188" t="n">
        <v>25</v>
      </c>
      <c r="AD35" s="228" t="n">
        <f aca="false">AD34+(G35+H35-P35-3.35)*1.9835</f>
        <v>86.68192525</v>
      </c>
      <c r="AE35" s="212"/>
      <c r="AF35" s="215"/>
    </row>
    <row r="36" customFormat="false" ht="11.1" hidden="false" customHeight="true" outlineLevel="0" collapsed="false">
      <c r="A36" s="120" t="n">
        <f aca="false">A35+1</f>
        <v>25</v>
      </c>
      <c r="B36" s="170" t="n">
        <v>6960.08</v>
      </c>
      <c r="C36" s="114" t="n">
        <v>163250</v>
      </c>
      <c r="D36" s="119" t="n">
        <f aca="false">C36-C35</f>
        <v>319</v>
      </c>
      <c r="E36" s="114" t="n">
        <f aca="false">C36-152000</f>
        <v>11250</v>
      </c>
      <c r="F36" s="182" t="n">
        <f aca="false">D36/$D$2</f>
        <v>160.826821275523</v>
      </c>
      <c r="G36" s="183" t="n">
        <v>44</v>
      </c>
      <c r="H36" s="233" t="n">
        <v>1.2</v>
      </c>
      <c r="I36" s="113" t="n">
        <f aca="false">G36+H36</f>
        <v>45.2</v>
      </c>
      <c r="J36" s="185" t="n">
        <f aca="false">IF(L36&gt;0,L36,0)</f>
        <v>138.126821275523</v>
      </c>
      <c r="K36" s="113" t="n">
        <f aca="false">I36+J36</f>
        <v>183.326821275523</v>
      </c>
      <c r="L36" s="113" t="n">
        <f aca="false">F36-(I36-X36)</f>
        <v>138.126821275523</v>
      </c>
      <c r="M36" s="186" t="n">
        <v>7.5</v>
      </c>
      <c r="N36" s="113" t="n">
        <v>0</v>
      </c>
      <c r="O36" s="113" t="n">
        <v>0</v>
      </c>
      <c r="P36" s="234" t="n">
        <f aca="false">M36-(N36+O36)</f>
        <v>7.5</v>
      </c>
      <c r="Q36" s="183" t="n">
        <v>0</v>
      </c>
      <c r="R36" s="183" t="n">
        <v>0</v>
      </c>
      <c r="S36" s="113" t="n">
        <f aca="false">SUM(P36:R36)</f>
        <v>7.5</v>
      </c>
      <c r="T36" s="114"/>
      <c r="U36" s="183" t="n">
        <v>0</v>
      </c>
      <c r="V36" s="183" t="n">
        <v>15</v>
      </c>
      <c r="W36" s="114" t="n">
        <f aca="false">W35-V36</f>
        <v>732.11</v>
      </c>
      <c r="X36" s="6" t="n">
        <f aca="false">N36+O36+S36+U36+V36</f>
        <v>22.5</v>
      </c>
      <c r="Y36" s="113" t="n">
        <f aca="false">IF(L36&lt;0,L36*-1,0)</f>
        <v>0</v>
      </c>
      <c r="Z36" s="113" t="n">
        <f aca="false">X36+Y36</f>
        <v>22.5</v>
      </c>
      <c r="AA36" s="163" t="n">
        <v>0.76</v>
      </c>
      <c r="AB36" s="119" t="n">
        <v>38</v>
      </c>
      <c r="AC36" s="188" t="n">
        <v>28</v>
      </c>
      <c r="AD36" s="228" t="n">
        <f aca="false">AD35+(G36+H36-P36-3.35)*1.9835</f>
        <v>154.81515025</v>
      </c>
      <c r="AE36" s="212"/>
      <c r="AF36" s="215"/>
    </row>
    <row r="37" customFormat="false" ht="11.1" hidden="false" customHeight="true" outlineLevel="0" collapsed="false">
      <c r="A37" s="120" t="n">
        <f aca="false">A36+1</f>
        <v>26</v>
      </c>
      <c r="B37" s="170" t="n">
        <v>6860.11</v>
      </c>
      <c r="C37" s="114" t="n">
        <v>163319</v>
      </c>
      <c r="D37" s="119" t="n">
        <f aca="false">C37-C36</f>
        <v>69</v>
      </c>
      <c r="E37" s="114" t="n">
        <f aca="false">C37-152000</f>
        <v>11319</v>
      </c>
      <c r="F37" s="182" t="n">
        <f aca="false">D37/$D$2</f>
        <v>34.7869926896899</v>
      </c>
      <c r="G37" s="183" t="n">
        <v>49</v>
      </c>
      <c r="H37" s="233" t="n">
        <v>1.2</v>
      </c>
      <c r="I37" s="113" t="n">
        <f aca="false">G37+H37</f>
        <v>50.2</v>
      </c>
      <c r="J37" s="185" t="n">
        <f aca="false">IF(L37&gt;0,L37,0)</f>
        <v>7.98699268968993</v>
      </c>
      <c r="K37" s="113" t="n">
        <f aca="false">I37+J37</f>
        <v>58.1869926896899</v>
      </c>
      <c r="L37" s="113" t="n">
        <f aca="false">F37-(I37-X37)</f>
        <v>7.98699268968993</v>
      </c>
      <c r="M37" s="186" t="n">
        <v>7.4</v>
      </c>
      <c r="N37" s="113" t="n">
        <v>0</v>
      </c>
      <c r="O37" s="113" t="n">
        <v>0</v>
      </c>
      <c r="P37" s="234" t="n">
        <f aca="false">M37-(N37+O37)</f>
        <v>7.4</v>
      </c>
      <c r="Q37" s="183" t="n">
        <v>0</v>
      </c>
      <c r="R37" s="183" t="n">
        <v>0</v>
      </c>
      <c r="S37" s="113" t="n">
        <f aca="false">SUM(P37:R37)</f>
        <v>7.4</v>
      </c>
      <c r="T37" s="114"/>
      <c r="U37" s="183" t="n">
        <v>0</v>
      </c>
      <c r="V37" s="183" t="n">
        <v>16</v>
      </c>
      <c r="W37" s="114" t="n">
        <f aca="false">W36-V37</f>
        <v>716.11</v>
      </c>
      <c r="X37" s="6" t="n">
        <f aca="false">N37+O37+S37+U37+V37</f>
        <v>23.4</v>
      </c>
      <c r="Y37" s="113" t="n">
        <f aca="false">IF(L37&lt;0,L37*-1,0)</f>
        <v>0</v>
      </c>
      <c r="Z37" s="113" t="n">
        <f aca="false">X37+Y37</f>
        <v>23.4</v>
      </c>
      <c r="AA37" s="163" t="n">
        <v>0.53</v>
      </c>
      <c r="AB37" s="119" t="n">
        <v>38</v>
      </c>
      <c r="AC37" s="169" t="n">
        <v>29</v>
      </c>
      <c r="AD37" s="228" t="n">
        <f aca="false">AD36+(G37+H37-P37-3.35)*1.9835</f>
        <v>233.06422525</v>
      </c>
      <c r="AE37" s="212"/>
      <c r="AF37" s="215"/>
    </row>
    <row r="38" customFormat="false" ht="11.1" hidden="false" customHeight="true" outlineLevel="0" collapsed="false">
      <c r="A38" s="120" t="n">
        <f aca="false">A37+1</f>
        <v>27</v>
      </c>
      <c r="B38" s="170" t="n">
        <v>6860.16</v>
      </c>
      <c r="C38" s="114" t="n">
        <v>163434</v>
      </c>
      <c r="D38" s="119" t="n">
        <f aca="false">C38-C37</f>
        <v>115</v>
      </c>
      <c r="E38" s="114" t="n">
        <f aca="false">C38-152000</f>
        <v>11434</v>
      </c>
      <c r="F38" s="182" t="n">
        <f aca="false">D38/$D$2</f>
        <v>57.9783211494832</v>
      </c>
      <c r="G38" s="183" t="n">
        <v>48</v>
      </c>
      <c r="H38" s="233" t="n">
        <v>1.2</v>
      </c>
      <c r="I38" s="113" t="n">
        <f aca="false">G38+H38</f>
        <v>49.2</v>
      </c>
      <c r="J38" s="185" t="n">
        <f aca="false">IF(L38&gt;0,L38,0)</f>
        <v>31.1783211494832</v>
      </c>
      <c r="K38" s="113" t="n">
        <f aca="false">I38+J38</f>
        <v>80.3783211494832</v>
      </c>
      <c r="L38" s="113" t="n">
        <f aca="false">F38-(I38-X38)</f>
        <v>31.1783211494832</v>
      </c>
      <c r="M38" s="186" t="n">
        <v>7.4</v>
      </c>
      <c r="N38" s="113" t="n">
        <v>0</v>
      </c>
      <c r="O38" s="113" t="n">
        <v>0</v>
      </c>
      <c r="P38" s="234" t="n">
        <f aca="false">M38-(N38+O38)</f>
        <v>7.4</v>
      </c>
      <c r="Q38" s="183" t="n">
        <v>0</v>
      </c>
      <c r="R38" s="183" t="n">
        <v>0</v>
      </c>
      <c r="S38" s="113" t="n">
        <f aca="false">SUM(P38:R38)</f>
        <v>7.4</v>
      </c>
      <c r="T38" s="114"/>
      <c r="U38" s="183" t="n">
        <v>0</v>
      </c>
      <c r="V38" s="183" t="n">
        <v>15</v>
      </c>
      <c r="W38" s="114" t="n">
        <f aca="false">W37-V38</f>
        <v>701.11</v>
      </c>
      <c r="X38" s="6" t="n">
        <f aca="false">N38+O38+S38+U38+V38</f>
        <v>22.4</v>
      </c>
      <c r="Y38" s="113" t="n">
        <f aca="false">IF(L38&lt;0,L38*-1,0)</f>
        <v>0</v>
      </c>
      <c r="Z38" s="113" t="n">
        <f aca="false">X38+Y38</f>
        <v>22.4</v>
      </c>
      <c r="AA38" s="163" t="n">
        <v>0.17</v>
      </c>
      <c r="AB38" s="119" t="n">
        <v>34</v>
      </c>
      <c r="AC38" s="169" t="n">
        <v>19</v>
      </c>
      <c r="AD38" s="228" t="n">
        <f aca="false">AD37+(G38+H38-P38-3.35)*1.9835</f>
        <v>309.32980025</v>
      </c>
      <c r="AE38" s="212"/>
      <c r="AF38" s="215"/>
    </row>
    <row r="39" customFormat="false" ht="11.1" hidden="false" customHeight="true" outlineLevel="0" collapsed="false">
      <c r="A39" s="120" t="n">
        <v>28</v>
      </c>
      <c r="B39" s="170" t="n">
        <v>6860.23</v>
      </c>
      <c r="C39" s="114" t="n">
        <v>163594</v>
      </c>
      <c r="D39" s="119" t="n">
        <f aca="false">C39-C38</f>
        <v>160</v>
      </c>
      <c r="E39" s="114" t="n">
        <f aca="false">C39-152000</f>
        <v>11594</v>
      </c>
      <c r="F39" s="182" t="n">
        <f aca="false">D39/$D$2</f>
        <v>80.6654902949332</v>
      </c>
      <c r="G39" s="183" t="n">
        <v>45</v>
      </c>
      <c r="H39" s="233" t="n">
        <v>1.2</v>
      </c>
      <c r="I39" s="113" t="n">
        <f aca="false">G39+H39</f>
        <v>46.2</v>
      </c>
      <c r="J39" s="185" t="n">
        <f aca="false">IF(L39&gt;0,L39,0)</f>
        <v>55.9654902949332</v>
      </c>
      <c r="K39" s="113" t="n">
        <f aca="false">I39+J39</f>
        <v>102.165490294933</v>
      </c>
      <c r="L39" s="113" t="n">
        <f aca="false">F39-(I39-X39)</f>
        <v>55.9654902949332</v>
      </c>
      <c r="M39" s="186" t="n">
        <v>7.5</v>
      </c>
      <c r="N39" s="113" t="n">
        <v>0</v>
      </c>
      <c r="O39" s="113" t="n">
        <v>0</v>
      </c>
      <c r="P39" s="234" t="n">
        <f aca="false">M39-(N39+O39)</f>
        <v>7.5</v>
      </c>
      <c r="Q39" s="183" t="n">
        <v>0</v>
      </c>
      <c r="R39" s="183" t="n">
        <v>0</v>
      </c>
      <c r="S39" s="113" t="n">
        <f aca="false">SUM(P39:R39)</f>
        <v>7.5</v>
      </c>
      <c r="T39" s="114"/>
      <c r="U39" s="183" t="n">
        <v>0</v>
      </c>
      <c r="V39" s="183" t="n">
        <v>14</v>
      </c>
      <c r="W39" s="114" t="n">
        <f aca="false">W38-V39</f>
        <v>687.11</v>
      </c>
      <c r="X39" s="6" t="n">
        <f aca="false">N39+O39+S39+U39+V39</f>
        <v>21.5</v>
      </c>
      <c r="Y39" s="113" t="n">
        <f aca="false">IF(L39&lt;0,L39*-1,0)</f>
        <v>0</v>
      </c>
      <c r="Z39" s="113" t="n">
        <f aca="false">X39+Y39</f>
        <v>21.5</v>
      </c>
      <c r="AA39" s="163" t="n">
        <v>0.42</v>
      </c>
      <c r="AB39" s="119" t="n">
        <v>34</v>
      </c>
      <c r="AC39" s="169" t="n">
        <v>22</v>
      </c>
      <c r="AD39" s="228" t="n">
        <f aca="false">AD38+(G39+H39-P39-3.35)*1.9835</f>
        <v>379.44652525</v>
      </c>
      <c r="AE39" s="212"/>
      <c r="AF39" s="215"/>
    </row>
    <row r="40" customFormat="false" ht="3" hidden="false" customHeight="true" outlineLevel="0" collapsed="false">
      <c r="A40" s="171"/>
      <c r="B40" s="189"/>
      <c r="C40" s="173"/>
      <c r="D40" s="171"/>
      <c r="E40" s="173"/>
      <c r="F40" s="174"/>
      <c r="G40" s="171"/>
      <c r="H40" s="230"/>
      <c r="I40" s="171"/>
      <c r="J40" s="171"/>
      <c r="K40" s="171"/>
      <c r="L40" s="171"/>
      <c r="M40" s="176"/>
      <c r="N40" s="171"/>
      <c r="O40" s="171"/>
      <c r="P40" s="231"/>
      <c r="Q40" s="171"/>
      <c r="R40" s="171"/>
      <c r="S40" s="171"/>
      <c r="T40" s="173"/>
      <c r="U40" s="171"/>
      <c r="V40" s="171"/>
      <c r="W40" s="171"/>
      <c r="X40" s="171"/>
      <c r="Y40" s="171"/>
      <c r="Z40" s="171"/>
      <c r="AA40" s="178"/>
      <c r="AB40" s="179"/>
      <c r="AC40" s="180"/>
      <c r="AD40" s="232"/>
      <c r="AE40" s="181"/>
      <c r="AF40" s="181"/>
    </row>
    <row r="41" customFormat="false" ht="11.1" hidden="false" customHeight="true" outlineLevel="0" collapsed="false">
      <c r="A41" s="113" t="s">
        <v>54</v>
      </c>
      <c r="B41" s="165"/>
      <c r="C41" s="114"/>
      <c r="D41" s="114"/>
      <c r="E41" s="114"/>
      <c r="F41" s="166" t="n">
        <f aca="false">SUM(F12:F39)</f>
        <v>1486.26165868414</v>
      </c>
      <c r="G41" s="114" t="n">
        <f aca="false">SUM(G12:G39)</f>
        <v>1011</v>
      </c>
      <c r="H41" s="200" t="n">
        <f aca="false">SUM(H12:H39)</f>
        <v>26.94</v>
      </c>
      <c r="I41" s="114" t="n">
        <f aca="false">SUM(I12:I39)</f>
        <v>1037.94</v>
      </c>
      <c r="J41" s="114" t="n">
        <f aca="false">SUM(J12:J39)</f>
        <v>1128.65448953869</v>
      </c>
      <c r="K41" s="114" t="n">
        <f aca="false">SUM(K12:K39)</f>
        <v>2166.59448953869</v>
      </c>
      <c r="L41" s="114" t="n">
        <f aca="false">SUM(L12:L39)</f>
        <v>1071.12165868414</v>
      </c>
      <c r="M41" s="167" t="n">
        <f aca="false">SUM(M12:M39)</f>
        <v>217.8</v>
      </c>
      <c r="N41" s="114" t="n">
        <f aca="false">SUM(N12:N39)</f>
        <v>0</v>
      </c>
      <c r="O41" s="114" t="n">
        <f aca="false">SUM(O12:O39)</f>
        <v>0</v>
      </c>
      <c r="P41" s="229" t="n">
        <f aca="false">SUM(P12:P39)</f>
        <v>217.8</v>
      </c>
      <c r="Q41" s="114" t="n">
        <f aca="false">SUM(Q12:Q39)</f>
        <v>0</v>
      </c>
      <c r="R41" s="114" t="n">
        <f aca="false">SUM(R12:R39)</f>
        <v>0</v>
      </c>
      <c r="S41" s="114" t="n">
        <f aca="false">SUM(S12:S39)</f>
        <v>217.8</v>
      </c>
      <c r="T41" s="114"/>
      <c r="U41" s="114" t="n">
        <f aca="false">SUM(U12:U39)</f>
        <v>0</v>
      </c>
      <c r="V41" s="114" t="n">
        <f aca="false">SUM(V12:V39)</f>
        <v>405</v>
      </c>
      <c r="W41" s="114"/>
      <c r="X41" s="114" t="n">
        <f aca="false">SUM(X12:X39)</f>
        <v>622.8</v>
      </c>
      <c r="Y41" s="114" t="n">
        <f aca="false">SUM(Y12:Y39)</f>
        <v>57.53283085455</v>
      </c>
      <c r="Z41" s="114" t="n">
        <f aca="false">SUM(Z12:Z39)</f>
        <v>680.33283085455</v>
      </c>
      <c r="AA41" s="163" t="n">
        <f aca="false">SUM(AA12:AA39)</f>
        <v>2.97</v>
      </c>
      <c r="AB41" s="119" t="n">
        <f aca="false">AVERAGE(AB12:AB39)</f>
        <v>40.9285714285714</v>
      </c>
      <c r="AC41" s="169" t="n">
        <f aca="false">AVERAGE(AC12:AC39)</f>
        <v>20.8607142857143</v>
      </c>
      <c r="AD41" s="228" t="s">
        <v>70</v>
      </c>
      <c r="AE41" s="212"/>
      <c r="AF41" s="212"/>
    </row>
    <row r="42" customFormat="false" ht="11.1" hidden="false" customHeight="true" outlineLevel="0" collapsed="false">
      <c r="A42" s="113" t="s">
        <v>56</v>
      </c>
      <c r="B42" s="165"/>
      <c r="C42" s="114"/>
      <c r="D42" s="114" t="n">
        <f aca="false">SUM(D12:D39)</f>
        <v>2948</v>
      </c>
      <c r="E42" s="114"/>
      <c r="F42" s="166" t="n">
        <f aca="false">F41*$D$2</f>
        <v>2948</v>
      </c>
      <c r="G42" s="114" t="n">
        <f aca="false">G41*$D$2</f>
        <v>2005.3185</v>
      </c>
      <c r="H42" s="200" t="n">
        <f aca="false">H41*$D$2</f>
        <v>53.43549</v>
      </c>
      <c r="I42" s="114" t="n">
        <f aca="false">I41*$D$2</f>
        <v>2058.75399</v>
      </c>
      <c r="J42" s="114" t="n">
        <f aca="false">J41*$D$2</f>
        <v>2238.68618</v>
      </c>
      <c r="K42" s="114" t="n">
        <f aca="false">K41*$D$2</f>
        <v>4297.44017</v>
      </c>
      <c r="L42" s="114" t="n">
        <f aca="false">L41*$D$2</f>
        <v>2124.56981</v>
      </c>
      <c r="M42" s="167" t="n">
        <f aca="false">M41*$D$2</f>
        <v>432.0063</v>
      </c>
      <c r="N42" s="114" t="n">
        <f aca="false">N41*$D$2</f>
        <v>0</v>
      </c>
      <c r="O42" s="114" t="n">
        <f aca="false">O41*$D$2</f>
        <v>0</v>
      </c>
      <c r="P42" s="229" t="n">
        <f aca="false">P41*$D$2</f>
        <v>432.0063</v>
      </c>
      <c r="Q42" s="114" t="n">
        <f aca="false">Q41*$D$2</f>
        <v>0</v>
      </c>
      <c r="R42" s="114" t="n">
        <f aca="false">R41*$D$2</f>
        <v>0</v>
      </c>
      <c r="S42" s="114" t="n">
        <f aca="false">S41*$D$2</f>
        <v>432.0063</v>
      </c>
      <c r="T42" s="114"/>
      <c r="U42" s="114" t="n">
        <f aca="false">U41*$D$2</f>
        <v>0</v>
      </c>
      <c r="V42" s="114" t="n">
        <f aca="false">V41*$D$2</f>
        <v>803.3175</v>
      </c>
      <c r="W42" s="114"/>
      <c r="X42" s="114" t="n">
        <f aca="false">X41*$D$2</f>
        <v>1235.3238</v>
      </c>
      <c r="Y42" s="114" t="n">
        <f aca="false">Y41*$D$2</f>
        <v>114.11637</v>
      </c>
      <c r="Z42" s="114" t="n">
        <f aca="false">Z41*$D$2</f>
        <v>1349.44017</v>
      </c>
      <c r="AA42" s="163"/>
      <c r="AB42" s="119" t="n">
        <f aca="false">MAX(AB12:AB39)</f>
        <v>53</v>
      </c>
      <c r="AC42" s="169" t="n">
        <f aca="false">MAX(AC12:AC39)</f>
        <v>35</v>
      </c>
      <c r="AD42" s="228" t="s">
        <v>57</v>
      </c>
      <c r="AE42" s="212"/>
      <c r="AF42" s="212"/>
    </row>
    <row r="43" customFormat="false" ht="3" hidden="false" customHeight="true" outlineLevel="0" collapsed="false">
      <c r="A43" s="171"/>
      <c r="B43" s="189"/>
      <c r="C43" s="173"/>
      <c r="D43" s="173"/>
      <c r="E43" s="173"/>
      <c r="F43" s="190"/>
      <c r="G43" s="173"/>
      <c r="H43" s="230"/>
      <c r="I43" s="173"/>
      <c r="J43" s="173"/>
      <c r="K43" s="173"/>
      <c r="L43" s="173"/>
      <c r="M43" s="191"/>
      <c r="N43" s="173"/>
      <c r="O43" s="173"/>
      <c r="P43" s="231"/>
      <c r="Q43" s="173"/>
      <c r="R43" s="173"/>
      <c r="S43" s="173"/>
      <c r="T43" s="173"/>
      <c r="U43" s="173"/>
      <c r="V43" s="173"/>
      <c r="W43" s="171"/>
      <c r="X43" s="173"/>
      <c r="Y43" s="173"/>
      <c r="Z43" s="173"/>
      <c r="AA43" s="193"/>
      <c r="AB43" s="173"/>
      <c r="AC43" s="190"/>
      <c r="AD43" s="237"/>
      <c r="AE43" s="173"/>
      <c r="AF43" s="173"/>
    </row>
    <row r="44" customFormat="false" ht="11.1" hidden="false" customHeight="true" outlineLevel="0" collapsed="false">
      <c r="A44" s="113" t="s">
        <v>58</v>
      </c>
      <c r="B44" s="165"/>
      <c r="C44" s="114"/>
      <c r="D44" s="114"/>
      <c r="E44" s="114"/>
      <c r="F44" s="166"/>
      <c r="G44" s="114"/>
      <c r="H44" s="200"/>
      <c r="I44" s="114"/>
      <c r="J44" s="114"/>
      <c r="K44" s="114"/>
      <c r="L44" s="114"/>
      <c r="M44" s="167"/>
      <c r="N44" s="114"/>
      <c r="O44" s="114"/>
      <c r="P44" s="229"/>
      <c r="Q44" s="114"/>
      <c r="R44" s="114"/>
      <c r="S44" s="114"/>
      <c r="T44" s="114"/>
      <c r="U44" s="114"/>
      <c r="V44" s="114"/>
      <c r="W44" s="114"/>
      <c r="X44" s="114"/>
      <c r="Y44" s="114"/>
      <c r="Z44" s="114"/>
      <c r="AA44" s="163"/>
      <c r="AB44" s="119" t="n">
        <f aca="false">MIN(AB12:AB39)</f>
        <v>28</v>
      </c>
      <c r="AC44" s="169" t="n">
        <f aca="false">MIN(AC12:AC39)</f>
        <v>1</v>
      </c>
      <c r="AD44" s="228" t="s">
        <v>59</v>
      </c>
      <c r="AE44" s="212"/>
      <c r="AF44" s="212"/>
    </row>
    <row r="45" customFormat="false" ht="11.1" hidden="false" customHeight="true" outlineLevel="0" collapsed="false">
      <c r="A45" s="113" t="s">
        <v>60</v>
      </c>
      <c r="B45" s="165"/>
      <c r="C45" s="114"/>
      <c r="D45" s="114"/>
      <c r="E45" s="114"/>
      <c r="F45" s="166"/>
      <c r="G45" s="114"/>
      <c r="H45" s="200"/>
      <c r="I45" s="114"/>
      <c r="J45" s="114"/>
      <c r="K45" s="114"/>
      <c r="L45" s="114"/>
      <c r="M45" s="167"/>
      <c r="N45" s="114"/>
      <c r="O45" s="114"/>
      <c r="P45" s="229"/>
      <c r="Q45" s="114"/>
      <c r="R45" s="114"/>
      <c r="S45" s="114"/>
      <c r="T45" s="114"/>
      <c r="U45" s="114"/>
      <c r="V45" s="114"/>
      <c r="W45" s="114"/>
      <c r="X45" s="114"/>
      <c r="Y45" s="114"/>
      <c r="Z45" s="114"/>
      <c r="AA45" s="163"/>
      <c r="AB45" s="119"/>
      <c r="AC45" s="169"/>
      <c r="AD45" s="228"/>
      <c r="AE45" s="212"/>
      <c r="AF45" s="212"/>
    </row>
    <row r="46" customFormat="false" ht="3" hidden="false" customHeight="true" outlineLevel="0" collapsed="false">
      <c r="A46" s="171"/>
      <c r="B46" s="189"/>
      <c r="C46" s="173"/>
      <c r="D46" s="173"/>
      <c r="E46" s="173"/>
      <c r="F46" s="190"/>
      <c r="G46" s="173"/>
      <c r="H46" s="230"/>
      <c r="I46" s="173"/>
      <c r="J46" s="173"/>
      <c r="K46" s="173"/>
      <c r="L46" s="173"/>
      <c r="M46" s="191"/>
      <c r="N46" s="173"/>
      <c r="O46" s="173"/>
      <c r="P46" s="231"/>
      <c r="Q46" s="173"/>
      <c r="R46" s="173"/>
      <c r="S46" s="173"/>
      <c r="T46" s="173"/>
      <c r="U46" s="173"/>
      <c r="V46" s="173"/>
      <c r="W46" s="173"/>
      <c r="X46" s="173"/>
      <c r="Y46" s="173"/>
      <c r="Z46" s="173"/>
      <c r="AA46" s="178"/>
      <c r="AB46" s="194"/>
      <c r="AC46" s="195"/>
      <c r="AD46" s="237"/>
      <c r="AE46" s="194"/>
      <c r="AF46" s="194"/>
    </row>
    <row r="47" customFormat="false" ht="11.1" hidden="false" customHeight="true" outlineLevel="0" collapsed="false">
      <c r="A47" s="113" t="s">
        <v>61</v>
      </c>
      <c r="B47" s="165"/>
      <c r="C47" s="114"/>
      <c r="D47" s="114"/>
      <c r="E47" s="114"/>
      <c r="F47" s="166" t="n">
        <f aca="false">F10+F41</f>
        <v>3542.7275018906</v>
      </c>
      <c r="G47" s="114" t="n">
        <f aca="false">G10+G41</f>
        <v>4961</v>
      </c>
      <c r="H47" s="200" t="n">
        <f aca="false">H10+H41</f>
        <v>28.84</v>
      </c>
      <c r="I47" s="114" t="n">
        <f aca="false">I10+I41</f>
        <v>4989.84</v>
      </c>
      <c r="J47" s="114" t="n">
        <f aca="false">J10+J41</f>
        <v>1709.47524829846</v>
      </c>
      <c r="K47" s="114" t="n">
        <f aca="false">K10+K41</f>
        <v>6699.31524829846</v>
      </c>
      <c r="L47" s="114" t="n">
        <f aca="false">L10+L41</f>
        <v>1120.6775018906</v>
      </c>
      <c r="M47" s="167" t="n">
        <f aca="false">M10+M41</f>
        <v>731.9</v>
      </c>
      <c r="N47" s="114" t="n">
        <f aca="false">N10+N41</f>
        <v>0</v>
      </c>
      <c r="O47" s="114" t="n">
        <f aca="false">O10+O41</f>
        <v>0</v>
      </c>
      <c r="P47" s="229" t="n">
        <f aca="false">P10+P41</f>
        <v>731.9</v>
      </c>
      <c r="Q47" s="114" t="n">
        <f aca="false">Q10+Q41</f>
        <v>62</v>
      </c>
      <c r="R47" s="114" t="n">
        <f aca="false">R10+R41</f>
        <v>51</v>
      </c>
      <c r="S47" s="114" t="n">
        <f aca="false">S10+S41</f>
        <v>844.9</v>
      </c>
      <c r="T47" s="114"/>
      <c r="U47" s="114" t="n">
        <f aca="false">U10+U41</f>
        <v>0</v>
      </c>
      <c r="V47" s="114" t="n">
        <f aca="false">V10+V41</f>
        <v>1722.89</v>
      </c>
      <c r="W47" s="114" t="n">
        <f aca="false">W39</f>
        <v>687.11</v>
      </c>
      <c r="X47" s="114" t="n">
        <f aca="false">X10+X41</f>
        <v>2567.79</v>
      </c>
      <c r="Y47" s="114" t="n">
        <f aca="false">Y10+Y41</f>
        <v>588.797746407865</v>
      </c>
      <c r="Z47" s="114" t="n">
        <f aca="false">Z10+Z41</f>
        <v>3156.58774640786</v>
      </c>
      <c r="AA47" s="163" t="n">
        <f aca="false">AA10+AA41</f>
        <v>5.24</v>
      </c>
      <c r="AB47" s="119"/>
      <c r="AC47" s="169"/>
      <c r="AD47" s="228"/>
      <c r="AE47" s="212"/>
      <c r="AF47" s="212"/>
    </row>
    <row r="48" customFormat="false" ht="11.1" hidden="false" customHeight="true" outlineLevel="0" collapsed="false">
      <c r="A48" s="113" t="s">
        <v>62</v>
      </c>
      <c r="B48" s="165"/>
      <c r="C48" s="114"/>
      <c r="D48" s="114" t="n">
        <f aca="false">D10+D42</f>
        <v>7027</v>
      </c>
      <c r="E48" s="114" t="n">
        <f aca="false">E39</f>
        <v>11594</v>
      </c>
      <c r="F48" s="166" t="n">
        <f aca="false">F47*$D$2</f>
        <v>7027</v>
      </c>
      <c r="G48" s="114" t="n">
        <f aca="false">G47*$D$2</f>
        <v>9840.1435</v>
      </c>
      <c r="H48" s="200" t="n">
        <f aca="false">H47*$D$2</f>
        <v>57.20414</v>
      </c>
      <c r="I48" s="114" t="n">
        <f aca="false">I47*$D$2</f>
        <v>9897.34764</v>
      </c>
      <c r="J48" s="114" t="n">
        <f aca="false">J47*$D$2</f>
        <v>3390.744155</v>
      </c>
      <c r="K48" s="114" t="n">
        <f aca="false">K47*$D$2</f>
        <v>13288.091795</v>
      </c>
      <c r="L48" s="114" t="n">
        <f aca="false">L47*$D$2</f>
        <v>2222.863825</v>
      </c>
      <c r="M48" s="167" t="n">
        <f aca="false">M47*$D$2</f>
        <v>1451.72365</v>
      </c>
      <c r="N48" s="114" t="n">
        <f aca="false">N47*$D$2</f>
        <v>0</v>
      </c>
      <c r="O48" s="114" t="n">
        <f aca="false">O47*$D$2</f>
        <v>0</v>
      </c>
      <c r="P48" s="229" t="n">
        <f aca="false">P47*$D$2</f>
        <v>1451.72365</v>
      </c>
      <c r="Q48" s="114" t="n">
        <f aca="false">Q47*$D$2</f>
        <v>122.977</v>
      </c>
      <c r="R48" s="114" t="n">
        <f aca="false">R47*$D$2</f>
        <v>101.1585</v>
      </c>
      <c r="S48" s="114" t="n">
        <f aca="false">S47*$D$2</f>
        <v>1675.85915</v>
      </c>
      <c r="T48" s="114" t="n">
        <f aca="false">T47*$D$2</f>
        <v>0</v>
      </c>
      <c r="U48" s="114" t="n">
        <f aca="false">U47*$D$2</f>
        <v>0</v>
      </c>
      <c r="V48" s="114" t="n">
        <f aca="false">V47*$D$2</f>
        <v>3417.352315</v>
      </c>
      <c r="W48" s="114" t="n">
        <f aca="false">W47*$D$2</f>
        <v>1362.882685</v>
      </c>
      <c r="X48" s="114" t="n">
        <f aca="false">X47*$D$2</f>
        <v>5093.211465</v>
      </c>
      <c r="Y48" s="114" t="n">
        <f aca="false">Y47*$D$2</f>
        <v>1167.88033</v>
      </c>
      <c r="Z48" s="114" t="n">
        <f aca="false">Z47*$D$2</f>
        <v>6261.091795</v>
      </c>
      <c r="AA48" s="163"/>
      <c r="AB48" s="119"/>
      <c r="AC48" s="169"/>
      <c r="AD48" s="228"/>
      <c r="AE48" s="212"/>
      <c r="AF48" s="212"/>
    </row>
    <row r="49" customFormat="false" ht="3" hidden="false" customHeight="true" outlineLevel="0" collapsed="false">
      <c r="A49" s="171"/>
      <c r="B49" s="189"/>
      <c r="C49" s="173"/>
      <c r="D49" s="171"/>
      <c r="E49" s="173"/>
      <c r="F49" s="174"/>
      <c r="G49" s="171"/>
      <c r="H49" s="230"/>
      <c r="I49" s="171"/>
      <c r="J49" s="171"/>
      <c r="K49" s="171"/>
      <c r="L49" s="171"/>
      <c r="M49" s="176"/>
      <c r="N49" s="171"/>
      <c r="O49" s="171"/>
      <c r="P49" s="231"/>
      <c r="Q49" s="171"/>
      <c r="R49" s="171"/>
      <c r="S49" s="171"/>
      <c r="T49" s="173"/>
      <c r="U49" s="171"/>
      <c r="V49" s="171"/>
      <c r="W49" s="173"/>
      <c r="X49" s="171"/>
      <c r="Y49" s="171"/>
      <c r="Z49" s="171"/>
      <c r="AA49" s="189"/>
      <c r="AB49" s="171"/>
      <c r="AC49" s="174"/>
      <c r="AD49" s="237"/>
      <c r="AE49" s="171"/>
      <c r="AF49" s="171"/>
    </row>
    <row r="50" customFormat="false" ht="11.1" hidden="false" customHeight="true" outlineLevel="0" collapsed="false">
      <c r="A50" s="113"/>
      <c r="B50" s="196"/>
      <c r="C50" s="114"/>
      <c r="D50" s="113"/>
      <c r="E50" s="114"/>
      <c r="F50" s="113"/>
      <c r="G50" s="113"/>
      <c r="H50" s="200"/>
      <c r="I50" s="113"/>
      <c r="J50" s="113"/>
      <c r="K50" s="113"/>
      <c r="L50" s="113"/>
      <c r="M50" s="113"/>
      <c r="N50" s="113"/>
      <c r="O50" s="113"/>
      <c r="P50" s="117"/>
      <c r="Q50" s="113"/>
      <c r="R50" s="113"/>
      <c r="S50" s="113"/>
      <c r="T50" s="114"/>
      <c r="U50" s="113"/>
      <c r="V50" s="113"/>
      <c r="W50" s="114"/>
      <c r="X50" s="113"/>
      <c r="Y50" s="113"/>
      <c r="Z50" s="113"/>
      <c r="AA50" s="118"/>
      <c r="AB50" s="119"/>
      <c r="AC50" s="120"/>
      <c r="AE50" s="201"/>
      <c r="AF50" s="201"/>
    </row>
    <row r="51" customFormat="false" ht="11.1" hidden="false" customHeight="true" outlineLevel="0" collapsed="false">
      <c r="A51" s="113"/>
      <c r="B51" s="197"/>
      <c r="C51" s="114"/>
      <c r="D51" s="187"/>
      <c r="E51" s="114"/>
      <c r="F51" s="113"/>
      <c r="G51" s="113"/>
      <c r="H51" s="238"/>
      <c r="I51" s="114"/>
      <c r="J51" s="113"/>
      <c r="K51" s="104"/>
      <c r="L51" s="113"/>
      <c r="M51" s="113"/>
      <c r="N51" s="113"/>
      <c r="O51" s="113"/>
      <c r="P51" s="117"/>
      <c r="Q51" s="113"/>
      <c r="R51" s="113"/>
      <c r="S51" s="113"/>
      <c r="T51" s="114"/>
      <c r="U51" s="113"/>
      <c r="V51" s="113"/>
      <c r="W51" s="114"/>
      <c r="X51" s="113"/>
      <c r="Y51" s="113"/>
      <c r="Z51" s="113"/>
      <c r="AA51" s="118"/>
      <c r="AB51" s="119"/>
      <c r="AC51" s="119"/>
      <c r="AD51" s="228"/>
      <c r="AE51" s="201"/>
      <c r="AF51" s="201"/>
    </row>
    <row r="52" customFormat="false" ht="11.1" hidden="false" customHeight="true" outlineLevel="0" collapsed="false">
      <c r="A52" s="187"/>
      <c r="B52" s="187"/>
      <c r="C52" s="114"/>
      <c r="D52" s="114"/>
      <c r="E52" s="114"/>
      <c r="F52" s="187"/>
      <c r="G52" s="187"/>
      <c r="H52" s="200"/>
      <c r="I52" s="114"/>
      <c r="J52" s="187"/>
      <c r="K52" s="187"/>
      <c r="L52" s="187"/>
      <c r="M52" s="185"/>
      <c r="N52" s="185"/>
      <c r="O52" s="185"/>
      <c r="P52" s="117"/>
      <c r="Q52" s="187"/>
      <c r="R52" s="187"/>
      <c r="S52" s="187"/>
      <c r="T52" s="114"/>
      <c r="U52" s="187"/>
      <c r="V52" s="187"/>
      <c r="W52" s="114"/>
      <c r="X52" s="187"/>
      <c r="Y52" s="187"/>
      <c r="Z52" s="187"/>
      <c r="AA52" s="118"/>
      <c r="AB52" s="119"/>
      <c r="AC52" s="119"/>
      <c r="AD52" s="228"/>
      <c r="AE52" s="219"/>
      <c r="AF52" s="219"/>
    </row>
    <row r="53" customFormat="false" ht="11.1" hidden="false" customHeight="true" outlineLevel="0" collapsed="false">
      <c r="A53" s="187"/>
      <c r="B53" s="117"/>
      <c r="C53" s="114"/>
      <c r="D53" s="114"/>
      <c r="E53" s="114"/>
      <c r="F53" s="187"/>
      <c r="G53" s="187"/>
      <c r="H53" s="200"/>
      <c r="I53" s="114"/>
      <c r="J53" s="187"/>
      <c r="K53" s="187"/>
      <c r="L53" s="187"/>
      <c r="M53" s="185"/>
      <c r="N53" s="185"/>
      <c r="O53" s="185"/>
      <c r="P53" s="117"/>
      <c r="Q53" s="187"/>
      <c r="R53" s="187"/>
      <c r="S53" s="187"/>
      <c r="T53" s="114"/>
      <c r="U53" s="187"/>
      <c r="V53" s="187"/>
      <c r="W53" s="114"/>
      <c r="X53" s="187"/>
      <c r="Y53" s="187"/>
      <c r="Z53" s="187"/>
      <c r="AA53" s="118"/>
      <c r="AB53" s="119"/>
      <c r="AC53" s="119"/>
      <c r="AD53" s="228"/>
      <c r="AE53" s="219"/>
      <c r="AF53" s="219"/>
    </row>
    <row r="54" customFormat="false" ht="11.1" hidden="false" customHeight="true" outlineLevel="0" collapsed="false">
      <c r="A54" s="187"/>
      <c r="B54" s="187"/>
      <c r="C54" s="114"/>
      <c r="D54" s="187"/>
      <c r="E54" s="114"/>
      <c r="F54" s="187"/>
      <c r="G54" s="198"/>
      <c r="H54" s="200"/>
      <c r="I54" s="187"/>
      <c r="J54" s="187"/>
      <c r="K54" s="187"/>
      <c r="L54" s="187"/>
      <c r="M54" s="185"/>
      <c r="N54" s="185"/>
      <c r="O54" s="185"/>
      <c r="P54" s="117"/>
      <c r="Q54" s="187"/>
      <c r="R54" s="187"/>
      <c r="S54" s="187"/>
      <c r="T54" s="114"/>
      <c r="U54" s="187"/>
      <c r="V54" s="187"/>
      <c r="W54" s="114"/>
      <c r="X54" s="187"/>
      <c r="Y54" s="187"/>
      <c r="Z54" s="187"/>
      <c r="AA54" s="118"/>
      <c r="AB54" s="119"/>
      <c r="AC54" s="119"/>
      <c r="AD54" s="228"/>
      <c r="AE54" s="219"/>
      <c r="AF54" s="219"/>
    </row>
    <row r="55" customFormat="false" ht="11.1" hidden="false" customHeight="true" outlineLevel="0" collapsed="false">
      <c r="S55" s="106"/>
      <c r="T55" s="107"/>
      <c r="V55" s="106"/>
      <c r="W55" s="107"/>
      <c r="Z55" s="106"/>
      <c r="AC55" s="111"/>
      <c r="AD55" s="239"/>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20" activePane="bottomRight" state="frozen"/>
      <selection pane="topLeft" activeCell="A1" activeCellId="0" sqref="A1"/>
      <selection pane="topRight" activeCell="B1" activeCellId="0" sqref="B1"/>
      <selection pane="bottomLeft" activeCell="A20" activeCellId="0" sqref="A20"/>
      <selection pane="bottomRight" activeCell="V12" activeCellId="0" sqref="V12"/>
    </sheetView>
  </sheetViews>
  <sheetFormatPr defaultColWidth="9.328125" defaultRowHeight="11.1" zeroHeight="false" outlineLevelRow="0" outlineLevelCol="0"/>
  <cols>
    <col collapsed="false" customWidth="true" hidden="false" outlineLevel="0" max="1" min="1" style="106" width="5.66"/>
    <col collapsed="false" customWidth="true" hidden="false" outlineLevel="0" max="2" min="2" style="106" width="7.49"/>
    <col collapsed="false" customWidth="true" hidden="false" outlineLevel="0" max="3" min="3" style="107" width="6.82"/>
    <col collapsed="false" customWidth="true" hidden="false" outlineLevel="0" max="4" min="4" style="106" width="6.99"/>
    <col collapsed="false" customWidth="true" hidden="false" outlineLevel="0" max="5" min="5" style="107" width="7.66"/>
    <col collapsed="false" customWidth="true" hidden="false" outlineLevel="0" max="6" min="6" style="106" width="7.66"/>
    <col collapsed="false" customWidth="true" hidden="false" outlineLevel="0" max="7" min="7" style="106" width="7.16"/>
    <col collapsed="false" customWidth="true" hidden="false" outlineLevel="0" max="8" min="8" style="108" width="6.66"/>
    <col collapsed="false" customWidth="true" hidden="false" outlineLevel="0" max="9" min="9" style="106" width="7.99"/>
    <col collapsed="false" customWidth="true" hidden="false" outlineLevel="0" max="11" min="10" style="106" width="6.66"/>
    <col collapsed="false" customWidth="true" hidden="false" outlineLevel="0" max="12" min="12"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06" width="7.16"/>
    <col collapsed="false" customWidth="true" hidden="false" outlineLevel="0" max="18" min="17" style="106" width="5.49"/>
    <col collapsed="false" customWidth="true" hidden="false" outlineLevel="0" max="19" min="19" style="107" width="6.82"/>
    <col collapsed="false" customWidth="true" hidden="false" outlineLevel="0" max="20" min="20" style="106" width="6.49"/>
    <col collapsed="false" customWidth="true" hidden="false" outlineLevel="0" max="21" min="21" style="106" width="5.66"/>
    <col collapsed="false" customWidth="true" hidden="false" outlineLevel="0" max="22" min="22" style="107" width="6.16"/>
    <col collapsed="false" customWidth="true" hidden="false" outlineLevel="0" max="23" min="23" style="106" width="6.82"/>
    <col collapsed="false" customWidth="true" hidden="false" outlineLevel="0" max="25" min="24" style="106" width="7.82"/>
    <col collapsed="false" customWidth="true" hidden="false" outlineLevel="0" max="26" min="26" style="110" width="7.82"/>
    <col collapsed="false" customWidth="true" hidden="false" outlineLevel="0" max="27" min="27" style="108" width="5.32"/>
    <col collapsed="false" customWidth="true" hidden="false" outlineLevel="0" max="28" min="28" style="111" width="3.82"/>
    <col collapsed="false" customWidth="true" hidden="false" outlineLevel="0" max="29" min="29" style="112" width="3.82"/>
    <col collapsed="false" customWidth="true" hidden="false" outlineLevel="0" max="30" min="30" style="109" width="5.99"/>
    <col collapsed="false" customWidth="true" hidden="false" outlineLevel="0" max="31" min="31" style="106" width="6.66"/>
    <col collapsed="false" customWidth="false" hidden="false" outlineLevel="0" max="257" min="32" style="106" width="9.32"/>
  </cols>
  <sheetData>
    <row r="1" customFormat="false" ht="14.1" hidden="false" customHeight="true" outlineLevel="0" collapsed="false">
      <c r="A1" s="113"/>
      <c r="B1" s="113"/>
      <c r="C1" s="114"/>
      <c r="D1" s="113"/>
      <c r="E1" s="114"/>
      <c r="F1" s="113"/>
      <c r="G1" s="113"/>
      <c r="H1" s="118"/>
      <c r="I1" s="113"/>
      <c r="J1" s="113"/>
      <c r="K1" s="116" t="s">
        <v>0</v>
      </c>
      <c r="L1" s="113"/>
      <c r="M1" s="113"/>
      <c r="N1" s="113"/>
      <c r="O1" s="113"/>
      <c r="P1" s="113"/>
      <c r="Q1" s="113"/>
      <c r="R1" s="113"/>
      <c r="S1" s="114"/>
      <c r="T1" s="113"/>
      <c r="U1" s="113"/>
      <c r="V1" s="114"/>
      <c r="W1" s="113"/>
      <c r="X1" s="113"/>
      <c r="Y1" s="113"/>
      <c r="Z1" s="117"/>
      <c r="AA1" s="118"/>
      <c r="AB1" s="119"/>
      <c r="AC1" s="120"/>
      <c r="AD1" s="220"/>
      <c r="AE1" s="201"/>
    </row>
    <row r="2" customFormat="false" ht="14.1" hidden="false" customHeight="true" outlineLevel="0" collapsed="false">
      <c r="A2" s="113" t="s">
        <v>1</v>
      </c>
      <c r="B2" s="113"/>
      <c r="C2" s="114"/>
      <c r="D2" s="121" t="n">
        <v>1.9835</v>
      </c>
      <c r="E2" s="114"/>
      <c r="F2" s="113"/>
      <c r="G2" s="113"/>
      <c r="H2" s="118"/>
      <c r="I2" s="113"/>
      <c r="J2" s="113"/>
      <c r="K2" s="122" t="s">
        <v>74</v>
      </c>
      <c r="L2" s="122"/>
      <c r="M2" s="122"/>
      <c r="N2" s="122"/>
      <c r="O2" s="122"/>
      <c r="P2" s="122"/>
      <c r="Q2" s="122"/>
      <c r="R2" s="122"/>
      <c r="S2" s="122"/>
      <c r="T2" s="122"/>
      <c r="U2" s="113"/>
      <c r="V2" s="114"/>
      <c r="W2" s="113"/>
      <c r="X2" s="113"/>
      <c r="Y2" s="113"/>
      <c r="Z2" s="117"/>
      <c r="AA2" s="118"/>
      <c r="AB2" s="119"/>
      <c r="AC2" s="120"/>
      <c r="AD2" s="220"/>
      <c r="AE2" s="201"/>
    </row>
    <row r="3" customFormat="false" ht="14.1" hidden="false" customHeight="true" outlineLevel="0" collapsed="false">
      <c r="A3" s="123"/>
      <c r="B3" s="123"/>
      <c r="C3" s="124"/>
      <c r="D3" s="125"/>
      <c r="E3" s="124"/>
      <c r="F3" s="123"/>
      <c r="G3" s="123"/>
      <c r="H3" s="128"/>
      <c r="I3" s="123"/>
      <c r="J3" s="123"/>
      <c r="K3" s="123"/>
      <c r="L3" s="123"/>
      <c r="M3" s="123"/>
      <c r="N3" s="123"/>
      <c r="O3" s="123"/>
      <c r="P3" s="123"/>
      <c r="Q3" s="123"/>
      <c r="R3" s="123"/>
      <c r="S3" s="124"/>
      <c r="T3" s="123"/>
      <c r="U3" s="123"/>
      <c r="V3" s="124"/>
      <c r="W3" s="123"/>
      <c r="X3" s="123"/>
      <c r="Y3" s="123"/>
      <c r="Z3" s="127"/>
      <c r="AA3" s="128"/>
      <c r="AB3" s="129"/>
      <c r="AC3" s="130"/>
      <c r="AD3" s="221"/>
      <c r="AE3" s="203"/>
      <c r="AF3" s="131"/>
    </row>
    <row r="4" customFormat="false" ht="14.1" hidden="false" customHeight="true" outlineLevel="0" collapsed="false">
      <c r="A4" s="113"/>
      <c r="B4" s="132"/>
      <c r="C4" s="133"/>
      <c r="D4" s="204" t="s">
        <v>3</v>
      </c>
      <c r="E4" s="133"/>
      <c r="F4" s="135"/>
      <c r="G4" s="113"/>
      <c r="H4" s="118"/>
      <c r="I4" s="113"/>
      <c r="J4" s="113"/>
      <c r="K4" s="113"/>
      <c r="L4" s="113"/>
      <c r="M4" s="113"/>
      <c r="N4" s="113"/>
      <c r="O4" s="113"/>
      <c r="P4" s="113"/>
      <c r="Q4" s="136" t="s">
        <v>4</v>
      </c>
      <c r="R4" s="113"/>
      <c r="S4" s="114"/>
      <c r="T4" s="113"/>
      <c r="U4" s="113"/>
      <c r="V4" s="114"/>
      <c r="W4" s="113"/>
      <c r="X4" s="113"/>
      <c r="Y4" s="113"/>
      <c r="Z4" s="117"/>
      <c r="AA4" s="137"/>
      <c r="AB4" s="138" t="s">
        <v>5</v>
      </c>
      <c r="AC4" s="139"/>
      <c r="AD4" s="220"/>
      <c r="AE4" s="201"/>
    </row>
    <row r="5" customFormat="false" ht="11.1" hidden="false" customHeight="true" outlineLevel="0" collapsed="false">
      <c r="A5" s="140" t="s">
        <v>6</v>
      </c>
      <c r="B5" s="240" t="s">
        <v>7</v>
      </c>
      <c r="C5" s="241" t="s">
        <v>7</v>
      </c>
      <c r="D5" s="242" t="s">
        <v>8</v>
      </c>
      <c r="E5" s="241" t="s">
        <v>9</v>
      </c>
      <c r="F5" s="143" t="s">
        <v>10</v>
      </c>
      <c r="G5" s="140" t="s">
        <v>11</v>
      </c>
      <c r="H5" s="205" t="s">
        <v>12</v>
      </c>
      <c r="I5" s="140" t="s">
        <v>13</v>
      </c>
      <c r="J5" s="140" t="s">
        <v>14</v>
      </c>
      <c r="K5" s="140" t="s">
        <v>15</v>
      </c>
      <c r="L5" s="140" t="s">
        <v>14</v>
      </c>
      <c r="M5" s="145" t="s">
        <v>16</v>
      </c>
      <c r="N5" s="145"/>
      <c r="O5" s="145"/>
      <c r="P5" s="145"/>
      <c r="Q5" s="140" t="s">
        <v>17</v>
      </c>
      <c r="R5" s="140" t="s">
        <v>18</v>
      </c>
      <c r="S5" s="140" t="s">
        <v>15</v>
      </c>
      <c r="T5" s="142" t="s">
        <v>19</v>
      </c>
      <c r="U5" s="140" t="s">
        <v>20</v>
      </c>
      <c r="V5" s="140" t="s">
        <v>21</v>
      </c>
      <c r="W5" s="142" t="s">
        <v>22</v>
      </c>
      <c r="X5" s="140" t="s">
        <v>13</v>
      </c>
      <c r="Y5" s="140" t="s">
        <v>14</v>
      </c>
      <c r="Z5" s="140" t="s">
        <v>15</v>
      </c>
      <c r="AA5" s="146" t="s">
        <v>23</v>
      </c>
      <c r="AB5" s="147" t="s">
        <v>24</v>
      </c>
      <c r="AC5" s="148" t="s">
        <v>25</v>
      </c>
      <c r="AD5" s="223" t="s">
        <v>64</v>
      </c>
      <c r="AE5" s="207" t="s">
        <v>19</v>
      </c>
      <c r="AF5" s="201"/>
    </row>
    <row r="6" customFormat="false" ht="11.1" hidden="false" customHeight="true" outlineLevel="0" collapsed="false">
      <c r="A6" s="150" t="s">
        <v>75</v>
      </c>
      <c r="B6" s="240" t="s">
        <v>28</v>
      </c>
      <c r="C6" s="241" t="s">
        <v>8</v>
      </c>
      <c r="D6" s="242" t="s">
        <v>29</v>
      </c>
      <c r="E6" s="241" t="s">
        <v>30</v>
      </c>
      <c r="F6" s="143" t="s">
        <v>31</v>
      </c>
      <c r="G6" s="140" t="s">
        <v>32</v>
      </c>
      <c r="H6" s="205" t="s">
        <v>33</v>
      </c>
      <c r="I6" s="140" t="s">
        <v>34</v>
      </c>
      <c r="J6" s="140" t="s">
        <v>34</v>
      </c>
      <c r="K6" s="140" t="s">
        <v>34</v>
      </c>
      <c r="L6" s="140" t="s">
        <v>35</v>
      </c>
      <c r="M6" s="151" t="s">
        <v>36</v>
      </c>
      <c r="N6" s="140" t="s">
        <v>37</v>
      </c>
      <c r="O6" s="140" t="s">
        <v>38</v>
      </c>
      <c r="P6" s="152" t="s">
        <v>39</v>
      </c>
      <c r="Q6" s="140" t="s">
        <v>40</v>
      </c>
      <c r="R6" s="140" t="s">
        <v>41</v>
      </c>
      <c r="S6" s="140" t="s">
        <v>19</v>
      </c>
      <c r="T6" s="142" t="s">
        <v>42</v>
      </c>
      <c r="U6" s="140" t="s">
        <v>43</v>
      </c>
      <c r="V6" s="140" t="s">
        <v>44</v>
      </c>
      <c r="W6" s="142" t="s">
        <v>45</v>
      </c>
      <c r="X6" s="140" t="s">
        <v>46</v>
      </c>
      <c r="Y6" s="140" t="s">
        <v>46</v>
      </c>
      <c r="Z6" s="140" t="s">
        <v>46</v>
      </c>
      <c r="AA6" s="153"/>
      <c r="AB6" s="147" t="s">
        <v>47</v>
      </c>
      <c r="AC6" s="148" t="s">
        <v>47</v>
      </c>
      <c r="AD6" s="225" t="s">
        <v>42</v>
      </c>
      <c r="AE6" s="207" t="s">
        <v>42</v>
      </c>
      <c r="AF6" s="201"/>
    </row>
    <row r="7" customFormat="false" ht="11.1" hidden="false" customHeight="true" outlineLevel="0" collapsed="false">
      <c r="A7" s="155"/>
      <c r="B7" s="156"/>
      <c r="C7" s="157"/>
      <c r="D7" s="155"/>
      <c r="E7" s="158" t="s">
        <v>48</v>
      </c>
      <c r="F7" s="159"/>
      <c r="G7" s="155"/>
      <c r="H7" s="209"/>
      <c r="I7" s="155"/>
      <c r="J7" s="155"/>
      <c r="K7" s="155"/>
      <c r="L7" s="155"/>
      <c r="M7" s="161"/>
      <c r="N7" s="155"/>
      <c r="O7" s="155"/>
      <c r="P7" s="162"/>
      <c r="Q7" s="155"/>
      <c r="R7" s="155"/>
      <c r="S7" s="155"/>
      <c r="T7" s="158" t="s">
        <v>49</v>
      </c>
      <c r="U7" s="155"/>
      <c r="V7" s="155"/>
      <c r="W7" s="157"/>
      <c r="X7" s="155"/>
      <c r="Y7" s="155"/>
      <c r="Z7" s="155"/>
      <c r="AA7" s="163"/>
      <c r="AB7" s="154" t="s">
        <v>50</v>
      </c>
      <c r="AC7" s="164"/>
      <c r="AD7" s="228"/>
      <c r="AE7" s="207" t="s">
        <v>51</v>
      </c>
      <c r="AF7" s="212"/>
    </row>
    <row r="8" customFormat="false" ht="11.1" hidden="false" customHeight="true" outlineLevel="0" collapsed="false">
      <c r="A8" s="155"/>
      <c r="B8" s="156"/>
      <c r="C8" s="157"/>
      <c r="D8" s="155"/>
      <c r="E8" s="157"/>
      <c r="F8" s="159"/>
      <c r="G8" s="155"/>
      <c r="H8" s="209"/>
      <c r="I8" s="155"/>
      <c r="J8" s="155"/>
      <c r="K8" s="155"/>
      <c r="L8" s="155"/>
      <c r="M8" s="161"/>
      <c r="N8" s="155"/>
      <c r="O8" s="155"/>
      <c r="P8" s="162"/>
      <c r="Q8" s="155"/>
      <c r="R8" s="155"/>
      <c r="S8" s="155"/>
      <c r="T8" s="157"/>
      <c r="U8" s="155"/>
      <c r="V8" s="155"/>
      <c r="W8" s="157"/>
      <c r="X8" s="155"/>
      <c r="Y8" s="155"/>
      <c r="Z8" s="155"/>
      <c r="AA8" s="163"/>
      <c r="AB8" s="120"/>
      <c r="AC8" s="164"/>
      <c r="AD8" s="228"/>
      <c r="AE8" s="212"/>
      <c r="AF8" s="212"/>
    </row>
    <row r="9" customFormat="false" ht="11.1" hidden="false" customHeight="true" outlineLevel="0" collapsed="false">
      <c r="A9" s="113" t="s">
        <v>52</v>
      </c>
      <c r="B9" s="165"/>
      <c r="C9" s="114"/>
      <c r="D9" s="114"/>
      <c r="E9" s="114"/>
      <c r="F9" s="166"/>
      <c r="G9" s="114"/>
      <c r="H9" s="118"/>
      <c r="I9" s="114"/>
      <c r="J9" s="114"/>
      <c r="K9" s="114"/>
      <c r="L9" s="114"/>
      <c r="M9" s="167"/>
      <c r="N9" s="114"/>
      <c r="O9" s="114"/>
      <c r="P9" s="168"/>
      <c r="Q9" s="114"/>
      <c r="R9" s="114"/>
      <c r="S9" s="114"/>
      <c r="T9" s="114"/>
      <c r="U9" s="114"/>
      <c r="V9" s="114"/>
      <c r="W9" s="114"/>
      <c r="X9" s="114"/>
      <c r="Y9" s="114"/>
      <c r="Z9" s="114"/>
      <c r="AA9" s="163"/>
      <c r="AB9" s="119"/>
      <c r="AC9" s="169"/>
      <c r="AD9" s="228"/>
      <c r="AE9" s="212"/>
      <c r="AF9" s="214"/>
    </row>
    <row r="10" s="107" customFormat="true" ht="11.1" hidden="false" customHeight="true" outlineLevel="0" collapsed="false">
      <c r="A10" s="114" t="s">
        <v>53</v>
      </c>
      <c r="B10" s="170" t="n">
        <f aca="false">FEB!B39</f>
        <v>6860.23</v>
      </c>
      <c r="C10" s="114" t="n">
        <f aca="false">FEB!C39</f>
        <v>163594</v>
      </c>
      <c r="D10" s="114" t="n">
        <f aca="false">FEB!$D$48</f>
        <v>7027</v>
      </c>
      <c r="E10" s="114" t="n">
        <f aca="false">FEB!$E$39</f>
        <v>11594</v>
      </c>
      <c r="F10" s="166" t="n">
        <f aca="false">FEB!F47</f>
        <v>3542.7275018906</v>
      </c>
      <c r="G10" s="114" t="n">
        <f aca="false">FEB!G47</f>
        <v>4961</v>
      </c>
      <c r="H10" s="118" t="n">
        <f aca="false">FEB!H47</f>
        <v>28.84</v>
      </c>
      <c r="I10" s="114" t="n">
        <f aca="false">FEB!I47</f>
        <v>4989.84</v>
      </c>
      <c r="J10" s="114" t="n">
        <f aca="false">FEB!J47</f>
        <v>1709.47524829846</v>
      </c>
      <c r="K10" s="114" t="n">
        <f aca="false">FEB!K47</f>
        <v>6699.31524829846</v>
      </c>
      <c r="L10" s="114" t="n">
        <f aca="false">FEB!L47</f>
        <v>1120.6775018906</v>
      </c>
      <c r="M10" s="167" t="n">
        <f aca="false">FEB!M47</f>
        <v>731.9</v>
      </c>
      <c r="N10" s="114" t="n">
        <f aca="false">FEB!N47</f>
        <v>0</v>
      </c>
      <c r="O10" s="114" t="n">
        <f aca="false">FEB!O47</f>
        <v>0</v>
      </c>
      <c r="P10" s="168" t="n">
        <f aca="false">FEB!P47</f>
        <v>731.9</v>
      </c>
      <c r="Q10" s="114" t="n">
        <f aca="false">FEB!Q47</f>
        <v>62</v>
      </c>
      <c r="R10" s="114" t="n">
        <f aca="false">FEB!R47</f>
        <v>51</v>
      </c>
      <c r="S10" s="114" t="n">
        <f aca="false">FEB!S47</f>
        <v>844.9</v>
      </c>
      <c r="T10" s="114" t="n">
        <f aca="false">FEB!T47</f>
        <v>0</v>
      </c>
      <c r="U10" s="114" t="n">
        <f aca="false">FEB!U47</f>
        <v>0</v>
      </c>
      <c r="V10" s="114" t="n">
        <f aca="false">FEB!V47</f>
        <v>1722.89</v>
      </c>
      <c r="W10" s="114" t="n">
        <f aca="false">FEB!W47</f>
        <v>687.11</v>
      </c>
      <c r="X10" s="114" t="n">
        <f aca="false">FEB!X47</f>
        <v>2567.79</v>
      </c>
      <c r="Y10" s="114" t="n">
        <f aca="false">FEB!Y47</f>
        <v>588.797746407865</v>
      </c>
      <c r="Z10" s="114" t="n">
        <f aca="false">FEB!Z47</f>
        <v>3156.58774640786</v>
      </c>
      <c r="AA10" s="163" t="n">
        <f aca="false">FEB!AA47</f>
        <v>5.24</v>
      </c>
      <c r="AB10" s="119"/>
      <c r="AC10" s="169"/>
      <c r="AD10" s="228" t="n">
        <f aca="false">FEB!AD39</f>
        <v>379.44652525</v>
      </c>
      <c r="AE10" s="215"/>
      <c r="AF10" s="212"/>
    </row>
    <row r="11" customFormat="false" ht="3" hidden="false" customHeight="true" outlineLevel="0" collapsed="false">
      <c r="A11" s="171"/>
      <c r="B11" s="172"/>
      <c r="C11" s="173"/>
      <c r="D11" s="171"/>
      <c r="E11" s="173"/>
      <c r="F11" s="174"/>
      <c r="G11" s="171"/>
      <c r="H11" s="194"/>
      <c r="I11" s="171"/>
      <c r="J11" s="171"/>
      <c r="K11" s="171"/>
      <c r="L11" s="171"/>
      <c r="M11" s="176"/>
      <c r="N11" s="171"/>
      <c r="O11" s="171"/>
      <c r="P11" s="177"/>
      <c r="Q11" s="171"/>
      <c r="R11" s="171"/>
      <c r="S11" s="171"/>
      <c r="T11" s="173"/>
      <c r="U11" s="171"/>
      <c r="V11" s="171"/>
      <c r="W11" s="173"/>
      <c r="X11" s="171"/>
      <c r="Y11" s="171"/>
      <c r="Z11" s="171"/>
      <c r="AA11" s="178"/>
      <c r="AB11" s="179"/>
      <c r="AC11" s="180"/>
      <c r="AD11" s="232"/>
      <c r="AE11" s="181"/>
      <c r="AF11" s="181"/>
    </row>
    <row r="12" customFormat="false" ht="11.1" hidden="false" customHeight="true" outlineLevel="0" collapsed="false">
      <c r="A12" s="120" t="n">
        <v>1</v>
      </c>
      <c r="B12" s="170" t="n">
        <v>6860.28</v>
      </c>
      <c r="C12" s="114" t="n">
        <v>163709</v>
      </c>
      <c r="D12" s="119" t="n">
        <f aca="false">C12-C10</f>
        <v>115</v>
      </c>
      <c r="E12" s="114" t="n">
        <f aca="false">C12-152000</f>
        <v>11709</v>
      </c>
      <c r="F12" s="182" t="n">
        <f aca="false">D12/$D$2</f>
        <v>57.9783211494832</v>
      </c>
      <c r="G12" s="183" t="n">
        <v>29</v>
      </c>
      <c r="H12" s="217" t="n">
        <v>1.2</v>
      </c>
      <c r="I12" s="113" t="n">
        <f aca="false">G12+H12</f>
        <v>30.2</v>
      </c>
      <c r="J12" s="185" t="n">
        <f aca="false">IF(L12&gt;0,L12,0)</f>
        <v>50.0783211494832</v>
      </c>
      <c r="K12" s="113" t="n">
        <f aca="false">I12+J12</f>
        <v>80.2783211494832</v>
      </c>
      <c r="L12" s="113" t="n">
        <f aca="false">F12-(I12-X12)</f>
        <v>50.0783211494832</v>
      </c>
      <c r="M12" s="186" t="n">
        <v>7.3</v>
      </c>
      <c r="N12" s="113" t="n">
        <v>0</v>
      </c>
      <c r="O12" s="113" t="n">
        <v>0</v>
      </c>
      <c r="P12" s="92" t="n">
        <f aca="false">M12-(N12+O12)</f>
        <v>7.3</v>
      </c>
      <c r="Q12" s="183" t="n">
        <v>0</v>
      </c>
      <c r="R12" s="183" t="n">
        <v>0</v>
      </c>
      <c r="S12" s="113" t="n">
        <f aca="false">SUM(P12:R12)</f>
        <v>7.3</v>
      </c>
      <c r="T12" s="114"/>
      <c r="U12" s="183" t="n">
        <v>0</v>
      </c>
      <c r="V12" s="243" t="n">
        <v>15</v>
      </c>
      <c r="W12" s="244" t="n">
        <f aca="false">W10-V12</f>
        <v>672.11</v>
      </c>
      <c r="X12" s="6" t="n">
        <f aca="false">N12+O12+S12+U12+V12</f>
        <v>22.3</v>
      </c>
      <c r="Y12" s="113" t="n">
        <f aca="false">IF(L12&lt;0,L12*-1,0)</f>
        <v>0</v>
      </c>
      <c r="Z12" s="113" t="n">
        <f aca="false">X12+Y12</f>
        <v>22.3</v>
      </c>
      <c r="AA12" s="163" t="n">
        <v>0.15</v>
      </c>
      <c r="AB12" s="119" t="n">
        <v>45</v>
      </c>
      <c r="AC12" s="169" t="n">
        <v>11</v>
      </c>
      <c r="AD12" s="228" t="n">
        <f aca="false">AD10+(G12+H12-P12-3.35)*1.9835</f>
        <v>418.22395025</v>
      </c>
      <c r="AE12" s="214"/>
      <c r="AF12" s="215"/>
    </row>
    <row r="13" customFormat="false" ht="11.1" hidden="false" customHeight="true" outlineLevel="0" collapsed="false">
      <c r="A13" s="120" t="n">
        <f aca="false">A12+1</f>
        <v>2</v>
      </c>
      <c r="B13" s="170" t="n">
        <v>6860.31</v>
      </c>
      <c r="C13" s="114" t="n">
        <v>163778</v>
      </c>
      <c r="D13" s="119" t="n">
        <f aca="false">C13-C12</f>
        <v>69</v>
      </c>
      <c r="E13" s="114" t="n">
        <f aca="false">C13-152000</f>
        <v>11778</v>
      </c>
      <c r="F13" s="182" t="n">
        <f aca="false">D13/$D$2</f>
        <v>34.7869926896899</v>
      </c>
      <c r="G13" s="183" t="n">
        <v>19</v>
      </c>
      <c r="H13" s="217" t="n">
        <v>1.1</v>
      </c>
      <c r="I13" s="113" t="n">
        <f aca="false">G13+H13</f>
        <v>20.1</v>
      </c>
      <c r="J13" s="185" t="n">
        <f aca="false">IF(L13&gt;0,L13,0)</f>
        <v>36.7869926896899</v>
      </c>
      <c r="K13" s="113" t="n">
        <f aca="false">I13+J13</f>
        <v>56.8869926896899</v>
      </c>
      <c r="L13" s="113" t="n">
        <f aca="false">F13-(I13-X13)</f>
        <v>36.7869926896899</v>
      </c>
      <c r="M13" s="186" t="n">
        <v>7.1</v>
      </c>
      <c r="N13" s="113" t="n">
        <v>0</v>
      </c>
      <c r="O13" s="113" t="n">
        <v>0</v>
      </c>
      <c r="P13" s="92" t="n">
        <f aca="false">M13-(N13+O13)</f>
        <v>7.1</v>
      </c>
      <c r="Q13" s="183" t="n">
        <v>0</v>
      </c>
      <c r="R13" s="183" t="n">
        <v>0</v>
      </c>
      <c r="S13" s="113" t="n">
        <f aca="false">SUM(P13:R13)</f>
        <v>7.1</v>
      </c>
      <c r="T13" s="114"/>
      <c r="U13" s="183" t="n">
        <v>0</v>
      </c>
      <c r="V13" s="243" t="n">
        <v>15</v>
      </c>
      <c r="W13" s="244" t="n">
        <f aca="false">W12-V13</f>
        <v>657.11</v>
      </c>
      <c r="X13" s="6" t="n">
        <f aca="false">N13+O13+S13+U13+V13</f>
        <v>22.1</v>
      </c>
      <c r="Y13" s="113" t="n">
        <f aca="false">IF(L13&lt;0,L13*-1,0)</f>
        <v>0</v>
      </c>
      <c r="Z13" s="113" t="n">
        <f aca="false">X13+Y13</f>
        <v>22.1</v>
      </c>
      <c r="AA13" s="163" t="n">
        <v>0</v>
      </c>
      <c r="AB13" s="119" t="n">
        <v>39</v>
      </c>
      <c r="AC13" s="169" t="n">
        <v>6</v>
      </c>
      <c r="AD13" s="228" t="n">
        <f aca="false">AD12+(G13+H13-P13-3.35)*1.9835</f>
        <v>437.36472525</v>
      </c>
      <c r="AE13" s="214"/>
      <c r="AF13" s="215"/>
    </row>
    <row r="14" customFormat="false" ht="11.1" hidden="false" customHeight="true" outlineLevel="0" collapsed="false">
      <c r="A14" s="120" t="n">
        <f aca="false">A13+1</f>
        <v>3</v>
      </c>
      <c r="B14" s="170" t="n">
        <v>6860.33</v>
      </c>
      <c r="C14" s="114" t="n">
        <v>163824</v>
      </c>
      <c r="D14" s="119" t="n">
        <f aca="false">C14-C13</f>
        <v>46</v>
      </c>
      <c r="E14" s="114" t="n">
        <f aca="false">C14-152000</f>
        <v>11824</v>
      </c>
      <c r="F14" s="182" t="n">
        <f aca="false">D14/$D$2</f>
        <v>23.1913284597933</v>
      </c>
      <c r="G14" s="183" t="n">
        <v>18</v>
      </c>
      <c r="H14" s="217" t="n">
        <v>1.2</v>
      </c>
      <c r="I14" s="113" t="n">
        <f aca="false">G14+H14</f>
        <v>19.2</v>
      </c>
      <c r="J14" s="185" t="n">
        <f aca="false">IF(L14&gt;0,L14,0)</f>
        <v>26.3913284597933</v>
      </c>
      <c r="K14" s="113" t="n">
        <f aca="false">I14+J14</f>
        <v>45.5913284597933</v>
      </c>
      <c r="L14" s="113" t="n">
        <f aca="false">F14-(I14-X14)</f>
        <v>26.3913284597933</v>
      </c>
      <c r="M14" s="186" t="n">
        <v>7.4</v>
      </c>
      <c r="N14" s="113" t="n">
        <v>0</v>
      </c>
      <c r="O14" s="113" t="n">
        <v>0</v>
      </c>
      <c r="P14" s="92" t="n">
        <f aca="false">M14-(N14+O14)</f>
        <v>7.4</v>
      </c>
      <c r="Q14" s="183" t="n">
        <v>0</v>
      </c>
      <c r="R14" s="183" t="n">
        <v>0</v>
      </c>
      <c r="S14" s="113" t="n">
        <f aca="false">SUM(P14:R14)</f>
        <v>7.4</v>
      </c>
      <c r="T14" s="114"/>
      <c r="U14" s="183" t="n">
        <v>0</v>
      </c>
      <c r="V14" s="243" t="n">
        <v>15</v>
      </c>
      <c r="W14" s="244" t="n">
        <f aca="false">W13-V14</f>
        <v>642.11</v>
      </c>
      <c r="X14" s="6" t="n">
        <f aca="false">N14+O14+S14+U14+V14</f>
        <v>22.4</v>
      </c>
      <c r="Y14" s="113" t="n">
        <f aca="false">IF(L14&lt;0,L14*-1,0)</f>
        <v>0</v>
      </c>
      <c r="Z14" s="113" t="n">
        <f aca="false">X14+Y14</f>
        <v>22.4</v>
      </c>
      <c r="AA14" s="163" t="n">
        <v>0</v>
      </c>
      <c r="AB14" s="119" t="n">
        <v>41</v>
      </c>
      <c r="AC14" s="169" t="n">
        <v>10</v>
      </c>
      <c r="AD14" s="228" t="n">
        <f aca="false">AD13+(G14+H14-P14-3.35)*1.9835</f>
        <v>454.12530025</v>
      </c>
      <c r="AE14" s="214"/>
      <c r="AF14" s="215"/>
    </row>
    <row r="15" customFormat="false" ht="11.1" hidden="false" customHeight="true" outlineLevel="0" collapsed="false">
      <c r="A15" s="120" t="n">
        <f aca="false">A14+1</f>
        <v>4</v>
      </c>
      <c r="B15" s="170" t="n">
        <v>6860.38</v>
      </c>
      <c r="C15" s="114" t="n">
        <v>163939</v>
      </c>
      <c r="D15" s="119" t="n">
        <f aca="false">C15-C14</f>
        <v>115</v>
      </c>
      <c r="E15" s="114" t="n">
        <f aca="false">C15-152000</f>
        <v>11939</v>
      </c>
      <c r="F15" s="182" t="n">
        <f aca="false">D15/$D$2</f>
        <v>57.9783211494832</v>
      </c>
      <c r="G15" s="183" t="n">
        <v>38</v>
      </c>
      <c r="H15" s="217" t="n">
        <v>1.2</v>
      </c>
      <c r="I15" s="113" t="n">
        <f aca="false">G15+H15</f>
        <v>39.2</v>
      </c>
      <c r="J15" s="185" t="n">
        <f aca="false">IF(L15&gt;0,L15,0)</f>
        <v>41.4783211494832</v>
      </c>
      <c r="K15" s="113" t="n">
        <f aca="false">I15+J15</f>
        <v>80.6783211494832</v>
      </c>
      <c r="L15" s="113" t="n">
        <f aca="false">F15-(I15-X15)</f>
        <v>41.4783211494832</v>
      </c>
      <c r="M15" s="186" t="n">
        <v>7.7</v>
      </c>
      <c r="N15" s="113" t="n">
        <v>0</v>
      </c>
      <c r="O15" s="113" t="n">
        <v>0</v>
      </c>
      <c r="P15" s="92" t="n">
        <f aca="false">M15-(N15+O15)</f>
        <v>7.7</v>
      </c>
      <c r="Q15" s="183" t="n">
        <v>0</v>
      </c>
      <c r="R15" s="183" t="n">
        <v>0</v>
      </c>
      <c r="S15" s="113" t="n">
        <f aca="false">SUM(P15:R15)</f>
        <v>7.7</v>
      </c>
      <c r="T15" s="114"/>
      <c r="U15" s="183" t="n">
        <v>0</v>
      </c>
      <c r="V15" s="243" t="n">
        <v>15</v>
      </c>
      <c r="W15" s="244" t="n">
        <f aca="false">W14-V15</f>
        <v>627.11</v>
      </c>
      <c r="X15" s="6" t="n">
        <f aca="false">N15+O15+S15+U15+V15</f>
        <v>22.7</v>
      </c>
      <c r="Y15" s="113" t="n">
        <f aca="false">IF(L15&lt;0,L15*-1,0)</f>
        <v>0</v>
      </c>
      <c r="Z15" s="113" t="n">
        <f aca="false">X15+Y15</f>
        <v>22.7</v>
      </c>
      <c r="AA15" s="163" t="n">
        <v>0.35</v>
      </c>
      <c r="AB15" s="119" t="n">
        <v>33</v>
      </c>
      <c r="AC15" s="169" t="n">
        <v>25</v>
      </c>
      <c r="AD15" s="228" t="n">
        <f aca="false">AD14+(G15+H15-P15-3.35)*1.9835</f>
        <v>509.96082525</v>
      </c>
      <c r="AE15" s="214"/>
      <c r="AF15" s="215"/>
    </row>
    <row r="16" customFormat="false" ht="11.1" hidden="false" customHeight="true" outlineLevel="0" collapsed="false">
      <c r="A16" s="120" t="n">
        <f aca="false">A15+1</f>
        <v>5</v>
      </c>
      <c r="B16" s="170" t="n">
        <v>6860.44</v>
      </c>
      <c r="C16" s="114" t="n">
        <v>164077</v>
      </c>
      <c r="D16" s="119" t="n">
        <f aca="false">C16-C15</f>
        <v>138</v>
      </c>
      <c r="E16" s="114" t="n">
        <f aca="false">C16-152000</f>
        <v>12077</v>
      </c>
      <c r="F16" s="182" t="n">
        <f aca="false">D16/$D$2</f>
        <v>69.5739853793799</v>
      </c>
      <c r="G16" s="183" t="n">
        <v>40</v>
      </c>
      <c r="H16" s="217" t="n">
        <v>1.4</v>
      </c>
      <c r="I16" s="113" t="n">
        <f aca="false">G16+H16</f>
        <v>41.4</v>
      </c>
      <c r="J16" s="185" t="n">
        <f aca="false">IF(L16&gt;0,L16,0)</f>
        <v>50.7739853793799</v>
      </c>
      <c r="K16" s="113" t="n">
        <f aca="false">I16+J16</f>
        <v>92.1739853793799</v>
      </c>
      <c r="L16" s="113" t="n">
        <f aca="false">F16-(I16-X16)</f>
        <v>50.7739853793799</v>
      </c>
      <c r="M16" s="186" t="n">
        <v>7.6</v>
      </c>
      <c r="N16" s="113" t="n">
        <v>0</v>
      </c>
      <c r="O16" s="113" t="n">
        <v>0</v>
      </c>
      <c r="P16" s="92" t="n">
        <f aca="false">M16-(N16+O16)</f>
        <v>7.6</v>
      </c>
      <c r="Q16" s="183" t="n">
        <v>0</v>
      </c>
      <c r="R16" s="183" t="n">
        <v>0</v>
      </c>
      <c r="S16" s="113" t="n">
        <f aca="false">SUM(P16:R16)</f>
        <v>7.6</v>
      </c>
      <c r="T16" s="114"/>
      <c r="U16" s="183" t="n">
        <v>0</v>
      </c>
      <c r="V16" s="243" t="n">
        <v>15</v>
      </c>
      <c r="W16" s="244" t="n">
        <f aca="false">W15-V16</f>
        <v>612.11</v>
      </c>
      <c r="X16" s="6" t="n">
        <f aca="false">N16+O16+S16+U16+V16</f>
        <v>22.6</v>
      </c>
      <c r="Y16" s="113" t="n">
        <f aca="false">IF(L16&lt;0,L16*-1,0)</f>
        <v>0</v>
      </c>
      <c r="Z16" s="113" t="n">
        <f aca="false">X16+Y16</f>
        <v>22.6</v>
      </c>
      <c r="AA16" s="163" t="n">
        <v>0</v>
      </c>
      <c r="AB16" s="119" t="n">
        <v>39</v>
      </c>
      <c r="AC16" s="169" t="n">
        <v>15</v>
      </c>
      <c r="AD16" s="228" t="n">
        <f aca="false">AD15+(G16+H16-P16-3.35)*1.9835</f>
        <v>570.35840025</v>
      </c>
      <c r="AE16" s="214"/>
      <c r="AF16" s="215"/>
    </row>
    <row r="17" customFormat="false" ht="11.1" hidden="false" customHeight="true" outlineLevel="0" collapsed="false">
      <c r="A17" s="120" t="n">
        <f aca="false">A16+1</f>
        <v>6</v>
      </c>
      <c r="B17" s="170" t="n">
        <v>6860.45</v>
      </c>
      <c r="C17" s="114" t="n">
        <v>164099</v>
      </c>
      <c r="D17" s="119" t="n">
        <f aca="false">C17-C16</f>
        <v>22</v>
      </c>
      <c r="E17" s="114" t="n">
        <f aca="false">C17-152000</f>
        <v>12099</v>
      </c>
      <c r="F17" s="182" t="n">
        <f aca="false">D17/$D$2</f>
        <v>11.0915049155533</v>
      </c>
      <c r="G17" s="183" t="n">
        <v>42</v>
      </c>
      <c r="H17" s="217" t="n">
        <v>1.3</v>
      </c>
      <c r="I17" s="113" t="n">
        <f aca="false">G17+H17</f>
        <v>43.3</v>
      </c>
      <c r="J17" s="185" t="n">
        <f aca="false">IF(L17&gt;0,L17,0)</f>
        <v>0</v>
      </c>
      <c r="K17" s="113" t="n">
        <f aca="false">I17+J17</f>
        <v>43.3</v>
      </c>
      <c r="L17" s="113" t="n">
        <f aca="false">F17-(I17-X17)</f>
        <v>-9.00849508444668</v>
      </c>
      <c r="M17" s="186" t="n">
        <v>7.2</v>
      </c>
      <c r="N17" s="113" t="n">
        <v>0</v>
      </c>
      <c r="O17" s="113" t="n">
        <v>0</v>
      </c>
      <c r="P17" s="92" t="n">
        <f aca="false">M17-(N17+O17)</f>
        <v>7.2</v>
      </c>
      <c r="Q17" s="183" t="n">
        <v>0</v>
      </c>
      <c r="R17" s="183" t="n">
        <v>0</v>
      </c>
      <c r="S17" s="113" t="n">
        <f aca="false">SUM(P17:R17)</f>
        <v>7.2</v>
      </c>
      <c r="T17" s="114"/>
      <c r="U17" s="183" t="n">
        <v>0</v>
      </c>
      <c r="V17" s="243" t="n">
        <v>16</v>
      </c>
      <c r="W17" s="244" t="n">
        <f aca="false">W16-V17</f>
        <v>596.11</v>
      </c>
      <c r="X17" s="6" t="n">
        <f aca="false">N17+O17+S17+U17+V17</f>
        <v>23.2</v>
      </c>
      <c r="Y17" s="113" t="n">
        <f aca="false">IF(L17&lt;0,L17*-1,0)</f>
        <v>9.00849508444668</v>
      </c>
      <c r="Z17" s="113" t="n">
        <f aca="false">X17+Y17</f>
        <v>32.2084950844467</v>
      </c>
      <c r="AA17" s="163" t="n">
        <v>0</v>
      </c>
      <c r="AB17" s="119" t="n">
        <v>42</v>
      </c>
      <c r="AC17" s="169" t="n">
        <v>15</v>
      </c>
      <c r="AD17" s="228" t="n">
        <f aca="false">AD16+(G17+H17-P17-3.35)*1.9835</f>
        <v>635.31802525</v>
      </c>
      <c r="AE17" s="212"/>
      <c r="AF17" s="215"/>
    </row>
    <row r="18" customFormat="false" ht="11.1" hidden="false" customHeight="true" outlineLevel="0" collapsed="false">
      <c r="A18" s="120" t="n">
        <f aca="false">A17+1</f>
        <v>7</v>
      </c>
      <c r="B18" s="170" t="n">
        <v>6860.46</v>
      </c>
      <c r="C18" s="114" t="n">
        <v>164122</v>
      </c>
      <c r="D18" s="119" t="n">
        <f aca="false">C18-C17</f>
        <v>23</v>
      </c>
      <c r="E18" s="114" t="n">
        <f aca="false">C18-152000</f>
        <v>12122</v>
      </c>
      <c r="F18" s="182" t="n">
        <f aca="false">D18/$D$2</f>
        <v>11.5956642298966</v>
      </c>
      <c r="G18" s="183" t="n">
        <v>46</v>
      </c>
      <c r="H18" s="217" t="n">
        <v>1.4</v>
      </c>
      <c r="I18" s="113" t="n">
        <f aca="false">G18+H18</f>
        <v>47.4</v>
      </c>
      <c r="J18" s="185" t="n">
        <f aca="false">IF(L18&gt;0,L18,0)</f>
        <v>0</v>
      </c>
      <c r="K18" s="113" t="n">
        <f aca="false">I18+J18</f>
        <v>47.4</v>
      </c>
      <c r="L18" s="113" t="n">
        <f aca="false">F18-(I18-X18)</f>
        <v>-11.0043357701034</v>
      </c>
      <c r="M18" s="186" t="n">
        <v>6.8</v>
      </c>
      <c r="N18" s="113" t="n">
        <v>0</v>
      </c>
      <c r="O18" s="113" t="n">
        <v>0</v>
      </c>
      <c r="P18" s="92" t="n">
        <f aca="false">M18-(N18+O18)</f>
        <v>6.8</v>
      </c>
      <c r="Q18" s="183" t="n">
        <v>0</v>
      </c>
      <c r="R18" s="183" t="n">
        <v>0</v>
      </c>
      <c r="S18" s="113" t="n">
        <f aca="false">SUM(P18:R18)</f>
        <v>6.8</v>
      </c>
      <c r="T18" s="114"/>
      <c r="U18" s="183" t="n">
        <v>0</v>
      </c>
      <c r="V18" s="243" t="n">
        <v>18</v>
      </c>
      <c r="W18" s="244" t="n">
        <f aca="false">W17-V18</f>
        <v>578.11</v>
      </c>
      <c r="X18" s="6" t="n">
        <f aca="false">N18+O18+S18+U18+V18</f>
        <v>24.8</v>
      </c>
      <c r="Y18" s="113" t="n">
        <f aca="false">IF(L18&lt;0,L18*-1,0)</f>
        <v>11.0043357701034</v>
      </c>
      <c r="Z18" s="113" t="n">
        <f aca="false">X18+Y18</f>
        <v>35.8043357701033</v>
      </c>
      <c r="AA18" s="163" t="n">
        <v>0</v>
      </c>
      <c r="AB18" s="119" t="n">
        <v>47</v>
      </c>
      <c r="AC18" s="169" t="n">
        <v>23</v>
      </c>
      <c r="AD18" s="228" t="n">
        <f aca="false">AD17+(G18+H18-P18-3.35)*1.9835</f>
        <v>709.20340025</v>
      </c>
      <c r="AE18" s="212"/>
      <c r="AF18" s="215"/>
    </row>
    <row r="19" customFormat="false" ht="11.1" hidden="false" customHeight="true" outlineLevel="0" collapsed="false">
      <c r="A19" s="120" t="n">
        <f aca="false">A18+1</f>
        <v>8</v>
      </c>
      <c r="B19" s="170" t="n">
        <v>6860.47</v>
      </c>
      <c r="C19" s="114" t="n">
        <v>164145</v>
      </c>
      <c r="D19" s="119" t="n">
        <f aca="false">C19-C18</f>
        <v>23</v>
      </c>
      <c r="E19" s="114" t="n">
        <f aca="false">C19-152000</f>
        <v>12145</v>
      </c>
      <c r="F19" s="182" t="n">
        <f aca="false">D19/$D$2</f>
        <v>11.5956642298966</v>
      </c>
      <c r="G19" s="183" t="n">
        <v>46</v>
      </c>
      <c r="H19" s="217" t="n">
        <v>1.5</v>
      </c>
      <c r="I19" s="113" t="n">
        <f aca="false">G19+H19</f>
        <v>47.5</v>
      </c>
      <c r="J19" s="185" t="n">
        <f aca="false">IF(L19&gt;0,L19,0)</f>
        <v>0</v>
      </c>
      <c r="K19" s="113" t="n">
        <f aca="false">I19+J19</f>
        <v>47.5</v>
      </c>
      <c r="L19" s="113" t="n">
        <f aca="false">F19-(I19-X19)</f>
        <v>-10.8043357701034</v>
      </c>
      <c r="M19" s="186" t="n">
        <v>7.1</v>
      </c>
      <c r="N19" s="113" t="n">
        <v>0</v>
      </c>
      <c r="O19" s="113" t="n">
        <v>0</v>
      </c>
      <c r="P19" s="92" t="n">
        <f aca="false">M19-(N19+O19)</f>
        <v>7.1</v>
      </c>
      <c r="Q19" s="183" t="n">
        <v>0</v>
      </c>
      <c r="R19" s="183" t="n">
        <v>0</v>
      </c>
      <c r="S19" s="113" t="n">
        <f aca="false">SUM(P19:R19)</f>
        <v>7.1</v>
      </c>
      <c r="T19" s="114"/>
      <c r="U19" s="183" t="n">
        <v>0</v>
      </c>
      <c r="V19" s="243" t="n">
        <v>18</v>
      </c>
      <c r="W19" s="244" t="n">
        <f aca="false">W18-V19</f>
        <v>560.11</v>
      </c>
      <c r="X19" s="6" t="n">
        <f aca="false">N19+O19+S19+U19+V19</f>
        <v>25.1</v>
      </c>
      <c r="Y19" s="113" t="n">
        <f aca="false">IF(L19&lt;0,L19*-1,0)</f>
        <v>10.8043357701034</v>
      </c>
      <c r="Z19" s="113" t="n">
        <f aca="false">X19+Y19</f>
        <v>35.9043357701033</v>
      </c>
      <c r="AA19" s="163" t="n">
        <v>0</v>
      </c>
      <c r="AB19" s="119" t="n">
        <v>54</v>
      </c>
      <c r="AC19" s="169" t="n">
        <v>27</v>
      </c>
      <c r="AD19" s="228" t="n">
        <f aca="false">AD18+(G19+H19-P19-3.35)*1.9835</f>
        <v>782.69207525</v>
      </c>
      <c r="AE19" s="212"/>
      <c r="AF19" s="215"/>
    </row>
    <row r="20" customFormat="false" ht="11.1" hidden="false" customHeight="true" outlineLevel="0" collapsed="false">
      <c r="A20" s="120" t="n">
        <f aca="false">A19+1</f>
        <v>9</v>
      </c>
      <c r="B20" s="170" t="n">
        <v>6860.48</v>
      </c>
      <c r="C20" s="114" t="n">
        <v>164168</v>
      </c>
      <c r="D20" s="119" t="n">
        <f aca="false">C20-C19</f>
        <v>23</v>
      </c>
      <c r="E20" s="114" t="n">
        <f aca="false">C20-152000</f>
        <v>12168</v>
      </c>
      <c r="F20" s="182" t="n">
        <f aca="false">D20/$D$2</f>
        <v>11.5956642298966</v>
      </c>
      <c r="G20" s="183" t="n">
        <v>47</v>
      </c>
      <c r="H20" s="217" t="n">
        <v>1.8</v>
      </c>
      <c r="I20" s="113" t="n">
        <f aca="false">G20+H20</f>
        <v>48.8</v>
      </c>
      <c r="J20" s="185" t="n">
        <f aca="false">IF(L20&gt;0,L20,0)</f>
        <v>0</v>
      </c>
      <c r="K20" s="113" t="n">
        <f aca="false">I20+J20</f>
        <v>48.8</v>
      </c>
      <c r="L20" s="113" t="n">
        <f aca="false">F20-(I20-X20)</f>
        <v>-12.1043357701034</v>
      </c>
      <c r="M20" s="186" t="n">
        <v>7.1</v>
      </c>
      <c r="N20" s="113" t="n">
        <v>0</v>
      </c>
      <c r="O20" s="113" t="n">
        <v>0</v>
      </c>
      <c r="P20" s="92" t="n">
        <f aca="false">M20-(N20+O20)</f>
        <v>7.1</v>
      </c>
      <c r="Q20" s="183" t="n">
        <v>0</v>
      </c>
      <c r="R20" s="183" t="n">
        <v>0</v>
      </c>
      <c r="S20" s="113" t="n">
        <f aca="false">SUM(P20:R20)</f>
        <v>7.1</v>
      </c>
      <c r="T20" s="114"/>
      <c r="U20" s="183" t="n">
        <v>0</v>
      </c>
      <c r="V20" s="243" t="n">
        <v>18</v>
      </c>
      <c r="W20" s="244" t="n">
        <f aca="false">W19-V20</f>
        <v>542.11</v>
      </c>
      <c r="X20" s="6" t="n">
        <f aca="false">N20+O20+S20+U20+V20</f>
        <v>25.1</v>
      </c>
      <c r="Y20" s="113" t="n">
        <f aca="false">IF(L20&lt;0,L20*-1,0)</f>
        <v>12.1043357701034</v>
      </c>
      <c r="Z20" s="113" t="n">
        <f aca="false">X20+Y20</f>
        <v>37.2043357701033</v>
      </c>
      <c r="AA20" s="163" t="n">
        <v>0</v>
      </c>
      <c r="AB20" s="187" t="n">
        <v>58</v>
      </c>
      <c r="AC20" s="169" t="n">
        <v>28</v>
      </c>
      <c r="AD20" s="228" t="n">
        <f aca="false">AD19+(G20+H20-P20-3.35)*1.9835</f>
        <v>858.75930025</v>
      </c>
      <c r="AE20" s="212"/>
      <c r="AF20" s="215"/>
    </row>
    <row r="21" customFormat="false" ht="11.1" hidden="false" customHeight="true" outlineLevel="0" collapsed="false">
      <c r="A21" s="120" t="n">
        <f aca="false">A20+1</f>
        <v>10</v>
      </c>
      <c r="B21" s="170" t="n">
        <v>6860.51</v>
      </c>
      <c r="C21" s="114" t="n">
        <v>164237</v>
      </c>
      <c r="D21" s="119" t="n">
        <f aca="false">C21-C20</f>
        <v>69</v>
      </c>
      <c r="E21" s="114" t="n">
        <f aca="false">C21-152000</f>
        <v>12237</v>
      </c>
      <c r="F21" s="182" t="n">
        <f aca="false">D21/$D$2</f>
        <v>34.7869926896899</v>
      </c>
      <c r="G21" s="183" t="n">
        <v>54</v>
      </c>
      <c r="H21" s="217" t="n">
        <v>2.1</v>
      </c>
      <c r="I21" s="113" t="n">
        <f aca="false">G21+H21</f>
        <v>56.1</v>
      </c>
      <c r="J21" s="185" t="n">
        <f aca="false">IF(L21&gt;0,L21,0)</f>
        <v>4.08699268968994</v>
      </c>
      <c r="K21" s="113" t="n">
        <f aca="false">I21+J21</f>
        <v>60.1869926896899</v>
      </c>
      <c r="L21" s="113" t="n">
        <f aca="false">F21-(I21-X21)</f>
        <v>4.08699268968994</v>
      </c>
      <c r="M21" s="186" t="n">
        <v>7.4</v>
      </c>
      <c r="N21" s="183" t="n">
        <v>0</v>
      </c>
      <c r="O21" s="113" t="n">
        <v>0</v>
      </c>
      <c r="P21" s="92" t="n">
        <f aca="false">M21-(N21+O21)</f>
        <v>7.4</v>
      </c>
      <c r="Q21" s="183" t="n">
        <v>0</v>
      </c>
      <c r="R21" s="183" t="n">
        <v>0</v>
      </c>
      <c r="S21" s="113" t="n">
        <f aca="false">SUM(P21:R21)</f>
        <v>7.4</v>
      </c>
      <c r="T21" s="114"/>
      <c r="U21" s="183" t="n">
        <v>0</v>
      </c>
      <c r="V21" s="243" t="n">
        <v>18</v>
      </c>
      <c r="W21" s="244" t="n">
        <f aca="false">W20-V21</f>
        <v>524.11</v>
      </c>
      <c r="X21" s="6" t="n">
        <f aca="false">N21+O21+S21+U21+V21</f>
        <v>25.4</v>
      </c>
      <c r="Y21" s="113" t="n">
        <f aca="false">IF(L21&lt;0,L21*-1,0)</f>
        <v>0</v>
      </c>
      <c r="Z21" s="113" t="n">
        <f aca="false">X21+Y21</f>
        <v>25.4</v>
      </c>
      <c r="AA21" s="163" t="n">
        <v>0</v>
      </c>
      <c r="AB21" s="119" t="n">
        <v>56</v>
      </c>
      <c r="AC21" s="169" t="n">
        <v>30</v>
      </c>
      <c r="AD21" s="228" t="n">
        <f aca="false">AD20+(G21+H21-P21-3.35)*1.9835</f>
        <v>948.71102525</v>
      </c>
      <c r="AE21" s="212"/>
      <c r="AF21" s="215"/>
    </row>
    <row r="22" customFormat="false" ht="11.1" hidden="false" customHeight="true" outlineLevel="0" collapsed="false">
      <c r="A22" s="120" t="n">
        <f aca="false">A21+1</f>
        <v>11</v>
      </c>
      <c r="B22" s="170" t="n">
        <v>6860.57</v>
      </c>
      <c r="C22" s="114" t="n">
        <v>164375</v>
      </c>
      <c r="D22" s="119" t="n">
        <f aca="false">C22-C21</f>
        <v>138</v>
      </c>
      <c r="E22" s="114" t="n">
        <f aca="false">C22-152000</f>
        <v>12375</v>
      </c>
      <c r="F22" s="182" t="n">
        <f aca="false">D22/$D$2</f>
        <v>69.5739853793799</v>
      </c>
      <c r="G22" s="183" t="n">
        <v>64</v>
      </c>
      <c r="H22" s="217" t="n">
        <v>2.7</v>
      </c>
      <c r="I22" s="113" t="n">
        <f aca="false">G22+H22</f>
        <v>66.7</v>
      </c>
      <c r="J22" s="185" t="n">
        <f aca="false">IF(L22&gt;0,L22,0)</f>
        <v>28.3739853793799</v>
      </c>
      <c r="K22" s="113" t="n">
        <f aca="false">I22+J22</f>
        <v>95.0739853793799</v>
      </c>
      <c r="L22" s="113" t="n">
        <f aca="false">F22-(I22-X22)</f>
        <v>28.3739853793799</v>
      </c>
      <c r="M22" s="186" t="n">
        <v>7.5</v>
      </c>
      <c r="N22" s="183" t="n">
        <v>0</v>
      </c>
      <c r="O22" s="113" t="n">
        <v>0</v>
      </c>
      <c r="P22" s="92" t="n">
        <f aca="false">M22-(N22+O22)</f>
        <v>7.5</v>
      </c>
      <c r="Q22" s="183" t="n">
        <v>0</v>
      </c>
      <c r="R22" s="183" t="n">
        <v>0</v>
      </c>
      <c r="S22" s="113" t="n">
        <f aca="false">SUM(P22:R22)</f>
        <v>7.5</v>
      </c>
      <c r="T22" s="114"/>
      <c r="U22" s="183" t="n">
        <v>0</v>
      </c>
      <c r="V22" s="243" t="n">
        <v>18</v>
      </c>
      <c r="W22" s="244" t="n">
        <f aca="false">W21-V22</f>
        <v>506.11</v>
      </c>
      <c r="X22" s="6" t="n">
        <f aca="false">N22+O22+S22+U22+V22</f>
        <v>25.5</v>
      </c>
      <c r="Y22" s="113" t="n">
        <f aca="false">IF(L22&lt;0,L22*-1,0)</f>
        <v>0</v>
      </c>
      <c r="Z22" s="113" t="n">
        <f aca="false">X22+Y22</f>
        <v>25.5</v>
      </c>
      <c r="AA22" s="163" t="n">
        <v>0</v>
      </c>
      <c r="AB22" s="119" t="n">
        <v>57</v>
      </c>
      <c r="AC22" s="169" t="n">
        <v>31</v>
      </c>
      <c r="AD22" s="228" t="n">
        <f aca="false">AD21+(G22+H22-P22-3.35)*1.9835</f>
        <v>1059.48950025</v>
      </c>
      <c r="AE22" s="212"/>
      <c r="AF22" s="215"/>
    </row>
    <row r="23" customFormat="false" ht="11.1" hidden="false" customHeight="true" outlineLevel="0" collapsed="false">
      <c r="A23" s="120" t="n">
        <f aca="false">A22+1</f>
        <v>12</v>
      </c>
      <c r="B23" s="170" t="n">
        <v>6860.68</v>
      </c>
      <c r="C23" s="114" t="n">
        <v>164627</v>
      </c>
      <c r="D23" s="119" t="n">
        <f aca="false">C23-C22</f>
        <v>252</v>
      </c>
      <c r="E23" s="114" t="n">
        <f aca="false">C23-152000</f>
        <v>12627</v>
      </c>
      <c r="F23" s="182" t="n">
        <f aca="false">D23/$D$2</f>
        <v>127.04814721452</v>
      </c>
      <c r="G23" s="183" t="n">
        <v>75</v>
      </c>
      <c r="H23" s="217" t="n">
        <v>3.4</v>
      </c>
      <c r="I23" s="113" t="n">
        <f aca="false">G23+H23</f>
        <v>78.4</v>
      </c>
      <c r="J23" s="185" t="n">
        <f aca="false">IF(L23&gt;0,L23,0)</f>
        <v>74.1481472145198</v>
      </c>
      <c r="K23" s="113" t="n">
        <f aca="false">I23+J23</f>
        <v>152.54814721452</v>
      </c>
      <c r="L23" s="113" t="n">
        <f aca="false">F23-(I23-X23)</f>
        <v>74.1481472145198</v>
      </c>
      <c r="M23" s="186" t="n">
        <v>7.5</v>
      </c>
      <c r="N23" s="183" t="n">
        <v>0</v>
      </c>
      <c r="O23" s="113" t="n">
        <v>0</v>
      </c>
      <c r="P23" s="92" t="n">
        <f aca="false">M23-(N23+O23)</f>
        <v>7.5</v>
      </c>
      <c r="Q23" s="183" t="n">
        <v>0</v>
      </c>
      <c r="R23" s="183" t="n">
        <v>0</v>
      </c>
      <c r="S23" s="113" t="n">
        <f aca="false">SUM(P23:R23)</f>
        <v>7.5</v>
      </c>
      <c r="T23" s="114"/>
      <c r="U23" s="183" t="n">
        <v>0</v>
      </c>
      <c r="V23" s="243" t="n">
        <v>18</v>
      </c>
      <c r="W23" s="244" t="n">
        <f aca="false">W22-V23</f>
        <v>488.11</v>
      </c>
      <c r="X23" s="6" t="n">
        <f aca="false">N23+O23+S23+U23+V23</f>
        <v>25.5</v>
      </c>
      <c r="Y23" s="113" t="n">
        <f aca="false">IF(L23&lt;0,L23*-1,0)</f>
        <v>0</v>
      </c>
      <c r="Z23" s="113" t="n">
        <f aca="false">X23+Y23</f>
        <v>25.5</v>
      </c>
      <c r="AA23" s="163" t="n">
        <v>0</v>
      </c>
      <c r="AB23" s="119" t="n">
        <v>59</v>
      </c>
      <c r="AC23" s="169" t="n">
        <v>32</v>
      </c>
      <c r="AD23" s="228" t="n">
        <f aca="false">AD22+(G23+H23-P23-3.35)*1.9835</f>
        <v>1193.47492525</v>
      </c>
      <c r="AE23" s="212"/>
      <c r="AF23" s="215"/>
    </row>
    <row r="24" customFormat="false" ht="11.1" hidden="false" customHeight="true" outlineLevel="0" collapsed="false">
      <c r="A24" s="120" t="n">
        <f aca="false">A23+1</f>
        <v>13</v>
      </c>
      <c r="B24" s="170" t="n">
        <v>6860.77</v>
      </c>
      <c r="C24" s="114" t="n">
        <v>164834</v>
      </c>
      <c r="D24" s="119" t="n">
        <f aca="false">C24-C23</f>
        <v>207</v>
      </c>
      <c r="E24" s="114" t="n">
        <f aca="false">C24-152000</f>
        <v>12834</v>
      </c>
      <c r="F24" s="182" t="n">
        <f aca="false">D24/$D$2</f>
        <v>104.36097806907</v>
      </c>
      <c r="G24" s="183" t="n">
        <v>87</v>
      </c>
      <c r="H24" s="217" t="n">
        <v>4.8</v>
      </c>
      <c r="I24" s="113" t="n">
        <f aca="false">G24+H24</f>
        <v>91.8</v>
      </c>
      <c r="J24" s="185" t="n">
        <f aca="false">IF(L24&gt;0,L24,0)</f>
        <v>38.0609780690698</v>
      </c>
      <c r="K24" s="113" t="n">
        <f aca="false">I24+J24</f>
        <v>129.86097806907</v>
      </c>
      <c r="L24" s="113" t="n">
        <f aca="false">F24-(I24-X24)</f>
        <v>38.0609780690698</v>
      </c>
      <c r="M24" s="186" t="n">
        <v>7.5</v>
      </c>
      <c r="N24" s="183" t="n">
        <v>0</v>
      </c>
      <c r="O24" s="113" t="n">
        <v>0</v>
      </c>
      <c r="P24" s="92" t="n">
        <f aca="false">M24-(N24+O24)</f>
        <v>7.5</v>
      </c>
      <c r="Q24" s="183" t="n">
        <v>0</v>
      </c>
      <c r="R24" s="183" t="n">
        <v>0</v>
      </c>
      <c r="S24" s="113" t="n">
        <f aca="false">SUM(P24:R24)</f>
        <v>7.5</v>
      </c>
      <c r="T24" s="114"/>
      <c r="U24" s="183" t="n">
        <v>0</v>
      </c>
      <c r="V24" s="243" t="n">
        <v>18</v>
      </c>
      <c r="W24" s="244" t="n">
        <f aca="false">W23-V24</f>
        <v>470.11</v>
      </c>
      <c r="X24" s="6" t="n">
        <f aca="false">N24+O24+S24+U24+V24</f>
        <v>25.5</v>
      </c>
      <c r="Y24" s="113" t="n">
        <f aca="false">IF(L24&lt;0,L24*-1,0)</f>
        <v>0</v>
      </c>
      <c r="Z24" s="113" t="n">
        <f aca="false">X24+Y24</f>
        <v>25.5</v>
      </c>
      <c r="AA24" s="163" t="n">
        <v>0</v>
      </c>
      <c r="AB24" s="119" t="n">
        <v>59</v>
      </c>
      <c r="AC24" s="169" t="n">
        <v>35</v>
      </c>
      <c r="AD24" s="228" t="n">
        <f aca="false">AD23+(G24+H24-P24-3.35)*1.9835</f>
        <v>1354.03925025</v>
      </c>
      <c r="AE24" s="212"/>
      <c r="AF24" s="215"/>
    </row>
    <row r="25" customFormat="false" ht="11.1" hidden="false" customHeight="true" outlineLevel="0" collapsed="false">
      <c r="A25" s="120" t="n">
        <f aca="false">A24+1</f>
        <v>14</v>
      </c>
      <c r="B25" s="170" t="n">
        <v>6861.01</v>
      </c>
      <c r="C25" s="114" t="n">
        <v>165386</v>
      </c>
      <c r="D25" s="119" t="n">
        <f aca="false">C25-C24</f>
        <v>552</v>
      </c>
      <c r="E25" s="114" t="n">
        <f aca="false">C25-152000</f>
        <v>13386</v>
      </c>
      <c r="F25" s="182" t="n">
        <f aca="false">D25/$D$2</f>
        <v>278.295941517519</v>
      </c>
      <c r="G25" s="183" t="n">
        <v>106</v>
      </c>
      <c r="H25" s="217" t="n">
        <v>5.8</v>
      </c>
      <c r="I25" s="113" t="n">
        <f aca="false">G25+H25</f>
        <v>111.8</v>
      </c>
      <c r="J25" s="185" t="n">
        <f aca="false">IF(L25&gt;0,L25,0)</f>
        <v>191.99594151752</v>
      </c>
      <c r="K25" s="113" t="n">
        <f aca="false">I25+J25</f>
        <v>303.795941517519</v>
      </c>
      <c r="L25" s="113" t="n">
        <f aca="false">F25-(I25-X25)</f>
        <v>191.99594151752</v>
      </c>
      <c r="M25" s="186" t="n">
        <v>7.5</v>
      </c>
      <c r="N25" s="113" t="n">
        <v>0</v>
      </c>
      <c r="O25" s="113" t="n">
        <v>0</v>
      </c>
      <c r="P25" s="92" t="n">
        <f aca="false">M25-(N25+O25)</f>
        <v>7.5</v>
      </c>
      <c r="Q25" s="183" t="n">
        <v>0</v>
      </c>
      <c r="R25" s="183" t="n">
        <v>0</v>
      </c>
      <c r="S25" s="113" t="n">
        <f aca="false">SUM(P25:R25)</f>
        <v>7.5</v>
      </c>
      <c r="T25" s="114"/>
      <c r="U25" s="183" t="n">
        <v>0</v>
      </c>
      <c r="V25" s="243" t="n">
        <v>18</v>
      </c>
      <c r="W25" s="244" t="n">
        <f aca="false">W24-V25</f>
        <v>452.11</v>
      </c>
      <c r="X25" s="6" t="n">
        <f aca="false">N25+O25+S25+U25+V25</f>
        <v>25.5</v>
      </c>
      <c r="Y25" s="113" t="n">
        <f aca="false">IF(L25&lt;0,L25*-1,0)</f>
        <v>0</v>
      </c>
      <c r="Z25" s="113" t="n">
        <f aca="false">X25+Y25</f>
        <v>25.5</v>
      </c>
      <c r="AA25" s="163" t="n">
        <v>0</v>
      </c>
      <c r="AB25" s="187" t="n">
        <v>56</v>
      </c>
      <c r="AC25" s="169" t="n">
        <v>38</v>
      </c>
      <c r="AD25" s="228" t="n">
        <f aca="false">AD24+(G25+H25-P25-3.35)*1.9835</f>
        <v>1554.27357525</v>
      </c>
      <c r="AE25" s="212"/>
      <c r="AF25" s="215"/>
    </row>
    <row r="26" customFormat="false" ht="11.1" hidden="false" customHeight="true" outlineLevel="0" collapsed="false">
      <c r="A26" s="120" t="n">
        <f aca="false">A25+1</f>
        <v>15</v>
      </c>
      <c r="B26" s="170" t="n">
        <v>6861.17</v>
      </c>
      <c r="C26" s="114" t="n">
        <v>165759</v>
      </c>
      <c r="D26" s="119" t="n">
        <f aca="false">C26-C25</f>
        <v>373</v>
      </c>
      <c r="E26" s="114" t="n">
        <f aca="false">C26-152000</f>
        <v>13759</v>
      </c>
      <c r="F26" s="182" t="n">
        <f aca="false">D26/$D$2</f>
        <v>188.051424250063</v>
      </c>
      <c r="G26" s="183" t="n">
        <v>111</v>
      </c>
      <c r="H26" s="217" t="n">
        <v>7.1</v>
      </c>
      <c r="I26" s="113" t="n">
        <f aca="false">G26+H26</f>
        <v>118.1</v>
      </c>
      <c r="J26" s="185" t="n">
        <f aca="false">IF(L26&gt;0,L26,0)</f>
        <v>95.451424250063</v>
      </c>
      <c r="K26" s="113" t="n">
        <f aca="false">I26+J26</f>
        <v>213.551424250063</v>
      </c>
      <c r="L26" s="113" t="n">
        <f aca="false">F26-(I26-X26)</f>
        <v>95.451424250063</v>
      </c>
      <c r="M26" s="186" t="n">
        <v>7.5</v>
      </c>
      <c r="N26" s="113" t="n">
        <v>0</v>
      </c>
      <c r="O26" s="113" t="n">
        <v>0</v>
      </c>
      <c r="P26" s="92" t="n">
        <f aca="false">M26-(N26+O26)</f>
        <v>7.5</v>
      </c>
      <c r="Q26" s="183" t="n">
        <v>0</v>
      </c>
      <c r="R26" s="183" t="n">
        <v>0</v>
      </c>
      <c r="S26" s="113" t="n">
        <f aca="false">SUM(P26:R26)</f>
        <v>7.5</v>
      </c>
      <c r="T26" s="114"/>
      <c r="U26" s="183" t="n">
        <v>0</v>
      </c>
      <c r="V26" s="243" t="n">
        <v>18</v>
      </c>
      <c r="W26" s="244" t="n">
        <f aca="false">W25-V26</f>
        <v>434.11</v>
      </c>
      <c r="X26" s="6" t="n">
        <f aca="false">N26+O26+S26+U26+V26</f>
        <v>25.5</v>
      </c>
      <c r="Y26" s="113" t="n">
        <f aca="false">IF(L26&lt;0,L26*-1,0)</f>
        <v>0</v>
      </c>
      <c r="Z26" s="113" t="n">
        <f aca="false">X26+Y26</f>
        <v>25.5</v>
      </c>
      <c r="AA26" s="163" t="n">
        <v>0</v>
      </c>
      <c r="AB26" s="187" t="n">
        <v>55</v>
      </c>
      <c r="AC26" s="169" t="n">
        <v>34</v>
      </c>
      <c r="AD26" s="228" t="n">
        <f aca="false">AD25+(G26+H26-P26-3.35)*1.9835</f>
        <v>1767.00395025</v>
      </c>
      <c r="AE26" s="212"/>
      <c r="AF26" s="215"/>
    </row>
    <row r="27" customFormat="false" ht="11.1" hidden="false" customHeight="true" outlineLevel="0" collapsed="false">
      <c r="A27" s="120" t="n">
        <f aca="false">A26+1</f>
        <v>16</v>
      </c>
      <c r="B27" s="170" t="n">
        <v>6861.52</v>
      </c>
      <c r="C27" s="114" t="n">
        <v>166577</v>
      </c>
      <c r="D27" s="119" t="n">
        <f aca="false">C27-C26</f>
        <v>818</v>
      </c>
      <c r="E27" s="114" t="n">
        <f aca="false">C27-152000</f>
        <v>14577</v>
      </c>
      <c r="F27" s="182" t="n">
        <f aca="false">D27/$D$2</f>
        <v>412.402319132846</v>
      </c>
      <c r="G27" s="183" t="n">
        <v>124</v>
      </c>
      <c r="H27" s="217" t="n">
        <v>9</v>
      </c>
      <c r="I27" s="113" t="n">
        <f aca="false">G27+H27</f>
        <v>133</v>
      </c>
      <c r="J27" s="185" t="n">
        <f aca="false">IF(L27&gt;0,L27,0)</f>
        <v>304.902319132846</v>
      </c>
      <c r="K27" s="113" t="n">
        <f aca="false">I27+J27</f>
        <v>437.902319132846</v>
      </c>
      <c r="L27" s="113" t="n">
        <f aca="false">F27-(I27-X27)</f>
        <v>304.902319132846</v>
      </c>
      <c r="M27" s="186" t="n">
        <v>7.5</v>
      </c>
      <c r="N27" s="113" t="n">
        <v>0</v>
      </c>
      <c r="O27" s="113" t="n">
        <v>0</v>
      </c>
      <c r="P27" s="92" t="n">
        <f aca="false">M27-(N27+O27)</f>
        <v>7.5</v>
      </c>
      <c r="Q27" s="183" t="n">
        <v>0</v>
      </c>
      <c r="R27" s="183" t="n">
        <v>0</v>
      </c>
      <c r="S27" s="113" t="n">
        <f aca="false">SUM(P27:R27)</f>
        <v>7.5</v>
      </c>
      <c r="T27" s="114"/>
      <c r="U27" s="183" t="n">
        <v>0</v>
      </c>
      <c r="V27" s="243" t="n">
        <v>18</v>
      </c>
      <c r="W27" s="244" t="n">
        <f aca="false">W26-V27</f>
        <v>416.11</v>
      </c>
      <c r="X27" s="6" t="n">
        <f aca="false">N27+O27+S27+U27+V27</f>
        <v>25.5</v>
      </c>
      <c r="Y27" s="113" t="n">
        <f aca="false">IF(L27&lt;0,L27*-1,0)</f>
        <v>0</v>
      </c>
      <c r="Z27" s="113" t="n">
        <f aca="false">X27+Y27</f>
        <v>25.5</v>
      </c>
      <c r="AA27" s="163" t="n">
        <v>0.76</v>
      </c>
      <c r="AB27" s="187" t="n">
        <v>35</v>
      </c>
      <c r="AC27" s="169" t="n">
        <v>30</v>
      </c>
      <c r="AD27" s="228" t="n">
        <f aca="false">AD26+(G27+H27-P27-3.35)*1.9835</f>
        <v>2009.28847525</v>
      </c>
      <c r="AE27" s="212"/>
      <c r="AF27" s="0"/>
    </row>
    <row r="28" customFormat="false" ht="11.1" hidden="false" customHeight="true" outlineLevel="0" collapsed="false">
      <c r="A28" s="120" t="n">
        <f aca="false">A27+1</f>
        <v>17</v>
      </c>
      <c r="B28" s="170" t="n">
        <v>6861.84</v>
      </c>
      <c r="C28" s="114" t="n">
        <v>167325</v>
      </c>
      <c r="D28" s="119" t="n">
        <f aca="false">C28-C27</f>
        <v>748</v>
      </c>
      <c r="E28" s="114" t="n">
        <f aca="false">C28-152000</f>
        <v>15325</v>
      </c>
      <c r="F28" s="182" t="n">
        <f aca="false">D28/$D$2</f>
        <v>377.111167128813</v>
      </c>
      <c r="G28" s="183" t="n">
        <v>121</v>
      </c>
      <c r="H28" s="217" t="n">
        <v>11</v>
      </c>
      <c r="I28" s="113" t="n">
        <f aca="false">G28+H28</f>
        <v>132</v>
      </c>
      <c r="J28" s="185" t="n">
        <f aca="false">IF(L28&gt;0,L28,0)</f>
        <v>270.611167128813</v>
      </c>
      <c r="K28" s="113" t="n">
        <f aca="false">I28+J28</f>
        <v>402.611167128813</v>
      </c>
      <c r="L28" s="113" t="n">
        <f aca="false">F28-(I28-X28)</f>
        <v>270.611167128813</v>
      </c>
      <c r="M28" s="186" t="n">
        <v>7.5</v>
      </c>
      <c r="N28" s="113" t="n">
        <v>0</v>
      </c>
      <c r="O28" s="113" t="n">
        <v>0</v>
      </c>
      <c r="P28" s="92" t="n">
        <f aca="false">M28-(N28+O28)</f>
        <v>7.5</v>
      </c>
      <c r="Q28" s="183" t="n">
        <v>0</v>
      </c>
      <c r="R28" s="183" t="n">
        <v>0</v>
      </c>
      <c r="S28" s="113" t="n">
        <f aca="false">SUM(P28:R28)</f>
        <v>7.5</v>
      </c>
      <c r="T28" s="114"/>
      <c r="U28" s="183" t="n">
        <v>0</v>
      </c>
      <c r="V28" s="243" t="n">
        <v>18</v>
      </c>
      <c r="W28" s="244" t="n">
        <f aca="false">W27-V28</f>
        <v>398.11</v>
      </c>
      <c r="X28" s="6" t="n">
        <f aca="false">N28+O28+S28+U28+V28</f>
        <v>25.5</v>
      </c>
      <c r="Y28" s="113" t="n">
        <f aca="false">IF(L28&lt;0,L28*-1,0)</f>
        <v>0</v>
      </c>
      <c r="Z28" s="113" t="n">
        <f aca="false">X28+Y28</f>
        <v>25.5</v>
      </c>
      <c r="AA28" s="163" t="n">
        <v>0.54</v>
      </c>
      <c r="AB28" s="187" t="n">
        <v>35</v>
      </c>
      <c r="AC28" s="169" t="n">
        <v>27</v>
      </c>
      <c r="AD28" s="228" t="n">
        <f aca="false">AD27+(G28+H28-P28-3.35)*1.9835</f>
        <v>2249.58950025</v>
      </c>
      <c r="AE28" s="212"/>
      <c r="AF28" s="215"/>
    </row>
    <row r="29" customFormat="false" ht="11.1" hidden="false" customHeight="true" outlineLevel="0" collapsed="false">
      <c r="A29" s="120" t="n">
        <f aca="false">A28+1</f>
        <v>18</v>
      </c>
      <c r="B29" s="170" t="n">
        <v>6861.99</v>
      </c>
      <c r="C29" s="114" t="n">
        <v>167676</v>
      </c>
      <c r="D29" s="119" t="n">
        <f aca="false">C29-C28</f>
        <v>351</v>
      </c>
      <c r="E29" s="114" t="n">
        <f aca="false">C29-152000</f>
        <v>15676</v>
      </c>
      <c r="F29" s="182" t="n">
        <f aca="false">D29/$D$2</f>
        <v>176.95991933451</v>
      </c>
      <c r="G29" s="183" t="n">
        <v>99</v>
      </c>
      <c r="H29" s="217" t="n">
        <v>10</v>
      </c>
      <c r="I29" s="113" t="n">
        <f aca="false">G29+H29</f>
        <v>109</v>
      </c>
      <c r="J29" s="185" t="n">
        <f aca="false">IF(L29&gt;0,L29,0)</f>
        <v>93.4599193345097</v>
      </c>
      <c r="K29" s="113" t="n">
        <f aca="false">I29+J29</f>
        <v>202.45991933451</v>
      </c>
      <c r="L29" s="113" t="n">
        <f aca="false">F29-(I29-X29)</f>
        <v>93.4599193345097</v>
      </c>
      <c r="M29" s="186" t="n">
        <v>7.5</v>
      </c>
      <c r="N29" s="113" t="n">
        <v>0</v>
      </c>
      <c r="O29" s="113" t="n">
        <v>0</v>
      </c>
      <c r="P29" s="92" t="n">
        <f aca="false">M29-(N29+O29)</f>
        <v>7.5</v>
      </c>
      <c r="Q29" s="183" t="n">
        <v>0</v>
      </c>
      <c r="R29" s="183" t="n">
        <v>0</v>
      </c>
      <c r="S29" s="113" t="n">
        <f aca="false">SUM(P29:R29)</f>
        <v>7.5</v>
      </c>
      <c r="T29" s="114"/>
      <c r="U29" s="183" t="n">
        <v>0</v>
      </c>
      <c r="V29" s="243" t="n">
        <v>18</v>
      </c>
      <c r="W29" s="244" t="n">
        <f aca="false">W28-V29</f>
        <v>380.11</v>
      </c>
      <c r="X29" s="6" t="n">
        <f aca="false">N29+O29+S29+U29+V29</f>
        <v>25.5</v>
      </c>
      <c r="Y29" s="113" t="n">
        <f aca="false">IF(L29&lt;0,L29*-1,0)</f>
        <v>0</v>
      </c>
      <c r="Z29" s="113" t="n">
        <f aca="false">X29+Y29</f>
        <v>25.5</v>
      </c>
      <c r="AA29" s="163" t="n">
        <v>0</v>
      </c>
      <c r="AB29" s="187" t="n">
        <v>41</v>
      </c>
      <c r="AC29" s="169" t="n">
        <v>27</v>
      </c>
      <c r="AD29" s="228" t="n">
        <f aca="false">AD28+(G29+H29-P29-3.35)*1.9835</f>
        <v>2444.27002525</v>
      </c>
      <c r="AE29" s="212"/>
      <c r="AF29" s="215"/>
    </row>
    <row r="30" customFormat="false" ht="11.1" hidden="false" customHeight="true" outlineLevel="0" collapsed="false">
      <c r="A30" s="120" t="n">
        <f aca="false">A29+1</f>
        <v>19</v>
      </c>
      <c r="B30" s="170" t="n">
        <v>6862.14</v>
      </c>
      <c r="C30" s="236" t="n">
        <v>168032</v>
      </c>
      <c r="D30" s="119" t="n">
        <f aca="false">C30-C29</f>
        <v>356</v>
      </c>
      <c r="E30" s="114" t="n">
        <f aca="false">C30-152000</f>
        <v>16032</v>
      </c>
      <c r="F30" s="182" t="n">
        <f aca="false">D30/$D$2</f>
        <v>179.480715906226</v>
      </c>
      <c r="G30" s="183" t="n">
        <v>92</v>
      </c>
      <c r="H30" s="217" t="n">
        <v>10</v>
      </c>
      <c r="I30" s="113" t="n">
        <f aca="false">G30+H30</f>
        <v>102</v>
      </c>
      <c r="J30" s="185" t="n">
        <f aca="false">IF(L30&gt;0,L30,0)</f>
        <v>102.680715906226</v>
      </c>
      <c r="K30" s="113" t="n">
        <f aca="false">I30+J30</f>
        <v>204.680715906226</v>
      </c>
      <c r="L30" s="113" t="n">
        <f aca="false">F30-(I30-X30)</f>
        <v>102.680715906226</v>
      </c>
      <c r="M30" s="186" t="n">
        <v>7.2</v>
      </c>
      <c r="N30" s="113" t="n">
        <v>0</v>
      </c>
      <c r="O30" s="113" t="n">
        <v>0</v>
      </c>
      <c r="P30" s="92" t="n">
        <f aca="false">M30-(N30+O30)</f>
        <v>7.2</v>
      </c>
      <c r="Q30" s="183" t="n">
        <v>0</v>
      </c>
      <c r="R30" s="183" t="n">
        <v>0</v>
      </c>
      <c r="S30" s="113" t="n">
        <f aca="false">SUM(P30:R30)</f>
        <v>7.2</v>
      </c>
      <c r="T30" s="114"/>
      <c r="U30" s="183" t="n">
        <v>0</v>
      </c>
      <c r="V30" s="243" t="n">
        <v>18</v>
      </c>
      <c r="W30" s="244" t="n">
        <f aca="false">W29-V30</f>
        <v>362.11</v>
      </c>
      <c r="X30" s="6" t="n">
        <f aca="false">N30+O30+S30+U30+V30</f>
        <v>25.2</v>
      </c>
      <c r="Y30" s="113" t="n">
        <f aca="false">IF(L30&lt;0,L30*-1,0)</f>
        <v>0</v>
      </c>
      <c r="Z30" s="113" t="n">
        <f aca="false">X30+Y30</f>
        <v>25.2</v>
      </c>
      <c r="AA30" s="163" t="n">
        <v>0</v>
      </c>
      <c r="AB30" s="187" t="n">
        <v>45</v>
      </c>
      <c r="AC30" s="169" t="n">
        <v>31</v>
      </c>
      <c r="AD30" s="228" t="n">
        <f aca="false">AD29+(G30+H30-P30-3.35)*1.9835</f>
        <v>2625.66110025</v>
      </c>
      <c r="AE30" s="212"/>
      <c r="AF30" s="215"/>
    </row>
    <row r="31" customFormat="false" ht="11.1" hidden="false" customHeight="true" outlineLevel="0" collapsed="false">
      <c r="A31" s="120" t="n">
        <f aca="false">A30+1</f>
        <v>20</v>
      </c>
      <c r="B31" s="170" t="n">
        <v>6862.2</v>
      </c>
      <c r="C31" s="114" t="n">
        <v>168174</v>
      </c>
      <c r="D31" s="119" t="n">
        <f aca="false">C31-C30</f>
        <v>142</v>
      </c>
      <c r="E31" s="114" t="n">
        <f aca="false">C31-152000</f>
        <v>16174</v>
      </c>
      <c r="F31" s="182" t="n">
        <f aca="false">D31/$D$2</f>
        <v>71.5906226367532</v>
      </c>
      <c r="G31" s="183" t="n">
        <v>87</v>
      </c>
      <c r="H31" s="217" t="n">
        <v>8.7</v>
      </c>
      <c r="I31" s="113" t="n">
        <f aca="false">G31+H31</f>
        <v>95.7</v>
      </c>
      <c r="J31" s="185" t="n">
        <f aca="false">IF(L31&gt;0,L31,0)</f>
        <v>0.59062263675321</v>
      </c>
      <c r="K31" s="113" t="n">
        <f aca="false">I31+J31</f>
        <v>96.2906226367532</v>
      </c>
      <c r="L31" s="113" t="n">
        <f aca="false">F31-(I31-X31)</f>
        <v>0.59062263675321</v>
      </c>
      <c r="M31" s="186" t="n">
        <v>6.7</v>
      </c>
      <c r="N31" s="113" t="n">
        <v>0</v>
      </c>
      <c r="O31" s="113" t="n">
        <v>0</v>
      </c>
      <c r="P31" s="92" t="n">
        <f aca="false">M31-(N31+O31)</f>
        <v>6.7</v>
      </c>
      <c r="Q31" s="183" t="n">
        <v>0</v>
      </c>
      <c r="R31" s="183" t="n">
        <v>0</v>
      </c>
      <c r="S31" s="113" t="n">
        <f aca="false">SUM(P31:R31)</f>
        <v>6.7</v>
      </c>
      <c r="T31" s="114"/>
      <c r="U31" s="183" t="n">
        <v>0</v>
      </c>
      <c r="V31" s="243" t="n">
        <v>18</v>
      </c>
      <c r="W31" s="244" t="n">
        <f aca="false">W30-V31</f>
        <v>344.11</v>
      </c>
      <c r="X31" s="6" t="n">
        <f aca="false">N31+O31+S31+U31+V31</f>
        <v>24.7</v>
      </c>
      <c r="Y31" s="113" t="n">
        <f aca="false">IF(L31&lt;0,L31*-1,0)</f>
        <v>0</v>
      </c>
      <c r="Z31" s="113" t="n">
        <f aca="false">X31+Y31</f>
        <v>24.7</v>
      </c>
      <c r="AA31" s="163" t="n">
        <v>0</v>
      </c>
      <c r="AB31" s="187" t="n">
        <v>43</v>
      </c>
      <c r="AC31" s="169" t="n">
        <v>27</v>
      </c>
      <c r="AD31" s="228" t="n">
        <f aca="false">AD30+(G31+H31-P31-3.35)*1.9835</f>
        <v>2795.54787525</v>
      </c>
      <c r="AE31" s="212"/>
      <c r="AF31" s="215"/>
    </row>
    <row r="32" customFormat="false" ht="11.1" hidden="false" customHeight="true" outlineLevel="0" collapsed="false">
      <c r="A32" s="120" t="n">
        <f aca="false">A31+1</f>
        <v>21</v>
      </c>
      <c r="B32" s="170" t="n">
        <v>6862.35</v>
      </c>
      <c r="C32" s="114" t="n">
        <v>168531</v>
      </c>
      <c r="D32" s="119" t="n">
        <f aca="false">C32-C31</f>
        <v>357</v>
      </c>
      <c r="E32" s="114" t="n">
        <f aca="false">C32-152000</f>
        <v>16531</v>
      </c>
      <c r="F32" s="182" t="n">
        <f aca="false">D32/$D$2</f>
        <v>179.98487522057</v>
      </c>
      <c r="G32" s="183" t="n">
        <v>97</v>
      </c>
      <c r="H32" s="217" t="n">
        <v>8.5</v>
      </c>
      <c r="I32" s="113" t="n">
        <f aca="false">G32+H32</f>
        <v>105.5</v>
      </c>
      <c r="J32" s="185" t="n">
        <f aca="false">IF(L32&gt;0,L32,0)</f>
        <v>99.5848752205697</v>
      </c>
      <c r="K32" s="113" t="n">
        <f aca="false">I32+J32</f>
        <v>205.08487522057</v>
      </c>
      <c r="L32" s="113" t="n">
        <f aca="false">F32-(I32-X32)</f>
        <v>99.5848752205697</v>
      </c>
      <c r="M32" s="186" t="n">
        <v>7.1</v>
      </c>
      <c r="N32" s="113" t="n">
        <v>0</v>
      </c>
      <c r="O32" s="113" t="n">
        <v>0</v>
      </c>
      <c r="P32" s="92" t="n">
        <f aca="false">M32-(N32+O32)</f>
        <v>7.1</v>
      </c>
      <c r="Q32" s="183" t="n">
        <v>0</v>
      </c>
      <c r="R32" s="183" t="n">
        <v>0</v>
      </c>
      <c r="S32" s="113" t="n">
        <f aca="false">SUM(P32:R32)</f>
        <v>7.1</v>
      </c>
      <c r="T32" s="114"/>
      <c r="U32" s="183" t="n">
        <v>0</v>
      </c>
      <c r="V32" s="243" t="n">
        <v>18</v>
      </c>
      <c r="W32" s="244" t="n">
        <f aca="false">W31-V32</f>
        <v>326.11</v>
      </c>
      <c r="X32" s="6" t="n">
        <f aca="false">N32+O32+S32+U32+V32</f>
        <v>25.1</v>
      </c>
      <c r="Y32" s="113" t="n">
        <f aca="false">IF(L32&lt;0,L32*-1,0)</f>
        <v>0</v>
      </c>
      <c r="Z32" s="113" t="n">
        <f aca="false">X32+Y32</f>
        <v>25.1</v>
      </c>
      <c r="AA32" s="163" t="n">
        <v>0</v>
      </c>
      <c r="AB32" s="119" t="n">
        <v>46</v>
      </c>
      <c r="AC32" s="169" t="n">
        <v>30</v>
      </c>
      <c r="AD32" s="228" t="n">
        <f aca="false">AD31+(G32+H32-P32-3.35)*1.9835</f>
        <v>2984.07955025</v>
      </c>
      <c r="AE32" s="212"/>
      <c r="AF32" s="215"/>
    </row>
    <row r="33" customFormat="false" ht="11.1" hidden="false" customHeight="true" outlineLevel="0" collapsed="false">
      <c r="A33" s="120" t="n">
        <f aca="false">A32+1</f>
        <v>22</v>
      </c>
      <c r="B33" s="170" t="n">
        <v>6862.5</v>
      </c>
      <c r="C33" s="114" t="n">
        <v>168888</v>
      </c>
      <c r="D33" s="119" t="n">
        <f aca="false">C33-C32</f>
        <v>357</v>
      </c>
      <c r="E33" s="114" t="n">
        <f aca="false">C33-152000</f>
        <v>16888</v>
      </c>
      <c r="F33" s="182" t="n">
        <f aca="false">D33/$D$2</f>
        <v>179.98487522057</v>
      </c>
      <c r="G33" s="183" t="n">
        <v>90</v>
      </c>
      <c r="H33" s="217" t="n">
        <v>11</v>
      </c>
      <c r="I33" s="113" t="n">
        <f aca="false">G33+H33</f>
        <v>101</v>
      </c>
      <c r="J33" s="185" t="n">
        <f aca="false">IF(L33&gt;0,L33,0)</f>
        <v>104.48487522057</v>
      </c>
      <c r="K33" s="113" t="n">
        <f aca="false">I33+J33</f>
        <v>205.48487522057</v>
      </c>
      <c r="L33" s="113" t="n">
        <f aca="false">F33-(I33-X33)</f>
        <v>104.48487522057</v>
      </c>
      <c r="M33" s="186" t="n">
        <v>7.5</v>
      </c>
      <c r="N33" s="113" t="n">
        <v>0</v>
      </c>
      <c r="O33" s="113" t="n">
        <v>0</v>
      </c>
      <c r="P33" s="92" t="n">
        <f aca="false">M33-(N33+O33)</f>
        <v>7.5</v>
      </c>
      <c r="Q33" s="183" t="n">
        <v>0</v>
      </c>
      <c r="R33" s="183" t="n">
        <v>0</v>
      </c>
      <c r="S33" s="113" t="n">
        <f aca="false">SUM(P33:R33)</f>
        <v>7.5</v>
      </c>
      <c r="T33" s="114"/>
      <c r="U33" s="183" t="n">
        <v>0</v>
      </c>
      <c r="V33" s="243" t="n">
        <v>18</v>
      </c>
      <c r="W33" s="244" t="n">
        <f aca="false">W32-V33</f>
        <v>308.11</v>
      </c>
      <c r="X33" s="6" t="n">
        <f aca="false">N33+O33+S33+U33+V33</f>
        <v>25.5</v>
      </c>
      <c r="Y33" s="113" t="n">
        <f aca="false">IF(L33&lt;0,L33*-1,0)</f>
        <v>0</v>
      </c>
      <c r="Z33" s="113" t="n">
        <f aca="false">X33+Y33</f>
        <v>25.5</v>
      </c>
      <c r="AA33" s="163" t="n">
        <v>0</v>
      </c>
      <c r="AB33" s="119" t="n">
        <v>64</v>
      </c>
      <c r="AC33" s="169" t="n">
        <v>36</v>
      </c>
      <c r="AD33" s="228" t="n">
        <f aca="false">AD32+(G33+H33-P33-3.35)*1.9835</f>
        <v>3162.89207525</v>
      </c>
      <c r="AE33" s="212"/>
      <c r="AF33" s="215"/>
    </row>
    <row r="34" customFormat="false" ht="11.1" hidden="false" customHeight="true" outlineLevel="0" collapsed="false">
      <c r="A34" s="120" t="n">
        <f aca="false">A33+1</f>
        <v>23</v>
      </c>
      <c r="B34" s="170" t="n">
        <v>6862.69</v>
      </c>
      <c r="C34" s="114" t="n">
        <v>169339</v>
      </c>
      <c r="D34" s="119" t="n">
        <f aca="false">C34-C33</f>
        <v>451</v>
      </c>
      <c r="E34" s="114" t="n">
        <f aca="false">C34-152000</f>
        <v>17339</v>
      </c>
      <c r="F34" s="182" t="n">
        <f aca="false">D34/$D$2</f>
        <v>227.375850768843</v>
      </c>
      <c r="G34" s="183" t="n">
        <v>107</v>
      </c>
      <c r="H34" s="217" t="n">
        <v>15</v>
      </c>
      <c r="I34" s="113" t="n">
        <f aca="false">G34+H34</f>
        <v>122</v>
      </c>
      <c r="J34" s="185" t="n">
        <f aca="false">IF(L34&gt;0,L34,0)</f>
        <v>130.875850768843</v>
      </c>
      <c r="K34" s="113" t="n">
        <f aca="false">I34+J34</f>
        <v>252.875850768843</v>
      </c>
      <c r="L34" s="113" t="n">
        <f aca="false">F34-(I34-X34)</f>
        <v>130.875850768843</v>
      </c>
      <c r="M34" s="186" t="n">
        <v>7.5</v>
      </c>
      <c r="N34" s="113" t="n">
        <v>0</v>
      </c>
      <c r="O34" s="113" t="n">
        <v>0</v>
      </c>
      <c r="P34" s="92" t="n">
        <f aca="false">M34-(N34+O34)</f>
        <v>7.5</v>
      </c>
      <c r="Q34" s="183" t="n">
        <v>0</v>
      </c>
      <c r="R34" s="183" t="n">
        <v>0</v>
      </c>
      <c r="S34" s="113" t="n">
        <f aca="false">SUM(P34:R34)</f>
        <v>7.5</v>
      </c>
      <c r="T34" s="114"/>
      <c r="U34" s="183" t="n">
        <v>0</v>
      </c>
      <c r="V34" s="243" t="n">
        <v>18</v>
      </c>
      <c r="W34" s="244" t="n">
        <f aca="false">W33-V34</f>
        <v>290.11</v>
      </c>
      <c r="X34" s="6" t="n">
        <f aca="false">N34+O34+S34+U34+V34</f>
        <v>25.5</v>
      </c>
      <c r="Y34" s="113" t="n">
        <f aca="false">IF(L34&lt;0,L34*-1,0)</f>
        <v>0</v>
      </c>
      <c r="Z34" s="113" t="n">
        <f aca="false">X34+Y34</f>
        <v>25.5</v>
      </c>
      <c r="AA34" s="163" t="n">
        <v>0</v>
      </c>
      <c r="AB34" s="119" t="n">
        <v>57</v>
      </c>
      <c r="AC34" s="188" t="n">
        <v>32</v>
      </c>
      <c r="AD34" s="228" t="n">
        <f aca="false">AD33+(G34+H34-P34-3.35)*1.9835</f>
        <v>3383.35810025</v>
      </c>
      <c r="AE34" s="212"/>
      <c r="AF34" s="215"/>
    </row>
    <row r="35" customFormat="false" ht="11.1" hidden="false" customHeight="true" outlineLevel="0" collapsed="false">
      <c r="A35" s="120" t="n">
        <f aca="false">A34+1</f>
        <v>24</v>
      </c>
      <c r="B35" s="170" t="n">
        <v>6863.06</v>
      </c>
      <c r="C35" s="114" t="n">
        <v>170221</v>
      </c>
      <c r="D35" s="119" t="n">
        <f aca="false">C35-C34</f>
        <v>882</v>
      </c>
      <c r="E35" s="114" t="n">
        <f aca="false">C35-152000</f>
        <v>18221</v>
      </c>
      <c r="F35" s="182" t="n">
        <f aca="false">D35/$D$2</f>
        <v>444.668515250819</v>
      </c>
      <c r="G35" s="183" t="n">
        <v>133</v>
      </c>
      <c r="H35" s="217" t="n">
        <v>20</v>
      </c>
      <c r="I35" s="113" t="n">
        <f aca="false">G35+H35</f>
        <v>153</v>
      </c>
      <c r="J35" s="185" t="n">
        <f aca="false">IF(L35&gt;0,L35,0)</f>
        <v>318.668515250819</v>
      </c>
      <c r="K35" s="113" t="n">
        <f aca="false">I35+J35</f>
        <v>471.668515250819</v>
      </c>
      <c r="L35" s="113" t="n">
        <f aca="false">F35-(I35-X35)</f>
        <v>318.668515250819</v>
      </c>
      <c r="M35" s="186" t="n">
        <v>9</v>
      </c>
      <c r="N35" s="113" t="n">
        <v>0</v>
      </c>
      <c r="O35" s="113" t="n">
        <v>0</v>
      </c>
      <c r="P35" s="92" t="n">
        <f aca="false">M35-(N35+O35)</f>
        <v>9</v>
      </c>
      <c r="Q35" s="183" t="n">
        <v>0</v>
      </c>
      <c r="R35" s="183" t="n">
        <v>0</v>
      </c>
      <c r="S35" s="113" t="n">
        <f aca="false">SUM(P35:R35)</f>
        <v>9</v>
      </c>
      <c r="T35" s="114"/>
      <c r="U35" s="183" t="n">
        <v>0</v>
      </c>
      <c r="V35" s="243" t="n">
        <v>18</v>
      </c>
      <c r="W35" s="244" t="n">
        <f aca="false">W34-V35</f>
        <v>272.11</v>
      </c>
      <c r="X35" s="6" t="n">
        <f aca="false">N35+O35+S35+U35+V35</f>
        <v>27</v>
      </c>
      <c r="Y35" s="113" t="n">
        <f aca="false">IF(L35&lt;0,L35*-1,0)</f>
        <v>0</v>
      </c>
      <c r="Z35" s="113" t="n">
        <f aca="false">X35+Y35</f>
        <v>27</v>
      </c>
      <c r="AA35" s="163" t="n">
        <v>0</v>
      </c>
      <c r="AB35" s="119" t="n">
        <v>54</v>
      </c>
      <c r="AC35" s="188" t="n">
        <v>32</v>
      </c>
      <c r="AD35" s="228" t="n">
        <f aca="false">AD34+(G35+H35-7.98-3.35-1.42)*1.9835</f>
        <v>3661.54397525</v>
      </c>
      <c r="AE35" s="212"/>
      <c r="AF35" s="215"/>
    </row>
    <row r="36" customFormat="false" ht="11.1" hidden="false" customHeight="true" outlineLevel="0" collapsed="false">
      <c r="A36" s="120" t="n">
        <f aca="false">A35+1</f>
        <v>25</v>
      </c>
      <c r="B36" s="170" t="n">
        <v>6863.32</v>
      </c>
      <c r="C36" s="114" t="n">
        <v>170850</v>
      </c>
      <c r="D36" s="119" t="n">
        <f aca="false">C36-C35</f>
        <v>629</v>
      </c>
      <c r="E36" s="114" t="n">
        <f aca="false">C36-152000</f>
        <v>18850</v>
      </c>
      <c r="F36" s="182" t="n">
        <f aca="false">D36/$D$2</f>
        <v>317.116208721956</v>
      </c>
      <c r="G36" s="183" t="n">
        <v>136</v>
      </c>
      <c r="H36" s="217" t="n">
        <v>22</v>
      </c>
      <c r="I36" s="113" t="n">
        <f aca="false">G36+H36</f>
        <v>158</v>
      </c>
      <c r="J36" s="185" t="n">
        <f aca="false">IF(L36&gt;0,L36,0)</f>
        <v>202.116208721956</v>
      </c>
      <c r="K36" s="113" t="n">
        <f aca="false">I36+J36</f>
        <v>360.116208721956</v>
      </c>
      <c r="L36" s="113" t="n">
        <f aca="false">F36-(I36-X36)</f>
        <v>202.116208721956</v>
      </c>
      <c r="M36" s="186" t="n">
        <v>25</v>
      </c>
      <c r="N36" s="113" t="n">
        <v>0</v>
      </c>
      <c r="O36" s="113" t="n">
        <v>0</v>
      </c>
      <c r="P36" s="92" t="n">
        <f aca="false">M36-(N36+O36)</f>
        <v>25</v>
      </c>
      <c r="Q36" s="183" t="n">
        <v>0</v>
      </c>
      <c r="R36" s="183" t="n">
        <v>0</v>
      </c>
      <c r="S36" s="113" t="n">
        <f aca="false">SUM(P36:R36)</f>
        <v>25</v>
      </c>
      <c r="T36" s="114"/>
      <c r="U36" s="183" t="n">
        <v>0</v>
      </c>
      <c r="V36" s="243" t="n">
        <v>18</v>
      </c>
      <c r="W36" s="244" t="n">
        <f aca="false">W35-V36</f>
        <v>254.11</v>
      </c>
      <c r="X36" s="6" t="n">
        <f aca="false">N36+O36+S36+U36+V36</f>
        <v>43</v>
      </c>
      <c r="Y36" s="113" t="n">
        <f aca="false">IF(L36&lt;0,L36*-1,0)</f>
        <v>0</v>
      </c>
      <c r="Z36" s="113" t="n">
        <f aca="false">X36+Y36</f>
        <v>43</v>
      </c>
      <c r="AA36" s="163" t="n">
        <v>0</v>
      </c>
      <c r="AB36" s="119" t="n">
        <v>55</v>
      </c>
      <c r="AC36" s="188" t="n">
        <v>28</v>
      </c>
      <c r="AD36" s="228" t="n">
        <f aca="false">AD35+(G36+H36-7.98-3.35-16)*1.9835</f>
        <v>3920.72792025</v>
      </c>
      <c r="AE36" s="212"/>
      <c r="AF36" s="215"/>
    </row>
    <row r="37" customFormat="false" ht="11.1" hidden="false" customHeight="true" outlineLevel="0" collapsed="false">
      <c r="A37" s="120" t="n">
        <f aca="false">A36+1</f>
        <v>26</v>
      </c>
      <c r="B37" s="170" t="n">
        <v>6863.5</v>
      </c>
      <c r="C37" s="114" t="n">
        <v>171285</v>
      </c>
      <c r="D37" s="119" t="n">
        <f aca="false">C37-C36</f>
        <v>435</v>
      </c>
      <c r="E37" s="114" t="n">
        <f aca="false">C37-152000</f>
        <v>19285</v>
      </c>
      <c r="F37" s="182" t="n">
        <f aca="false">D37/$D$2</f>
        <v>219.30930173935</v>
      </c>
      <c r="G37" s="183" t="n">
        <v>139</v>
      </c>
      <c r="H37" s="217" t="n">
        <v>25</v>
      </c>
      <c r="I37" s="113" t="n">
        <f aca="false">G37+H37</f>
        <v>164</v>
      </c>
      <c r="J37" s="185" t="n">
        <f aca="false">IF(L37&gt;0,L37,0)</f>
        <v>94.3093017393496</v>
      </c>
      <c r="K37" s="113" t="n">
        <f aca="false">I37+J37</f>
        <v>258.30930173935</v>
      </c>
      <c r="L37" s="113" t="n">
        <f aca="false">F37-(I37-X37)</f>
        <v>94.3093017393496</v>
      </c>
      <c r="M37" s="186" t="n">
        <v>21</v>
      </c>
      <c r="N37" s="113" t="n">
        <v>0</v>
      </c>
      <c r="O37" s="113" t="n">
        <v>0</v>
      </c>
      <c r="P37" s="92" t="n">
        <f aca="false">M37-(N37+O37)</f>
        <v>21</v>
      </c>
      <c r="Q37" s="183" t="n">
        <v>0</v>
      </c>
      <c r="R37" s="183" t="n">
        <v>0</v>
      </c>
      <c r="S37" s="113" t="n">
        <f aca="false">SUM(P37:R37)</f>
        <v>21</v>
      </c>
      <c r="T37" s="114"/>
      <c r="U37" s="183" t="n">
        <v>0</v>
      </c>
      <c r="V37" s="243" t="n">
        <v>18</v>
      </c>
      <c r="W37" s="244" t="n">
        <f aca="false">W36-V37</f>
        <v>236.11</v>
      </c>
      <c r="X37" s="6" t="n">
        <f aca="false">N37+O37+S37+U37+V37</f>
        <v>39</v>
      </c>
      <c r="Y37" s="113" t="n">
        <f aca="false">IF(L37&lt;0,L37*-1,0)</f>
        <v>0</v>
      </c>
      <c r="Z37" s="113" t="n">
        <f aca="false">X37+Y37</f>
        <v>39</v>
      </c>
      <c r="AA37" s="163" t="n">
        <v>0</v>
      </c>
      <c r="AB37" s="119" t="n">
        <v>57</v>
      </c>
      <c r="AC37" s="169" t="n">
        <v>32</v>
      </c>
      <c r="AD37" s="228" t="n">
        <f aca="false">AD36+(G37+H37-7.98-3.35-12.12)*1.9835</f>
        <v>4199.50884525</v>
      </c>
      <c r="AE37" s="212"/>
      <c r="AF37" s="215"/>
    </row>
    <row r="38" customFormat="false" ht="11.1" hidden="false" customHeight="true" outlineLevel="0" collapsed="false">
      <c r="A38" s="120" t="n">
        <f aca="false">A37+1</f>
        <v>27</v>
      </c>
      <c r="B38" s="170" t="n">
        <v>6863.65</v>
      </c>
      <c r="C38" s="114" t="n">
        <v>171647</v>
      </c>
      <c r="D38" s="119" t="n">
        <f aca="false">C38-C37</f>
        <v>362</v>
      </c>
      <c r="E38" s="114" t="n">
        <f aca="false">C38-152000</f>
        <v>19647</v>
      </c>
      <c r="F38" s="182" t="n">
        <f aca="false">D38/$D$2</f>
        <v>182.505671792286</v>
      </c>
      <c r="G38" s="183" t="n">
        <v>134</v>
      </c>
      <c r="H38" s="217" t="n">
        <v>22</v>
      </c>
      <c r="I38" s="113" t="n">
        <f aca="false">G38+H38</f>
        <v>156</v>
      </c>
      <c r="J38" s="185" t="n">
        <f aca="false">IF(L38&gt;0,L38,0)</f>
        <v>69.5056717922864</v>
      </c>
      <c r="K38" s="113" t="n">
        <f aca="false">I38+J38</f>
        <v>225.505671792286</v>
      </c>
      <c r="L38" s="113" t="n">
        <f aca="false">F38-(I38-X38)</f>
        <v>69.5056717922864</v>
      </c>
      <c r="M38" s="186" t="n">
        <v>25</v>
      </c>
      <c r="N38" s="113" t="n">
        <v>0</v>
      </c>
      <c r="O38" s="113" t="n">
        <v>0</v>
      </c>
      <c r="P38" s="92" t="n">
        <f aca="false">M38-(N38+O38)</f>
        <v>25</v>
      </c>
      <c r="Q38" s="183" t="n">
        <v>0</v>
      </c>
      <c r="R38" s="183" t="n">
        <v>0</v>
      </c>
      <c r="S38" s="113" t="n">
        <f aca="false">SUM(P38:R38)</f>
        <v>25</v>
      </c>
      <c r="T38" s="114"/>
      <c r="U38" s="183" t="n">
        <v>0</v>
      </c>
      <c r="V38" s="243" t="n">
        <v>18</v>
      </c>
      <c r="W38" s="244" t="n">
        <f aca="false">W37-V38</f>
        <v>218.11</v>
      </c>
      <c r="X38" s="6" t="n">
        <f aca="false">N38+O38+S38+U38+V38</f>
        <v>43</v>
      </c>
      <c r="Y38" s="113" t="n">
        <f aca="false">IF(L38&lt;0,L38*-1,0)</f>
        <v>0</v>
      </c>
      <c r="Z38" s="113" t="n">
        <f aca="false">X38+Y38</f>
        <v>43</v>
      </c>
      <c r="AA38" s="163" t="n">
        <v>0</v>
      </c>
      <c r="AB38" s="119" t="n">
        <v>40</v>
      </c>
      <c r="AC38" s="169" t="n">
        <v>21</v>
      </c>
      <c r="AD38" s="228" t="n">
        <f aca="false">AD37+(G38+H38-7.98-3.35-16.08)*1.9835</f>
        <v>4454.56711025</v>
      </c>
      <c r="AE38" s="212"/>
      <c r="AF38" s="215"/>
    </row>
    <row r="39" customFormat="false" ht="11.1" hidden="false" customHeight="true" outlineLevel="0" collapsed="false">
      <c r="A39" s="120" t="n">
        <f aca="false">A38+1</f>
        <v>28</v>
      </c>
      <c r="B39" s="170" t="n">
        <v>6863.82</v>
      </c>
      <c r="C39" s="114" t="n">
        <v>172058</v>
      </c>
      <c r="D39" s="119" t="n">
        <f aca="false">C39-C38</f>
        <v>411</v>
      </c>
      <c r="E39" s="114" t="n">
        <f aca="false">C39-152000</f>
        <v>20058</v>
      </c>
      <c r="F39" s="182" t="n">
        <f aca="false">D39/$D$2</f>
        <v>207.20947819511</v>
      </c>
      <c r="G39" s="183" t="n">
        <v>104</v>
      </c>
      <c r="H39" s="217" t="n">
        <v>15</v>
      </c>
      <c r="I39" s="113" t="n">
        <f aca="false">G39+H39</f>
        <v>119</v>
      </c>
      <c r="J39" s="185" t="n">
        <f aca="false">IF(L39&gt;0,L39,0)</f>
        <v>111.20947819511</v>
      </c>
      <c r="K39" s="113" t="n">
        <f aca="false">I39+J39</f>
        <v>230.20947819511</v>
      </c>
      <c r="L39" s="113" t="n">
        <f aca="false">F39-(I39-X39)</f>
        <v>111.20947819511</v>
      </c>
      <c r="M39" s="186" t="n">
        <v>5</v>
      </c>
      <c r="N39" s="113" t="n">
        <v>0</v>
      </c>
      <c r="O39" s="113" t="n">
        <v>0</v>
      </c>
      <c r="P39" s="92" t="n">
        <f aca="false">M39-(N39+O39)</f>
        <v>5</v>
      </c>
      <c r="Q39" s="183" t="n">
        <v>0</v>
      </c>
      <c r="R39" s="183" t="n">
        <v>0</v>
      </c>
      <c r="S39" s="113" t="n">
        <f aca="false">SUM(P39:R39)</f>
        <v>5</v>
      </c>
      <c r="T39" s="114"/>
      <c r="U39" s="183" t="n">
        <v>0</v>
      </c>
      <c r="V39" s="243" t="n">
        <v>18</v>
      </c>
      <c r="W39" s="244" t="n">
        <f aca="false">W38-V39</f>
        <v>200.11</v>
      </c>
      <c r="X39" s="6" t="n">
        <f aca="false">N39+O39+S39+U39+V39</f>
        <v>23</v>
      </c>
      <c r="Y39" s="113" t="n">
        <f aca="false">IF(L39&lt;0,L39*-1,0)</f>
        <v>0</v>
      </c>
      <c r="Z39" s="113" t="n">
        <f aca="false">X39+Y39</f>
        <v>23</v>
      </c>
      <c r="AA39" s="163" t="n">
        <v>0</v>
      </c>
      <c r="AB39" s="119" t="n">
        <v>62</v>
      </c>
      <c r="AC39" s="169" t="n">
        <v>34</v>
      </c>
      <c r="AD39" s="228" t="n">
        <f aca="false">AD38+(G39+H39-5.34-3.35-0)*1.9835</f>
        <v>4673.36699525</v>
      </c>
      <c r="AE39" s="212"/>
      <c r="AF39" s="215"/>
    </row>
    <row r="40" customFormat="false" ht="11.1" hidden="false" customHeight="true" outlineLevel="0" collapsed="false">
      <c r="A40" s="120" t="n">
        <f aca="false">A39+1</f>
        <v>29</v>
      </c>
      <c r="B40" s="170" t="n">
        <v>6863.88</v>
      </c>
      <c r="C40" s="114" t="n">
        <v>172203</v>
      </c>
      <c r="D40" s="119" t="n">
        <f aca="false">C40-C39</f>
        <v>145</v>
      </c>
      <c r="E40" s="114" t="n">
        <f aca="false">C40-152000</f>
        <v>20203</v>
      </c>
      <c r="F40" s="182" t="n">
        <f aca="false">D40/$D$2</f>
        <v>73.1031005797832</v>
      </c>
      <c r="G40" s="183" t="n">
        <v>87</v>
      </c>
      <c r="H40" s="217" t="n">
        <v>12</v>
      </c>
      <c r="I40" s="113" t="n">
        <f aca="false">G40+H40</f>
        <v>99</v>
      </c>
      <c r="J40" s="185" t="n">
        <f aca="false">IF(L40&gt;0,L40,0)</f>
        <v>0</v>
      </c>
      <c r="K40" s="113" t="n">
        <f aca="false">I40+J40</f>
        <v>99</v>
      </c>
      <c r="L40" s="113" t="n">
        <f aca="false">F40-(I40-X40)</f>
        <v>-2.79689942021679</v>
      </c>
      <c r="M40" s="186" t="n">
        <v>5.1</v>
      </c>
      <c r="N40" s="113" t="n">
        <v>0</v>
      </c>
      <c r="O40" s="113" t="n">
        <v>0</v>
      </c>
      <c r="P40" s="92" t="n">
        <f aca="false">M40-(N40+O40)</f>
        <v>5.1</v>
      </c>
      <c r="Q40" s="183" t="n">
        <v>0</v>
      </c>
      <c r="R40" s="183" t="n">
        <v>0</v>
      </c>
      <c r="S40" s="113" t="n">
        <f aca="false">SUM(P40:R40)</f>
        <v>5.1</v>
      </c>
      <c r="T40" s="114"/>
      <c r="U40" s="183" t="n">
        <v>0</v>
      </c>
      <c r="V40" s="243" t="n">
        <v>18</v>
      </c>
      <c r="W40" s="244" t="n">
        <f aca="false">W39-V40</f>
        <v>182.11</v>
      </c>
      <c r="X40" s="6" t="n">
        <f aca="false">N40+O40+S40+U40+V40</f>
        <v>23.1</v>
      </c>
      <c r="Y40" s="113" t="n">
        <f aca="false">IF(L40&lt;0,L40*-1,0)</f>
        <v>2.79689942021679</v>
      </c>
      <c r="Z40" s="113" t="n">
        <f aca="false">X40+Y40</f>
        <v>25.8968994202168</v>
      </c>
      <c r="AA40" s="163" t="n">
        <v>0</v>
      </c>
      <c r="AB40" s="187" t="n">
        <v>62</v>
      </c>
      <c r="AC40" s="169" t="n">
        <v>31</v>
      </c>
      <c r="AD40" s="228" t="n">
        <f aca="false">AD39+(G40+H40-5.51-3.35-0)*1.9835</f>
        <v>4852.15968525</v>
      </c>
      <c r="AE40" s="212"/>
      <c r="AF40" s="215"/>
    </row>
    <row r="41" customFormat="false" ht="11.1" hidden="false" customHeight="true" outlineLevel="0" collapsed="false">
      <c r="A41" s="120" t="n">
        <v>30</v>
      </c>
      <c r="B41" s="170" t="n">
        <v>6864</v>
      </c>
      <c r="C41" s="114" t="n">
        <v>172493</v>
      </c>
      <c r="D41" s="119" t="n">
        <f aca="false">C41-C40</f>
        <v>290</v>
      </c>
      <c r="E41" s="114" t="n">
        <f aca="false">C41-152000</f>
        <v>20493</v>
      </c>
      <c r="F41" s="182" t="n">
        <f aca="false">D41/$D$2</f>
        <v>146.206201159566</v>
      </c>
      <c r="G41" s="183" t="n">
        <v>98</v>
      </c>
      <c r="H41" s="217" t="n">
        <v>8.7</v>
      </c>
      <c r="I41" s="113" t="n">
        <f aca="false">G41+H41</f>
        <v>106.7</v>
      </c>
      <c r="J41" s="185" t="n">
        <f aca="false">IF(L41&gt;0,L41,0)</f>
        <v>62.6062011595664</v>
      </c>
      <c r="K41" s="113" t="n">
        <f aca="false">I41+J41</f>
        <v>169.306201159566</v>
      </c>
      <c r="L41" s="113" t="n">
        <f aca="false">F41-(I41-X41)</f>
        <v>62.6062011595664</v>
      </c>
      <c r="M41" s="186" t="n">
        <v>5.1</v>
      </c>
      <c r="N41" s="113" t="n">
        <v>0</v>
      </c>
      <c r="O41" s="113" t="n">
        <v>0</v>
      </c>
      <c r="P41" s="92" t="n">
        <f aca="false">M41-(N41+O41)</f>
        <v>5.1</v>
      </c>
      <c r="Q41" s="183" t="n">
        <v>0</v>
      </c>
      <c r="R41" s="183" t="n">
        <v>0</v>
      </c>
      <c r="S41" s="113" t="n">
        <f aca="false">SUM(P41:R41)</f>
        <v>5.1</v>
      </c>
      <c r="T41" s="114"/>
      <c r="U41" s="183" t="n">
        <v>0</v>
      </c>
      <c r="V41" s="243" t="n">
        <v>18</v>
      </c>
      <c r="W41" s="244" t="n">
        <f aca="false">W40-V41</f>
        <v>164.11</v>
      </c>
      <c r="X41" s="6" t="n">
        <f aca="false">N41+O41+S41+U41+V41</f>
        <v>23.1</v>
      </c>
      <c r="Y41" s="113" t="n">
        <f aca="false">IF(L41&lt;0,L41*-1,0)</f>
        <v>0</v>
      </c>
      <c r="Z41" s="113" t="n">
        <f aca="false">X41+Y41</f>
        <v>23.1</v>
      </c>
      <c r="AA41" s="163" t="n">
        <v>0</v>
      </c>
      <c r="AB41" s="187" t="n">
        <v>61</v>
      </c>
      <c r="AC41" s="169" t="n">
        <v>33</v>
      </c>
      <c r="AD41" s="228" t="n">
        <f aca="false">AD40+(G41+H41-5.51-3.35-0)*1.9835</f>
        <v>5046.22532525</v>
      </c>
      <c r="AE41" s="212"/>
      <c r="AF41" s="215"/>
    </row>
    <row r="42" customFormat="false" ht="11.1" hidden="false" customHeight="true" outlineLevel="0" collapsed="false">
      <c r="A42" s="120" t="n">
        <v>31</v>
      </c>
      <c r="B42" s="170" t="n">
        <v>6864.2</v>
      </c>
      <c r="C42" s="114" t="n">
        <v>172985</v>
      </c>
      <c r="D42" s="119" t="n">
        <f aca="false">C42-C41</f>
        <v>492</v>
      </c>
      <c r="E42" s="114" t="n">
        <f aca="false">C42-152000</f>
        <v>20985</v>
      </c>
      <c r="F42" s="182" t="n">
        <f aca="false">D42/$D$2</f>
        <v>248.04638265692</v>
      </c>
      <c r="G42" s="183" t="n">
        <v>123</v>
      </c>
      <c r="H42" s="217" t="n">
        <v>8</v>
      </c>
      <c r="I42" s="113" t="n">
        <f aca="false">G42+H42</f>
        <v>131</v>
      </c>
      <c r="J42" s="185" t="n">
        <f aca="false">IF(L42&gt;0,L42,0)</f>
        <v>166.04638265692</v>
      </c>
      <c r="K42" s="113" t="n">
        <f aca="false">I42+J42</f>
        <v>297.04638265692</v>
      </c>
      <c r="L42" s="113" t="n">
        <f aca="false">F42-(I42-X42)</f>
        <v>166.04638265692</v>
      </c>
      <c r="M42" s="186" t="n">
        <v>31</v>
      </c>
      <c r="N42" s="113" t="n">
        <v>0</v>
      </c>
      <c r="O42" s="113" t="n">
        <f aca="false">(0.71+0.84)*1.05</f>
        <v>1.6275</v>
      </c>
      <c r="P42" s="92" t="n">
        <f aca="false">M42-(N42+O42)</f>
        <v>29.3725</v>
      </c>
      <c r="Q42" s="183" t="n">
        <v>0</v>
      </c>
      <c r="R42" s="183" t="n">
        <v>0</v>
      </c>
      <c r="S42" s="113" t="n">
        <f aca="false">SUM(P42:R42)</f>
        <v>29.3725</v>
      </c>
      <c r="T42" s="114"/>
      <c r="U42" s="183" t="n">
        <v>0</v>
      </c>
      <c r="V42" s="243" t="n">
        <v>18</v>
      </c>
      <c r="W42" s="244" t="n">
        <f aca="false">W41-V42</f>
        <v>146.11</v>
      </c>
      <c r="X42" s="6" t="n">
        <f aca="false">N42+O42+S42+U42+V42</f>
        <v>49</v>
      </c>
      <c r="Y42" s="113" t="n">
        <f aca="false">IF(L42&lt;0,L42*-1,0)</f>
        <v>0</v>
      </c>
      <c r="Z42" s="113" t="n">
        <f aca="false">X42+Y42</f>
        <v>49</v>
      </c>
      <c r="AA42" s="163" t="n">
        <v>0</v>
      </c>
      <c r="AB42" s="187" t="n">
        <v>61</v>
      </c>
      <c r="AC42" s="169" t="n">
        <v>31</v>
      </c>
      <c r="AD42" s="228" t="n">
        <f aca="false">AD41+(G42+H42-5.51-3.35-22.99)*1.9835</f>
        <v>5242.88935025</v>
      </c>
      <c r="AE42" s="212"/>
      <c r="AF42" s="212"/>
    </row>
    <row r="43" customFormat="false" ht="3" hidden="false" customHeight="true" outlineLevel="0" collapsed="false">
      <c r="A43" s="171"/>
      <c r="B43" s="189"/>
      <c r="C43" s="173"/>
      <c r="D43" s="171"/>
      <c r="E43" s="173"/>
      <c r="F43" s="174"/>
      <c r="G43" s="171"/>
      <c r="H43" s="194"/>
      <c r="I43" s="171"/>
      <c r="J43" s="171"/>
      <c r="K43" s="171"/>
      <c r="L43" s="171"/>
      <c r="M43" s="176"/>
      <c r="N43" s="171"/>
      <c r="O43" s="171"/>
      <c r="P43" s="177"/>
      <c r="Q43" s="171"/>
      <c r="R43" s="171"/>
      <c r="S43" s="171"/>
      <c r="T43" s="173"/>
      <c r="U43" s="171"/>
      <c r="V43" s="171"/>
      <c r="W43" s="171"/>
      <c r="X43" s="171"/>
      <c r="Y43" s="171"/>
      <c r="Z43" s="171"/>
      <c r="AA43" s="178"/>
      <c r="AB43" s="179"/>
      <c r="AC43" s="180"/>
      <c r="AD43" s="232"/>
      <c r="AE43" s="181"/>
      <c r="AF43" s="181"/>
    </row>
    <row r="44" customFormat="false" ht="11.1" hidden="false" customHeight="true" outlineLevel="0" collapsed="false">
      <c r="A44" s="113" t="s">
        <v>54</v>
      </c>
      <c r="B44" s="165"/>
      <c r="C44" s="114"/>
      <c r="D44" s="114"/>
      <c r="E44" s="114"/>
      <c r="F44" s="166" t="n">
        <f aca="false">SUM(F12:F42)</f>
        <v>4734.56012099824</v>
      </c>
      <c r="G44" s="114" t="n">
        <f aca="false">SUM(G12:G42)</f>
        <v>2593</v>
      </c>
      <c r="H44" s="118" t="n">
        <f aca="false">SUM(H12:H42)</f>
        <v>253.9</v>
      </c>
      <c r="I44" s="114" t="n">
        <f aca="false">SUM(I12:I42)</f>
        <v>2846.9</v>
      </c>
      <c r="J44" s="114" t="n">
        <f aca="false">SUM(J12:J42)</f>
        <v>2769.27852281321</v>
      </c>
      <c r="K44" s="114" t="n">
        <f aca="false">SUM(K12:K42)</f>
        <v>5616.17852281321</v>
      </c>
      <c r="L44" s="114" t="n">
        <f aca="false">SUM(L12:L42)</f>
        <v>2723.56012099823</v>
      </c>
      <c r="M44" s="167" t="n">
        <f aca="false">SUM(M12:M42)</f>
        <v>294.9</v>
      </c>
      <c r="N44" s="114" t="n">
        <f aca="false">SUM(N12:N42)</f>
        <v>0</v>
      </c>
      <c r="O44" s="114" t="n">
        <f aca="false">SUM(O12:O42)</f>
        <v>1.6275</v>
      </c>
      <c r="P44" s="168" t="n">
        <f aca="false">SUM(P12:P42)</f>
        <v>293.2725</v>
      </c>
      <c r="Q44" s="114" t="n">
        <f aca="false">SUM(Q12:Q42)</f>
        <v>0</v>
      </c>
      <c r="R44" s="114" t="n">
        <f aca="false">SUM(R12:R42)</f>
        <v>0</v>
      </c>
      <c r="S44" s="114" t="n">
        <f aca="false">SUM(S12:S42)</f>
        <v>293.2725</v>
      </c>
      <c r="T44" s="114"/>
      <c r="U44" s="114" t="n">
        <f aca="false">SUM(U12:U42)</f>
        <v>0</v>
      </c>
      <c r="V44" s="114" t="n">
        <f aca="false">SUM(V12:V42)</f>
        <v>541</v>
      </c>
      <c r="W44" s="114"/>
      <c r="X44" s="114" t="n">
        <f aca="false">SUM(X12:X42)</f>
        <v>835.9</v>
      </c>
      <c r="Y44" s="114" t="n">
        <f aca="false">SUM(Y12:Y42)</f>
        <v>45.7184018149735</v>
      </c>
      <c r="Z44" s="114" t="n">
        <f aca="false">SUM(Z12:Z42)</f>
        <v>881.618401814973</v>
      </c>
      <c r="AA44" s="163" t="n">
        <f aca="false">SUM(AA12:AA42)</f>
        <v>1.8</v>
      </c>
      <c r="AB44" s="119" t="n">
        <f aca="false">AVERAGE(AB12:AB42)</f>
        <v>50.258064516129</v>
      </c>
      <c r="AC44" s="169" t="n">
        <f aca="false">AVERAGE(AC12:AC42)</f>
        <v>27.1612903225806</v>
      </c>
      <c r="AD44" s="228" t="s">
        <v>70</v>
      </c>
      <c r="AE44" s="212"/>
      <c r="AF44" s="212"/>
    </row>
    <row r="45" customFormat="false" ht="11.1" hidden="false" customHeight="true" outlineLevel="0" collapsed="false">
      <c r="A45" s="113" t="s">
        <v>56</v>
      </c>
      <c r="B45" s="165"/>
      <c r="C45" s="114"/>
      <c r="D45" s="114" t="n">
        <f aca="false">SUM(D12:D42)</f>
        <v>9391</v>
      </c>
      <c r="E45" s="114"/>
      <c r="F45" s="166" t="n">
        <f aca="false">F44*$D$2</f>
        <v>9391</v>
      </c>
      <c r="G45" s="114" t="n">
        <f aca="false">G44*$D$2</f>
        <v>5143.2155</v>
      </c>
      <c r="H45" s="118" t="n">
        <f aca="false">H44*$D$2</f>
        <v>503.61065</v>
      </c>
      <c r="I45" s="114" t="n">
        <f aca="false">I44*$D$2</f>
        <v>5646.82615</v>
      </c>
      <c r="J45" s="114" t="n">
        <f aca="false">J44*$D$2</f>
        <v>5492.86395</v>
      </c>
      <c r="K45" s="114" t="n">
        <f aca="false">K44*$D$2</f>
        <v>11139.6901</v>
      </c>
      <c r="L45" s="114" t="n">
        <f aca="false">L44*$D$2</f>
        <v>5402.1815</v>
      </c>
      <c r="M45" s="167" t="n">
        <f aca="false">M44*$D$2</f>
        <v>584.93415</v>
      </c>
      <c r="N45" s="114" t="n">
        <f aca="false">N44*$D$2</f>
        <v>0</v>
      </c>
      <c r="O45" s="114" t="n">
        <f aca="false">O44*$D$2</f>
        <v>3.22814625</v>
      </c>
      <c r="P45" s="168" t="n">
        <f aca="false">P44*$D$2</f>
        <v>581.70600375</v>
      </c>
      <c r="Q45" s="114" t="n">
        <f aca="false">Q44*$D$2</f>
        <v>0</v>
      </c>
      <c r="R45" s="114" t="n">
        <f aca="false">R44*$D$2</f>
        <v>0</v>
      </c>
      <c r="S45" s="114" t="n">
        <f aca="false">S44*$D$2</f>
        <v>581.70600375</v>
      </c>
      <c r="T45" s="114"/>
      <c r="U45" s="114" t="n">
        <f aca="false">U44*$D$2</f>
        <v>0</v>
      </c>
      <c r="V45" s="114" t="n">
        <f aca="false">V44*$D$2</f>
        <v>1073.0735</v>
      </c>
      <c r="W45" s="114"/>
      <c r="X45" s="114" t="n">
        <f aca="false">X44*$D$2</f>
        <v>1658.00765</v>
      </c>
      <c r="Y45" s="114" t="n">
        <f aca="false">Y44*$D$2</f>
        <v>90.68245</v>
      </c>
      <c r="Z45" s="114" t="n">
        <f aca="false">Z44*$D$2</f>
        <v>1748.6901</v>
      </c>
      <c r="AA45" s="163"/>
      <c r="AB45" s="119" t="n">
        <f aca="false">MAX(AB12:AB42)</f>
        <v>64</v>
      </c>
      <c r="AC45" s="169" t="n">
        <f aca="false">MAX(AC12:AC42)</f>
        <v>38</v>
      </c>
      <c r="AD45" s="228" t="s">
        <v>57</v>
      </c>
      <c r="AE45" s="212"/>
      <c r="AF45" s="212"/>
    </row>
    <row r="46" customFormat="false" ht="3" hidden="false" customHeight="true" outlineLevel="0" collapsed="false">
      <c r="A46" s="171"/>
      <c r="B46" s="189"/>
      <c r="C46" s="173"/>
      <c r="D46" s="173"/>
      <c r="E46" s="173"/>
      <c r="F46" s="190"/>
      <c r="G46" s="173"/>
      <c r="H46" s="194"/>
      <c r="I46" s="173"/>
      <c r="J46" s="173"/>
      <c r="K46" s="173"/>
      <c r="L46" s="173"/>
      <c r="M46" s="191"/>
      <c r="N46" s="173"/>
      <c r="O46" s="173"/>
      <c r="P46" s="192"/>
      <c r="Q46" s="173"/>
      <c r="R46" s="173"/>
      <c r="S46" s="173"/>
      <c r="T46" s="173"/>
      <c r="U46" s="173"/>
      <c r="V46" s="173"/>
      <c r="W46" s="171"/>
      <c r="X46" s="173"/>
      <c r="Y46" s="173"/>
      <c r="Z46" s="173"/>
      <c r="AA46" s="193"/>
      <c r="AB46" s="173"/>
      <c r="AC46" s="190"/>
      <c r="AD46" s="237"/>
      <c r="AE46" s="173"/>
      <c r="AF46" s="173"/>
    </row>
    <row r="47" customFormat="false" ht="11.1" hidden="false" customHeight="true" outlineLevel="0" collapsed="false">
      <c r="A47" s="113" t="s">
        <v>58</v>
      </c>
      <c r="B47" s="165"/>
      <c r="C47" s="114"/>
      <c r="D47" s="114"/>
      <c r="E47" s="114"/>
      <c r="F47" s="166"/>
      <c r="G47" s="114"/>
      <c r="H47" s="118"/>
      <c r="I47" s="114"/>
      <c r="J47" s="114"/>
      <c r="K47" s="114"/>
      <c r="L47" s="114"/>
      <c r="M47" s="167" t="n">
        <v>69.98</v>
      </c>
      <c r="N47" s="114"/>
      <c r="O47" s="114" t="n">
        <f aca="false">O42</f>
        <v>1.6275</v>
      </c>
      <c r="P47" s="168" t="n">
        <v>68</v>
      </c>
      <c r="Q47" s="114"/>
      <c r="R47" s="114"/>
      <c r="S47" s="114"/>
      <c r="T47" s="114"/>
      <c r="U47" s="114"/>
      <c r="V47" s="114"/>
      <c r="W47" s="114"/>
      <c r="X47" s="114"/>
      <c r="Y47" s="114"/>
      <c r="Z47" s="114"/>
      <c r="AA47" s="163"/>
      <c r="AB47" s="119" t="n">
        <f aca="false">MIN(AB12:AB42)</f>
        <v>33</v>
      </c>
      <c r="AC47" s="169" t="n">
        <f aca="false">MIN(AC12:AC42)</f>
        <v>6</v>
      </c>
      <c r="AD47" s="228" t="s">
        <v>59</v>
      </c>
      <c r="AE47" s="212"/>
      <c r="AF47" s="212"/>
    </row>
    <row r="48" customFormat="false" ht="11.1" hidden="false" customHeight="true" outlineLevel="0" collapsed="false">
      <c r="A48" s="113" t="s">
        <v>60</v>
      </c>
      <c r="B48" s="165"/>
      <c r="C48" s="114"/>
      <c r="D48" s="114"/>
      <c r="E48" s="114"/>
      <c r="F48" s="166"/>
      <c r="G48" s="114"/>
      <c r="H48" s="118"/>
      <c r="I48" s="114"/>
      <c r="J48" s="114"/>
      <c r="K48" s="114"/>
      <c r="L48" s="114"/>
      <c r="M48" s="167" t="n">
        <f aca="false">M47*$D$2</f>
        <v>138.80533</v>
      </c>
      <c r="N48" s="114"/>
      <c r="O48" s="114" t="n">
        <f aca="false">O47*$D$2</f>
        <v>3.22814625</v>
      </c>
      <c r="P48" s="168" t="n">
        <f aca="false">P47*$D$2</f>
        <v>134.878</v>
      </c>
      <c r="Q48" s="114"/>
      <c r="R48" s="114"/>
      <c r="S48" s="114"/>
      <c r="T48" s="114"/>
      <c r="U48" s="114"/>
      <c r="V48" s="114"/>
      <c r="W48" s="114"/>
      <c r="X48" s="114"/>
      <c r="Y48" s="114"/>
      <c r="Z48" s="114"/>
      <c r="AA48" s="163"/>
      <c r="AB48" s="119"/>
      <c r="AC48" s="169"/>
      <c r="AD48" s="228"/>
      <c r="AE48" s="212"/>
      <c r="AF48" s="212"/>
    </row>
    <row r="49" customFormat="false" ht="3" hidden="false" customHeight="true" outlineLevel="0" collapsed="false">
      <c r="A49" s="171"/>
      <c r="B49" s="189"/>
      <c r="C49" s="173"/>
      <c r="D49" s="173"/>
      <c r="E49" s="173"/>
      <c r="F49" s="190"/>
      <c r="G49" s="173"/>
      <c r="H49" s="194"/>
      <c r="I49" s="173"/>
      <c r="J49" s="173"/>
      <c r="K49" s="173"/>
      <c r="L49" s="173"/>
      <c r="M49" s="191"/>
      <c r="N49" s="173"/>
      <c r="O49" s="173"/>
      <c r="P49" s="192"/>
      <c r="Q49" s="173"/>
      <c r="R49" s="173"/>
      <c r="S49" s="173"/>
      <c r="T49" s="173"/>
      <c r="U49" s="173"/>
      <c r="V49" s="173"/>
      <c r="W49" s="173"/>
      <c r="X49" s="173"/>
      <c r="Y49" s="173"/>
      <c r="Z49" s="173"/>
      <c r="AA49" s="178"/>
      <c r="AB49" s="194"/>
      <c r="AC49" s="195"/>
      <c r="AD49" s="237"/>
      <c r="AE49" s="194"/>
      <c r="AF49" s="194"/>
    </row>
    <row r="50" customFormat="false" ht="11.1" hidden="false" customHeight="true" outlineLevel="0" collapsed="false">
      <c r="A50" s="113" t="s">
        <v>61</v>
      </c>
      <c r="B50" s="165"/>
      <c r="C50" s="114"/>
      <c r="D50" s="114"/>
      <c r="E50" s="114"/>
      <c r="F50" s="166" t="n">
        <f aca="false">F10+F44</f>
        <v>8277.28762288883</v>
      </c>
      <c r="G50" s="114" t="n">
        <f aca="false">G10+G44</f>
        <v>7554</v>
      </c>
      <c r="H50" s="118" t="n">
        <f aca="false">H10+H44</f>
        <v>282.74</v>
      </c>
      <c r="I50" s="114" t="n">
        <f aca="false">I10+I44</f>
        <v>7836.74</v>
      </c>
      <c r="J50" s="114" t="n">
        <f aca="false">J10+J44</f>
        <v>4478.75377111167</v>
      </c>
      <c r="K50" s="114" t="n">
        <f aca="false">K10+K44</f>
        <v>12315.4937711117</v>
      </c>
      <c r="L50" s="114" t="n">
        <f aca="false">L10+L44</f>
        <v>3844.23762288883</v>
      </c>
      <c r="M50" s="167" t="n">
        <f aca="false">M10+M44</f>
        <v>1026.8</v>
      </c>
      <c r="N50" s="114" t="n">
        <f aca="false">N10+N44</f>
        <v>0</v>
      </c>
      <c r="O50" s="114" t="n">
        <f aca="false">O10+O44</f>
        <v>1.6275</v>
      </c>
      <c r="P50" s="168" t="n">
        <f aca="false">P10+P44</f>
        <v>1025.1725</v>
      </c>
      <c r="Q50" s="114" t="n">
        <f aca="false">Q10+Q44</f>
        <v>62</v>
      </c>
      <c r="R50" s="114" t="n">
        <f aca="false">R10+R44</f>
        <v>51</v>
      </c>
      <c r="S50" s="114" t="n">
        <f aca="false">S10+S44</f>
        <v>1138.1725</v>
      </c>
      <c r="T50" s="114"/>
      <c r="U50" s="114" t="n">
        <f aca="false">U10+U44</f>
        <v>0</v>
      </c>
      <c r="V50" s="114" t="n">
        <f aca="false">V10+V44</f>
        <v>2263.89</v>
      </c>
      <c r="W50" s="114" t="n">
        <f aca="false">W42</f>
        <v>146.11</v>
      </c>
      <c r="X50" s="114" t="n">
        <f aca="false">X10+X44</f>
        <v>3403.69</v>
      </c>
      <c r="Y50" s="114" t="n">
        <f aca="false">Y10+Y44</f>
        <v>634.516148222838</v>
      </c>
      <c r="Z50" s="114" t="n">
        <f aca="false">Z10+Z44</f>
        <v>4038.20614822284</v>
      </c>
      <c r="AA50" s="163" t="n">
        <f aca="false">AA10+AA44</f>
        <v>7.04</v>
      </c>
      <c r="AB50" s="119"/>
      <c r="AC50" s="169"/>
      <c r="AD50" s="228"/>
      <c r="AE50" s="212"/>
      <c r="AF50" s="212"/>
    </row>
    <row r="51" customFormat="false" ht="11.1" hidden="false" customHeight="true" outlineLevel="0" collapsed="false">
      <c r="A51" s="113" t="s">
        <v>62</v>
      </c>
      <c r="B51" s="165"/>
      <c r="C51" s="114"/>
      <c r="D51" s="114" t="n">
        <f aca="false">D10+D45</f>
        <v>16418</v>
      </c>
      <c r="E51" s="114" t="n">
        <f aca="false">E42</f>
        <v>20985</v>
      </c>
      <c r="F51" s="166" t="n">
        <f aca="false">F50*$D$2</f>
        <v>16418</v>
      </c>
      <c r="G51" s="114" t="n">
        <f aca="false">G50*$D$2</f>
        <v>14983.359</v>
      </c>
      <c r="H51" s="118" t="n">
        <f aca="false">H50*$D$2</f>
        <v>560.81479</v>
      </c>
      <c r="I51" s="114" t="n">
        <f aca="false">I50*$D$2</f>
        <v>15544.17379</v>
      </c>
      <c r="J51" s="114" t="n">
        <f aca="false">J50*$D$2</f>
        <v>8883.608105</v>
      </c>
      <c r="K51" s="114" t="n">
        <f aca="false">K50*$D$2</f>
        <v>24427.781895</v>
      </c>
      <c r="L51" s="114" t="n">
        <f aca="false">L50*$D$2</f>
        <v>7625.045325</v>
      </c>
      <c r="M51" s="167" t="n">
        <f aca="false">M50*$D$2</f>
        <v>2036.6578</v>
      </c>
      <c r="N51" s="114" t="n">
        <f aca="false">N50*$D$2</f>
        <v>0</v>
      </c>
      <c r="O51" s="114" t="n">
        <f aca="false">O50*$D$2</f>
        <v>3.22814625</v>
      </c>
      <c r="P51" s="168" t="n">
        <f aca="false">P50*$D$2</f>
        <v>2033.42965375</v>
      </c>
      <c r="Q51" s="114" t="n">
        <f aca="false">Q50*$D$2</f>
        <v>122.977</v>
      </c>
      <c r="R51" s="114" t="n">
        <f aca="false">R50*$D$2</f>
        <v>101.1585</v>
      </c>
      <c r="S51" s="114" t="n">
        <f aca="false">S50*$D$2</f>
        <v>2257.56515375</v>
      </c>
      <c r="T51" s="114"/>
      <c r="U51" s="114" t="n">
        <f aca="false">U50*$D$2</f>
        <v>0</v>
      </c>
      <c r="V51" s="114" t="n">
        <f aca="false">V50*$D$2</f>
        <v>4490.425815</v>
      </c>
      <c r="W51" s="114" t="n">
        <f aca="false">W50*$D$2</f>
        <v>289.809185</v>
      </c>
      <c r="X51" s="114" t="n">
        <f aca="false">X50*$D$2</f>
        <v>6751.219115</v>
      </c>
      <c r="Y51" s="114" t="n">
        <f aca="false">Y50*$D$2</f>
        <v>1258.56278</v>
      </c>
      <c r="Z51" s="114" t="n">
        <f aca="false">Z50*$D$2</f>
        <v>8009.781895</v>
      </c>
      <c r="AA51" s="163"/>
      <c r="AB51" s="119"/>
      <c r="AC51" s="169"/>
      <c r="AD51" s="228"/>
      <c r="AE51" s="212"/>
      <c r="AF51" s="212"/>
    </row>
    <row r="52" customFormat="false" ht="3" hidden="false" customHeight="true" outlineLevel="0" collapsed="false">
      <c r="A52" s="171"/>
      <c r="B52" s="189"/>
      <c r="C52" s="173"/>
      <c r="D52" s="171"/>
      <c r="E52" s="173"/>
      <c r="F52" s="174"/>
      <c r="G52" s="171"/>
      <c r="H52" s="194"/>
      <c r="I52" s="171"/>
      <c r="J52" s="171"/>
      <c r="K52" s="171"/>
      <c r="L52" s="171"/>
      <c r="M52" s="176"/>
      <c r="N52" s="171"/>
      <c r="O52" s="171"/>
      <c r="P52" s="177"/>
      <c r="Q52" s="171"/>
      <c r="R52" s="171"/>
      <c r="S52" s="171"/>
      <c r="T52" s="173"/>
      <c r="U52" s="171"/>
      <c r="V52" s="171"/>
      <c r="W52" s="173"/>
      <c r="X52" s="171"/>
      <c r="Y52" s="171"/>
      <c r="Z52" s="171"/>
      <c r="AA52" s="189"/>
      <c r="AB52" s="171"/>
      <c r="AC52" s="174"/>
      <c r="AD52" s="237"/>
      <c r="AE52" s="171"/>
      <c r="AF52" s="171"/>
    </row>
    <row r="53" customFormat="false" ht="11.1" hidden="false" customHeight="true" outlineLevel="0" collapsed="false">
      <c r="A53" s="113"/>
      <c r="B53" s="196"/>
      <c r="C53" s="114"/>
      <c r="D53" s="113"/>
      <c r="E53" s="114"/>
      <c r="F53" s="113"/>
      <c r="G53" s="113"/>
      <c r="H53" s="118"/>
      <c r="I53" s="113"/>
      <c r="J53" s="113"/>
      <c r="K53" s="113"/>
      <c r="L53" s="113"/>
      <c r="M53" s="113"/>
      <c r="N53" s="113"/>
      <c r="O53" s="113"/>
      <c r="P53" s="113"/>
      <c r="Q53" s="113"/>
      <c r="R53" s="113"/>
      <c r="S53" s="113"/>
      <c r="T53" s="114"/>
      <c r="U53" s="113"/>
      <c r="V53" s="113"/>
      <c r="W53" s="114"/>
      <c r="X53" s="113"/>
      <c r="Y53" s="113"/>
      <c r="Z53" s="113"/>
      <c r="AA53" s="118"/>
      <c r="AB53" s="119"/>
      <c r="AC53" s="119"/>
      <c r="AD53" s="228"/>
      <c r="AE53" s="201"/>
      <c r="AF53" s="201"/>
    </row>
    <row r="54" customFormat="false" ht="11.1" hidden="false" customHeight="true" outlineLevel="0" collapsed="false">
      <c r="A54" s="113"/>
      <c r="B54" s="197"/>
      <c r="C54" s="114"/>
      <c r="D54" s="187"/>
      <c r="E54" s="114"/>
      <c r="F54" s="113"/>
      <c r="G54" s="113"/>
      <c r="H54" s="118"/>
      <c r="I54" s="115"/>
      <c r="J54" s="113"/>
      <c r="K54" s="104"/>
      <c r="L54" s="113"/>
      <c r="M54" s="113"/>
      <c r="N54" s="113"/>
      <c r="O54" s="113"/>
      <c r="P54" s="113"/>
      <c r="Q54" s="113"/>
      <c r="R54" s="113"/>
      <c r="S54" s="113"/>
      <c r="T54" s="114"/>
      <c r="U54" s="113"/>
      <c r="V54" s="113"/>
      <c r="W54" s="114"/>
      <c r="X54" s="113"/>
      <c r="Y54" s="113"/>
      <c r="Z54" s="113"/>
      <c r="AA54" s="118"/>
      <c r="AB54" s="119"/>
      <c r="AC54" s="119"/>
      <c r="AD54" s="228"/>
      <c r="AE54" s="201"/>
      <c r="AF54" s="201"/>
    </row>
    <row r="55" customFormat="false" ht="11.1" hidden="false" customHeight="true" outlineLevel="0" collapsed="false">
      <c r="A55" s="187"/>
      <c r="B55" s="187"/>
      <c r="C55" s="114"/>
      <c r="D55" s="114"/>
      <c r="E55" s="114"/>
      <c r="F55" s="187"/>
      <c r="G55" s="187"/>
      <c r="H55" s="118"/>
      <c r="I55" s="187"/>
      <c r="J55" s="187"/>
      <c r="K55" s="187"/>
      <c r="L55" s="187"/>
      <c r="M55" s="185"/>
      <c r="N55" s="185"/>
      <c r="O55" s="185"/>
      <c r="P55" s="185"/>
      <c r="Q55" s="187"/>
      <c r="R55" s="187"/>
      <c r="S55" s="187"/>
      <c r="T55" s="114"/>
      <c r="U55" s="187"/>
      <c r="V55" s="187"/>
      <c r="W55" s="114"/>
      <c r="X55" s="187"/>
      <c r="Y55" s="187"/>
      <c r="Z55" s="187"/>
      <c r="AA55" s="118"/>
      <c r="AB55" s="119"/>
      <c r="AC55" s="119"/>
      <c r="AD55" s="228"/>
      <c r="AE55" s="219"/>
      <c r="AF55" s="219"/>
    </row>
    <row r="56" customFormat="false" ht="11.1" hidden="false" customHeight="true" outlineLevel="0" collapsed="false">
      <c r="A56" s="187"/>
      <c r="B56" s="117"/>
      <c r="C56" s="114"/>
      <c r="D56" s="114"/>
      <c r="E56" s="114"/>
      <c r="F56" s="187"/>
      <c r="G56" s="187"/>
      <c r="H56" s="118"/>
      <c r="I56" s="187"/>
      <c r="J56" s="187"/>
      <c r="K56" s="187"/>
      <c r="L56" s="187"/>
      <c r="M56" s="185"/>
      <c r="N56" s="185"/>
      <c r="O56" s="185"/>
      <c r="P56" s="187"/>
      <c r="Q56" s="187"/>
      <c r="R56" s="187"/>
      <c r="S56" s="114"/>
      <c r="T56" s="187"/>
      <c r="U56" s="187"/>
      <c r="V56" s="114"/>
      <c r="W56" s="187"/>
      <c r="X56" s="187"/>
      <c r="Y56" s="187"/>
      <c r="Z56" s="117"/>
      <c r="AA56" s="118"/>
      <c r="AB56" s="119"/>
      <c r="AC56" s="120"/>
      <c r="AD56" s="220"/>
      <c r="AE56" s="219"/>
    </row>
    <row r="57" customFormat="false" ht="11.1" hidden="false" customHeight="true" outlineLevel="0" collapsed="false">
      <c r="A57" s="187"/>
      <c r="B57" s="187"/>
      <c r="C57" s="114"/>
      <c r="D57" s="187"/>
      <c r="E57" s="114"/>
      <c r="F57" s="187"/>
      <c r="G57" s="198"/>
      <c r="H57" s="118"/>
      <c r="I57" s="187"/>
      <c r="J57" s="187"/>
      <c r="K57" s="187"/>
      <c r="L57" s="187"/>
      <c r="M57" s="185"/>
      <c r="N57" s="185"/>
      <c r="O57" s="185"/>
      <c r="P57" s="187"/>
      <c r="Q57" s="187"/>
      <c r="R57" s="187"/>
      <c r="S57" s="114"/>
      <c r="T57" s="187"/>
      <c r="U57" s="187"/>
      <c r="V57" s="114"/>
      <c r="W57" s="187"/>
      <c r="X57" s="187"/>
      <c r="Y57" s="187"/>
      <c r="Z57" s="117"/>
      <c r="AA57" s="118"/>
      <c r="AB57" s="119"/>
      <c r="AC57" s="120"/>
      <c r="AD57" s="220"/>
      <c r="AE57" s="219"/>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6" activePane="bottomRight" state="frozen"/>
      <selection pane="topLeft" activeCell="A1" activeCellId="0" sqref="A1"/>
      <selection pane="topRight" activeCell="B1" activeCellId="0" sqref="B1"/>
      <selection pane="bottomLeft" activeCell="A16" activeCellId="0" sqref="A16"/>
      <selection pane="bottomRight" activeCell="AD17" activeCellId="0" sqref="AD17"/>
    </sheetView>
  </sheetViews>
  <sheetFormatPr defaultColWidth="9.2890625" defaultRowHeight="11.1" zeroHeight="false" outlineLevelRow="0" outlineLevelCol="0"/>
  <cols>
    <col collapsed="false" customWidth="true" hidden="false" outlineLevel="0" max="1" min="1" style="0" width="5.66"/>
    <col collapsed="false" customWidth="true" hidden="false" outlineLevel="0" max="2" min="2" style="0" width="7.49"/>
    <col collapsed="false" customWidth="true" hidden="false" outlineLevel="0" max="3" min="3" style="1" width="6.82"/>
    <col collapsed="false" customWidth="true" hidden="false" outlineLevel="0" max="4" min="4" style="0" width="6.99"/>
    <col collapsed="false" customWidth="true" hidden="false" outlineLevel="0" max="5" min="5" style="1" width="7.66"/>
    <col collapsed="false" customWidth="true" hidden="false" outlineLevel="0" max="6" min="6" style="0" width="7.66"/>
    <col collapsed="false" customWidth="true" hidden="false" outlineLevel="0" max="7" min="7" style="0" width="7.16"/>
    <col collapsed="false" customWidth="true" hidden="false" outlineLevel="0" max="8" min="8" style="245" width="6.66"/>
    <col collapsed="false" customWidth="true" hidden="false" outlineLevel="0" max="9" min="9" style="0" width="7.99"/>
    <col collapsed="false" customWidth="true" hidden="false" outlineLevel="0" max="11" min="10" style="0" width="6.66"/>
    <col collapsed="false" customWidth="true" hidden="false" outlineLevel="0" max="12" min="12" style="0" width="7.16"/>
    <col collapsed="false" customWidth="true" hidden="false" outlineLevel="0" max="13" min="13" style="3" width="6.16"/>
    <col collapsed="false" customWidth="true" hidden="false" outlineLevel="0" max="14" min="14" style="3" width="5.99"/>
    <col collapsed="false" customWidth="true" hidden="false" outlineLevel="0" max="15" min="15" style="3" width="6.49"/>
    <col collapsed="false" customWidth="true" hidden="false" outlineLevel="0" max="16" min="16" style="0" width="7.16"/>
    <col collapsed="false" customWidth="true" hidden="false" outlineLevel="0" max="18" min="17" style="0" width="5.49"/>
    <col collapsed="false" customWidth="true" hidden="false" outlineLevel="0" max="19" min="19" style="1" width="6.82"/>
    <col collapsed="false" customWidth="true" hidden="false" outlineLevel="0" max="20" min="20" style="3" width="6.49"/>
    <col collapsed="false" customWidth="true" hidden="false" outlineLevel="0" max="21" min="21" style="0" width="5.66"/>
    <col collapsed="false" customWidth="true" hidden="false" outlineLevel="0" max="22" min="22" style="1" width="6.16"/>
    <col collapsed="false" customWidth="true" hidden="false" outlineLevel="0" max="23" min="23" style="0" width="6.82"/>
    <col collapsed="false" customWidth="true" hidden="false" outlineLevel="0" max="25" min="24" style="0" width="7.82"/>
    <col collapsed="false" customWidth="true" hidden="false" outlineLevel="0" max="26" min="26" style="246" width="7.82"/>
    <col collapsed="false" customWidth="true" hidden="false" outlineLevel="0" max="27" min="27" style="247" width="5.32"/>
    <col collapsed="false" customWidth="true" hidden="false" outlineLevel="0" max="28" min="28" style="248" width="3.82"/>
    <col collapsed="false" customWidth="true" hidden="false" outlineLevel="0" max="29" min="29" style="249" width="3.82"/>
    <col collapsed="false" customWidth="true" hidden="false" outlineLevel="0" max="30" min="30" style="250" width="6.66"/>
    <col collapsed="false" customWidth="true" hidden="false" outlineLevel="0" max="31" min="31" style="251" width="5.99"/>
    <col collapsed="false" customWidth="true" hidden="false" outlineLevel="0" max="32" min="32" style="252" width="8.32"/>
  </cols>
  <sheetData>
    <row r="1" customFormat="false" ht="14.1" hidden="false" customHeight="true" outlineLevel="0" collapsed="false">
      <c r="A1" s="6"/>
      <c r="B1" s="6"/>
      <c r="C1" s="7"/>
      <c r="D1" s="6"/>
      <c r="E1" s="7"/>
      <c r="F1" s="91"/>
      <c r="G1" s="6"/>
      <c r="H1" s="8"/>
      <c r="I1" s="6"/>
      <c r="J1" s="6"/>
      <c r="K1" s="9" t="s">
        <v>76</v>
      </c>
      <c r="L1" s="6"/>
      <c r="M1" s="6"/>
      <c r="N1" s="6"/>
      <c r="O1" s="6"/>
      <c r="P1" s="6"/>
      <c r="Q1" s="6"/>
      <c r="R1" s="6"/>
      <c r="S1" s="7"/>
      <c r="T1" s="89"/>
      <c r="U1" s="6"/>
      <c r="V1" s="7"/>
      <c r="W1" s="6"/>
      <c r="X1" s="6"/>
      <c r="Y1" s="6"/>
      <c r="Z1" s="253"/>
      <c r="AA1" s="254"/>
      <c r="AB1" s="72"/>
      <c r="AC1" s="65"/>
      <c r="AD1" s="255"/>
      <c r="AE1" s="256"/>
    </row>
    <row r="2" customFormat="false" ht="14.1" hidden="false" customHeight="true" outlineLevel="0" collapsed="false">
      <c r="A2" s="6" t="s">
        <v>1</v>
      </c>
      <c r="B2" s="6"/>
      <c r="C2" s="7"/>
      <c r="D2" s="14" t="n">
        <v>1.9835</v>
      </c>
      <c r="E2" s="7"/>
      <c r="F2" s="91"/>
      <c r="G2" s="6"/>
      <c r="H2" s="8"/>
      <c r="I2" s="6"/>
      <c r="J2" s="6"/>
      <c r="K2" s="257" t="s">
        <v>77</v>
      </c>
      <c r="L2" s="258"/>
      <c r="M2" s="49"/>
      <c r="N2" s="49"/>
      <c r="O2" s="49"/>
      <c r="P2" s="49"/>
      <c r="Q2" s="49"/>
      <c r="R2" s="49"/>
      <c r="S2" s="64"/>
      <c r="T2" s="255"/>
      <c r="U2" s="49"/>
      <c r="V2" s="64"/>
      <c r="W2" s="6"/>
      <c r="X2" s="6"/>
      <c r="Y2" s="6"/>
      <c r="Z2" s="253"/>
      <c r="AA2" s="254"/>
      <c r="AB2" s="72"/>
      <c r="AC2" s="65"/>
      <c r="AD2" s="255"/>
      <c r="AE2" s="256"/>
    </row>
    <row r="3" customFormat="false" ht="14.1" hidden="false" customHeight="true" outlineLevel="0" collapsed="false">
      <c r="A3" s="6"/>
      <c r="B3" s="6"/>
      <c r="C3" s="7"/>
      <c r="D3" s="14"/>
      <c r="E3" s="7"/>
      <c r="F3" s="91"/>
      <c r="G3" s="6"/>
      <c r="H3" s="259"/>
      <c r="I3" s="6"/>
      <c r="J3" s="6"/>
      <c r="K3" s="260"/>
      <c r="L3" s="258"/>
      <c r="M3" s="49"/>
      <c r="N3" s="49"/>
      <c r="O3" s="49"/>
      <c r="P3" s="49"/>
      <c r="Q3" s="49"/>
      <c r="R3" s="49"/>
      <c r="S3" s="261"/>
      <c r="T3" s="255"/>
      <c r="U3" s="49"/>
      <c r="V3" s="64"/>
      <c r="W3" s="6"/>
      <c r="X3" s="6"/>
      <c r="Y3" s="6"/>
      <c r="Z3" s="253"/>
      <c r="AA3" s="254"/>
      <c r="AB3" s="72"/>
      <c r="AC3" s="65"/>
      <c r="AD3" s="255"/>
      <c r="AE3" s="256"/>
    </row>
    <row r="4" customFormat="false" ht="14.1" hidden="false" customHeight="true" outlineLevel="0" collapsed="false">
      <c r="A4" s="27"/>
      <c r="B4" s="24"/>
      <c r="C4" s="25"/>
      <c r="D4" s="262" t="s">
        <v>3</v>
      </c>
      <c r="E4" s="25"/>
      <c r="F4" s="27"/>
      <c r="G4" s="263"/>
      <c r="H4" s="264"/>
      <c r="I4" s="263"/>
      <c r="J4" s="263"/>
      <c r="K4" s="263"/>
      <c r="L4" s="263"/>
      <c r="M4" s="263"/>
      <c r="N4" s="263"/>
      <c r="O4" s="263"/>
      <c r="P4" s="263"/>
      <c r="Q4" s="265"/>
      <c r="R4" s="263"/>
      <c r="S4" s="266" t="s">
        <v>4</v>
      </c>
      <c r="T4" s="267"/>
      <c r="U4" s="263"/>
      <c r="V4" s="25"/>
      <c r="W4" s="263"/>
      <c r="X4" s="263"/>
      <c r="Y4" s="263"/>
      <c r="Z4" s="268"/>
      <c r="AA4" s="29"/>
      <c r="AB4" s="269" t="s">
        <v>5</v>
      </c>
      <c r="AC4" s="31"/>
      <c r="AD4" s="270"/>
      <c r="AE4" s="271"/>
      <c r="AF4" s="272"/>
    </row>
    <row r="5" customFormat="false" ht="11.1" hidden="false" customHeight="true" outlineLevel="0" collapsed="false">
      <c r="A5" s="32" t="s">
        <v>6</v>
      </c>
      <c r="B5" s="33" t="s">
        <v>7</v>
      </c>
      <c r="C5" s="34" t="s">
        <v>7</v>
      </c>
      <c r="D5" s="35" t="s">
        <v>8</v>
      </c>
      <c r="E5" s="34" t="s">
        <v>9</v>
      </c>
      <c r="F5" s="36" t="s">
        <v>10</v>
      </c>
      <c r="G5" s="273" t="s">
        <v>11</v>
      </c>
      <c r="H5" s="274" t="s">
        <v>12</v>
      </c>
      <c r="I5" s="273" t="s">
        <v>13</v>
      </c>
      <c r="J5" s="273" t="s">
        <v>14</v>
      </c>
      <c r="K5" s="273" t="s">
        <v>15</v>
      </c>
      <c r="L5" s="32" t="s">
        <v>14</v>
      </c>
      <c r="M5" s="38" t="s">
        <v>16</v>
      </c>
      <c r="N5" s="38"/>
      <c r="O5" s="38"/>
      <c r="P5" s="38"/>
      <c r="Q5" s="32" t="s">
        <v>17</v>
      </c>
      <c r="R5" s="32" t="s">
        <v>18</v>
      </c>
      <c r="S5" s="275" t="s">
        <v>15</v>
      </c>
      <c r="T5" s="276" t="s">
        <v>19</v>
      </c>
      <c r="U5" s="32" t="s">
        <v>20</v>
      </c>
      <c r="V5" s="32" t="s">
        <v>21</v>
      </c>
      <c r="W5" s="39" t="s">
        <v>22</v>
      </c>
      <c r="X5" s="32" t="s">
        <v>13</v>
      </c>
      <c r="Y5" s="32" t="s">
        <v>14</v>
      </c>
      <c r="Z5" s="35" t="s">
        <v>15</v>
      </c>
      <c r="AA5" s="40" t="s">
        <v>23</v>
      </c>
      <c r="AB5" s="41" t="s">
        <v>24</v>
      </c>
      <c r="AC5" s="42" t="s">
        <v>25</v>
      </c>
      <c r="AD5" s="276" t="s">
        <v>64</v>
      </c>
      <c r="AE5" s="277" t="s">
        <v>65</v>
      </c>
      <c r="AF5" s="277" t="s">
        <v>65</v>
      </c>
    </row>
    <row r="6" customFormat="false" ht="11.1" hidden="false" customHeight="true" outlineLevel="0" collapsed="false">
      <c r="A6" s="44" t="s">
        <v>78</v>
      </c>
      <c r="B6" s="33" t="s">
        <v>28</v>
      </c>
      <c r="C6" s="34" t="s">
        <v>8</v>
      </c>
      <c r="D6" s="35" t="s">
        <v>29</v>
      </c>
      <c r="E6" s="34" t="s">
        <v>30</v>
      </c>
      <c r="F6" s="36" t="s">
        <v>31</v>
      </c>
      <c r="G6" s="273" t="s">
        <v>32</v>
      </c>
      <c r="H6" s="274" t="s">
        <v>33</v>
      </c>
      <c r="I6" s="273" t="s">
        <v>34</v>
      </c>
      <c r="J6" s="273" t="s">
        <v>34</v>
      </c>
      <c r="K6" s="273" t="s">
        <v>34</v>
      </c>
      <c r="L6" s="32" t="s">
        <v>35</v>
      </c>
      <c r="M6" s="45" t="s">
        <v>36</v>
      </c>
      <c r="N6" s="35" t="s">
        <v>37</v>
      </c>
      <c r="O6" s="35" t="s">
        <v>38</v>
      </c>
      <c r="P6" s="278" t="s">
        <v>79</v>
      </c>
      <c r="Q6" s="32" t="s">
        <v>40</v>
      </c>
      <c r="R6" s="32" t="s">
        <v>41</v>
      </c>
      <c r="S6" s="32" t="s">
        <v>19</v>
      </c>
      <c r="T6" s="276" t="s">
        <v>80</v>
      </c>
      <c r="U6" s="32" t="s">
        <v>43</v>
      </c>
      <c r="V6" s="32" t="s">
        <v>44</v>
      </c>
      <c r="W6" s="39" t="s">
        <v>45</v>
      </c>
      <c r="X6" s="32" t="s">
        <v>46</v>
      </c>
      <c r="Y6" s="32" t="s">
        <v>46</v>
      </c>
      <c r="Z6" s="35" t="s">
        <v>46</v>
      </c>
      <c r="AA6" s="47"/>
      <c r="AB6" s="41" t="s">
        <v>47</v>
      </c>
      <c r="AC6" s="42" t="s">
        <v>47</v>
      </c>
      <c r="AD6" s="276" t="s">
        <v>42</v>
      </c>
      <c r="AE6" s="277" t="s">
        <v>42</v>
      </c>
      <c r="AF6" s="277" t="s">
        <v>42</v>
      </c>
    </row>
    <row r="7" customFormat="false" ht="11.1" hidden="false" customHeight="true" outlineLevel="0" collapsed="false">
      <c r="A7" s="49"/>
      <c r="B7" s="50"/>
      <c r="C7" s="51"/>
      <c r="D7" s="52"/>
      <c r="E7" s="53" t="s">
        <v>48</v>
      </c>
      <c r="F7" s="54"/>
      <c r="G7" s="49"/>
      <c r="H7" s="55"/>
      <c r="I7" s="49"/>
      <c r="J7" s="49"/>
      <c r="K7" s="49"/>
      <c r="L7" s="49"/>
      <c r="M7" s="56"/>
      <c r="N7" s="52"/>
      <c r="O7" s="52"/>
      <c r="P7" s="57"/>
      <c r="Q7" s="49"/>
      <c r="R7" s="49"/>
      <c r="S7" s="49"/>
      <c r="T7" s="279" t="s">
        <v>81</v>
      </c>
      <c r="U7" s="49"/>
      <c r="V7" s="49"/>
      <c r="W7" s="64"/>
      <c r="X7" s="49"/>
      <c r="Y7" s="49"/>
      <c r="Z7" s="52"/>
      <c r="AA7" s="60"/>
      <c r="AB7" s="61" t="s">
        <v>50</v>
      </c>
      <c r="AC7" s="62"/>
      <c r="AD7" s="279" t="s">
        <v>48</v>
      </c>
      <c r="AE7" s="277" t="s">
        <v>82</v>
      </c>
      <c r="AF7" s="277" t="s">
        <v>83</v>
      </c>
    </row>
    <row r="8" customFormat="false" ht="11.1" hidden="false" customHeight="true" outlineLevel="0" collapsed="false">
      <c r="A8" s="49"/>
      <c r="B8" s="50"/>
      <c r="C8" s="51"/>
      <c r="D8" s="52"/>
      <c r="E8" s="53"/>
      <c r="F8" s="54"/>
      <c r="G8" s="49"/>
      <c r="H8" s="55"/>
      <c r="I8" s="49"/>
      <c r="J8" s="49"/>
      <c r="K8" s="49"/>
      <c r="L8" s="49"/>
      <c r="M8" s="56"/>
      <c r="N8" s="52"/>
      <c r="O8" s="52"/>
      <c r="P8" s="57"/>
      <c r="Q8" s="49"/>
      <c r="R8" s="49"/>
      <c r="S8" s="49"/>
      <c r="T8" s="255"/>
      <c r="U8" s="49"/>
      <c r="V8" s="49"/>
      <c r="W8" s="64" t="n">
        <f aca="false">14324+1200+150+100+573</f>
        <v>16347</v>
      </c>
      <c r="X8" s="49"/>
      <c r="Y8" s="49"/>
      <c r="Z8" s="52"/>
      <c r="AA8" s="60"/>
      <c r="AB8" s="61"/>
      <c r="AC8" s="62"/>
      <c r="AD8" s="279"/>
      <c r="AE8" s="277"/>
      <c r="AF8" s="277"/>
    </row>
    <row r="9" customFormat="false" ht="11.1" hidden="false" customHeight="true" outlineLevel="0" collapsed="false">
      <c r="A9" s="6" t="s">
        <v>52</v>
      </c>
      <c r="B9" s="66"/>
      <c r="C9" s="67"/>
      <c r="D9" s="67"/>
      <c r="E9" s="67"/>
      <c r="F9" s="68"/>
      <c r="G9" s="7"/>
      <c r="H9" s="12"/>
      <c r="I9" s="7"/>
      <c r="J9" s="7"/>
      <c r="K9" s="7"/>
      <c r="L9" s="7"/>
      <c r="M9" s="69" t="n">
        <f aca="false">MAR!M47</f>
        <v>69.98</v>
      </c>
      <c r="N9" s="67"/>
      <c r="O9" s="67" t="n">
        <f aca="false">MAR!O47</f>
        <v>1.6275</v>
      </c>
      <c r="P9" s="70" t="n">
        <f aca="false">MAR!P47</f>
        <v>68</v>
      </c>
      <c r="Q9" s="7"/>
      <c r="R9" s="7"/>
      <c r="S9" s="7"/>
      <c r="T9" s="89" t="n">
        <v>0</v>
      </c>
      <c r="U9" s="7"/>
      <c r="V9" s="7"/>
      <c r="W9" s="7"/>
      <c r="X9" s="7"/>
      <c r="Y9" s="7"/>
      <c r="Z9" s="67"/>
      <c r="AA9" s="60"/>
      <c r="AB9" s="72"/>
      <c r="AC9" s="73"/>
      <c r="AD9" s="89"/>
      <c r="AE9" s="256"/>
    </row>
    <row r="10" s="1" customFormat="true" ht="11.1" hidden="false" customHeight="true" outlineLevel="0" collapsed="false">
      <c r="A10" s="7" t="s">
        <v>53</v>
      </c>
      <c r="B10" s="74" t="n">
        <f aca="false">MAR!B42</f>
        <v>6864.2</v>
      </c>
      <c r="C10" s="67" t="n">
        <f aca="false">MAR!C42</f>
        <v>172985</v>
      </c>
      <c r="D10" s="67" t="n">
        <f aca="false">MAR!D51</f>
        <v>16418</v>
      </c>
      <c r="E10" s="67" t="n">
        <f aca="false">MAR!E51</f>
        <v>20985</v>
      </c>
      <c r="F10" s="68" t="n">
        <f aca="false">MAR!F50</f>
        <v>8277.28762288883</v>
      </c>
      <c r="G10" s="7" t="n">
        <f aca="false">MAR!G50</f>
        <v>7554</v>
      </c>
      <c r="H10" s="12" t="n">
        <f aca="false">MAR!H50</f>
        <v>282.74</v>
      </c>
      <c r="I10" s="7" t="n">
        <f aca="false">MAR!I50</f>
        <v>7836.74</v>
      </c>
      <c r="J10" s="7" t="n">
        <f aca="false">MAR!J50</f>
        <v>4478.75377111167</v>
      </c>
      <c r="K10" s="7" t="n">
        <f aca="false">MAR!K50</f>
        <v>12315.4937711117</v>
      </c>
      <c r="L10" s="7" t="n">
        <f aca="false">MAR!L50</f>
        <v>3844.23762288883</v>
      </c>
      <c r="M10" s="69" t="n">
        <f aca="false">MAR!M50</f>
        <v>1026.8</v>
      </c>
      <c r="N10" s="67" t="n">
        <f aca="false">MAR!N50</f>
        <v>0</v>
      </c>
      <c r="O10" s="67" t="n">
        <f aca="false">MAR!O50</f>
        <v>1.6275</v>
      </c>
      <c r="P10" s="70" t="n">
        <f aca="false">MAR!P50</f>
        <v>1025.1725</v>
      </c>
      <c r="Q10" s="7" t="n">
        <f aca="false">MAR!Q50</f>
        <v>62</v>
      </c>
      <c r="R10" s="7" t="n">
        <f aca="false">MAR!R50</f>
        <v>51</v>
      </c>
      <c r="S10" s="7" t="n">
        <f aca="false">MAR!S50</f>
        <v>1138.1725</v>
      </c>
      <c r="T10" s="89"/>
      <c r="U10" s="7" t="n">
        <f aca="false">MAR!U50</f>
        <v>0</v>
      </c>
      <c r="V10" s="7" t="n">
        <f aca="false">MAR!V50</f>
        <v>2263.89</v>
      </c>
      <c r="W10" s="7" t="n">
        <f aca="false">W8/D2</f>
        <v>8241.49231157046</v>
      </c>
      <c r="X10" s="7" t="n">
        <f aca="false">MAR!X50</f>
        <v>3403.69</v>
      </c>
      <c r="Y10" s="7" t="n">
        <f aca="false">MAR!Y50</f>
        <v>634.516148222838</v>
      </c>
      <c r="Z10" s="67" t="n">
        <f aca="false">MAR!Z50</f>
        <v>4038.20614822284</v>
      </c>
      <c r="AA10" s="60" t="n">
        <f aca="false">MAR!AA50</f>
        <v>7.04</v>
      </c>
      <c r="AB10" s="72"/>
      <c r="AC10" s="73"/>
      <c r="AD10" s="89" t="n">
        <f aca="false">MAR!AD42</f>
        <v>5242.88935025</v>
      </c>
      <c r="AE10" s="256"/>
      <c r="AF10" s="277"/>
    </row>
    <row r="11" customFormat="false" ht="3" hidden="false" customHeight="true" outlineLevel="0" collapsed="false">
      <c r="A11" s="75"/>
      <c r="B11" s="76"/>
      <c r="C11" s="77"/>
      <c r="D11" s="75"/>
      <c r="E11" s="77"/>
      <c r="F11" s="78"/>
      <c r="G11" s="75"/>
      <c r="H11" s="79"/>
      <c r="I11" s="75"/>
      <c r="J11" s="75"/>
      <c r="K11" s="75"/>
      <c r="L11" s="75"/>
      <c r="M11" s="80"/>
      <c r="N11" s="75"/>
      <c r="O11" s="75"/>
      <c r="P11" s="81"/>
      <c r="Q11" s="75"/>
      <c r="R11" s="75"/>
      <c r="S11" s="75"/>
      <c r="T11" s="280"/>
      <c r="U11" s="75"/>
      <c r="V11" s="75"/>
      <c r="W11" s="77"/>
      <c r="X11" s="75"/>
      <c r="Y11" s="75"/>
      <c r="Z11" s="75"/>
      <c r="AA11" s="82"/>
      <c r="AB11" s="83"/>
      <c r="AC11" s="84"/>
      <c r="AD11" s="280"/>
      <c r="AE11" s="281"/>
      <c r="AF11" s="282"/>
    </row>
    <row r="12" customFormat="false" ht="11.1" hidden="false" customHeight="true" outlineLevel="0" collapsed="false">
      <c r="A12" s="13" t="n">
        <v>1</v>
      </c>
      <c r="B12" s="74" t="n">
        <v>6864.44</v>
      </c>
      <c r="C12" s="67" t="n">
        <v>173574</v>
      </c>
      <c r="D12" s="72" t="n">
        <f aca="false">C12-C10</f>
        <v>589</v>
      </c>
      <c r="E12" s="67" t="n">
        <f aca="false">C12-152000</f>
        <v>21574</v>
      </c>
      <c r="F12" s="86" t="n">
        <f aca="false">D12/$D$2</f>
        <v>296.949836148223</v>
      </c>
      <c r="G12" s="87" t="n">
        <v>146</v>
      </c>
      <c r="H12" s="8" t="n">
        <v>12</v>
      </c>
      <c r="I12" s="6" t="n">
        <f aca="false">G12+H12</f>
        <v>158</v>
      </c>
      <c r="J12" s="283" t="n">
        <f aca="false">IF(L12&gt;0,L12,0)</f>
        <v>170.949836148223</v>
      </c>
      <c r="K12" s="6" t="n">
        <f aca="false">I12+J12</f>
        <v>328.949836148223</v>
      </c>
      <c r="L12" s="6" t="n">
        <f aca="false">F12-(I12-X12)</f>
        <v>170.949836148223</v>
      </c>
      <c r="M12" s="90" t="n">
        <v>14</v>
      </c>
      <c r="N12" s="91" t="n">
        <v>0</v>
      </c>
      <c r="O12" s="91" t="n">
        <f aca="false">6.06*1.05</f>
        <v>6.363</v>
      </c>
      <c r="P12" s="92" t="n">
        <f aca="false">M12-(N12+O12)</f>
        <v>7.637</v>
      </c>
      <c r="Q12" s="87" t="n">
        <v>0</v>
      </c>
      <c r="R12" s="87" t="n">
        <v>0</v>
      </c>
      <c r="S12" s="6" t="n">
        <f aca="false">SUM(P12:R12)</f>
        <v>7.637</v>
      </c>
      <c r="T12" s="89" t="n">
        <f aca="false">T9+AE12</f>
        <v>0</v>
      </c>
      <c r="U12" s="87" t="n">
        <v>0</v>
      </c>
      <c r="V12" s="284" t="n">
        <v>18</v>
      </c>
      <c r="W12" s="285" t="n">
        <f aca="false">W10-V12</f>
        <v>8223.49231157046</v>
      </c>
      <c r="X12" s="6" t="n">
        <f aca="false">N12+O12+S12+U12+V12</f>
        <v>32</v>
      </c>
      <c r="Y12" s="6" t="n">
        <f aca="false">IF(L12&lt;0,L12*-1,0)</f>
        <v>0</v>
      </c>
      <c r="Z12" s="91" t="n">
        <f aca="false">X12+Y12</f>
        <v>32</v>
      </c>
      <c r="AA12" s="60" t="n">
        <v>0</v>
      </c>
      <c r="AB12" s="72" t="n">
        <v>66</v>
      </c>
      <c r="AC12" s="73" t="n">
        <v>33</v>
      </c>
      <c r="AD12" s="89" t="n">
        <f aca="false">AD10+(G12+H12-8-3.35-0)*1.9835</f>
        <v>5533.76962525</v>
      </c>
      <c r="AE12" s="10" t="n">
        <v>0</v>
      </c>
      <c r="AF12" s="286"/>
    </row>
    <row r="13" customFormat="false" ht="11.1" hidden="false" customHeight="true" outlineLevel="0" collapsed="false">
      <c r="A13" s="13" t="n">
        <f aca="false">A12+1</f>
        <v>2</v>
      </c>
      <c r="B13" s="74" t="n">
        <v>6864.65</v>
      </c>
      <c r="C13" s="67" t="n">
        <v>174090</v>
      </c>
      <c r="D13" s="72" t="n">
        <f aca="false">C13-C12</f>
        <v>516</v>
      </c>
      <c r="E13" s="67" t="n">
        <f aca="false">C13-152000</f>
        <v>22090</v>
      </c>
      <c r="F13" s="86" t="n">
        <f aca="false">D13/$D$2</f>
        <v>260.14620620116</v>
      </c>
      <c r="G13" s="87" t="n">
        <v>176</v>
      </c>
      <c r="H13" s="8" t="n">
        <v>16</v>
      </c>
      <c r="I13" s="6" t="n">
        <f aca="false">G13+H13</f>
        <v>192</v>
      </c>
      <c r="J13" s="283" t="n">
        <f aca="false">IF(L13&gt;0,L13,0)</f>
        <v>123.14620620116</v>
      </c>
      <c r="K13" s="6" t="n">
        <f aca="false">I13+J13</f>
        <v>315.14620620116</v>
      </c>
      <c r="L13" s="6" t="n">
        <f aca="false">F13-(I13-X13)</f>
        <v>123.14620620116</v>
      </c>
      <c r="M13" s="90" t="n">
        <v>37</v>
      </c>
      <c r="N13" s="91" t="n">
        <v>0</v>
      </c>
      <c r="O13" s="91" t="n">
        <f aca="false">10.33*1.05</f>
        <v>10.8465</v>
      </c>
      <c r="P13" s="92" t="n">
        <f aca="false">M13-(N13+O13)</f>
        <v>26.1535</v>
      </c>
      <c r="Q13" s="87" t="n">
        <v>0</v>
      </c>
      <c r="R13" s="87" t="n">
        <v>0</v>
      </c>
      <c r="S13" s="6" t="n">
        <f aca="false">SUM(P13:R13)</f>
        <v>26.1535</v>
      </c>
      <c r="T13" s="89" t="n">
        <f aca="false">T12+AE13</f>
        <v>0</v>
      </c>
      <c r="U13" s="87" t="n">
        <v>0</v>
      </c>
      <c r="V13" s="284" t="n">
        <v>18</v>
      </c>
      <c r="W13" s="285" t="n">
        <f aca="false">W12-V13</f>
        <v>8205.49231157046</v>
      </c>
      <c r="X13" s="6" t="n">
        <f aca="false">N13+O13+S13+U13+V13</f>
        <v>55</v>
      </c>
      <c r="Y13" s="6" t="n">
        <f aca="false">IF(L13&lt;0,L13*-1,0)</f>
        <v>0</v>
      </c>
      <c r="Z13" s="91" t="n">
        <f aca="false">X13+Y13</f>
        <v>55</v>
      </c>
      <c r="AA13" s="60" t="n">
        <v>0</v>
      </c>
      <c r="AB13" s="72" t="n">
        <v>59</v>
      </c>
      <c r="AC13" s="73" t="n">
        <v>37</v>
      </c>
      <c r="AD13" s="89" t="n">
        <f aca="false">AD12+(G13+H13-8-3.35-17.4)*1.9835</f>
        <v>5857.57600025</v>
      </c>
      <c r="AE13" s="10" t="n">
        <v>0</v>
      </c>
      <c r="AF13" s="286"/>
    </row>
    <row r="14" customFormat="false" ht="11.1" hidden="false" customHeight="true" outlineLevel="0" collapsed="false">
      <c r="A14" s="13" t="n">
        <f aca="false">A13+1</f>
        <v>3</v>
      </c>
      <c r="B14" s="74" t="n">
        <v>6864.87</v>
      </c>
      <c r="C14" s="67" t="n">
        <v>174631</v>
      </c>
      <c r="D14" s="72" t="n">
        <f aca="false">C14-C13</f>
        <v>541</v>
      </c>
      <c r="E14" s="67" t="n">
        <f aca="false">C14-152000</f>
        <v>22631</v>
      </c>
      <c r="F14" s="86" t="n">
        <f aca="false">D14/$D$2</f>
        <v>272.750189059743</v>
      </c>
      <c r="G14" s="87" t="n">
        <v>158</v>
      </c>
      <c r="H14" s="8" t="n">
        <v>12</v>
      </c>
      <c r="I14" s="6" t="n">
        <f aca="false">G14+H14</f>
        <v>170</v>
      </c>
      <c r="J14" s="283" t="n">
        <f aca="false">IF(L14&gt;0,L14,0)</f>
        <v>181.750189059743</v>
      </c>
      <c r="K14" s="6" t="n">
        <f aca="false">I14+J14</f>
        <v>351.750189059743</v>
      </c>
      <c r="L14" s="6" t="n">
        <f aca="false">F14-(I14-X14)</f>
        <v>181.750189059743</v>
      </c>
      <c r="M14" s="90" t="n">
        <v>61</v>
      </c>
      <c r="N14" s="91" t="n">
        <v>0</v>
      </c>
      <c r="O14" s="91" t="n">
        <f aca="false">(4.76+7.06)*1.05</f>
        <v>12.411</v>
      </c>
      <c r="P14" s="92" t="n">
        <f aca="false">M14-(N14+O14)</f>
        <v>48.589</v>
      </c>
      <c r="Q14" s="87" t="n">
        <v>0</v>
      </c>
      <c r="R14" s="87" t="n">
        <v>0</v>
      </c>
      <c r="S14" s="6" t="n">
        <f aca="false">SUM(P14:R14)</f>
        <v>48.589</v>
      </c>
      <c r="T14" s="89" t="n">
        <f aca="false">T13+AE14</f>
        <v>0</v>
      </c>
      <c r="U14" s="87" t="n">
        <v>0</v>
      </c>
      <c r="V14" s="284" t="n">
        <v>18</v>
      </c>
      <c r="W14" s="285" t="n">
        <f aca="false">W13-V14</f>
        <v>8187.49231157046</v>
      </c>
      <c r="X14" s="6" t="n">
        <f aca="false">N14+O14+S14+U14+V14</f>
        <v>79</v>
      </c>
      <c r="Y14" s="6" t="n">
        <f aca="false">IF(L14&lt;0,L14*-1,0)</f>
        <v>0</v>
      </c>
      <c r="Z14" s="91" t="n">
        <f aca="false">X14+Y14</f>
        <v>79</v>
      </c>
      <c r="AA14" s="60" t="n">
        <v>0</v>
      </c>
      <c r="AB14" s="72" t="n">
        <v>47</v>
      </c>
      <c r="AC14" s="73" t="n">
        <v>26</v>
      </c>
      <c r="AD14" s="89" t="n">
        <f aca="false">AD13+(G14+H14-8-3.35-38.1)*1.9835</f>
        <v>6096.68692525</v>
      </c>
      <c r="AE14" s="10" t="n">
        <v>0</v>
      </c>
      <c r="AF14" s="286"/>
    </row>
    <row r="15" customFormat="false" ht="11.1" hidden="false" customHeight="true" outlineLevel="0" collapsed="false">
      <c r="A15" s="13" t="n">
        <f aca="false">A14+1</f>
        <v>4</v>
      </c>
      <c r="B15" s="74" t="n">
        <v>6864.99</v>
      </c>
      <c r="C15" s="67" t="n">
        <v>174925</v>
      </c>
      <c r="D15" s="72" t="n">
        <f aca="false">C15-C14</f>
        <v>294</v>
      </c>
      <c r="E15" s="67" t="n">
        <f aca="false">C15-152000</f>
        <v>22925</v>
      </c>
      <c r="F15" s="86" t="n">
        <f aca="false">D15/$D$2</f>
        <v>148.22283841694</v>
      </c>
      <c r="G15" s="87" t="n">
        <v>133</v>
      </c>
      <c r="H15" s="8" t="n">
        <v>9.3</v>
      </c>
      <c r="I15" s="6" t="n">
        <f aca="false">G15+H15</f>
        <v>142.3</v>
      </c>
      <c r="J15" s="283" t="n">
        <f aca="false">IF(L15&gt;0,L15,0)</f>
        <v>68.9228384169397</v>
      </c>
      <c r="K15" s="6" t="n">
        <f aca="false">I15+J15</f>
        <v>211.22283841694</v>
      </c>
      <c r="L15" s="6" t="n">
        <f aca="false">F15-(I15-X15)</f>
        <v>68.9228384169397</v>
      </c>
      <c r="M15" s="90" t="n">
        <v>45</v>
      </c>
      <c r="N15" s="91" t="n">
        <v>0</v>
      </c>
      <c r="O15" s="91" t="n">
        <f aca="false">19.23*1.05</f>
        <v>20.1915</v>
      </c>
      <c r="P15" s="92" t="n">
        <f aca="false">M15-(N15+O15)</f>
        <v>24.8085</v>
      </c>
      <c r="Q15" s="87" t="n">
        <v>0</v>
      </c>
      <c r="R15" s="87" t="n">
        <v>0</v>
      </c>
      <c r="S15" s="6" t="n">
        <f aca="false">SUM(P15:R15)</f>
        <v>24.8085</v>
      </c>
      <c r="T15" s="89" t="n">
        <f aca="false">T14+AE15</f>
        <v>0</v>
      </c>
      <c r="U15" s="87" t="n">
        <v>0</v>
      </c>
      <c r="V15" s="284" t="n">
        <v>18</v>
      </c>
      <c r="W15" s="285" t="n">
        <f aca="false">W14-V15</f>
        <v>8169.49231157046</v>
      </c>
      <c r="X15" s="6" t="n">
        <f aca="false">N15+O15+S15+U15+V15</f>
        <v>63</v>
      </c>
      <c r="Y15" s="6" t="n">
        <f aca="false">IF(L15&lt;0,L15*-1,0)</f>
        <v>0</v>
      </c>
      <c r="Z15" s="91" t="n">
        <f aca="false">X15+Y15</f>
        <v>63</v>
      </c>
      <c r="AA15" s="60" t="n">
        <v>0</v>
      </c>
      <c r="AB15" s="72" t="n">
        <v>47</v>
      </c>
      <c r="AC15" s="73" t="n">
        <v>22</v>
      </c>
      <c r="AD15" s="89" t="n">
        <f aca="false">AD14+(G15+H15-8-3.35-13.8)*1.9835</f>
        <v>6329.05395025</v>
      </c>
      <c r="AE15" s="10" t="n">
        <v>0</v>
      </c>
      <c r="AF15" s="286"/>
    </row>
    <row r="16" customFormat="false" ht="11.1" hidden="false" customHeight="true" outlineLevel="0" collapsed="false">
      <c r="A16" s="13" t="n">
        <f aca="false">A15+1</f>
        <v>5</v>
      </c>
      <c r="B16" s="74" t="n">
        <v>6865.15</v>
      </c>
      <c r="C16" s="67" t="n">
        <v>175324</v>
      </c>
      <c r="D16" s="72" t="n">
        <f aca="false">C16-C15</f>
        <v>399</v>
      </c>
      <c r="E16" s="67" t="n">
        <f aca="false">C16-152000</f>
        <v>23324</v>
      </c>
      <c r="F16" s="86" t="n">
        <f aca="false">D16/$D$2</f>
        <v>201.15956642299</v>
      </c>
      <c r="G16" s="87" t="n">
        <v>136</v>
      </c>
      <c r="H16" s="8" t="n">
        <v>8.4</v>
      </c>
      <c r="I16" s="6" t="n">
        <f aca="false">G16+H16</f>
        <v>144.4</v>
      </c>
      <c r="J16" s="283" t="n">
        <f aca="false">IF(L16&gt;0,L16,0)</f>
        <v>93.7595664229896</v>
      </c>
      <c r="K16" s="6" t="n">
        <f aca="false">I16+J16</f>
        <v>238.15956642299</v>
      </c>
      <c r="L16" s="6" t="n">
        <f aca="false">F16-(I16-X16)</f>
        <v>93.7595664229896</v>
      </c>
      <c r="M16" s="90" t="n">
        <v>19</v>
      </c>
      <c r="N16" s="91" t="n">
        <v>0</v>
      </c>
      <c r="O16" s="91" t="n">
        <f aca="false">17.6*1.05</f>
        <v>18.48</v>
      </c>
      <c r="P16" s="92" t="n">
        <f aca="false">M16-(N16+O16)</f>
        <v>0.519999999999996</v>
      </c>
      <c r="Q16" s="87" t="n">
        <v>0</v>
      </c>
      <c r="R16" s="87" t="n">
        <v>0</v>
      </c>
      <c r="S16" s="6" t="n">
        <f aca="false">SUM(P16:R16)</f>
        <v>0.519999999999996</v>
      </c>
      <c r="T16" s="89" t="n">
        <f aca="false">T15+AE16</f>
        <v>0</v>
      </c>
      <c r="U16" s="87" t="n">
        <v>0</v>
      </c>
      <c r="V16" s="284" t="n">
        <v>18</v>
      </c>
      <c r="W16" s="285" t="n">
        <f aca="false">W15-V16</f>
        <v>8151.49231157046</v>
      </c>
      <c r="X16" s="6" t="n">
        <f aca="false">N16+O16+S16+U16+V16</f>
        <v>37</v>
      </c>
      <c r="Y16" s="6" t="n">
        <f aca="false">IF(L16&lt;0,L16*-1,0)</f>
        <v>0</v>
      </c>
      <c r="Z16" s="91" t="n">
        <f aca="false">X16+Y16</f>
        <v>37</v>
      </c>
      <c r="AA16" s="60" t="n">
        <v>0.03</v>
      </c>
      <c r="AB16" s="72" t="n">
        <v>47</v>
      </c>
      <c r="AC16" s="73" t="n">
        <v>27</v>
      </c>
      <c r="AD16" s="89" t="n">
        <f aca="false">AD15+(G16+H16-8-3.35-1.5)*1.9835</f>
        <v>6589.98337525</v>
      </c>
      <c r="AE16" s="10" t="n">
        <v>0</v>
      </c>
      <c r="AF16" s="286"/>
    </row>
    <row r="17" customFormat="false" ht="11.1" hidden="false" customHeight="true" outlineLevel="0" collapsed="false">
      <c r="A17" s="13" t="n">
        <f aca="false">A16+1</f>
        <v>6</v>
      </c>
      <c r="B17" s="74" t="n">
        <v>6865.32</v>
      </c>
      <c r="C17" s="67" t="n">
        <v>175749</v>
      </c>
      <c r="D17" s="72" t="n">
        <f aca="false">C17-C16</f>
        <v>425</v>
      </c>
      <c r="E17" s="67" t="n">
        <f aca="false">C17-152000</f>
        <v>23749</v>
      </c>
      <c r="F17" s="86" t="n">
        <f aca="false">D17/$D$2</f>
        <v>214.267708595916</v>
      </c>
      <c r="G17" s="87" t="n">
        <v>132</v>
      </c>
      <c r="H17" s="8" t="n">
        <v>7.3</v>
      </c>
      <c r="I17" s="6" t="n">
        <f aca="false">G17+H17</f>
        <v>139.3</v>
      </c>
      <c r="J17" s="283" t="n">
        <f aca="false">IF(L17&gt;0,L17,0)</f>
        <v>107.967708595916</v>
      </c>
      <c r="K17" s="6" t="n">
        <f aca="false">I17+J17</f>
        <v>247.267708595916</v>
      </c>
      <c r="L17" s="6" t="n">
        <f aca="false">F17-(I17-X17)</f>
        <v>107.967708595916</v>
      </c>
      <c r="M17" s="90" t="n">
        <v>15</v>
      </c>
      <c r="N17" s="91" t="n">
        <v>0</v>
      </c>
      <c r="O17" s="91" t="n">
        <f aca="false">15.78*1.05</f>
        <v>16.569</v>
      </c>
      <c r="P17" s="92" t="n">
        <f aca="false">M17-(N17+O17)</f>
        <v>-1.569</v>
      </c>
      <c r="Q17" s="87" t="n">
        <v>0</v>
      </c>
      <c r="R17" s="87" t="n">
        <v>0</v>
      </c>
      <c r="S17" s="6" t="n">
        <f aca="false">SUM(P17:R17)</f>
        <v>-1.569</v>
      </c>
      <c r="T17" s="89" t="n">
        <f aca="false">T16+AE17</f>
        <v>0</v>
      </c>
      <c r="U17" s="87" t="n">
        <v>0</v>
      </c>
      <c r="V17" s="284" t="n">
        <v>18</v>
      </c>
      <c r="W17" s="285" t="n">
        <f aca="false">W16-V17</f>
        <v>8133.49231157046</v>
      </c>
      <c r="X17" s="6" t="n">
        <f aca="false">N17+O17+S17+U17+V17</f>
        <v>33</v>
      </c>
      <c r="Y17" s="6" t="n">
        <f aca="false">IF(L17&lt;0,L17*-1,0)</f>
        <v>0</v>
      </c>
      <c r="Z17" s="91" t="n">
        <f aca="false">X17+Y17</f>
        <v>33</v>
      </c>
      <c r="AA17" s="60" t="n">
        <v>0.16</v>
      </c>
      <c r="AB17" s="72" t="n">
        <v>40</v>
      </c>
      <c r="AC17" s="73" t="n">
        <v>22</v>
      </c>
      <c r="AD17" s="89" t="n">
        <f aca="false">AD16+(G17+H17-8-3.35-3.4)*1.9835</f>
        <v>6837.02830025</v>
      </c>
      <c r="AE17" s="10" t="n">
        <v>0</v>
      </c>
      <c r="AF17" s="286"/>
    </row>
    <row r="18" customFormat="false" ht="11.1" hidden="false" customHeight="true" outlineLevel="0" collapsed="false">
      <c r="A18" s="13" t="n">
        <f aca="false">A17+1</f>
        <v>7</v>
      </c>
      <c r="B18" s="74" t="n">
        <v>6865.5</v>
      </c>
      <c r="C18" s="67" t="n">
        <v>176198</v>
      </c>
      <c r="D18" s="72" t="n">
        <f aca="false">C18-C17</f>
        <v>449</v>
      </c>
      <c r="E18" s="67" t="n">
        <f aca="false">C18-152000</f>
        <v>24198</v>
      </c>
      <c r="F18" s="86" t="n">
        <f aca="false">D18/$D$2</f>
        <v>226.367532140156</v>
      </c>
      <c r="G18" s="87" t="n">
        <v>118</v>
      </c>
      <c r="H18" s="8" t="n">
        <v>6.5</v>
      </c>
      <c r="I18" s="6" t="n">
        <f aca="false">G18+H18</f>
        <v>124.5</v>
      </c>
      <c r="J18" s="283" t="n">
        <f aca="false">IF(L18&gt;0,L18,0)</f>
        <v>125.767532140156</v>
      </c>
      <c r="K18" s="6" t="n">
        <f aca="false">I18+J18</f>
        <v>250.267532140156</v>
      </c>
      <c r="L18" s="6" t="n">
        <f aca="false">F18-(I18-X18)</f>
        <v>125.767532140156</v>
      </c>
      <c r="M18" s="90" t="n">
        <v>5.9</v>
      </c>
      <c r="N18" s="91" t="n">
        <v>0</v>
      </c>
      <c r="O18" s="91" t="n">
        <f aca="false">20.92*1.05</f>
        <v>21.966</v>
      </c>
      <c r="P18" s="92" t="n">
        <f aca="false">M18-(N18+O18)</f>
        <v>-16.066</v>
      </c>
      <c r="Q18" s="87" t="n">
        <v>0</v>
      </c>
      <c r="R18" s="87" t="n">
        <v>0</v>
      </c>
      <c r="S18" s="6" t="n">
        <f aca="false">SUM(P18:R18)</f>
        <v>-16.066</v>
      </c>
      <c r="T18" s="89" t="n">
        <f aca="false">T17+AE18</f>
        <v>0</v>
      </c>
      <c r="U18" s="87" t="n">
        <v>0</v>
      </c>
      <c r="V18" s="284" t="n">
        <v>18</v>
      </c>
      <c r="W18" s="285" t="n">
        <f aca="false">W17-V18</f>
        <v>8115.49231157046</v>
      </c>
      <c r="X18" s="6" t="n">
        <f aca="false">N18+O18+S18+U18+V18</f>
        <v>23.9</v>
      </c>
      <c r="Y18" s="6" t="n">
        <f aca="false">IF(L18&lt;0,L18*-1,0)</f>
        <v>0</v>
      </c>
      <c r="Z18" s="91" t="n">
        <f aca="false">X18+Y18</f>
        <v>23.9</v>
      </c>
      <c r="AA18" s="60" t="n">
        <v>0</v>
      </c>
      <c r="AB18" s="72" t="n">
        <v>46</v>
      </c>
      <c r="AC18" s="73" t="n">
        <v>23</v>
      </c>
      <c r="AD18" s="89" t="n">
        <f aca="false">AD17+(G18+H18-8-3.35-0)*1.9835</f>
        <v>7061.46132525</v>
      </c>
      <c r="AE18" s="10" t="n">
        <v>0</v>
      </c>
      <c r="AF18" s="286"/>
    </row>
    <row r="19" customFormat="false" ht="11.1" hidden="false" customHeight="true" outlineLevel="0" collapsed="false">
      <c r="A19" s="13" t="n">
        <f aca="false">A18+1</f>
        <v>8</v>
      </c>
      <c r="B19" s="74" t="n">
        <v>6865.59</v>
      </c>
      <c r="C19" s="67" t="n">
        <v>176422</v>
      </c>
      <c r="D19" s="72" t="n">
        <f aca="false">C19-C18</f>
        <v>224</v>
      </c>
      <c r="E19" s="67" t="n">
        <f aca="false">C19-152000</f>
        <v>24422</v>
      </c>
      <c r="F19" s="86" t="n">
        <f aca="false">D19/$D$2</f>
        <v>112.931686412906</v>
      </c>
      <c r="G19" s="87" t="n">
        <v>104</v>
      </c>
      <c r="H19" s="8" t="n">
        <v>5.3</v>
      </c>
      <c r="I19" s="6" t="n">
        <f aca="false">G19+H19</f>
        <v>109.3</v>
      </c>
      <c r="J19" s="283" t="n">
        <f aca="false">IF(L19&gt;0,L19,0)</f>
        <v>27.4316864129065</v>
      </c>
      <c r="K19" s="6" t="n">
        <f aca="false">I19+J19</f>
        <v>136.731686412906</v>
      </c>
      <c r="L19" s="6" t="n">
        <f aca="false">F19-(I19-X19)</f>
        <v>27.4316864129065</v>
      </c>
      <c r="M19" s="90" t="n">
        <v>5.8</v>
      </c>
      <c r="N19" s="91" t="n">
        <v>0</v>
      </c>
      <c r="O19" s="91" t="n">
        <f aca="false">3.52*1.05</f>
        <v>3.696</v>
      </c>
      <c r="P19" s="92" t="n">
        <f aca="false">M19-(N19+O19)</f>
        <v>2.104</v>
      </c>
      <c r="Q19" s="87" t="n">
        <v>0</v>
      </c>
      <c r="R19" s="87" t="n">
        <v>0</v>
      </c>
      <c r="S19" s="6" t="n">
        <f aca="false">SUM(P19:R19)</f>
        <v>2.104</v>
      </c>
      <c r="T19" s="89" t="n">
        <f aca="false">T18+AE19</f>
        <v>0</v>
      </c>
      <c r="U19" s="87" t="n">
        <v>0</v>
      </c>
      <c r="V19" s="284" t="n">
        <v>18</v>
      </c>
      <c r="W19" s="285" t="n">
        <f aca="false">W18-V19</f>
        <v>8097.49231157046</v>
      </c>
      <c r="X19" s="6" t="n">
        <f aca="false">N19+O19+S19+U19+V19</f>
        <v>23.8</v>
      </c>
      <c r="Y19" s="6" t="n">
        <f aca="false">IF(L19&lt;0,L19*-1,0)</f>
        <v>0</v>
      </c>
      <c r="Z19" s="91" t="n">
        <f aca="false">X19+Y19</f>
        <v>23.8</v>
      </c>
      <c r="AA19" s="60" t="n">
        <v>0</v>
      </c>
      <c r="AB19" s="72" t="n">
        <v>58</v>
      </c>
      <c r="AC19" s="73" t="n">
        <v>25</v>
      </c>
      <c r="AD19" s="89" t="n">
        <f aca="false">AD18+(G19+H19-8-3.35-0)*1.9835</f>
        <v>7255.74515025</v>
      </c>
      <c r="AE19" s="10" t="n">
        <v>0</v>
      </c>
      <c r="AF19" s="286"/>
    </row>
    <row r="20" customFormat="false" ht="11.1" hidden="false" customHeight="true" outlineLevel="0" collapsed="false">
      <c r="A20" s="13" t="n">
        <f aca="false">A19+1</f>
        <v>9</v>
      </c>
      <c r="B20" s="74" t="n">
        <v>6865.77</v>
      </c>
      <c r="C20" s="67" t="n">
        <v>176871</v>
      </c>
      <c r="D20" s="72" t="n">
        <f aca="false">C20-C19</f>
        <v>449</v>
      </c>
      <c r="E20" s="67" t="n">
        <f aca="false">C20-152000</f>
        <v>24871</v>
      </c>
      <c r="F20" s="86" t="n">
        <f aca="false">D20/$D$2</f>
        <v>226.367532140156</v>
      </c>
      <c r="G20" s="87" t="n">
        <v>139</v>
      </c>
      <c r="H20" s="8" t="n">
        <v>6.8</v>
      </c>
      <c r="I20" s="6" t="n">
        <f aca="false">G20+H20</f>
        <v>145.8</v>
      </c>
      <c r="J20" s="283" t="n">
        <f aca="false">IF(L20&gt;0,L20,0)</f>
        <v>104.067532140156</v>
      </c>
      <c r="K20" s="6" t="n">
        <f aca="false">I20+J20</f>
        <v>249.867532140156</v>
      </c>
      <c r="L20" s="6" t="n">
        <f aca="false">F20-(I20-X20)</f>
        <v>104.067532140156</v>
      </c>
      <c r="M20" s="90" t="n">
        <v>5.5</v>
      </c>
      <c r="N20" s="91" t="n">
        <v>0</v>
      </c>
      <c r="O20" s="91" t="n">
        <v>0</v>
      </c>
      <c r="P20" s="92" t="n">
        <f aca="false">M20-(N20+O20)</f>
        <v>5.5</v>
      </c>
      <c r="Q20" s="87" t="n">
        <v>0</v>
      </c>
      <c r="R20" s="87" t="n">
        <v>0</v>
      </c>
      <c r="S20" s="6" t="n">
        <f aca="false">SUM(P20:R20)</f>
        <v>5.5</v>
      </c>
      <c r="T20" s="89" t="n">
        <f aca="false">T19+AE20</f>
        <v>0</v>
      </c>
      <c r="U20" s="87" t="n">
        <v>0</v>
      </c>
      <c r="V20" s="284" t="n">
        <v>18</v>
      </c>
      <c r="W20" s="285" t="n">
        <f aca="false">W19-V20</f>
        <v>8079.49231157046</v>
      </c>
      <c r="X20" s="6" t="n">
        <f aca="false">N20+O20+S20+U20+V20</f>
        <v>23.5</v>
      </c>
      <c r="Y20" s="6" t="n">
        <f aca="false">IF(L20&lt;0,L20*-1,0)</f>
        <v>0</v>
      </c>
      <c r="Z20" s="91" t="n">
        <f aca="false">X20+Y20</f>
        <v>23.5</v>
      </c>
      <c r="AA20" s="60" t="n">
        <v>0</v>
      </c>
      <c r="AB20" s="94" t="n">
        <v>66</v>
      </c>
      <c r="AC20" s="73" t="n">
        <v>30</v>
      </c>
      <c r="AD20" s="89" t="n">
        <f aca="false">AD19+(G20+H20-8-3.35-0)*1.9835</f>
        <v>7522.42672525</v>
      </c>
      <c r="AE20" s="10" t="n">
        <v>0</v>
      </c>
      <c r="AF20" s="286"/>
    </row>
    <row r="21" customFormat="false" ht="11.1" hidden="false" customHeight="true" outlineLevel="0" collapsed="false">
      <c r="A21" s="13" t="n">
        <f aca="false">A20+1</f>
        <v>10</v>
      </c>
      <c r="B21" s="74" t="n">
        <v>6866.08</v>
      </c>
      <c r="C21" s="67" t="n">
        <v>177648</v>
      </c>
      <c r="D21" s="72" t="n">
        <f aca="false">C21-C20</f>
        <v>777</v>
      </c>
      <c r="E21" s="67" t="n">
        <f aca="false">C21-152000</f>
        <v>25648</v>
      </c>
      <c r="F21" s="86" t="n">
        <f aca="false">D21/$D$2</f>
        <v>391.731787244769</v>
      </c>
      <c r="G21" s="87" t="n">
        <v>212</v>
      </c>
      <c r="H21" s="8" t="n">
        <v>12</v>
      </c>
      <c r="I21" s="6" t="n">
        <f aca="false">G21+H21</f>
        <v>224</v>
      </c>
      <c r="J21" s="283" t="n">
        <f aca="false">IF(L21&gt;0,L21,0)</f>
        <v>201.731787244769</v>
      </c>
      <c r="K21" s="6" t="n">
        <f aca="false">I21+J21</f>
        <v>425.731787244769</v>
      </c>
      <c r="L21" s="6" t="n">
        <f aca="false">F21-(I21-X21)</f>
        <v>201.731787244769</v>
      </c>
      <c r="M21" s="90" t="n">
        <v>16</v>
      </c>
      <c r="N21" s="91" t="n">
        <v>0</v>
      </c>
      <c r="O21" s="91" t="n">
        <v>0</v>
      </c>
      <c r="P21" s="92" t="n">
        <f aca="false">M21-(N21+O21)</f>
        <v>16</v>
      </c>
      <c r="Q21" s="87" t="n">
        <v>0</v>
      </c>
      <c r="R21" s="87" t="n">
        <v>0</v>
      </c>
      <c r="S21" s="6" t="n">
        <f aca="false">SUM(P21:R21)</f>
        <v>16</v>
      </c>
      <c r="T21" s="89" t="n">
        <f aca="false">T20+AE21</f>
        <v>0</v>
      </c>
      <c r="U21" s="87" t="n">
        <v>0</v>
      </c>
      <c r="V21" s="284" t="n">
        <v>18</v>
      </c>
      <c r="W21" s="285" t="n">
        <f aca="false">W20-V21</f>
        <v>8061.49231157046</v>
      </c>
      <c r="X21" s="6" t="n">
        <f aca="false">N21+O21+S21+U21+V21</f>
        <v>34</v>
      </c>
      <c r="Y21" s="6" t="n">
        <f aca="false">IF(L21&lt;0,L21*-1,0)</f>
        <v>0</v>
      </c>
      <c r="Z21" s="91" t="n">
        <f aca="false">X21+Y21</f>
        <v>34</v>
      </c>
      <c r="AA21" s="60" t="n">
        <v>0</v>
      </c>
      <c r="AB21" s="72" t="n">
        <v>67</v>
      </c>
      <c r="AC21" s="73" t="n">
        <v>34</v>
      </c>
      <c r="AD21" s="89" t="n">
        <f aca="false">AD20+(G21+H21-8-3.35-8)*1.9835</f>
        <v>7928.35000025</v>
      </c>
      <c r="AE21" s="10" t="n">
        <v>0</v>
      </c>
      <c r="AF21" s="286"/>
    </row>
    <row r="22" customFormat="false" ht="11.1" hidden="false" customHeight="true" outlineLevel="0" collapsed="false">
      <c r="A22" s="13" t="n">
        <f aca="false">A21+1</f>
        <v>11</v>
      </c>
      <c r="B22" s="74" t="n">
        <v>6866.53</v>
      </c>
      <c r="C22" s="67" t="n">
        <v>178788</v>
      </c>
      <c r="D22" s="72" t="n">
        <f aca="false">C22-C21</f>
        <v>1140</v>
      </c>
      <c r="E22" s="67" t="n">
        <f aca="false">C22-152000</f>
        <v>26788</v>
      </c>
      <c r="F22" s="86" t="n">
        <f aca="false">D22/$D$2</f>
        <v>574.741618351399</v>
      </c>
      <c r="G22" s="87" t="n">
        <v>328</v>
      </c>
      <c r="H22" s="8" t="n">
        <v>18</v>
      </c>
      <c r="I22" s="6" t="n">
        <f aca="false">G22+H22</f>
        <v>346</v>
      </c>
      <c r="J22" s="283" t="n">
        <f aca="false">IF(L22&gt;0,L22,0)</f>
        <v>269.741618351399</v>
      </c>
      <c r="K22" s="6" t="n">
        <f aca="false">I22+J22</f>
        <v>615.741618351399</v>
      </c>
      <c r="L22" s="6" t="n">
        <f aca="false">F22-(I22-X22)</f>
        <v>269.741618351399</v>
      </c>
      <c r="M22" s="90" t="n">
        <v>23</v>
      </c>
      <c r="N22" s="91" t="n">
        <v>0</v>
      </c>
      <c r="O22" s="91" t="n">
        <f aca="false">13.6*1.05</f>
        <v>14.28</v>
      </c>
      <c r="P22" s="92" t="n">
        <f aca="false">M22-(N22+O22)</f>
        <v>8.72</v>
      </c>
      <c r="Q22" s="87" t="n">
        <v>0</v>
      </c>
      <c r="R22" s="87" t="n">
        <v>0</v>
      </c>
      <c r="S22" s="6" t="n">
        <f aca="false">SUM(P22:R22)</f>
        <v>8.72</v>
      </c>
      <c r="T22" s="89" t="n">
        <f aca="false">T21+AE22</f>
        <v>0</v>
      </c>
      <c r="U22" s="87" t="n">
        <v>0</v>
      </c>
      <c r="V22" s="284" t="n">
        <v>18</v>
      </c>
      <c r="W22" s="285" t="n">
        <f aca="false">W21-V22</f>
        <v>8043.49231157046</v>
      </c>
      <c r="X22" s="6" t="n">
        <f aca="false">N22+O22+S22+U22+V22</f>
        <v>41</v>
      </c>
      <c r="Y22" s="6" t="n">
        <f aca="false">IF(L22&lt;0,L22*-1,0)</f>
        <v>0</v>
      </c>
      <c r="Z22" s="91" t="n">
        <f aca="false">X22+Y22</f>
        <v>41</v>
      </c>
      <c r="AA22" s="60" t="n">
        <v>0</v>
      </c>
      <c r="AB22" s="72" t="n">
        <v>68</v>
      </c>
      <c r="AC22" s="73" t="n">
        <v>35</v>
      </c>
      <c r="AD22" s="89" t="n">
        <f aca="false">AD21+(G22+H22-8-3.35-0.7)*1.9835</f>
        <v>8590.73982525</v>
      </c>
      <c r="AE22" s="10" t="n">
        <v>0</v>
      </c>
      <c r="AF22" s="286"/>
    </row>
    <row r="23" customFormat="false" ht="11.1" hidden="false" customHeight="true" outlineLevel="0" collapsed="false">
      <c r="A23" s="13" t="n">
        <f aca="false">A22+1</f>
        <v>12</v>
      </c>
      <c r="B23" s="74" t="n">
        <v>6867.05</v>
      </c>
      <c r="C23" s="67" t="n">
        <v>180107</v>
      </c>
      <c r="D23" s="72" t="n">
        <f aca="false">C23-C22</f>
        <v>1319</v>
      </c>
      <c r="E23" s="67" t="n">
        <f aca="false">C23-152000</f>
        <v>28107</v>
      </c>
      <c r="F23" s="86" t="n">
        <f aca="false">D23/$D$2</f>
        <v>664.986135618856</v>
      </c>
      <c r="G23" s="87" t="n">
        <v>445</v>
      </c>
      <c r="H23" s="8" t="n">
        <v>22</v>
      </c>
      <c r="I23" s="6" t="n">
        <f aca="false">G23+H23</f>
        <v>467</v>
      </c>
      <c r="J23" s="283" t="n">
        <f aca="false">IF(L23&gt;0,L23,0)</f>
        <v>232.986135618856</v>
      </c>
      <c r="K23" s="6" t="n">
        <f aca="false">I23+J23</f>
        <v>699.986135618856</v>
      </c>
      <c r="L23" s="6" t="n">
        <f aca="false">F23-(I23-X23)</f>
        <v>232.986135618856</v>
      </c>
      <c r="M23" s="90" t="n">
        <v>17</v>
      </c>
      <c r="N23" s="91" t="n">
        <v>0</v>
      </c>
      <c r="O23" s="91" t="n">
        <f aca="false">5.7*1.05</f>
        <v>5.985</v>
      </c>
      <c r="P23" s="92" t="n">
        <f aca="false">M23-(N23+O23)</f>
        <v>11.015</v>
      </c>
      <c r="Q23" s="87" t="n">
        <v>0</v>
      </c>
      <c r="R23" s="87" t="n">
        <v>0</v>
      </c>
      <c r="S23" s="6" t="n">
        <f aca="false">SUM(P23:R23)</f>
        <v>11.015</v>
      </c>
      <c r="T23" s="89" t="n">
        <f aca="false">T22+AE23</f>
        <v>0</v>
      </c>
      <c r="U23" s="87" t="n">
        <v>0</v>
      </c>
      <c r="V23" s="284" t="n">
        <v>18</v>
      </c>
      <c r="W23" s="285" t="n">
        <f aca="false">W22-V23</f>
        <v>8025.49231157046</v>
      </c>
      <c r="X23" s="6" t="n">
        <f aca="false">N23+O23+S23+U23+V23</f>
        <v>35</v>
      </c>
      <c r="Y23" s="6" t="n">
        <f aca="false">IF(L23&lt;0,L23*-1,0)</f>
        <v>0</v>
      </c>
      <c r="Z23" s="91" t="n">
        <f aca="false">X23+Y23</f>
        <v>35</v>
      </c>
      <c r="AA23" s="60" t="n">
        <v>0</v>
      </c>
      <c r="AB23" s="72" t="n">
        <v>64</v>
      </c>
      <c r="AC23" s="73" t="n">
        <v>37</v>
      </c>
      <c r="AD23" s="89" t="n">
        <f aca="false">AD22+(G23+H23-8-3.35-3)*1.9835</f>
        <v>9488.57110025</v>
      </c>
      <c r="AE23" s="10" t="n">
        <v>0</v>
      </c>
      <c r="AF23" s="286"/>
    </row>
    <row r="24" customFormat="false" ht="11.1" hidden="false" customHeight="true" outlineLevel="0" collapsed="false">
      <c r="A24" s="13" t="n">
        <f aca="false">A23+1</f>
        <v>13</v>
      </c>
      <c r="B24" s="74" t="n">
        <v>6867.55</v>
      </c>
      <c r="C24" s="67" t="n">
        <v>181393</v>
      </c>
      <c r="D24" s="72" t="n">
        <f aca="false">C24-C23</f>
        <v>1286</v>
      </c>
      <c r="E24" s="67" t="n">
        <f aca="false">C24-152000</f>
        <v>29393</v>
      </c>
      <c r="F24" s="86" t="n">
        <f aca="false">D24/$D$2</f>
        <v>648.348878245526</v>
      </c>
      <c r="G24" s="87" t="n">
        <v>485</v>
      </c>
      <c r="H24" s="8" t="n">
        <v>20</v>
      </c>
      <c r="I24" s="6" t="n">
        <f aca="false">G24+H24</f>
        <v>505</v>
      </c>
      <c r="J24" s="283" t="n">
        <f aca="false">IF(L24&gt;0,L24,0)</f>
        <v>177.348878245526</v>
      </c>
      <c r="K24" s="6" t="n">
        <f aca="false">I24+J24</f>
        <v>682.348878245526</v>
      </c>
      <c r="L24" s="6" t="n">
        <f aca="false">F24-(I24-X24)</f>
        <v>177.348878245526</v>
      </c>
      <c r="M24" s="90" t="n">
        <v>16</v>
      </c>
      <c r="N24" s="91" t="n">
        <v>0</v>
      </c>
      <c r="O24" s="91" t="n">
        <f aca="false">3.62*1.05</f>
        <v>3.801</v>
      </c>
      <c r="P24" s="92" t="n">
        <f aca="false">M24-(N24+O24)</f>
        <v>12.199</v>
      </c>
      <c r="Q24" s="87" t="n">
        <v>0</v>
      </c>
      <c r="R24" s="87" t="n">
        <v>0</v>
      </c>
      <c r="S24" s="6" t="n">
        <f aca="false">SUM(P24:R24)</f>
        <v>12.199</v>
      </c>
      <c r="T24" s="89" t="n">
        <f aca="false">T23+AE24-(AF24/1.9835)</f>
        <v>61.7505902765965</v>
      </c>
      <c r="U24" s="87" t="n">
        <v>0</v>
      </c>
      <c r="V24" s="284" t="n">
        <v>18</v>
      </c>
      <c r="W24" s="285" t="n">
        <f aca="false">W23-V24</f>
        <v>8007.49231157046</v>
      </c>
      <c r="X24" s="6" t="n">
        <f aca="false">N24+O24+S24+U24+V24</f>
        <v>34</v>
      </c>
      <c r="Y24" s="6" t="n">
        <f aca="false">IF(L24&lt;0,L24*-1,0)</f>
        <v>0</v>
      </c>
      <c r="Z24" s="91" t="n">
        <f aca="false">X24+Y24</f>
        <v>34</v>
      </c>
      <c r="AA24" s="60" t="n">
        <v>0</v>
      </c>
      <c r="AB24" s="72" t="n">
        <v>69</v>
      </c>
      <c r="AC24" s="73" t="n">
        <v>33</v>
      </c>
      <c r="AD24" s="89" t="n">
        <v>10400</v>
      </c>
      <c r="AE24" s="10" t="n">
        <v>61.8</v>
      </c>
      <c r="AF24" s="286" t="n">
        <f aca="false">23.5*(AE24*1.9835/E24)</f>
        <v>0.0980041863709046</v>
      </c>
    </row>
    <row r="25" customFormat="false" ht="11.1" hidden="false" customHeight="true" outlineLevel="0" collapsed="false">
      <c r="A25" s="13" t="n">
        <f aca="false">A24+1</f>
        <v>14</v>
      </c>
      <c r="B25" s="74" t="n">
        <v>6868.17</v>
      </c>
      <c r="C25" s="67" t="n">
        <v>182993</v>
      </c>
      <c r="D25" s="72" t="n">
        <f aca="false">C25-C24</f>
        <v>1600</v>
      </c>
      <c r="E25" s="67" t="n">
        <f aca="false">C25-152000</f>
        <v>30993</v>
      </c>
      <c r="F25" s="86" t="n">
        <f aca="false">D25/$D$2</f>
        <v>806.654902949332</v>
      </c>
      <c r="G25" s="87" t="n">
        <v>633</v>
      </c>
      <c r="H25" s="8" t="n">
        <v>98</v>
      </c>
      <c r="I25" s="6" t="n">
        <f aca="false">G25+H25</f>
        <v>731</v>
      </c>
      <c r="J25" s="283" t="n">
        <f aca="false">IF(L25&gt;0,L25,0)</f>
        <v>140.754902949332</v>
      </c>
      <c r="K25" s="6" t="n">
        <f aca="false">I25+J25</f>
        <v>871.754902949332</v>
      </c>
      <c r="L25" s="6" t="n">
        <f aca="false">F25-(I25-X25)</f>
        <v>140.754902949332</v>
      </c>
      <c r="M25" s="90" t="n">
        <v>45</v>
      </c>
      <c r="N25" s="91" t="n">
        <v>0</v>
      </c>
      <c r="O25" s="91" t="n">
        <f aca="false">14.68*1.05</f>
        <v>15.414</v>
      </c>
      <c r="P25" s="92" t="n">
        <f aca="false">M25-(N25+O25)</f>
        <v>29.586</v>
      </c>
      <c r="Q25" s="87" t="n">
        <v>2.1</v>
      </c>
      <c r="R25" s="87" t="n">
        <v>0</v>
      </c>
      <c r="S25" s="6" t="n">
        <f aca="false">SUM(P25:R25)</f>
        <v>31.686</v>
      </c>
      <c r="T25" s="89" t="n">
        <f aca="false">T24+AE25-(AF25/1.9835)</f>
        <v>757.140064000615</v>
      </c>
      <c r="U25" s="87" t="n">
        <v>0</v>
      </c>
      <c r="V25" s="284" t="n">
        <v>18</v>
      </c>
      <c r="W25" s="285" t="n">
        <f aca="false">W24-V25</f>
        <v>7989.49231157046</v>
      </c>
      <c r="X25" s="6" t="n">
        <f aca="false">N25+O25+S25+U25+V25</f>
        <v>65.1</v>
      </c>
      <c r="Y25" s="6" t="n">
        <f aca="false">IF(L25&lt;0,L25*-1,0)</f>
        <v>0</v>
      </c>
      <c r="Z25" s="91" t="n">
        <f aca="false">X25+Y25</f>
        <v>65.1</v>
      </c>
      <c r="AA25" s="60" t="n">
        <v>0</v>
      </c>
      <c r="AB25" s="94" t="n">
        <v>64</v>
      </c>
      <c r="AC25" s="73" t="n">
        <v>33</v>
      </c>
      <c r="AD25" s="89" t="n">
        <f aca="false">AD24</f>
        <v>10400</v>
      </c>
      <c r="AE25" s="10" t="n">
        <f aca="false">IF(I25&gt;S25,I25-S25,I25-S25)-3.35</f>
        <v>695.964</v>
      </c>
      <c r="AF25" s="286" t="n">
        <f aca="false">23.5*(T24*1.9835+AE25*1.9835)/E25</f>
        <v>1.13957286840965</v>
      </c>
    </row>
    <row r="26" customFormat="false" ht="11.1" hidden="false" customHeight="true" outlineLevel="0" collapsed="false">
      <c r="A26" s="13" t="n">
        <f aca="false">A25+1</f>
        <v>15</v>
      </c>
      <c r="B26" s="74" t="n">
        <v>6868.88</v>
      </c>
      <c r="C26" s="67" t="n">
        <v>184845</v>
      </c>
      <c r="D26" s="72" t="n">
        <f aca="false">C26-C25</f>
        <v>1852</v>
      </c>
      <c r="E26" s="67" t="n">
        <f aca="false">C26-152000</f>
        <v>32845</v>
      </c>
      <c r="F26" s="86" t="n">
        <f aca="false">D26/$D$2</f>
        <v>933.703050163852</v>
      </c>
      <c r="G26" s="87" t="n">
        <v>729</v>
      </c>
      <c r="H26" s="8" t="n">
        <v>111</v>
      </c>
      <c r="I26" s="6" t="n">
        <f aca="false">G26+H26</f>
        <v>840</v>
      </c>
      <c r="J26" s="283" t="n">
        <f aca="false">IF(L26&gt;0,L26,0)</f>
        <v>188.703050163852</v>
      </c>
      <c r="K26" s="6" t="n">
        <f aca="false">I26+J26</f>
        <v>1028.70305016385</v>
      </c>
      <c r="L26" s="6" t="n">
        <f aca="false">F26-(I26-X26)</f>
        <v>188.703050163852</v>
      </c>
      <c r="M26" s="90" t="n">
        <v>61</v>
      </c>
      <c r="N26" s="91" t="n">
        <v>0</v>
      </c>
      <c r="O26" s="91" t="n">
        <f aca="false">33.35*1.05</f>
        <v>35.0175</v>
      </c>
      <c r="P26" s="92" t="n">
        <f aca="false">M26-(N26+O26)</f>
        <v>25.9825</v>
      </c>
      <c r="Q26" s="87" t="n">
        <v>16</v>
      </c>
      <c r="R26" s="87" t="n">
        <v>0</v>
      </c>
      <c r="S26" s="6" t="n">
        <f aca="false">SUM(P26:R26)</f>
        <v>41.9825</v>
      </c>
      <c r="T26" s="89" t="n">
        <f aca="false">T25+AE26-(AF26/1.9835)</f>
        <v>1520.05171595665</v>
      </c>
      <c r="U26" s="87" t="n">
        <v>0</v>
      </c>
      <c r="V26" s="284" t="n">
        <v>18</v>
      </c>
      <c r="W26" s="285" t="n">
        <f aca="false">W25-V26</f>
        <v>7971.49231157046</v>
      </c>
      <c r="X26" s="6" t="n">
        <f aca="false">N26+O26+S26+U26+V26</f>
        <v>95</v>
      </c>
      <c r="Y26" s="6" t="n">
        <f aca="false">IF(L26&lt;0,L26*-1,0)</f>
        <v>0</v>
      </c>
      <c r="Z26" s="91" t="n">
        <f aca="false">X26+Y26</f>
        <v>95</v>
      </c>
      <c r="AA26" s="60" t="n">
        <v>0</v>
      </c>
      <c r="AB26" s="94" t="n">
        <v>52</v>
      </c>
      <c r="AC26" s="73" t="n">
        <v>31</v>
      </c>
      <c r="AD26" s="89" t="n">
        <f aca="false">AD25</f>
        <v>10400</v>
      </c>
      <c r="AE26" s="10" t="n">
        <v>764</v>
      </c>
      <c r="AF26" s="286" t="n">
        <f aca="false">23.5*(T25*1.9835+AE26*1.9835)/E26</f>
        <v>2.15873834520361</v>
      </c>
    </row>
    <row r="27" customFormat="false" ht="11.1" hidden="false" customHeight="true" outlineLevel="0" collapsed="false">
      <c r="A27" s="13" t="n">
        <f aca="false">A26+1</f>
        <v>16</v>
      </c>
      <c r="B27" s="74" t="n">
        <v>6869.33</v>
      </c>
      <c r="C27" s="67" t="n">
        <v>186031</v>
      </c>
      <c r="D27" s="72" t="n">
        <f aca="false">C27-C26</f>
        <v>1186</v>
      </c>
      <c r="E27" s="67" t="n">
        <f aca="false">C27-152000</f>
        <v>34031</v>
      </c>
      <c r="F27" s="86" t="n">
        <f aca="false">D27/$D$2</f>
        <v>597.932946811192</v>
      </c>
      <c r="G27" s="87" t="n">
        <v>539</v>
      </c>
      <c r="H27" s="8" t="n">
        <v>40</v>
      </c>
      <c r="I27" s="6" t="n">
        <f aca="false">G27+H27</f>
        <v>579</v>
      </c>
      <c r="J27" s="283" t="n">
        <f aca="false">IF(L27&gt;0,L27,0)</f>
        <v>119.932946811192</v>
      </c>
      <c r="K27" s="6" t="n">
        <f aca="false">I27+J27</f>
        <v>698.932946811192</v>
      </c>
      <c r="L27" s="6" t="n">
        <f aca="false">F27-(I27-X27)</f>
        <v>119.932946811192</v>
      </c>
      <c r="M27" s="90" t="n">
        <v>72</v>
      </c>
      <c r="N27" s="91" t="n">
        <v>0</v>
      </c>
      <c r="O27" s="91" t="n">
        <f aca="false">40.67*1.05</f>
        <v>42.7035</v>
      </c>
      <c r="P27" s="92" t="n">
        <f aca="false">M27-(N27+O27)</f>
        <v>29.2965</v>
      </c>
      <c r="Q27" s="87" t="n">
        <v>11</v>
      </c>
      <c r="R27" s="87" t="n">
        <v>0</v>
      </c>
      <c r="S27" s="6" t="n">
        <f aca="false">SUM(P27:R27)</f>
        <v>40.2965</v>
      </c>
      <c r="T27" s="89" t="n">
        <f aca="false">T26+AE27-(AF27/1.9835)</f>
        <v>2053.98586235038</v>
      </c>
      <c r="U27" s="87" t="n">
        <v>0</v>
      </c>
      <c r="V27" s="284" t="n">
        <v>18</v>
      </c>
      <c r="W27" s="285" t="n">
        <f aca="false">W26-V27</f>
        <v>7953.49231157046</v>
      </c>
      <c r="X27" s="6" t="n">
        <f aca="false">N27+O27+S27+U27+V27</f>
        <v>101</v>
      </c>
      <c r="Y27" s="6" t="n">
        <f aca="false">IF(L27&lt;0,L27*-1,0)</f>
        <v>0</v>
      </c>
      <c r="Z27" s="91" t="n">
        <f aca="false">X27+Y27</f>
        <v>101</v>
      </c>
      <c r="AA27" s="60" t="n">
        <v>0</v>
      </c>
      <c r="AB27" s="94" t="n">
        <v>58</v>
      </c>
      <c r="AC27" s="73" t="n">
        <v>26</v>
      </c>
      <c r="AD27" s="89" t="n">
        <f aca="false">AD26</f>
        <v>10400</v>
      </c>
      <c r="AE27" s="10" t="n">
        <f aca="false">IF(I27&gt;S27,I27-S27,I27-S27)-3.35</f>
        <v>535.3535</v>
      </c>
      <c r="AF27" s="286" t="n">
        <f aca="false">23.5*(T26*1.9835+AE27*1.9835)/E27</f>
        <v>2.81528787803695</v>
      </c>
    </row>
    <row r="28" customFormat="false" ht="11.1" hidden="false" customHeight="true" outlineLevel="0" collapsed="false">
      <c r="A28" s="13" t="n">
        <f aca="false">A27+1</f>
        <v>17</v>
      </c>
      <c r="B28" s="74" t="n">
        <v>6869.8</v>
      </c>
      <c r="C28" s="67" t="n">
        <v>187274</v>
      </c>
      <c r="D28" s="72" t="n">
        <f aca="false">C28-C27</f>
        <v>1243</v>
      </c>
      <c r="E28" s="67" t="n">
        <f aca="false">C28-152000</f>
        <v>35274</v>
      </c>
      <c r="F28" s="86" t="n">
        <f aca="false">D28/$D$2</f>
        <v>626.670027728762</v>
      </c>
      <c r="G28" s="87" t="n">
        <v>580</v>
      </c>
      <c r="H28" s="8" t="n">
        <v>39</v>
      </c>
      <c r="I28" s="6" t="n">
        <f aca="false">G28+H28</f>
        <v>619</v>
      </c>
      <c r="J28" s="283" t="n">
        <f aca="false">IF(L28&gt;0,L28,0)</f>
        <v>102.370027728762</v>
      </c>
      <c r="K28" s="6" t="n">
        <f aca="false">I28+J28</f>
        <v>721.370027728762</v>
      </c>
      <c r="L28" s="6" t="n">
        <f aca="false">F28-(I28-X28)</f>
        <v>102.370027728762</v>
      </c>
      <c r="M28" s="90" t="n">
        <v>68</v>
      </c>
      <c r="N28" s="91" t="n">
        <v>0</v>
      </c>
      <c r="O28" s="91" t="n">
        <f aca="false">38.7*1.05</f>
        <v>40.635</v>
      </c>
      <c r="P28" s="92" t="n">
        <f aca="false">M28-(N28+O28)</f>
        <v>27.365</v>
      </c>
      <c r="Q28" s="87" t="n">
        <v>8.7</v>
      </c>
      <c r="R28" s="87" t="n">
        <v>0</v>
      </c>
      <c r="S28" s="6" t="n">
        <f aca="false">SUM(P28:R28)</f>
        <v>36.065</v>
      </c>
      <c r="T28" s="89" t="n">
        <f aca="false">T27+AE28-(AF28/1.9835)</f>
        <v>2631.81634300851</v>
      </c>
      <c r="U28" s="87" t="n">
        <v>0</v>
      </c>
      <c r="V28" s="284" t="n">
        <v>18</v>
      </c>
      <c r="W28" s="285" t="n">
        <f aca="false">W27-V28</f>
        <v>7935.49231157046</v>
      </c>
      <c r="X28" s="6" t="n">
        <f aca="false">N28+O28+S28+U28+V28</f>
        <v>94.7</v>
      </c>
      <c r="Y28" s="6" t="n">
        <f aca="false">IF(L28&lt;0,L28*-1,0)</f>
        <v>0</v>
      </c>
      <c r="Z28" s="91" t="n">
        <f aca="false">X28+Y28</f>
        <v>94.7</v>
      </c>
      <c r="AA28" s="60" t="n">
        <v>0</v>
      </c>
      <c r="AB28" s="94" t="n">
        <v>61</v>
      </c>
      <c r="AC28" s="73" t="n">
        <v>33</v>
      </c>
      <c r="AD28" s="89" t="n">
        <f aca="false">AD27</f>
        <v>10400</v>
      </c>
      <c r="AE28" s="10" t="n">
        <f aca="false">IF(I28&gt;S28,I28-S28,I28-S28)-3.35</f>
        <v>579.585</v>
      </c>
      <c r="AF28" s="286" t="n">
        <f aca="false">23.5*(T27*1.9835+AE28*1.9835)/E28</f>
        <v>3.48008911460542</v>
      </c>
    </row>
    <row r="29" customFormat="false" ht="11.1" hidden="false" customHeight="true" outlineLevel="0" collapsed="false">
      <c r="A29" s="13" t="n">
        <f aca="false">A28+1</f>
        <v>18</v>
      </c>
      <c r="B29" s="74" t="n">
        <v>6870.16</v>
      </c>
      <c r="C29" s="67" t="n">
        <v>188232</v>
      </c>
      <c r="D29" s="72" t="n">
        <f aca="false">C29-C28</f>
        <v>958</v>
      </c>
      <c r="E29" s="67" t="n">
        <f aca="false">C29-152000</f>
        <v>36232</v>
      </c>
      <c r="F29" s="86" t="n">
        <f aca="false">D29/$D$2</f>
        <v>482.984623140912</v>
      </c>
      <c r="G29" s="87" t="n">
        <v>593</v>
      </c>
      <c r="H29" s="8" t="n">
        <v>48</v>
      </c>
      <c r="I29" s="6" t="n">
        <f aca="false">G29+H29</f>
        <v>641</v>
      </c>
      <c r="J29" s="283" t="n">
        <f aca="false">IF(L29&gt;0,L29,0)</f>
        <v>108.984623140913</v>
      </c>
      <c r="K29" s="6" t="n">
        <f aca="false">I29+J29</f>
        <v>749.984623140913</v>
      </c>
      <c r="L29" s="6" t="n">
        <f aca="false">F29-(I29-X29)</f>
        <v>108.984623140913</v>
      </c>
      <c r="M29" s="90" t="n">
        <v>46</v>
      </c>
      <c r="N29" s="91" t="n">
        <v>0</v>
      </c>
      <c r="O29" s="91" t="n">
        <f aca="false">32.08*1.05</f>
        <v>33.684</v>
      </c>
      <c r="P29" s="92" t="n">
        <f aca="false">M29-(N29+O29)</f>
        <v>12.316</v>
      </c>
      <c r="Q29" s="87" t="n">
        <v>203</v>
      </c>
      <c r="R29" s="87" t="n">
        <v>0</v>
      </c>
      <c r="S29" s="6" t="n">
        <f aca="false">SUM(P29:R29)</f>
        <v>215.316</v>
      </c>
      <c r="T29" s="89" t="n">
        <f aca="false">T28+AE29-(AF29/1.9835)</f>
        <v>3252.33951327069</v>
      </c>
      <c r="U29" s="87" t="n">
        <v>0</v>
      </c>
      <c r="V29" s="284" t="n">
        <v>18</v>
      </c>
      <c r="W29" s="285" t="n">
        <f aca="false">W28-V29</f>
        <v>7917.49231157046</v>
      </c>
      <c r="X29" s="6" t="n">
        <f aca="false">N29+O29+S29+U29+V29</f>
        <v>267</v>
      </c>
      <c r="Y29" s="6" t="n">
        <f aca="false">IF(L29&lt;0,L29*-1,0)</f>
        <v>0</v>
      </c>
      <c r="Z29" s="91" t="n">
        <f aca="false">X29+Y29</f>
        <v>267</v>
      </c>
      <c r="AA29" s="60" t="n">
        <v>0</v>
      </c>
      <c r="AB29" s="94" t="n">
        <v>51</v>
      </c>
      <c r="AC29" s="73" t="n">
        <v>32</v>
      </c>
      <c r="AD29" s="89" t="n">
        <f aca="false">AD28-(195.51*1.9835)</f>
        <v>10012.205915</v>
      </c>
      <c r="AE29" s="10" t="n">
        <f aca="false">I29-(P29+3.35+2.7)</f>
        <v>622.634</v>
      </c>
      <c r="AF29" s="286" t="n">
        <f aca="false">23.5*(T28*1.9835+AE29*1.9835)/E29</f>
        <v>4.18683078496628</v>
      </c>
    </row>
    <row r="30" customFormat="false" ht="11.1" hidden="false" customHeight="true" outlineLevel="0" collapsed="false">
      <c r="A30" s="13" t="n">
        <f aca="false">A29+1</f>
        <v>19</v>
      </c>
      <c r="B30" s="74" t="n">
        <v>6870.66</v>
      </c>
      <c r="C30" s="67" t="n">
        <v>188688</v>
      </c>
      <c r="D30" s="72" t="n">
        <f aca="false">C30-C29</f>
        <v>456</v>
      </c>
      <c r="E30" s="67" t="n">
        <f aca="false">C30-152000</f>
        <v>36688</v>
      </c>
      <c r="F30" s="86" t="n">
        <f aca="false">D30/$D$2</f>
        <v>229.89664734056</v>
      </c>
      <c r="G30" s="87" t="n">
        <v>480</v>
      </c>
      <c r="H30" s="8" t="n">
        <v>14</v>
      </c>
      <c r="I30" s="6" t="n">
        <f aca="false">G30+H30</f>
        <v>494</v>
      </c>
      <c r="J30" s="283" t="n">
        <f aca="false">IF(L30&gt;0,L30,0)</f>
        <v>124.89664734056</v>
      </c>
      <c r="K30" s="6" t="n">
        <f aca="false">I30+J30</f>
        <v>618.89664734056</v>
      </c>
      <c r="L30" s="6" t="n">
        <f aca="false">F30-(I30-X30)</f>
        <v>124.89664734056</v>
      </c>
      <c r="M30" s="90" t="n">
        <v>12</v>
      </c>
      <c r="N30" s="91" t="n">
        <v>0</v>
      </c>
      <c r="O30" s="91" t="n">
        <f aca="false">7.96*1.05</f>
        <v>8.358</v>
      </c>
      <c r="P30" s="92" t="n">
        <f aca="false">M30-(N30+O30)</f>
        <v>3.642</v>
      </c>
      <c r="Q30" s="87" t="n">
        <v>359</v>
      </c>
      <c r="R30" s="87" t="n">
        <v>0</v>
      </c>
      <c r="S30" s="6" t="n">
        <f aca="false">SUM(P30:R30)</f>
        <v>362.642</v>
      </c>
      <c r="T30" s="89" t="n">
        <f aca="false">T29+AE30-(AF30/1.9835)</f>
        <v>3736.95232501944</v>
      </c>
      <c r="U30" s="87" t="n">
        <v>0</v>
      </c>
      <c r="V30" s="284" t="n">
        <v>18</v>
      </c>
      <c r="W30" s="285" t="n">
        <f aca="false">W29-V30</f>
        <v>7899.49231157046</v>
      </c>
      <c r="X30" s="6" t="n">
        <f aca="false">N30+O30+S30+U30+V30</f>
        <v>389</v>
      </c>
      <c r="Y30" s="6" t="n">
        <f aca="false">IF(L30&lt;0,L30*-1,0)</f>
        <v>0</v>
      </c>
      <c r="Z30" s="91" t="n">
        <f aca="false">X30+Y30</f>
        <v>389</v>
      </c>
      <c r="AA30" s="60" t="n">
        <v>0.08</v>
      </c>
      <c r="AB30" s="94" t="n">
        <v>49</v>
      </c>
      <c r="AC30" s="73" t="n">
        <v>28</v>
      </c>
      <c r="AD30" s="89" t="n">
        <f aca="false">AD29-(Q30*1.9835)</f>
        <v>9300.129415</v>
      </c>
      <c r="AE30" s="10" t="n">
        <f aca="false">I30-(P30+3.35)</f>
        <v>487.008</v>
      </c>
      <c r="AF30" s="286" t="n">
        <f aca="false">23.5*(T29*1.9835+AE30*1.9835)/E30</f>
        <v>4.75085589635444</v>
      </c>
    </row>
    <row r="31" customFormat="false" ht="11.1" hidden="false" customHeight="true" outlineLevel="0" collapsed="false">
      <c r="A31" s="13" t="n">
        <f aca="false">A30+1</f>
        <v>20</v>
      </c>
      <c r="B31" s="74" t="n">
        <v>6870.36</v>
      </c>
      <c r="C31" s="67" t="n">
        <v>188768</v>
      </c>
      <c r="D31" s="72" t="n">
        <f aca="false">C31-C30</f>
        <v>80</v>
      </c>
      <c r="E31" s="67" t="n">
        <f aca="false">C31-152000</f>
        <v>36768</v>
      </c>
      <c r="F31" s="86" t="n">
        <f aca="false">D31/$D$2</f>
        <v>40.3327451474666</v>
      </c>
      <c r="G31" s="87" t="n">
        <v>436</v>
      </c>
      <c r="H31" s="8" t="n">
        <v>6.9</v>
      </c>
      <c r="I31" s="6" t="n">
        <f aca="false">G31+H31</f>
        <v>442.9</v>
      </c>
      <c r="J31" s="283" t="n">
        <f aca="false">IF(L31&gt;0,L31,0)</f>
        <v>0</v>
      </c>
      <c r="K31" s="6" t="n">
        <f aca="false">I31+J31</f>
        <v>442.9</v>
      </c>
      <c r="L31" s="6" t="n">
        <f aca="false">F31-(I31-X31)</f>
        <v>-20.0672548525334</v>
      </c>
      <c r="M31" s="90" t="n">
        <v>5.5</v>
      </c>
      <c r="N31" s="91" t="n">
        <v>0</v>
      </c>
      <c r="O31" s="91" t="n">
        <v>0</v>
      </c>
      <c r="P31" s="92" t="n">
        <f aca="false">M31-(N31+O31)</f>
        <v>5.5</v>
      </c>
      <c r="Q31" s="87" t="n">
        <v>359</v>
      </c>
      <c r="R31" s="87" t="n">
        <v>0</v>
      </c>
      <c r="S31" s="6" t="n">
        <f aca="false">SUM(P31:R31)</f>
        <v>364.5</v>
      </c>
      <c r="T31" s="89" t="n">
        <f aca="false">T30+AE31-(AF31/1.9835)</f>
        <v>4168.33645919486</v>
      </c>
      <c r="U31" s="87" t="n">
        <v>0</v>
      </c>
      <c r="V31" s="284" t="n">
        <v>18</v>
      </c>
      <c r="W31" s="285" t="n">
        <f aca="false">W30-V31</f>
        <v>7881.49231157046</v>
      </c>
      <c r="X31" s="6" t="n">
        <f aca="false">N31+O31+S31+U31+V31</f>
        <v>382.5</v>
      </c>
      <c r="Y31" s="6" t="n">
        <f aca="false">IF(L31&lt;0,L31*-1,0)</f>
        <v>20.0672548525334</v>
      </c>
      <c r="Z31" s="91" t="n">
        <f aca="false">X31+Y31</f>
        <v>402.567254852533</v>
      </c>
      <c r="AA31" s="60" t="n">
        <v>0</v>
      </c>
      <c r="AB31" s="94" t="n">
        <v>60</v>
      </c>
      <c r="AC31" s="73" t="n">
        <v>27</v>
      </c>
      <c r="AD31" s="89" t="n">
        <f aca="false">AD30-(Q31*1.9835)</f>
        <v>8588.052915</v>
      </c>
      <c r="AE31" s="10" t="n">
        <f aca="false">I31-(P31+R31+3.35)</f>
        <v>434.05</v>
      </c>
      <c r="AF31" s="286" t="n">
        <f aca="false">23.5*(T30*1.9835+AE31*1.9835)/E31</f>
        <v>5.2877448630436</v>
      </c>
    </row>
    <row r="32" customFormat="false" ht="11.1" hidden="false" customHeight="true" outlineLevel="0" collapsed="false">
      <c r="A32" s="13" t="n">
        <f aca="false">A31+1</f>
        <v>21</v>
      </c>
      <c r="B32" s="74" t="n">
        <v>6870.5</v>
      </c>
      <c r="C32" s="67" t="n">
        <v>189144</v>
      </c>
      <c r="D32" s="72" t="n">
        <f aca="false">C32-C31</f>
        <v>376</v>
      </c>
      <c r="E32" s="67" t="n">
        <f aca="false">C32-152000</f>
        <v>37144</v>
      </c>
      <c r="F32" s="86" t="n">
        <f aca="false">D32/$D$2</f>
        <v>189.563902193093</v>
      </c>
      <c r="G32" s="87" t="n">
        <v>539</v>
      </c>
      <c r="H32" s="8" t="n">
        <v>25</v>
      </c>
      <c r="I32" s="6" t="n">
        <f aca="false">G32+H32</f>
        <v>564</v>
      </c>
      <c r="J32" s="283" t="n">
        <f aca="false">IF(L32&gt;0,L32,0)</f>
        <v>54.663902193093</v>
      </c>
      <c r="K32" s="6" t="n">
        <f aca="false">I32+J32</f>
        <v>618.663902193093</v>
      </c>
      <c r="L32" s="6" t="n">
        <f aca="false">F32-(I32-X32)</f>
        <v>54.663902193093</v>
      </c>
      <c r="M32" s="90" t="n">
        <v>52</v>
      </c>
      <c r="N32" s="91" t="n">
        <v>0</v>
      </c>
      <c r="O32" s="91" t="n">
        <f aca="false">35.03*1.05</f>
        <v>36.7815</v>
      </c>
      <c r="P32" s="92" t="n">
        <f aca="false">M32-(N32+O32)</f>
        <v>15.2185</v>
      </c>
      <c r="Q32" s="87" t="n">
        <v>358</v>
      </c>
      <c r="R32" s="87" t="n">
        <v>1.1</v>
      </c>
      <c r="S32" s="6" t="n">
        <f aca="false">SUM(P32:R32)</f>
        <v>374.3185</v>
      </c>
      <c r="T32" s="89" t="n">
        <f aca="false">T31+AE32-(AF32/1.9835)</f>
        <v>4709.6863821692</v>
      </c>
      <c r="U32" s="87" t="n">
        <v>0</v>
      </c>
      <c r="V32" s="284" t="n">
        <v>18</v>
      </c>
      <c r="W32" s="285" t="n">
        <f aca="false">W31-V32</f>
        <v>7863.49231157046</v>
      </c>
      <c r="X32" s="6" t="n">
        <f aca="false">N32+O32+S32+U32+V32</f>
        <v>429.1</v>
      </c>
      <c r="Y32" s="6" t="n">
        <f aca="false">IF(L32&lt;0,L32*-1,0)</f>
        <v>0</v>
      </c>
      <c r="Z32" s="91" t="n">
        <f aca="false">X32+Y32</f>
        <v>429.1</v>
      </c>
      <c r="AA32" s="60" t="n">
        <v>0</v>
      </c>
      <c r="AB32" s="72" t="n">
        <v>65</v>
      </c>
      <c r="AC32" s="73" t="n">
        <v>38</v>
      </c>
      <c r="AD32" s="89" t="n">
        <f aca="false">AD31-(Q32*1.9835)</f>
        <v>7877.959915</v>
      </c>
      <c r="AE32" s="10" t="n">
        <f aca="false">I32-(P32+R32+3.35)</f>
        <v>544.3315</v>
      </c>
      <c r="AF32" s="286" t="n">
        <f aca="false">23.5*(T31*1.9835+AE32*1.9835)/E32</f>
        <v>5.9139580303947</v>
      </c>
    </row>
    <row r="33" customFormat="false" ht="11.1" hidden="false" customHeight="true" outlineLevel="0" collapsed="false">
      <c r="A33" s="13" t="n">
        <f aca="false">A32+1</f>
        <v>22</v>
      </c>
      <c r="B33" s="74" t="n">
        <v>6870.73</v>
      </c>
      <c r="C33" s="67" t="n">
        <v>189760</v>
      </c>
      <c r="D33" s="72" t="n">
        <f aca="false">C33-C32</f>
        <v>616</v>
      </c>
      <c r="E33" s="67" t="n">
        <f aca="false">C33-152000</f>
        <v>37760</v>
      </c>
      <c r="F33" s="86" t="n">
        <f aca="false">D33/$D$2</f>
        <v>310.562137635493</v>
      </c>
      <c r="G33" s="87" t="n">
        <v>641</v>
      </c>
      <c r="H33" s="8" t="n">
        <v>41</v>
      </c>
      <c r="I33" s="6" t="n">
        <f aca="false">G33+H33</f>
        <v>682</v>
      </c>
      <c r="J33" s="283" t="n">
        <f aca="false">IF(L33&gt;0,L33,0)</f>
        <v>64.5621376354928</v>
      </c>
      <c r="K33" s="6" t="n">
        <f aca="false">I33+J33</f>
        <v>746.562137635493</v>
      </c>
      <c r="L33" s="6" t="n">
        <f aca="false">F33-(I33-X33)</f>
        <v>64.5621376354928</v>
      </c>
      <c r="M33" s="90" t="n">
        <v>59</v>
      </c>
      <c r="N33" s="91" t="n">
        <v>0</v>
      </c>
      <c r="O33" s="91" t="n">
        <f aca="false">59.9*1.05</f>
        <v>62.895</v>
      </c>
      <c r="P33" s="92" t="n">
        <f aca="false">M33-(N33+O33)</f>
        <v>-3.895</v>
      </c>
      <c r="Q33" s="87" t="n">
        <v>359</v>
      </c>
      <c r="R33" s="87" t="n">
        <v>0</v>
      </c>
      <c r="S33" s="6" t="n">
        <f aca="false">SUM(P33:R33)</f>
        <v>355.105</v>
      </c>
      <c r="T33" s="89" t="n">
        <f aca="false">T32+AE33-(AF33/1.9835)</f>
        <v>5388.87551782914</v>
      </c>
      <c r="U33" s="87" t="n">
        <v>0</v>
      </c>
      <c r="V33" s="284" t="n">
        <v>18</v>
      </c>
      <c r="W33" s="285" t="n">
        <f aca="false">W32-V33</f>
        <v>7845.49231157046</v>
      </c>
      <c r="X33" s="6" t="n">
        <f aca="false">N33+O33+S33+U33+V33</f>
        <v>436</v>
      </c>
      <c r="Y33" s="6" t="n">
        <f aca="false">IF(L33&lt;0,L33*-1,0)</f>
        <v>0</v>
      </c>
      <c r="Z33" s="91" t="n">
        <f aca="false">X33+Y33</f>
        <v>436</v>
      </c>
      <c r="AA33" s="60" t="n">
        <v>0.01</v>
      </c>
      <c r="AB33" s="72" t="n">
        <v>56</v>
      </c>
      <c r="AC33" s="73" t="n">
        <v>35</v>
      </c>
      <c r="AD33" s="89" t="n">
        <f aca="false">AD32-(Q33*1.9835)</f>
        <v>7165.883415</v>
      </c>
      <c r="AE33" s="10" t="n">
        <f aca="false">I33-(P33+R33+3.35)</f>
        <v>682.545</v>
      </c>
      <c r="AF33" s="286" t="n">
        <f aca="false">23.5*(T32*1.9835+AE33*1.9835)/E33</f>
        <v>6.65635691852533</v>
      </c>
    </row>
    <row r="34" customFormat="false" ht="11.1" hidden="false" customHeight="true" outlineLevel="0" collapsed="false">
      <c r="A34" s="13" t="n">
        <f aca="false">A33+1</f>
        <v>23</v>
      </c>
      <c r="B34" s="74" t="n">
        <v>6870.84</v>
      </c>
      <c r="C34" s="67" t="n">
        <v>190055</v>
      </c>
      <c r="D34" s="72" t="n">
        <f aca="false">C34-C33</f>
        <v>295</v>
      </c>
      <c r="E34" s="67" t="n">
        <f aca="false">C34-152000</f>
        <v>38055</v>
      </c>
      <c r="F34" s="86" t="n">
        <f aca="false">D34/$D$2</f>
        <v>148.726997731283</v>
      </c>
      <c r="G34" s="87" t="n">
        <v>543</v>
      </c>
      <c r="H34" s="8" t="n">
        <v>19</v>
      </c>
      <c r="I34" s="6" t="n">
        <f aca="false">G34+H34</f>
        <v>562</v>
      </c>
      <c r="J34" s="283" t="n">
        <f aca="false">IF(L34&gt;0,L34,0)</f>
        <v>30.7269977312831</v>
      </c>
      <c r="K34" s="6" t="n">
        <f aca="false">I34+J34</f>
        <v>592.726997731283</v>
      </c>
      <c r="L34" s="6" t="n">
        <f aca="false">F34-(I34-X34)</f>
        <v>30.7269977312831</v>
      </c>
      <c r="M34" s="90" t="n">
        <v>62</v>
      </c>
      <c r="N34" s="91" t="n">
        <v>0</v>
      </c>
      <c r="O34" s="91" t="n">
        <f aca="false">52.09*1.05</f>
        <v>54.6945</v>
      </c>
      <c r="P34" s="92" t="n">
        <f aca="false">M34-(N34+O34)</f>
        <v>7.3055</v>
      </c>
      <c r="Q34" s="87" t="n">
        <v>360</v>
      </c>
      <c r="R34" s="87" t="n">
        <v>4</v>
      </c>
      <c r="S34" s="6" t="n">
        <f aca="false">SUM(P34:R34)</f>
        <v>371.3055</v>
      </c>
      <c r="T34" s="89" t="n">
        <f aca="false">T33+AE34-(AF34/1.9835)</f>
        <v>5932.55424012794</v>
      </c>
      <c r="U34" s="87" t="n">
        <v>0</v>
      </c>
      <c r="V34" s="284" t="n">
        <v>18</v>
      </c>
      <c r="W34" s="285" t="n">
        <f aca="false">W33-V34</f>
        <v>7827.49231157046</v>
      </c>
      <c r="X34" s="6" t="n">
        <f aca="false">N34+O34+S34+U34+V34</f>
        <v>444</v>
      </c>
      <c r="Y34" s="6" t="n">
        <f aca="false">IF(L34&lt;0,L34*-1,0)</f>
        <v>0</v>
      </c>
      <c r="Z34" s="91" t="n">
        <f aca="false">X34+Y34</f>
        <v>444</v>
      </c>
      <c r="AA34" s="60" t="n">
        <v>0.03</v>
      </c>
      <c r="AB34" s="72" t="n">
        <v>47</v>
      </c>
      <c r="AC34" s="95" t="n">
        <v>27</v>
      </c>
      <c r="AD34" s="89" t="n">
        <f aca="false">AD33-(Q34*1.9835)</f>
        <v>6451.823415</v>
      </c>
      <c r="AE34" s="10" t="n">
        <f aca="false">I34-(P34+R34+3.35)</f>
        <v>547.3445</v>
      </c>
      <c r="AF34" s="286" t="n">
        <f aca="false">23.5*(T33*1.9835+AE34*1.9835)/E34</f>
        <v>7.27107007032075</v>
      </c>
    </row>
    <row r="35" customFormat="false" ht="11.1" hidden="false" customHeight="true" outlineLevel="0" collapsed="false">
      <c r="A35" s="13" t="n">
        <f aca="false">A34+1</f>
        <v>24</v>
      </c>
      <c r="B35" s="74" t="n">
        <v>6870.9</v>
      </c>
      <c r="C35" s="67" t="n">
        <v>190216</v>
      </c>
      <c r="D35" s="72" t="n">
        <f aca="false">C35-C34</f>
        <v>161</v>
      </c>
      <c r="E35" s="67" t="n">
        <f aca="false">C35-152000</f>
        <v>38216</v>
      </c>
      <c r="F35" s="86" t="n">
        <f aca="false">D35/$D$2</f>
        <v>81.1696496092765</v>
      </c>
      <c r="G35" s="87" t="n">
        <v>448</v>
      </c>
      <c r="H35" s="8" t="n">
        <v>6.3</v>
      </c>
      <c r="I35" s="6" t="n">
        <f aca="false">G35+H35</f>
        <v>454.3</v>
      </c>
      <c r="J35" s="283" t="n">
        <f aca="false">IF(L35&gt;0,L35,0)</f>
        <v>47.0696496092765</v>
      </c>
      <c r="K35" s="6" t="n">
        <f aca="false">I35+J35</f>
        <v>501.369649609277</v>
      </c>
      <c r="L35" s="6" t="n">
        <f aca="false">F35-(I35-X35)</f>
        <v>47.0696496092765</v>
      </c>
      <c r="M35" s="90" t="n">
        <v>38</v>
      </c>
      <c r="N35" s="91" t="n">
        <v>0</v>
      </c>
      <c r="O35" s="91" t="n">
        <f aca="false">34.41*1.05</f>
        <v>36.1305</v>
      </c>
      <c r="P35" s="92" t="n">
        <f aca="false">M35-(N35+O35)</f>
        <v>1.8695</v>
      </c>
      <c r="Q35" s="87" t="n">
        <v>360</v>
      </c>
      <c r="R35" s="87" t="n">
        <v>4.2</v>
      </c>
      <c r="S35" s="6" t="n">
        <f aca="false">SUM(P35:R35)</f>
        <v>366.0695</v>
      </c>
      <c r="T35" s="89" t="n">
        <f aca="false">T34+AE35-(AF35/1.9835)</f>
        <v>6373.51309169815</v>
      </c>
      <c r="U35" s="87" t="n">
        <v>0</v>
      </c>
      <c r="V35" s="284" t="n">
        <v>18</v>
      </c>
      <c r="W35" s="285" t="n">
        <f aca="false">W34-V35</f>
        <v>7809.49231157046</v>
      </c>
      <c r="X35" s="6" t="n">
        <f aca="false">N35+O35+S35+U35+V35</f>
        <v>420.2</v>
      </c>
      <c r="Y35" s="6" t="n">
        <f aca="false">IF(L35&lt;0,L35*-1,0)</f>
        <v>0</v>
      </c>
      <c r="Z35" s="91" t="n">
        <f aca="false">X35+Y35</f>
        <v>420.2</v>
      </c>
      <c r="AA35" s="60" t="n">
        <v>0</v>
      </c>
      <c r="AB35" s="72" t="n">
        <v>62</v>
      </c>
      <c r="AC35" s="95" t="n">
        <v>31</v>
      </c>
      <c r="AD35" s="89" t="n">
        <f aca="false">AD34-(Q35*1.9835)</f>
        <v>5737.763415</v>
      </c>
      <c r="AE35" s="10" t="n">
        <f aca="false">I35-(P35+R35+3.35)</f>
        <v>444.8805</v>
      </c>
      <c r="AF35" s="286" t="n">
        <f aca="false">23.5*(T34*1.9835+AE35*1.9835)/E35</f>
        <v>7.77858966049635</v>
      </c>
    </row>
    <row r="36" customFormat="false" ht="11.1" hidden="false" customHeight="true" outlineLevel="0" collapsed="false">
      <c r="A36" s="13" t="n">
        <f aca="false">A35+1</f>
        <v>25</v>
      </c>
      <c r="B36" s="74" t="n">
        <v>6871.08</v>
      </c>
      <c r="C36" s="67" t="n">
        <v>190701</v>
      </c>
      <c r="D36" s="72" t="n">
        <f aca="false">C36-C35</f>
        <v>485</v>
      </c>
      <c r="E36" s="67" t="n">
        <f aca="false">C36-152000</f>
        <v>38701</v>
      </c>
      <c r="F36" s="86" t="n">
        <f aca="false">D36/$D$2</f>
        <v>244.517267456516</v>
      </c>
      <c r="G36" s="87" t="n">
        <v>592</v>
      </c>
      <c r="H36" s="8" t="n">
        <v>13</v>
      </c>
      <c r="I36" s="6" t="n">
        <f aca="false">G36+H36</f>
        <v>605</v>
      </c>
      <c r="J36" s="283" t="n">
        <f aca="false">IF(L36&gt;0,L36,0)</f>
        <v>25.8172674565163</v>
      </c>
      <c r="K36" s="6" t="n">
        <f aca="false">I36+J36</f>
        <v>630.817267456516</v>
      </c>
      <c r="L36" s="6" t="n">
        <f aca="false">F36-(I36-X36)</f>
        <v>25.8172674565163</v>
      </c>
      <c r="M36" s="90" t="n">
        <v>6.8</v>
      </c>
      <c r="N36" s="91" t="n">
        <v>0</v>
      </c>
      <c r="O36" s="91" t="n">
        <f aca="false">5.87*1.05</f>
        <v>6.1635</v>
      </c>
      <c r="P36" s="92" t="n">
        <f aca="false">M36-(N36+O36)</f>
        <v>0.6365</v>
      </c>
      <c r="Q36" s="87" t="n">
        <v>360</v>
      </c>
      <c r="R36" s="87" t="n">
        <v>1.5</v>
      </c>
      <c r="S36" s="6" t="n">
        <f aca="false">SUM(P36:R36)</f>
        <v>362.1365</v>
      </c>
      <c r="T36" s="89" t="n">
        <f aca="false">T35+AE36-(AF36/1.9835)</f>
        <v>6968.79243431449</v>
      </c>
      <c r="U36" s="87" t="n">
        <v>0</v>
      </c>
      <c r="V36" s="284" t="n">
        <v>18</v>
      </c>
      <c r="W36" s="285" t="n">
        <f aca="false">W35-V36</f>
        <v>7791.49231157046</v>
      </c>
      <c r="X36" s="6" t="n">
        <f aca="false">N36+O36+S36+U36+V36</f>
        <v>386.3</v>
      </c>
      <c r="Y36" s="6" t="n">
        <f aca="false">IF(L36&lt;0,L36*-1,0)</f>
        <v>0</v>
      </c>
      <c r="Z36" s="91" t="n">
        <f aca="false">X36+Y36</f>
        <v>386.3</v>
      </c>
      <c r="AA36" s="60" t="n">
        <v>0</v>
      </c>
      <c r="AB36" s="72" t="n">
        <v>66</v>
      </c>
      <c r="AC36" s="95" t="n">
        <v>33</v>
      </c>
      <c r="AD36" s="89" t="n">
        <f aca="false">AD35-(Q36*1.9835)</f>
        <v>5023.703415</v>
      </c>
      <c r="AE36" s="10" t="n">
        <f aca="false">I36-(P36+R36+3.35)</f>
        <v>599.5135</v>
      </c>
      <c r="AF36" s="286" t="n">
        <f aca="false">23.5*(T35*1.9835+AE36*1.9835)/E36</f>
        <v>8.3984511704835</v>
      </c>
    </row>
    <row r="37" customFormat="false" ht="11.1" hidden="false" customHeight="true" outlineLevel="0" collapsed="false">
      <c r="A37" s="13" t="n">
        <f aca="false">A36+1</f>
        <v>26</v>
      </c>
      <c r="B37" s="74" t="n">
        <v>6871.53</v>
      </c>
      <c r="C37" s="67" t="n">
        <v>191924</v>
      </c>
      <c r="D37" s="72" t="n">
        <f aca="false">C37-C36</f>
        <v>1223</v>
      </c>
      <c r="E37" s="67" t="n">
        <f aca="false">C37-152000</f>
        <v>39924</v>
      </c>
      <c r="F37" s="86" t="n">
        <f aca="false">D37/$D$2</f>
        <v>616.586841441896</v>
      </c>
      <c r="G37" s="87" t="n">
        <v>892</v>
      </c>
      <c r="H37" s="8" t="n">
        <v>52</v>
      </c>
      <c r="I37" s="6" t="n">
        <f aca="false">G37+H37</f>
        <v>944</v>
      </c>
      <c r="J37" s="283" t="n">
        <f aca="false">IF(L37&gt;0,L37,0)</f>
        <v>57.5868414418957</v>
      </c>
      <c r="K37" s="6" t="n">
        <f aca="false">I37+J37</f>
        <v>1001.5868414419</v>
      </c>
      <c r="L37" s="6" t="n">
        <f aca="false">F37-(I37-X37)</f>
        <v>57.5868414418957</v>
      </c>
      <c r="M37" s="90" t="n">
        <v>6</v>
      </c>
      <c r="N37" s="91" t="n">
        <v>0</v>
      </c>
      <c r="O37" s="91" t="n">
        <f aca="false">0.61*1.05</f>
        <v>0.6405</v>
      </c>
      <c r="P37" s="92" t="n">
        <f aca="false">M37-(N37+O37)</f>
        <v>5.3595</v>
      </c>
      <c r="Q37" s="87" t="n">
        <v>361</v>
      </c>
      <c r="R37" s="87" t="n">
        <v>0</v>
      </c>
      <c r="S37" s="6" t="n">
        <f aca="false">SUM(P37:R37)</f>
        <v>366.3595</v>
      </c>
      <c r="T37" s="89" t="n">
        <f aca="false">T36+AE37-(AF37/1.9835)</f>
        <v>7759.22252342865</v>
      </c>
      <c r="U37" s="87" t="n">
        <v>0</v>
      </c>
      <c r="V37" s="284" t="n">
        <v>18</v>
      </c>
      <c r="W37" s="285" t="n">
        <f aca="false">W36-V37</f>
        <v>7773.49231157046</v>
      </c>
      <c r="X37" s="6" t="n">
        <f aca="false">N37+O37+S37+U37+V37</f>
        <v>385</v>
      </c>
      <c r="Y37" s="6" t="n">
        <f aca="false">IF(L37&lt;0,L37*-1,0)</f>
        <v>0</v>
      </c>
      <c r="Z37" s="91" t="n">
        <f aca="false">X37+Y37</f>
        <v>385</v>
      </c>
      <c r="AA37" s="60" t="n">
        <v>0</v>
      </c>
      <c r="AB37" s="72" t="n">
        <v>68</v>
      </c>
      <c r="AC37" s="73" t="n">
        <v>36</v>
      </c>
      <c r="AD37" s="89" t="n">
        <f aca="false">AD36-(Q37*1.9835)</f>
        <v>4307.659915</v>
      </c>
      <c r="AE37" s="10" t="n">
        <v>795</v>
      </c>
      <c r="AF37" s="286" t="n">
        <f aca="false">23.5*(T36*1.9835+AE37*1.9835)/E37</f>
        <v>9.06441824206932</v>
      </c>
    </row>
    <row r="38" customFormat="false" ht="11.1" hidden="false" customHeight="true" outlineLevel="0" collapsed="false">
      <c r="A38" s="13" t="n">
        <f aca="false">A37+1</f>
        <v>27</v>
      </c>
      <c r="B38" s="74" t="n">
        <v>6872.19</v>
      </c>
      <c r="C38" s="67" t="n">
        <v>193724</v>
      </c>
      <c r="D38" s="72" t="n">
        <f aca="false">C38-C37</f>
        <v>1800</v>
      </c>
      <c r="E38" s="67" t="n">
        <f aca="false">C38-152000</f>
        <v>41724</v>
      </c>
      <c r="F38" s="86" t="n">
        <f aca="false">D38/$D$2</f>
        <v>907.486765817998</v>
      </c>
      <c r="G38" s="87" t="n">
        <v>1070</v>
      </c>
      <c r="H38" s="8" t="n">
        <v>96</v>
      </c>
      <c r="I38" s="6" t="n">
        <f aca="false">G38+H38</f>
        <v>1166</v>
      </c>
      <c r="J38" s="283" t="n">
        <f aca="false">IF(L38&gt;0,L38,0)</f>
        <v>130.386765817998</v>
      </c>
      <c r="K38" s="6" t="n">
        <f aca="false">I38+J38</f>
        <v>1296.386765818</v>
      </c>
      <c r="L38" s="6" t="n">
        <f aca="false">F38-(I38-X38)</f>
        <v>130.386765817998</v>
      </c>
      <c r="M38" s="90" t="n">
        <v>5.9</v>
      </c>
      <c r="N38" s="91" t="n">
        <v>0</v>
      </c>
      <c r="O38" s="91" t="n">
        <v>0</v>
      </c>
      <c r="P38" s="92" t="n">
        <f aca="false">M38-(N38+O38)</f>
        <v>5.9</v>
      </c>
      <c r="Q38" s="87" t="n">
        <v>365</v>
      </c>
      <c r="R38" s="87" t="n">
        <v>0</v>
      </c>
      <c r="S38" s="6" t="n">
        <f aca="false">SUM(P38:R38)</f>
        <v>370.9</v>
      </c>
      <c r="T38" s="89" t="n">
        <f aca="false">T37+AE38-(AF38/1.9835)</f>
        <v>8549.40457142739</v>
      </c>
      <c r="U38" s="87" t="n">
        <v>0</v>
      </c>
      <c r="V38" s="284" t="n">
        <v>18</v>
      </c>
      <c r="W38" s="285" t="n">
        <f aca="false">W37-V38</f>
        <v>7755.49231157046</v>
      </c>
      <c r="X38" s="6" t="n">
        <f aca="false">N38+O38+S38+U38+V38</f>
        <v>388.9</v>
      </c>
      <c r="Y38" s="6" t="n">
        <f aca="false">IF(L38&lt;0,L38*-1,0)</f>
        <v>0</v>
      </c>
      <c r="Z38" s="91" t="n">
        <f aca="false">X38+Y38</f>
        <v>388.9</v>
      </c>
      <c r="AA38" s="60" t="n">
        <v>0</v>
      </c>
      <c r="AB38" s="72" t="n">
        <v>66</v>
      </c>
      <c r="AC38" s="73" t="n">
        <v>33</v>
      </c>
      <c r="AD38" s="89" t="n">
        <f aca="false">AD37-(Q38*1.9835)</f>
        <v>3583.682415</v>
      </c>
      <c r="AE38" s="10" t="n">
        <v>795</v>
      </c>
      <c r="AF38" s="286" t="n">
        <f aca="false">23.5*(T37*1.9835+AE38*1.9835)/E38</f>
        <v>9.55640779449926</v>
      </c>
    </row>
    <row r="39" customFormat="false" ht="11.1" hidden="false" customHeight="true" outlineLevel="0" collapsed="false">
      <c r="A39" s="13" t="n">
        <f aca="false">A38+1</f>
        <v>28</v>
      </c>
      <c r="B39" s="74" t="n">
        <v>6872.81</v>
      </c>
      <c r="C39" s="67" t="n">
        <v>195430</v>
      </c>
      <c r="D39" s="72" t="n">
        <f aca="false">C39-C38</f>
        <v>1706</v>
      </c>
      <c r="E39" s="67" t="n">
        <f aca="false">C39-152000</f>
        <v>43430</v>
      </c>
      <c r="F39" s="86" t="n">
        <f aca="false">D39/$D$2</f>
        <v>860.095790269725</v>
      </c>
      <c r="G39" s="87" t="n">
        <v>1020</v>
      </c>
      <c r="H39" s="8" t="n">
        <v>80</v>
      </c>
      <c r="I39" s="6" t="n">
        <f aca="false">G39+H39</f>
        <v>1100</v>
      </c>
      <c r="J39" s="283" t="n">
        <f aca="false">IF(L39&gt;0,L39,0)</f>
        <v>248.095790269725</v>
      </c>
      <c r="K39" s="6" t="n">
        <f aca="false">I39+J39</f>
        <v>1348.09579026973</v>
      </c>
      <c r="L39" s="6" t="n">
        <f aca="false">F39-(I39-X39)</f>
        <v>248.095790269725</v>
      </c>
      <c r="M39" s="90" t="n">
        <v>72</v>
      </c>
      <c r="N39" s="91" t="n">
        <v>0</v>
      </c>
      <c r="O39" s="91" t="n">
        <f aca="false">29.96*1.05</f>
        <v>31.458</v>
      </c>
      <c r="P39" s="92" t="n">
        <f aca="false">M39-(N39+O39)</f>
        <v>40.542</v>
      </c>
      <c r="Q39" s="87" t="n">
        <v>363</v>
      </c>
      <c r="R39" s="87" t="n">
        <v>0</v>
      </c>
      <c r="S39" s="6" t="n">
        <f aca="false">SUM(P39:R39)</f>
        <v>403.542</v>
      </c>
      <c r="T39" s="89" t="n">
        <f aca="false">T38+AE39-(AF39/1.9835)</f>
        <v>9287.48438709793</v>
      </c>
      <c r="U39" s="87" t="n">
        <v>35</v>
      </c>
      <c r="V39" s="284" t="n">
        <v>18</v>
      </c>
      <c r="W39" s="285" t="n">
        <f aca="false">W38-V39</f>
        <v>7737.49231157046</v>
      </c>
      <c r="X39" s="6" t="n">
        <f aca="false">N39+O39+S39+U39+V39</f>
        <v>488</v>
      </c>
      <c r="Y39" s="6" t="n">
        <f aca="false">IF(L39&lt;0,L39*-1,0)</f>
        <v>0</v>
      </c>
      <c r="Z39" s="91" t="n">
        <f aca="false">X39+Y39</f>
        <v>488</v>
      </c>
      <c r="AA39" s="60" t="n">
        <v>0</v>
      </c>
      <c r="AB39" s="72" t="n">
        <v>69</v>
      </c>
      <c r="AC39" s="73" t="n">
        <v>36</v>
      </c>
      <c r="AD39" s="89" t="n">
        <f aca="false">AD38-(Q39*1.9835)</f>
        <v>2863.671915</v>
      </c>
      <c r="AE39" s="10" t="n">
        <f aca="false">795-(P39+3.35+8)</f>
        <v>743.108</v>
      </c>
      <c r="AF39" s="286" t="n">
        <f aca="false">23.5*(T38*1.9835+AE39*1.9835)/E39</f>
        <v>9.97340361748829</v>
      </c>
    </row>
    <row r="40" customFormat="false" ht="11.1" hidden="false" customHeight="true" outlineLevel="0" collapsed="false">
      <c r="A40" s="13" t="n">
        <f aca="false">A39+1</f>
        <v>29</v>
      </c>
      <c r="B40" s="74" t="n">
        <v>6873.27</v>
      </c>
      <c r="C40" s="67" t="n">
        <v>196705</v>
      </c>
      <c r="D40" s="72" t="n">
        <f aca="false">C40-C39</f>
        <v>1275</v>
      </c>
      <c r="E40" s="67" t="n">
        <f aca="false">C40-152000</f>
        <v>44705</v>
      </c>
      <c r="F40" s="86" t="n">
        <f aca="false">D40/$D$2</f>
        <v>642.803125787749</v>
      </c>
      <c r="G40" s="87" t="n">
        <v>934</v>
      </c>
      <c r="H40" s="8" t="n">
        <v>75</v>
      </c>
      <c r="I40" s="6" t="n">
        <f aca="false">G40+H40</f>
        <v>1009</v>
      </c>
      <c r="J40" s="283" t="n">
        <f aca="false">IF(L40&gt;0,L40,0)</f>
        <v>178.803125787749</v>
      </c>
      <c r="K40" s="6" t="n">
        <f aca="false">I40+J40</f>
        <v>1187.80312578775</v>
      </c>
      <c r="L40" s="6" t="n">
        <f aca="false">F40-(I40-X40)</f>
        <v>178.803125787749</v>
      </c>
      <c r="M40" s="90" t="n">
        <v>108</v>
      </c>
      <c r="N40" s="91" t="n">
        <v>0</v>
      </c>
      <c r="O40" s="91" t="n">
        <f aca="false">66.62*1.05</f>
        <v>69.951</v>
      </c>
      <c r="P40" s="92" t="n">
        <f aca="false">M40-(N40+O40)</f>
        <v>38.049</v>
      </c>
      <c r="Q40" s="87" t="n">
        <v>362</v>
      </c>
      <c r="R40" s="87" t="n">
        <v>0</v>
      </c>
      <c r="S40" s="6" t="n">
        <f aca="false">SUM(P40:R40)</f>
        <v>400.049</v>
      </c>
      <c r="T40" s="89" t="n">
        <f aca="false">T39+AE40-(AF40/1.9835)</f>
        <v>10027.8113124621</v>
      </c>
      <c r="U40" s="87" t="n">
        <v>57</v>
      </c>
      <c r="V40" s="284" t="n">
        <v>18</v>
      </c>
      <c r="W40" s="285" t="n">
        <f aca="false">W39-V40</f>
        <v>7719.49231157046</v>
      </c>
      <c r="X40" s="6" t="n">
        <f aca="false">N40+O40+S40+U40+V40</f>
        <v>545</v>
      </c>
      <c r="Y40" s="6" t="n">
        <f aca="false">IF(L40&lt;0,L40*-1,0)</f>
        <v>0</v>
      </c>
      <c r="Z40" s="91" t="n">
        <f aca="false">X40+Y40</f>
        <v>545</v>
      </c>
      <c r="AA40" s="60" t="n">
        <v>0</v>
      </c>
      <c r="AB40" s="94" t="n">
        <v>60</v>
      </c>
      <c r="AC40" s="73" t="n">
        <v>33</v>
      </c>
      <c r="AD40" s="89" t="n">
        <f aca="false">AD39-(Q40*1.9835)</f>
        <v>2145.644915</v>
      </c>
      <c r="AE40" s="10" t="n">
        <f aca="false">795-(P40+3.35+8)</f>
        <v>745.601</v>
      </c>
      <c r="AF40" s="286" t="n">
        <f aca="false">23.5*(T39*1.9835+AE40*1.9835)/E40</f>
        <v>10.4611270402585</v>
      </c>
    </row>
    <row r="41" customFormat="false" ht="11.1" hidden="false" customHeight="true" outlineLevel="0" collapsed="false">
      <c r="A41" s="13" t="n">
        <v>30</v>
      </c>
      <c r="B41" s="74" t="n">
        <v>6873.6</v>
      </c>
      <c r="C41" s="67" t="n">
        <v>197625</v>
      </c>
      <c r="D41" s="72" t="n">
        <f aca="false">C41-C40</f>
        <v>920</v>
      </c>
      <c r="E41" s="67" t="n">
        <f aca="false">C41-152000</f>
        <v>45625</v>
      </c>
      <c r="F41" s="86" t="n">
        <f aca="false">D41/$D$2</f>
        <v>463.826569195866</v>
      </c>
      <c r="G41" s="87" t="n">
        <v>941</v>
      </c>
      <c r="H41" s="8" t="n">
        <v>29</v>
      </c>
      <c r="I41" s="6" t="n">
        <f aca="false">G41+H41</f>
        <v>970</v>
      </c>
      <c r="J41" s="283" t="n">
        <f aca="false">IF(L41&gt;0,L41,0)</f>
        <v>13.8265691958659</v>
      </c>
      <c r="K41" s="6" t="n">
        <f aca="false">I41+J41</f>
        <v>983.826569195866</v>
      </c>
      <c r="L41" s="6" t="n">
        <f aca="false">F41-(I41-X41)</f>
        <v>13.8265691958659</v>
      </c>
      <c r="M41" s="90" t="n">
        <v>83</v>
      </c>
      <c r="N41" s="91" t="n">
        <v>0</v>
      </c>
      <c r="O41" s="91" t="n">
        <f aca="false">49.4*1.05</f>
        <v>51.87</v>
      </c>
      <c r="P41" s="92" t="n">
        <f aca="false">M41-(N41+O41)</f>
        <v>31.13</v>
      </c>
      <c r="Q41" s="87" t="n">
        <v>364</v>
      </c>
      <c r="R41" s="87" t="n">
        <v>0</v>
      </c>
      <c r="S41" s="6" t="n">
        <f aca="false">SUM(P41:R41)</f>
        <v>395.13</v>
      </c>
      <c r="T41" s="89" t="n">
        <f aca="false">T40+AE41-(AF41/1.9835)</f>
        <v>10774.7787034573</v>
      </c>
      <c r="U41" s="87" t="n">
        <v>55</v>
      </c>
      <c r="V41" s="284" t="n">
        <v>18</v>
      </c>
      <c r="W41" s="285" t="n">
        <f aca="false">W40-V41</f>
        <v>7701.49231157046</v>
      </c>
      <c r="X41" s="6" t="n">
        <f aca="false">N41+O41+S41+U41+V41</f>
        <v>520</v>
      </c>
      <c r="Y41" s="6" t="n">
        <f aca="false">IF(L41&lt;0,L41*-1,0)</f>
        <v>0</v>
      </c>
      <c r="Z41" s="91" t="n">
        <f aca="false">X41+Y41</f>
        <v>520</v>
      </c>
      <c r="AA41" s="60" t="n">
        <v>0</v>
      </c>
      <c r="AB41" s="94" t="n">
        <v>56</v>
      </c>
      <c r="AC41" s="73" t="n">
        <v>29</v>
      </c>
      <c r="AD41" s="89" t="n">
        <f aca="false">AD40-(Q41*1.9835)</f>
        <v>1423.650915</v>
      </c>
      <c r="AE41" s="10" t="n">
        <f aca="false">795-(P41+3.35+8)</f>
        <v>752.52</v>
      </c>
      <c r="AF41" s="286" t="n">
        <f aca="false">23.5*(T40*1.9835+AE41*1.9835)/E41</f>
        <v>11.0135999609712</v>
      </c>
    </row>
    <row r="42" customFormat="false" ht="3" hidden="false" customHeight="true" outlineLevel="0" collapsed="false">
      <c r="A42" s="75"/>
      <c r="B42" s="96"/>
      <c r="C42" s="77"/>
      <c r="D42" s="75"/>
      <c r="E42" s="77"/>
      <c r="F42" s="78"/>
      <c r="G42" s="75"/>
      <c r="H42" s="79"/>
      <c r="I42" s="75"/>
      <c r="J42" s="75"/>
      <c r="K42" s="75"/>
      <c r="L42" s="75"/>
      <c r="M42" s="80"/>
      <c r="N42" s="75"/>
      <c r="O42" s="75"/>
      <c r="P42" s="81"/>
      <c r="Q42" s="75"/>
      <c r="R42" s="75"/>
      <c r="S42" s="75"/>
      <c r="T42" s="280"/>
      <c r="U42" s="75"/>
      <c r="V42" s="75"/>
      <c r="W42" s="75"/>
      <c r="X42" s="75"/>
      <c r="Y42" s="75"/>
      <c r="Z42" s="75"/>
      <c r="AA42" s="82"/>
      <c r="AB42" s="83"/>
      <c r="AC42" s="84"/>
      <c r="AD42" s="280"/>
      <c r="AE42" s="282"/>
      <c r="AF42" s="282"/>
    </row>
    <row r="43" customFormat="false" ht="11.1" hidden="false" customHeight="true" outlineLevel="0" collapsed="false">
      <c r="A43" s="6" t="s">
        <v>54</v>
      </c>
      <c r="B43" s="66"/>
      <c r="C43" s="67"/>
      <c r="D43" s="67"/>
      <c r="E43" s="67"/>
      <c r="F43" s="68" t="n">
        <f aca="false">SUM(F12:F41)</f>
        <v>12422.4855054197</v>
      </c>
      <c r="G43" s="7" t="n">
        <f aca="false">SUM(G12:G41)</f>
        <v>14322</v>
      </c>
      <c r="H43" s="7" t="n">
        <f aca="false">SUM(H12:H41)</f>
        <v>948.8</v>
      </c>
      <c r="I43" s="7" t="n">
        <f aca="false">SUM(I12:I41)</f>
        <v>15270.8</v>
      </c>
      <c r="J43" s="7" t="n">
        <f aca="false">SUM(J12:J41)</f>
        <v>3522.75276027225</v>
      </c>
      <c r="K43" s="7" t="n">
        <f aca="false">SUM(K12:K41)</f>
        <v>18793.5527602722</v>
      </c>
      <c r="L43" s="7" t="n">
        <f aca="false">SUM(L12:L41)</f>
        <v>3502.68550541971</v>
      </c>
      <c r="M43" s="69" t="n">
        <f aca="false">SUM(M12:M41)</f>
        <v>1082.4</v>
      </c>
      <c r="N43" s="67" t="n">
        <f aca="false">SUM(N12:N41)</f>
        <v>0</v>
      </c>
      <c r="O43" s="67" t="n">
        <f aca="false">SUM(O12:O41)</f>
        <v>660.9855</v>
      </c>
      <c r="P43" s="70" t="n">
        <f aca="false">SUM(P12:P41)</f>
        <v>421.4145</v>
      </c>
      <c r="Q43" s="7" t="n">
        <f aca="false">SUM(Q12:Q41)</f>
        <v>4570.8</v>
      </c>
      <c r="R43" s="7" t="n">
        <f aca="false">SUM(R12:R41)</f>
        <v>10.8</v>
      </c>
      <c r="S43" s="7" t="n">
        <f aca="false">SUM(S12:S41)</f>
        <v>5003.0145</v>
      </c>
      <c r="T43" s="89"/>
      <c r="U43" s="7" t="n">
        <f aca="false">SUM(U12:U41)</f>
        <v>147</v>
      </c>
      <c r="V43" s="7" t="n">
        <f aca="false">SUM(V12:V41)</f>
        <v>540</v>
      </c>
      <c r="W43" s="7"/>
      <c r="X43" s="7" t="n">
        <f aca="false">SUM(X12:X41)</f>
        <v>6351</v>
      </c>
      <c r="Y43" s="7" t="n">
        <f aca="false">SUM(Y12:Y41)</f>
        <v>20.0672548525334</v>
      </c>
      <c r="Z43" s="67" t="n">
        <f aca="false">SUM(Z12:Z41)</f>
        <v>6371.06725485253</v>
      </c>
      <c r="AA43" s="60" t="n">
        <f aca="false">SUM(AA12:AA41)</f>
        <v>0.31</v>
      </c>
      <c r="AB43" s="72" t="n">
        <f aca="false">AVERAGE(AB12:AB41)</f>
        <v>58.4666666666667</v>
      </c>
      <c r="AC43" s="73" t="n">
        <f aca="false">AVERAGE(AC12:AC41)</f>
        <v>30.8333333333333</v>
      </c>
      <c r="AD43" s="255" t="s">
        <v>84</v>
      </c>
      <c r="AE43" s="10"/>
      <c r="AF43" s="287" t="n">
        <f aca="false">SUM(AF12:AF41)</f>
        <v>110.004506442498</v>
      </c>
    </row>
    <row r="44" customFormat="false" ht="11.1" hidden="false" customHeight="true" outlineLevel="0" collapsed="false">
      <c r="A44" s="6" t="s">
        <v>56</v>
      </c>
      <c r="B44" s="66"/>
      <c r="C44" s="67"/>
      <c r="D44" s="67" t="n">
        <f aca="false">SUM(D12:D41)</f>
        <v>24640</v>
      </c>
      <c r="E44" s="67"/>
      <c r="F44" s="68" t="n">
        <f aca="false">F43*$D$2</f>
        <v>24640</v>
      </c>
      <c r="G44" s="7" t="n">
        <f aca="false">G43*$D$2</f>
        <v>28407.687</v>
      </c>
      <c r="H44" s="7" t="n">
        <f aca="false">H43*$D$2</f>
        <v>1881.9448</v>
      </c>
      <c r="I44" s="7" t="n">
        <f aca="false">I43*$D$2</f>
        <v>30289.6318</v>
      </c>
      <c r="J44" s="7" t="n">
        <f aca="false">J43*$D$2</f>
        <v>6987.3801</v>
      </c>
      <c r="K44" s="7" t="n">
        <f aca="false">K43*$D$2</f>
        <v>37277.0119</v>
      </c>
      <c r="L44" s="7" t="n">
        <f aca="false">L43*$D$2</f>
        <v>6947.5767</v>
      </c>
      <c r="M44" s="69" t="n">
        <f aca="false">M43*$D$2</f>
        <v>2146.9404</v>
      </c>
      <c r="N44" s="67" t="n">
        <f aca="false">N43*$D$2</f>
        <v>0</v>
      </c>
      <c r="O44" s="67" t="n">
        <f aca="false">O43*$D$2</f>
        <v>1311.06473925</v>
      </c>
      <c r="P44" s="70" t="n">
        <f aca="false">P43*$D$2</f>
        <v>835.87566075</v>
      </c>
      <c r="Q44" s="7" t="n">
        <f aca="false">Q43*$D$2</f>
        <v>9066.1818</v>
      </c>
      <c r="R44" s="7" t="n">
        <f aca="false">R43*$D$2</f>
        <v>21.4218</v>
      </c>
      <c r="S44" s="7" t="n">
        <f aca="false">S43*$D$2</f>
        <v>9923.47926075</v>
      </c>
      <c r="T44" s="89"/>
      <c r="U44" s="7" t="n">
        <f aca="false">U43*$D$2</f>
        <v>291.5745</v>
      </c>
      <c r="V44" s="7" t="n">
        <f aca="false">V43*$D$2</f>
        <v>1071.09</v>
      </c>
      <c r="W44" s="7"/>
      <c r="X44" s="7" t="n">
        <f aca="false">X43*$D$2</f>
        <v>12597.2085</v>
      </c>
      <c r="Y44" s="7" t="n">
        <f aca="false">Y43*$D$2</f>
        <v>39.8034</v>
      </c>
      <c r="Z44" s="67" t="n">
        <f aca="false">Z43*$D$2</f>
        <v>12637.0119</v>
      </c>
      <c r="AA44" s="60"/>
      <c r="AB44" s="72" t="n">
        <f aca="false">MAX(AB12:AB41)</f>
        <v>69</v>
      </c>
      <c r="AC44" s="73" t="n">
        <f aca="false">MAX(AC12:AC41)</f>
        <v>38</v>
      </c>
      <c r="AD44" s="255" t="s">
        <v>57</v>
      </c>
      <c r="AE44" s="256"/>
      <c r="AF44" s="287" t="n">
        <f aca="false">AF43*$D$2</f>
        <v>218.193938528695</v>
      </c>
    </row>
    <row r="45" customFormat="false" ht="3" hidden="false" customHeight="true" outlineLevel="0" collapsed="false">
      <c r="A45" s="75"/>
      <c r="B45" s="96"/>
      <c r="C45" s="77"/>
      <c r="D45" s="77"/>
      <c r="E45" s="77"/>
      <c r="F45" s="97"/>
      <c r="G45" s="77"/>
      <c r="H45" s="77"/>
      <c r="I45" s="77"/>
      <c r="J45" s="77"/>
      <c r="K45" s="77"/>
      <c r="L45" s="77"/>
      <c r="M45" s="98"/>
      <c r="N45" s="77"/>
      <c r="O45" s="77"/>
      <c r="P45" s="99"/>
      <c r="Q45" s="77"/>
      <c r="R45" s="77"/>
      <c r="S45" s="77"/>
      <c r="T45" s="280"/>
      <c r="U45" s="77"/>
      <c r="V45" s="77"/>
      <c r="W45" s="75"/>
      <c r="X45" s="77"/>
      <c r="Y45" s="77"/>
      <c r="Z45" s="77"/>
      <c r="AA45" s="288"/>
      <c r="AB45" s="77"/>
      <c r="AC45" s="97"/>
      <c r="AD45" s="289"/>
      <c r="AE45" s="281"/>
      <c r="AF45" s="290"/>
    </row>
    <row r="46" customFormat="false" ht="11.1" hidden="false" customHeight="true" outlineLevel="0" collapsed="false">
      <c r="A46" s="6" t="s">
        <v>58</v>
      </c>
      <c r="B46" s="66"/>
      <c r="C46" s="67"/>
      <c r="D46" s="67"/>
      <c r="E46" s="67"/>
      <c r="F46" s="68" t="n">
        <f aca="false">F9+F43</f>
        <v>12422.4855054197</v>
      </c>
      <c r="G46" s="7" t="n">
        <f aca="false">G9+G43</f>
        <v>14322</v>
      </c>
      <c r="H46" s="12" t="n">
        <f aca="false">H9+H43</f>
        <v>948.8</v>
      </c>
      <c r="I46" s="7" t="n">
        <f aca="false">I9+I43</f>
        <v>15270.8</v>
      </c>
      <c r="J46" s="7" t="n">
        <f aca="false">J9+J43</f>
        <v>3522.75276027225</v>
      </c>
      <c r="K46" s="7" t="n">
        <f aca="false">K9+K43</f>
        <v>18793.5527602722</v>
      </c>
      <c r="L46" s="7" t="n">
        <f aca="false">L9+L43</f>
        <v>3502.68550541971</v>
      </c>
      <c r="M46" s="69" t="n">
        <f aca="false">M9+M43</f>
        <v>1152.38</v>
      </c>
      <c r="N46" s="67" t="n">
        <f aca="false">N9+N43</f>
        <v>0</v>
      </c>
      <c r="O46" s="67" t="n">
        <f aca="false">O9+O43</f>
        <v>662.613</v>
      </c>
      <c r="P46" s="70" t="n">
        <f aca="false">P9+P43</f>
        <v>489.4145</v>
      </c>
      <c r="Q46" s="7" t="n">
        <f aca="false">Q9+Q43</f>
        <v>4570.8</v>
      </c>
      <c r="R46" s="7" t="n">
        <f aca="false">R9+R43</f>
        <v>10.8</v>
      </c>
      <c r="S46" s="7" t="n">
        <f aca="false">S9+S43</f>
        <v>5003.0145</v>
      </c>
      <c r="T46" s="89" t="n">
        <f aca="false">T41</f>
        <v>10774.7787034573</v>
      </c>
      <c r="U46" s="7" t="n">
        <f aca="false">U9+U43</f>
        <v>147</v>
      </c>
      <c r="V46" s="7" t="n">
        <f aca="false">V9+V43</f>
        <v>540</v>
      </c>
      <c r="W46" s="7"/>
      <c r="X46" s="7" t="n">
        <f aca="false">X9+X43</f>
        <v>6351</v>
      </c>
      <c r="Y46" s="7" t="n">
        <f aca="false">Y9+Y43</f>
        <v>20.0672548525334</v>
      </c>
      <c r="Z46" s="67" t="n">
        <f aca="false">Z9+Z43</f>
        <v>6371.06725485253</v>
      </c>
      <c r="AA46" s="60"/>
      <c r="AB46" s="72" t="n">
        <f aca="false">MIN(AB12:AB41)</f>
        <v>40</v>
      </c>
      <c r="AC46" s="73" t="n">
        <f aca="false">MIN(AC12:AC41)</f>
        <v>22</v>
      </c>
      <c r="AD46" s="255" t="s">
        <v>59</v>
      </c>
      <c r="AE46" s="256"/>
      <c r="AF46" s="287" t="n">
        <f aca="false">AF9+AF43</f>
        <v>110.004506442498</v>
      </c>
    </row>
    <row r="47" customFormat="false" ht="11.1" hidden="false" customHeight="true" outlineLevel="0" collapsed="false">
      <c r="A47" s="6" t="s">
        <v>60</v>
      </c>
      <c r="B47" s="66"/>
      <c r="C47" s="67"/>
      <c r="D47" s="67"/>
      <c r="E47" s="67"/>
      <c r="F47" s="68" t="n">
        <f aca="false">F46*$D$2</f>
        <v>24640</v>
      </c>
      <c r="G47" s="7" t="n">
        <f aca="false">G46*$D$2</f>
        <v>28407.687</v>
      </c>
      <c r="H47" s="12" t="n">
        <f aca="false">H46*$D$2</f>
        <v>1881.9448</v>
      </c>
      <c r="I47" s="7" t="n">
        <f aca="false">I46*$D$2</f>
        <v>30289.6318</v>
      </c>
      <c r="J47" s="7" t="n">
        <f aca="false">J46*$D$2</f>
        <v>6987.3801</v>
      </c>
      <c r="K47" s="7" t="n">
        <f aca="false">K46*$D$2</f>
        <v>37277.0119</v>
      </c>
      <c r="L47" s="7" t="n">
        <f aca="false">L46*$D$2</f>
        <v>6947.5767</v>
      </c>
      <c r="M47" s="69" t="n">
        <f aca="false">M46*$D$2</f>
        <v>2285.74573</v>
      </c>
      <c r="N47" s="67" t="n">
        <f aca="false">N46*$D$2</f>
        <v>0</v>
      </c>
      <c r="O47" s="67" t="n">
        <f aca="false">O46*$D$2</f>
        <v>1314.2928855</v>
      </c>
      <c r="P47" s="70" t="n">
        <f aca="false">P46*$D$2</f>
        <v>970.75366075</v>
      </c>
      <c r="Q47" s="7" t="n">
        <f aca="false">Q46*$D$2</f>
        <v>9066.1818</v>
      </c>
      <c r="R47" s="7" t="n">
        <f aca="false">R46*$D$2</f>
        <v>21.4218</v>
      </c>
      <c r="S47" s="7" t="n">
        <f aca="false">S46*$D$2</f>
        <v>9923.47926075</v>
      </c>
      <c r="T47" s="89" t="n">
        <f aca="false">T46*$D$2</f>
        <v>21371.7735583075</v>
      </c>
      <c r="U47" s="7" t="n">
        <f aca="false">U46*$D$2</f>
        <v>291.5745</v>
      </c>
      <c r="V47" s="7" t="n">
        <f aca="false">V46*$D$2</f>
        <v>1071.09</v>
      </c>
      <c r="W47" s="7"/>
      <c r="X47" s="7" t="n">
        <f aca="false">X46*$D$2</f>
        <v>12597.2085</v>
      </c>
      <c r="Y47" s="7" t="n">
        <f aca="false">Y46*$D$2</f>
        <v>39.8034</v>
      </c>
      <c r="Z47" s="67" t="n">
        <f aca="false">Z46*$D$2</f>
        <v>12637.0119</v>
      </c>
      <c r="AA47" s="60"/>
      <c r="AB47" s="72"/>
      <c r="AC47" s="73"/>
      <c r="AD47" s="89"/>
      <c r="AE47" s="256"/>
      <c r="AF47" s="287" t="n">
        <f aca="false">AF46*$D$2</f>
        <v>218.193938528695</v>
      </c>
    </row>
    <row r="48" customFormat="false" ht="3" hidden="false" customHeight="true" outlineLevel="0" collapsed="false">
      <c r="A48" s="75"/>
      <c r="B48" s="96"/>
      <c r="C48" s="77"/>
      <c r="D48" s="77"/>
      <c r="E48" s="77"/>
      <c r="F48" s="97"/>
      <c r="G48" s="77"/>
      <c r="H48" s="83"/>
      <c r="I48" s="77"/>
      <c r="J48" s="77"/>
      <c r="K48" s="77"/>
      <c r="L48" s="77"/>
      <c r="M48" s="98"/>
      <c r="N48" s="77"/>
      <c r="O48" s="77"/>
      <c r="P48" s="99"/>
      <c r="Q48" s="77"/>
      <c r="R48" s="77"/>
      <c r="S48" s="77"/>
      <c r="T48" s="280"/>
      <c r="U48" s="77"/>
      <c r="V48" s="77"/>
      <c r="W48" s="77"/>
      <c r="X48" s="77"/>
      <c r="Y48" s="77"/>
      <c r="Z48" s="77"/>
      <c r="AA48" s="82"/>
      <c r="AB48" s="291"/>
      <c r="AC48" s="292"/>
      <c r="AD48" s="280"/>
      <c r="AE48" s="281"/>
      <c r="AF48" s="290"/>
    </row>
    <row r="49" customFormat="false" ht="11.1" hidden="false" customHeight="true" outlineLevel="0" collapsed="false">
      <c r="A49" s="6" t="s">
        <v>61</v>
      </c>
      <c r="B49" s="66"/>
      <c r="C49" s="67"/>
      <c r="D49" s="67"/>
      <c r="E49" s="67"/>
      <c r="F49" s="68" t="n">
        <f aca="false">F10+F43</f>
        <v>20699.7731283085</v>
      </c>
      <c r="G49" s="7" t="n">
        <f aca="false">G10+G43</f>
        <v>21876</v>
      </c>
      <c r="H49" s="12" t="n">
        <f aca="false">H10+H43</f>
        <v>1231.54</v>
      </c>
      <c r="I49" s="7" t="n">
        <f aca="false">I10+I43</f>
        <v>23107.54</v>
      </c>
      <c r="J49" s="7" t="n">
        <f aca="false">J10+J43</f>
        <v>8001.50653138392</v>
      </c>
      <c r="K49" s="7" t="n">
        <f aca="false">K10+K43</f>
        <v>31109.0465313839</v>
      </c>
      <c r="L49" s="7" t="n">
        <f aca="false">L10+L43</f>
        <v>7346.92312830854</v>
      </c>
      <c r="M49" s="69" t="n">
        <f aca="false">M10+M43</f>
        <v>2109.2</v>
      </c>
      <c r="N49" s="67" t="n">
        <f aca="false">N10+N43</f>
        <v>0</v>
      </c>
      <c r="O49" s="67" t="n">
        <f aca="false">O10+O43</f>
        <v>662.613</v>
      </c>
      <c r="P49" s="70" t="n">
        <f aca="false">P10+P43</f>
        <v>1446.587</v>
      </c>
      <c r="Q49" s="7" t="n">
        <f aca="false">Q10+Q43</f>
        <v>4632.8</v>
      </c>
      <c r="R49" s="7" t="n">
        <f aca="false">R10+R43</f>
        <v>61.8</v>
      </c>
      <c r="S49" s="7" t="n">
        <f aca="false">S10+S43</f>
        <v>6141.187</v>
      </c>
      <c r="T49" s="89"/>
      <c r="U49" s="7" t="n">
        <f aca="false">U10+U43</f>
        <v>147</v>
      </c>
      <c r="V49" s="7" t="n">
        <f aca="false">V10+V43</f>
        <v>2803.89</v>
      </c>
      <c r="W49" s="7" t="n">
        <f aca="false">W41</f>
        <v>7701.49231157046</v>
      </c>
      <c r="X49" s="7" t="n">
        <f aca="false">X10+X43</f>
        <v>9754.69</v>
      </c>
      <c r="Y49" s="7" t="n">
        <f aca="false">Y10+Y43</f>
        <v>654.583403075372</v>
      </c>
      <c r="Z49" s="67" t="n">
        <f aca="false">Z10+Z43</f>
        <v>10409.2734030754</v>
      </c>
      <c r="AA49" s="60" t="n">
        <f aca="false">AA10+AA43</f>
        <v>7.35</v>
      </c>
      <c r="AB49" s="72"/>
      <c r="AC49" s="73"/>
      <c r="AD49" s="89"/>
      <c r="AE49" s="256"/>
      <c r="AF49" s="287" t="n">
        <f aca="false">AF10+AF43</f>
        <v>110.004506442498</v>
      </c>
    </row>
    <row r="50" customFormat="false" ht="11.1" hidden="false" customHeight="true" outlineLevel="0" collapsed="false">
      <c r="A50" s="6" t="s">
        <v>62</v>
      </c>
      <c r="B50" s="66"/>
      <c r="C50" s="67"/>
      <c r="D50" s="67" t="n">
        <f aca="false">D10+D44</f>
        <v>41058</v>
      </c>
      <c r="E50" s="67" t="n">
        <f aca="false">E41</f>
        <v>45625</v>
      </c>
      <c r="F50" s="68" t="n">
        <f aca="false">F49*$D$2</f>
        <v>41058</v>
      </c>
      <c r="G50" s="7" t="n">
        <f aca="false">G49*$D$2</f>
        <v>43391.046</v>
      </c>
      <c r="H50" s="12" t="n">
        <f aca="false">H49*$D$2</f>
        <v>2442.75959</v>
      </c>
      <c r="I50" s="7" t="n">
        <f aca="false">I49*$D$2</f>
        <v>45833.80559</v>
      </c>
      <c r="J50" s="7" t="n">
        <f aca="false">J49*$D$2</f>
        <v>15870.988205</v>
      </c>
      <c r="K50" s="7" t="n">
        <f aca="false">K49*$D$2</f>
        <v>61704.793795</v>
      </c>
      <c r="L50" s="7" t="n">
        <f aca="false">L49*$D$2</f>
        <v>14572.622025</v>
      </c>
      <c r="M50" s="69" t="n">
        <f aca="false">M49*$D$2</f>
        <v>4183.5982</v>
      </c>
      <c r="N50" s="67" t="n">
        <f aca="false">N49*$D$2</f>
        <v>0</v>
      </c>
      <c r="O50" s="67" t="n">
        <f aca="false">O49*$D$2</f>
        <v>1314.2928855</v>
      </c>
      <c r="P50" s="70" t="n">
        <f aca="false">P49*$D$2</f>
        <v>2869.3053145</v>
      </c>
      <c r="Q50" s="7" t="n">
        <f aca="false">Q49*$D$2</f>
        <v>9189.1588</v>
      </c>
      <c r="R50" s="7" t="n">
        <f aca="false">R49*$D$2</f>
        <v>122.5803</v>
      </c>
      <c r="S50" s="7" t="n">
        <f aca="false">S49*$D$2</f>
        <v>12181.0444145</v>
      </c>
      <c r="T50" s="89"/>
      <c r="U50" s="7" t="n">
        <f aca="false">U49*$D$2</f>
        <v>291.5745</v>
      </c>
      <c r="V50" s="7" t="n">
        <f aca="false">V49*$D$2</f>
        <v>5561.515815</v>
      </c>
      <c r="W50" s="7" t="n">
        <f aca="false">W49*$D$2</f>
        <v>15275.91</v>
      </c>
      <c r="X50" s="7" t="n">
        <f aca="false">X49*$D$2</f>
        <v>19348.427615</v>
      </c>
      <c r="Y50" s="7" t="n">
        <f aca="false">Y49*$D$2</f>
        <v>1298.36618</v>
      </c>
      <c r="Z50" s="67" t="n">
        <f aca="false">Z49*$D$2</f>
        <v>20646.793795</v>
      </c>
      <c r="AA50" s="60"/>
      <c r="AB50" s="72"/>
      <c r="AC50" s="73"/>
      <c r="AD50" s="89"/>
      <c r="AE50" s="256"/>
      <c r="AF50" s="287" t="n">
        <f aca="false">AF49*$D$2</f>
        <v>218.193938528695</v>
      </c>
    </row>
    <row r="51" customFormat="false" ht="3" hidden="false" customHeight="true" outlineLevel="0" collapsed="false">
      <c r="A51" s="75"/>
      <c r="B51" s="96"/>
      <c r="C51" s="77"/>
      <c r="D51" s="75"/>
      <c r="E51" s="77"/>
      <c r="F51" s="78"/>
      <c r="G51" s="75"/>
      <c r="H51" s="79"/>
      <c r="I51" s="75"/>
      <c r="J51" s="75"/>
      <c r="K51" s="75"/>
      <c r="L51" s="75"/>
      <c r="M51" s="80"/>
      <c r="N51" s="75"/>
      <c r="O51" s="75"/>
      <c r="P51" s="81"/>
      <c r="Q51" s="75"/>
      <c r="R51" s="75"/>
      <c r="S51" s="75"/>
      <c r="T51" s="280"/>
      <c r="U51" s="75"/>
      <c r="V51" s="75"/>
      <c r="W51" s="77"/>
      <c r="X51" s="75"/>
      <c r="Y51" s="75"/>
      <c r="Z51" s="75"/>
      <c r="AA51" s="96"/>
      <c r="AB51" s="75"/>
      <c r="AC51" s="78"/>
      <c r="AD51" s="280"/>
      <c r="AE51" s="281"/>
      <c r="AF51" s="281"/>
    </row>
    <row r="52" customFormat="false" ht="14.1" hidden="false" customHeight="true" outlineLevel="0" collapsed="false">
      <c r="A52" s="100"/>
      <c r="B52" s="101"/>
      <c r="C52" s="7"/>
      <c r="D52" s="6"/>
      <c r="E52" s="7"/>
      <c r="F52" s="6"/>
      <c r="G52" s="6"/>
      <c r="H52" s="8"/>
      <c r="I52" s="6"/>
      <c r="J52" s="6"/>
      <c r="K52" s="6"/>
      <c r="L52" s="6"/>
      <c r="M52" s="6"/>
      <c r="N52" s="6"/>
      <c r="O52" s="6"/>
      <c r="P52" s="6"/>
      <c r="Q52" s="6"/>
      <c r="R52" s="6"/>
      <c r="S52" s="6"/>
      <c r="T52" s="89"/>
      <c r="U52" s="6"/>
      <c r="V52" s="6"/>
      <c r="W52" s="7"/>
      <c r="X52" s="6"/>
      <c r="Y52" s="6"/>
      <c r="Z52" s="293"/>
      <c r="AA52" s="254"/>
      <c r="AB52" s="72"/>
      <c r="AC52" s="72"/>
      <c r="AD52" s="89"/>
      <c r="AE52" s="256"/>
      <c r="AF52" s="277"/>
    </row>
    <row r="53" customFormat="false" ht="11.1" hidden="false" customHeight="true" outlineLevel="0" collapsed="false">
      <c r="A53" s="6"/>
      <c r="B53" s="102"/>
      <c r="C53" s="7"/>
      <c r="D53" s="103"/>
      <c r="E53" s="7"/>
      <c r="F53" s="6"/>
      <c r="G53" s="6"/>
      <c r="H53" s="103"/>
      <c r="I53" s="8"/>
      <c r="J53" s="6"/>
      <c r="K53" s="104"/>
      <c r="L53" s="6"/>
      <c r="M53" s="6"/>
      <c r="N53" s="6"/>
      <c r="O53" s="6"/>
      <c r="P53" s="6"/>
      <c r="Q53" s="6"/>
      <c r="R53" s="6"/>
      <c r="S53" s="6"/>
      <c r="T53" s="89"/>
      <c r="U53" s="6"/>
      <c r="V53" s="6"/>
      <c r="W53" s="7"/>
      <c r="X53" s="6"/>
      <c r="Y53" s="6"/>
      <c r="Z53" s="91"/>
      <c r="AA53" s="254"/>
      <c r="AB53" s="72"/>
      <c r="AC53" s="72"/>
      <c r="AD53" s="89"/>
      <c r="AE53" s="256"/>
      <c r="AF53" s="277"/>
    </row>
    <row r="54" customFormat="false" ht="11.1" hidden="false" customHeight="true" outlineLevel="0" collapsed="false">
      <c r="B54" s="103"/>
      <c r="C54" s="7"/>
      <c r="D54" s="7"/>
      <c r="E54" s="7"/>
      <c r="F54" s="103"/>
      <c r="G54" s="103"/>
      <c r="H54" s="8"/>
      <c r="I54" s="103"/>
      <c r="J54" s="103"/>
      <c r="K54" s="103"/>
      <c r="L54" s="103"/>
      <c r="M54" s="89"/>
      <c r="N54" s="89"/>
      <c r="O54" s="89"/>
      <c r="P54" s="89"/>
      <c r="Q54" s="103"/>
      <c r="R54" s="103"/>
      <c r="S54" s="103"/>
      <c r="T54" s="89"/>
      <c r="U54" s="103"/>
      <c r="V54" s="103"/>
      <c r="W54" s="7"/>
      <c r="X54" s="103"/>
      <c r="Y54" s="103"/>
      <c r="Z54" s="94"/>
      <c r="AA54" s="254"/>
      <c r="AB54" s="72"/>
      <c r="AC54" s="72"/>
      <c r="AD54" s="89"/>
      <c r="AE54" s="256"/>
      <c r="AF54" s="277"/>
    </row>
    <row r="55" customFormat="false" ht="11.1" hidden="false" customHeight="true" outlineLevel="0" collapsed="false">
      <c r="A55" s="103"/>
      <c r="B55" s="10"/>
      <c r="C55" s="7"/>
      <c r="D55" s="7"/>
      <c r="E55" s="7"/>
      <c r="F55" s="103"/>
      <c r="G55" s="103"/>
      <c r="H55" s="8"/>
      <c r="I55" s="103"/>
      <c r="J55" s="103"/>
      <c r="K55" s="103"/>
      <c r="L55" s="103"/>
      <c r="M55" s="89"/>
      <c r="N55" s="89"/>
      <c r="O55" s="89"/>
      <c r="P55" s="89"/>
      <c r="Q55" s="103"/>
      <c r="R55" s="103"/>
      <c r="S55" s="103"/>
      <c r="T55" s="89"/>
      <c r="U55" s="103"/>
      <c r="V55" s="103"/>
      <c r="W55" s="7"/>
      <c r="X55" s="103"/>
      <c r="Y55" s="103"/>
      <c r="Z55" s="293"/>
      <c r="AA55" s="254"/>
      <c r="AB55" s="72"/>
      <c r="AC55" s="72"/>
      <c r="AD55" s="89"/>
      <c r="AE55" s="256"/>
      <c r="AF55" s="277"/>
    </row>
    <row r="56" customFormat="false" ht="11.1" hidden="false" customHeight="true" outlineLevel="0" collapsed="false">
      <c r="A56" s="103"/>
      <c r="B56" s="103"/>
      <c r="C56" s="7"/>
      <c r="D56" s="103"/>
      <c r="E56" s="7"/>
      <c r="F56" s="103"/>
      <c r="G56" s="105"/>
      <c r="H56" s="8"/>
      <c r="I56" s="103"/>
      <c r="J56" s="103"/>
      <c r="K56" s="103"/>
      <c r="L56" s="103"/>
      <c r="M56" s="89"/>
      <c r="N56" s="89"/>
      <c r="O56" s="89"/>
      <c r="P56" s="103"/>
      <c r="Q56" s="103"/>
      <c r="R56" s="103"/>
      <c r="S56" s="7"/>
      <c r="T56" s="89"/>
      <c r="U56" s="103"/>
      <c r="V56" s="7"/>
      <c r="W56" s="103"/>
      <c r="X56" s="103"/>
      <c r="Y56" s="103"/>
      <c r="Z56" s="253"/>
      <c r="AA56" s="254"/>
      <c r="AB56" s="72"/>
      <c r="AC56" s="65"/>
      <c r="AD56" s="255"/>
      <c r="AE56" s="256"/>
    </row>
    <row r="57" customFormat="false" ht="11.1" hidden="false" customHeight="true" outlineLevel="0" collapsed="false">
      <c r="AC57" s="65"/>
      <c r="AD57" s="255"/>
    </row>
  </sheetData>
  <mergeCells count="1">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7" activePane="bottomRight" state="frozen"/>
      <selection pane="topLeft" activeCell="A1" activeCellId="0" sqref="A1"/>
      <selection pane="topRight" activeCell="B1" activeCellId="0" sqref="B1"/>
      <selection pane="bottomLeft" activeCell="A17" activeCellId="0" sqref="A17"/>
      <selection pane="bottomRight" activeCell="V12" activeCellId="0" sqref="V12"/>
    </sheetView>
  </sheetViews>
  <sheetFormatPr defaultColWidth="9.328125" defaultRowHeight="11.1" zeroHeight="false" outlineLevelRow="0" outlineLevelCol="0"/>
  <cols>
    <col collapsed="false" customWidth="true" hidden="false" outlineLevel="0" max="1" min="1" style="106" width="5.66"/>
    <col collapsed="false" customWidth="true" hidden="false" outlineLevel="0" max="2" min="2" style="106" width="7.49"/>
    <col collapsed="false" customWidth="true" hidden="false" outlineLevel="0" max="3" min="3" style="107" width="6.82"/>
    <col collapsed="false" customWidth="true" hidden="false" outlineLevel="0" max="4" min="4" style="106" width="6.99"/>
    <col collapsed="false" customWidth="true" hidden="false" outlineLevel="0" max="5" min="5" style="107" width="7.66"/>
    <col collapsed="false" customWidth="true" hidden="false" outlineLevel="0" max="6" min="6" style="106" width="7.66"/>
    <col collapsed="false" customWidth="true" hidden="false" outlineLevel="0" max="7" min="7" style="106" width="7.16"/>
    <col collapsed="false" customWidth="true" hidden="false" outlineLevel="0" max="8" min="8" style="110" width="6.66"/>
    <col collapsed="false" customWidth="true" hidden="false" outlineLevel="0" max="9" min="9" style="106" width="7.99"/>
    <col collapsed="false" customWidth="true" hidden="false" outlineLevel="0" max="11" min="10" style="106" width="6.66"/>
    <col collapsed="false" customWidth="true" hidden="false" outlineLevel="0" max="12" min="12"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06" width="7.16"/>
    <col collapsed="false" customWidth="true" hidden="false" outlineLevel="0" max="18" min="17" style="106" width="5.49"/>
    <col collapsed="false" customWidth="true" hidden="false" outlineLevel="0" max="19" min="19" style="107" width="6.82"/>
    <col collapsed="false" customWidth="true" hidden="false" outlineLevel="0" max="20" min="20" style="106" width="6.49"/>
    <col collapsed="false" customWidth="true" hidden="false" outlineLevel="0" max="21" min="21" style="106" width="5.66"/>
    <col collapsed="false" customWidth="true" hidden="false" outlineLevel="0" max="22" min="22" style="107" width="6.16"/>
    <col collapsed="false" customWidth="true" hidden="false" outlineLevel="0" max="23" min="23" style="106" width="6.82"/>
    <col collapsed="false" customWidth="true" hidden="false" outlineLevel="0" max="25" min="24" style="106" width="7.82"/>
    <col collapsed="false" customWidth="true" hidden="false" outlineLevel="0" max="26" min="26" style="110" width="7.82"/>
    <col collapsed="false" customWidth="true" hidden="false" outlineLevel="0" max="27" min="27" style="108" width="5.32"/>
    <col collapsed="false" customWidth="true" hidden="false" outlineLevel="0" max="28" min="28" style="111" width="3.82"/>
    <col collapsed="false" customWidth="true" hidden="false" outlineLevel="0" max="29" min="29" style="112" width="3.82"/>
    <col collapsed="false" customWidth="true" hidden="false" outlineLevel="0" max="30" min="30" style="106" width="5.99"/>
    <col collapsed="false" customWidth="true" hidden="false" outlineLevel="0" max="31" min="31" style="106" width="6.66"/>
    <col collapsed="false" customWidth="false" hidden="false" outlineLevel="0" max="32" min="32" style="294" width="9.32"/>
    <col collapsed="false" customWidth="false" hidden="false" outlineLevel="0" max="257" min="33" style="106" width="9.32"/>
  </cols>
  <sheetData>
    <row r="1" customFormat="false" ht="14.1" hidden="false" customHeight="true" outlineLevel="0" collapsed="false">
      <c r="A1" s="113"/>
      <c r="B1" s="113"/>
      <c r="C1" s="114"/>
      <c r="D1" s="113"/>
      <c r="E1" s="114"/>
      <c r="F1" s="113"/>
      <c r="G1" s="113"/>
      <c r="H1" s="117"/>
      <c r="I1" s="113"/>
      <c r="J1" s="113"/>
      <c r="K1" s="116" t="s">
        <v>0</v>
      </c>
      <c r="L1" s="113"/>
      <c r="M1" s="113"/>
      <c r="N1" s="113"/>
      <c r="O1" s="113"/>
      <c r="P1" s="113"/>
      <c r="Q1" s="113"/>
      <c r="R1" s="113"/>
      <c r="S1" s="114"/>
      <c r="T1" s="113"/>
      <c r="U1" s="113"/>
      <c r="V1" s="114"/>
      <c r="W1" s="113"/>
      <c r="X1" s="113"/>
      <c r="Y1" s="113"/>
      <c r="Z1" s="117"/>
      <c r="AA1" s="118"/>
      <c r="AB1" s="119"/>
      <c r="AC1" s="120"/>
      <c r="AD1" s="201"/>
      <c r="AE1" s="201"/>
    </row>
    <row r="2" customFormat="false" ht="14.1" hidden="false" customHeight="true" outlineLevel="0" collapsed="false">
      <c r="A2" s="113" t="s">
        <v>1</v>
      </c>
      <c r="B2" s="113"/>
      <c r="C2" s="114"/>
      <c r="D2" s="121" t="n">
        <v>1.9835</v>
      </c>
      <c r="E2" s="114"/>
      <c r="F2" s="113"/>
      <c r="G2" s="113"/>
      <c r="H2" s="117"/>
      <c r="I2" s="113"/>
      <c r="J2" s="113"/>
      <c r="K2" s="122" t="s">
        <v>85</v>
      </c>
      <c r="L2" s="122"/>
      <c r="M2" s="122"/>
      <c r="N2" s="122"/>
      <c r="O2" s="122"/>
      <c r="P2" s="122"/>
      <c r="Q2" s="122"/>
      <c r="R2" s="122"/>
      <c r="S2" s="122"/>
      <c r="T2" s="122"/>
      <c r="U2" s="113"/>
      <c r="V2" s="114"/>
      <c r="W2" s="113"/>
      <c r="X2" s="113"/>
      <c r="Y2" s="113"/>
      <c r="Z2" s="117"/>
      <c r="AA2" s="118"/>
      <c r="AB2" s="119"/>
      <c r="AC2" s="120"/>
      <c r="AD2" s="201"/>
      <c r="AE2" s="201"/>
    </row>
    <row r="3" customFormat="false" ht="14.1" hidden="false" customHeight="true" outlineLevel="0" collapsed="false">
      <c r="A3" s="113"/>
      <c r="B3" s="113"/>
      <c r="C3" s="114"/>
      <c r="D3" s="295"/>
      <c r="E3" s="114"/>
      <c r="F3" s="113"/>
      <c r="G3" s="113"/>
      <c r="H3" s="117"/>
      <c r="I3" s="113"/>
      <c r="J3" s="113"/>
      <c r="K3" s="113"/>
      <c r="L3" s="113"/>
      <c r="M3" s="113"/>
      <c r="N3" s="113"/>
      <c r="O3" s="113"/>
      <c r="P3" s="113"/>
      <c r="Q3" s="113"/>
      <c r="R3" s="113"/>
      <c r="S3" s="114"/>
      <c r="T3" s="113"/>
      <c r="U3" s="113"/>
      <c r="V3" s="114"/>
      <c r="W3" s="113"/>
      <c r="X3" s="113"/>
      <c r="Y3" s="113"/>
      <c r="Z3" s="117"/>
      <c r="AA3" s="118"/>
      <c r="AB3" s="119"/>
      <c r="AC3" s="120"/>
      <c r="AD3" s="201"/>
      <c r="AE3" s="201"/>
    </row>
    <row r="4" customFormat="false" ht="14.1" hidden="false" customHeight="true" outlineLevel="0" collapsed="false">
      <c r="A4" s="296"/>
      <c r="B4" s="132"/>
      <c r="C4" s="133"/>
      <c r="D4" s="204" t="s">
        <v>3</v>
      </c>
      <c r="E4" s="133"/>
      <c r="F4" s="296"/>
      <c r="G4" s="132"/>
      <c r="H4" s="297"/>
      <c r="I4" s="296"/>
      <c r="J4" s="296"/>
      <c r="K4" s="296"/>
      <c r="L4" s="296"/>
      <c r="M4" s="296"/>
      <c r="N4" s="296"/>
      <c r="O4" s="296"/>
      <c r="P4" s="296"/>
      <c r="Q4" s="298" t="s">
        <v>4</v>
      </c>
      <c r="R4" s="296"/>
      <c r="S4" s="133"/>
      <c r="T4" s="296"/>
      <c r="U4" s="296"/>
      <c r="V4" s="133"/>
      <c r="W4" s="296"/>
      <c r="X4" s="296"/>
      <c r="Y4" s="296"/>
      <c r="Z4" s="297"/>
      <c r="AA4" s="137"/>
      <c r="AB4" s="138" t="s">
        <v>5</v>
      </c>
      <c r="AC4" s="139"/>
      <c r="AD4" s="299"/>
      <c r="AE4" s="299"/>
      <c r="AF4" s="300"/>
    </row>
    <row r="5" customFormat="false" ht="11.1" hidden="false" customHeight="true" outlineLevel="0" collapsed="false">
      <c r="A5" s="140" t="s">
        <v>6</v>
      </c>
      <c r="B5" s="141" t="s">
        <v>7</v>
      </c>
      <c r="C5" s="142" t="s">
        <v>7</v>
      </c>
      <c r="D5" s="140" t="s">
        <v>8</v>
      </c>
      <c r="E5" s="142" t="s">
        <v>9</v>
      </c>
      <c r="F5" s="140" t="s">
        <v>10</v>
      </c>
      <c r="G5" s="240" t="s">
        <v>11</v>
      </c>
      <c r="H5" s="301" t="s">
        <v>12</v>
      </c>
      <c r="I5" s="242" t="s">
        <v>13</v>
      </c>
      <c r="J5" s="242" t="s">
        <v>14</v>
      </c>
      <c r="K5" s="242" t="s">
        <v>15</v>
      </c>
      <c r="L5" s="140" t="s">
        <v>14</v>
      </c>
      <c r="M5" s="145" t="s">
        <v>16</v>
      </c>
      <c r="N5" s="145"/>
      <c r="O5" s="145"/>
      <c r="P5" s="145"/>
      <c r="Q5" s="140" t="s">
        <v>17</v>
      </c>
      <c r="R5" s="140" t="s">
        <v>18</v>
      </c>
      <c r="S5" s="140" t="s">
        <v>15</v>
      </c>
      <c r="T5" s="142" t="s">
        <v>19</v>
      </c>
      <c r="U5" s="140" t="s">
        <v>20</v>
      </c>
      <c r="V5" s="140" t="s">
        <v>21</v>
      </c>
      <c r="W5" s="142" t="s">
        <v>22</v>
      </c>
      <c r="X5" s="140" t="s">
        <v>13</v>
      </c>
      <c r="Y5" s="140" t="s">
        <v>14</v>
      </c>
      <c r="Z5" s="140" t="s">
        <v>15</v>
      </c>
      <c r="AA5" s="146" t="s">
        <v>23</v>
      </c>
      <c r="AB5" s="147" t="s">
        <v>24</v>
      </c>
      <c r="AC5" s="148" t="s">
        <v>25</v>
      </c>
      <c r="AD5" s="147" t="s">
        <v>64</v>
      </c>
      <c r="AE5" s="207" t="s">
        <v>19</v>
      </c>
      <c r="AF5" s="302" t="s">
        <v>19</v>
      </c>
    </row>
    <row r="6" customFormat="false" ht="11.1" hidden="false" customHeight="true" outlineLevel="0" collapsed="false">
      <c r="A6" s="150" t="s">
        <v>86</v>
      </c>
      <c r="B6" s="141" t="s">
        <v>28</v>
      </c>
      <c r="C6" s="142" t="s">
        <v>8</v>
      </c>
      <c r="D6" s="140" t="s">
        <v>29</v>
      </c>
      <c r="E6" s="142" t="s">
        <v>30</v>
      </c>
      <c r="F6" s="140" t="s">
        <v>31</v>
      </c>
      <c r="G6" s="240" t="s">
        <v>32</v>
      </c>
      <c r="H6" s="301" t="s">
        <v>33</v>
      </c>
      <c r="I6" s="242" t="s">
        <v>34</v>
      </c>
      <c r="J6" s="242" t="s">
        <v>34</v>
      </c>
      <c r="K6" s="242" t="s">
        <v>34</v>
      </c>
      <c r="L6" s="140" t="s">
        <v>35</v>
      </c>
      <c r="M6" s="151" t="s">
        <v>36</v>
      </c>
      <c r="N6" s="140" t="s">
        <v>37</v>
      </c>
      <c r="O6" s="140" t="s">
        <v>38</v>
      </c>
      <c r="P6" s="152" t="s">
        <v>39</v>
      </c>
      <c r="Q6" s="140" t="s">
        <v>40</v>
      </c>
      <c r="R6" s="140" t="s">
        <v>41</v>
      </c>
      <c r="S6" s="140" t="s">
        <v>19</v>
      </c>
      <c r="T6" s="142" t="s">
        <v>80</v>
      </c>
      <c r="U6" s="140" t="s">
        <v>43</v>
      </c>
      <c r="V6" s="140" t="s">
        <v>44</v>
      </c>
      <c r="W6" s="142" t="s">
        <v>45</v>
      </c>
      <c r="X6" s="140" t="s">
        <v>46</v>
      </c>
      <c r="Y6" s="140" t="s">
        <v>46</v>
      </c>
      <c r="Z6" s="140" t="s">
        <v>46</v>
      </c>
      <c r="AA6" s="153"/>
      <c r="AB6" s="147" t="s">
        <v>47</v>
      </c>
      <c r="AC6" s="148" t="s">
        <v>47</v>
      </c>
      <c r="AD6" s="154" t="s">
        <v>42</v>
      </c>
      <c r="AE6" s="207" t="s">
        <v>42</v>
      </c>
      <c r="AF6" s="302" t="s">
        <v>42</v>
      </c>
    </row>
    <row r="7" customFormat="false" ht="11.1" hidden="false" customHeight="true" outlineLevel="0" collapsed="false">
      <c r="A7" s="155"/>
      <c r="B7" s="156"/>
      <c r="C7" s="157"/>
      <c r="D7" s="155"/>
      <c r="E7" s="158" t="s">
        <v>48</v>
      </c>
      <c r="F7" s="155"/>
      <c r="G7" s="156"/>
      <c r="H7" s="303"/>
      <c r="I7" s="155"/>
      <c r="J7" s="155"/>
      <c r="K7" s="155"/>
      <c r="L7" s="155"/>
      <c r="M7" s="161"/>
      <c r="N7" s="155"/>
      <c r="O7" s="155"/>
      <c r="P7" s="162"/>
      <c r="Q7" s="155"/>
      <c r="R7" s="155"/>
      <c r="S7" s="155"/>
      <c r="T7" s="158" t="s">
        <v>81</v>
      </c>
      <c r="U7" s="155"/>
      <c r="V7" s="155"/>
      <c r="W7" s="158"/>
      <c r="X7" s="155"/>
      <c r="Y7" s="155"/>
      <c r="Z7" s="155"/>
      <c r="AA7" s="163"/>
      <c r="AB7" s="154" t="s">
        <v>50</v>
      </c>
      <c r="AC7" s="164"/>
      <c r="AD7" s="120"/>
      <c r="AE7" s="304" t="s">
        <v>51</v>
      </c>
      <c r="AF7" s="305" t="s">
        <v>83</v>
      </c>
    </row>
    <row r="8" customFormat="false" ht="11.1" hidden="false" customHeight="true" outlineLevel="0" collapsed="false">
      <c r="A8" s="155"/>
      <c r="B8" s="156"/>
      <c r="C8" s="157"/>
      <c r="D8" s="155"/>
      <c r="E8" s="157"/>
      <c r="F8" s="155"/>
      <c r="G8" s="156"/>
      <c r="H8" s="303"/>
      <c r="I8" s="155"/>
      <c r="J8" s="155"/>
      <c r="K8" s="155"/>
      <c r="L8" s="155"/>
      <c r="M8" s="161"/>
      <c r="N8" s="155"/>
      <c r="O8" s="155"/>
      <c r="P8" s="162"/>
      <c r="Q8" s="155"/>
      <c r="R8" s="155"/>
      <c r="S8" s="155"/>
      <c r="T8" s="157"/>
      <c r="U8" s="155"/>
      <c r="V8" s="155"/>
      <c r="W8" s="158"/>
      <c r="X8" s="155"/>
      <c r="Y8" s="155"/>
      <c r="Z8" s="155"/>
      <c r="AA8" s="163"/>
      <c r="AB8" s="120"/>
      <c r="AC8" s="164"/>
      <c r="AD8" s="120"/>
      <c r="AE8" s="304"/>
      <c r="AF8" s="306"/>
    </row>
    <row r="9" customFormat="false" ht="11.1" hidden="false" customHeight="true" outlineLevel="0" collapsed="false">
      <c r="A9" s="113" t="s">
        <v>52</v>
      </c>
      <c r="B9" s="165"/>
      <c r="C9" s="114"/>
      <c r="D9" s="114"/>
      <c r="E9" s="114"/>
      <c r="F9" s="114" t="n">
        <f aca="false">APR!F46</f>
        <v>12422.4855054197</v>
      </c>
      <c r="G9" s="307" t="n">
        <f aca="false">APR!G46</f>
        <v>14322</v>
      </c>
      <c r="H9" s="117" t="n">
        <f aca="false">APR!H46</f>
        <v>948.8</v>
      </c>
      <c r="I9" s="114" t="n">
        <f aca="false">APR!I46</f>
        <v>15270.8</v>
      </c>
      <c r="J9" s="114" t="n">
        <f aca="false">APR!J46</f>
        <v>3522.75276027225</v>
      </c>
      <c r="K9" s="114" t="n">
        <f aca="false">APR!K46</f>
        <v>18793.5527602722</v>
      </c>
      <c r="L9" s="114" t="n">
        <f aca="false">APR!L46</f>
        <v>3502.68550541971</v>
      </c>
      <c r="M9" s="167" t="n">
        <f aca="false">APR!M46</f>
        <v>1152.38</v>
      </c>
      <c r="N9" s="114" t="n">
        <f aca="false">APR!N46</f>
        <v>0</v>
      </c>
      <c r="O9" s="114" t="n">
        <f aca="false">APR!O46</f>
        <v>662.613</v>
      </c>
      <c r="P9" s="168" t="n">
        <f aca="false">APR!P46</f>
        <v>489.4145</v>
      </c>
      <c r="Q9" s="114" t="n">
        <f aca="false">APR!Q46</f>
        <v>4570.8</v>
      </c>
      <c r="R9" s="114" t="n">
        <f aca="false">APR!R46</f>
        <v>10.8</v>
      </c>
      <c r="S9" s="114" t="n">
        <f aca="false">APR!S46</f>
        <v>5003.0145</v>
      </c>
      <c r="T9" s="114" t="n">
        <f aca="false">APR!T46</f>
        <v>10774.7787034573</v>
      </c>
      <c r="U9" s="114" t="n">
        <f aca="false">APR!U46</f>
        <v>147</v>
      </c>
      <c r="V9" s="114" t="n">
        <f aca="false">APR!V46</f>
        <v>540</v>
      </c>
      <c r="W9" s="114"/>
      <c r="X9" s="114" t="n">
        <f aca="false">APR!X46</f>
        <v>6351</v>
      </c>
      <c r="Y9" s="114" t="n">
        <f aca="false">APR!Y46</f>
        <v>20.0672548525334</v>
      </c>
      <c r="Z9" s="114" t="n">
        <f aca="false">APR!Z46</f>
        <v>6371.06725485253</v>
      </c>
      <c r="AA9" s="163"/>
      <c r="AB9" s="119"/>
      <c r="AC9" s="169"/>
      <c r="AD9" s="120" t="n">
        <f aca="false">APR!AD41</f>
        <v>1423.650915</v>
      </c>
      <c r="AE9" s="212"/>
      <c r="AF9" s="306" t="n">
        <f aca="false">APR!AF46</f>
        <v>110.004506442498</v>
      </c>
    </row>
    <row r="10" s="107" customFormat="true" ht="11.1" hidden="false" customHeight="true" outlineLevel="0" collapsed="false">
      <c r="A10" s="114" t="s">
        <v>53</v>
      </c>
      <c r="B10" s="170" t="n">
        <f aca="false">APR!B41</f>
        <v>6873.6</v>
      </c>
      <c r="C10" s="114" t="n">
        <f aca="false">APR!C41</f>
        <v>197625</v>
      </c>
      <c r="D10" s="114" t="n">
        <f aca="false">APR!D50</f>
        <v>41058</v>
      </c>
      <c r="E10" s="114" t="n">
        <f aca="false">APR!E50</f>
        <v>45625</v>
      </c>
      <c r="F10" s="114" t="n">
        <f aca="false">APR!F49</f>
        <v>20699.7731283085</v>
      </c>
      <c r="G10" s="307" t="n">
        <f aca="false">APR!G49</f>
        <v>21876</v>
      </c>
      <c r="H10" s="117" t="n">
        <f aca="false">APR!H49</f>
        <v>1231.54</v>
      </c>
      <c r="I10" s="114" t="n">
        <f aca="false">APR!I49</f>
        <v>23107.54</v>
      </c>
      <c r="J10" s="114" t="n">
        <f aca="false">APR!J49</f>
        <v>8001.50653138392</v>
      </c>
      <c r="K10" s="114" t="n">
        <f aca="false">APR!K49</f>
        <v>31109.0465313839</v>
      </c>
      <c r="L10" s="114" t="n">
        <f aca="false">APR!L49</f>
        <v>7346.92312830854</v>
      </c>
      <c r="M10" s="167" t="n">
        <f aca="false">APR!M49</f>
        <v>2109.2</v>
      </c>
      <c r="N10" s="114" t="n">
        <f aca="false">APR!N49</f>
        <v>0</v>
      </c>
      <c r="O10" s="114" t="n">
        <f aca="false">APR!O49</f>
        <v>662.613</v>
      </c>
      <c r="P10" s="168" t="n">
        <f aca="false">APR!P49</f>
        <v>1446.587</v>
      </c>
      <c r="Q10" s="114" t="n">
        <f aca="false">APR!Q49</f>
        <v>4632.8</v>
      </c>
      <c r="R10" s="114" t="n">
        <f aca="false">APR!R49</f>
        <v>61.8</v>
      </c>
      <c r="S10" s="114" t="n">
        <f aca="false">APR!S49</f>
        <v>6141.187</v>
      </c>
      <c r="T10" s="114"/>
      <c r="U10" s="114" t="n">
        <f aca="false">APR!U49</f>
        <v>147</v>
      </c>
      <c r="V10" s="114" t="n">
        <f aca="false">APR!V49</f>
        <v>2803.89</v>
      </c>
      <c r="W10" s="114" t="n">
        <f aca="false">APR!W49</f>
        <v>7701.49231157046</v>
      </c>
      <c r="X10" s="114" t="n">
        <f aca="false">APR!X49</f>
        <v>9754.69</v>
      </c>
      <c r="Y10" s="114" t="n">
        <f aca="false">APR!Y49</f>
        <v>654.583403075372</v>
      </c>
      <c r="Z10" s="114" t="n">
        <f aca="false">APR!Z49</f>
        <v>10409.2734030754</v>
      </c>
      <c r="AA10" s="163" t="n">
        <f aca="false">APR!AA49</f>
        <v>7.35</v>
      </c>
      <c r="AB10" s="119"/>
      <c r="AC10" s="169"/>
      <c r="AD10" s="120"/>
      <c r="AE10" s="215"/>
      <c r="AF10" s="306" t="n">
        <f aca="false">APR!AF49</f>
        <v>110.004506442498</v>
      </c>
    </row>
    <row r="11" customFormat="false" ht="3" hidden="false" customHeight="true" outlineLevel="0" collapsed="false">
      <c r="A11" s="171"/>
      <c r="B11" s="172"/>
      <c r="C11" s="173"/>
      <c r="D11" s="171"/>
      <c r="E11" s="173"/>
      <c r="F11" s="171"/>
      <c r="G11" s="189"/>
      <c r="H11" s="308"/>
      <c r="I11" s="171"/>
      <c r="J11" s="171"/>
      <c r="K11" s="171"/>
      <c r="L11" s="171"/>
      <c r="M11" s="176"/>
      <c r="N11" s="171"/>
      <c r="O11" s="171"/>
      <c r="P11" s="177"/>
      <c r="Q11" s="171"/>
      <c r="R11" s="171"/>
      <c r="S11" s="171"/>
      <c r="T11" s="173"/>
      <c r="U11" s="171"/>
      <c r="V11" s="171"/>
      <c r="W11" s="173"/>
      <c r="X11" s="171"/>
      <c r="Y11" s="171"/>
      <c r="Z11" s="171"/>
      <c r="AA11" s="178"/>
      <c r="AB11" s="179"/>
      <c r="AC11" s="180"/>
      <c r="AD11" s="181"/>
      <c r="AE11" s="181"/>
      <c r="AF11" s="309"/>
    </row>
    <row r="12" customFormat="false" ht="11.1" hidden="false" customHeight="true" outlineLevel="0" collapsed="false">
      <c r="A12" s="120" t="n">
        <v>1</v>
      </c>
      <c r="B12" s="170" t="n">
        <v>6873.95</v>
      </c>
      <c r="C12" s="114" t="n">
        <v>198600</v>
      </c>
      <c r="D12" s="119" t="n">
        <f aca="false">C12-C10</f>
        <v>975</v>
      </c>
      <c r="E12" s="114" t="n">
        <f aca="false">C12-152000</f>
        <v>46600</v>
      </c>
      <c r="F12" s="113" t="n">
        <f aca="false">D12/$D$2</f>
        <v>491.555331484749</v>
      </c>
      <c r="G12" s="310" t="n">
        <v>931</v>
      </c>
      <c r="H12" s="311" t="n">
        <v>21</v>
      </c>
      <c r="I12" s="113" t="n">
        <f aca="false">G12+H12</f>
        <v>952</v>
      </c>
      <c r="J12" s="185" t="n">
        <f aca="false">IF(L12&gt;0,L12,0)</f>
        <v>0</v>
      </c>
      <c r="K12" s="113" t="n">
        <f aca="false">I12+J12</f>
        <v>952</v>
      </c>
      <c r="L12" s="113" t="n">
        <f aca="false">F12-(I12-X12)</f>
        <v>-93.4446685152508</v>
      </c>
      <c r="M12" s="186" t="n">
        <v>83</v>
      </c>
      <c r="N12" s="113" t="n">
        <v>0</v>
      </c>
      <c r="O12" s="113" t="n">
        <f aca="false">43.33*1.05</f>
        <v>45.4965</v>
      </c>
      <c r="P12" s="92" t="n">
        <f aca="false">M12-(N12+O12)</f>
        <v>37.5035</v>
      </c>
      <c r="Q12" s="183" t="n">
        <v>253</v>
      </c>
      <c r="R12" s="183" t="n">
        <v>0</v>
      </c>
      <c r="S12" s="113" t="n">
        <f aca="false">SUM(P12:R12)</f>
        <v>290.5035</v>
      </c>
      <c r="T12" s="114" t="n">
        <f aca="false">T9+AE12-(AF12/1.9835)</f>
        <v>11515.1152948246</v>
      </c>
      <c r="U12" s="183" t="n">
        <v>13</v>
      </c>
      <c r="V12" s="243" t="n">
        <v>18</v>
      </c>
      <c r="W12" s="244" t="n">
        <f aca="false">W10-V12</f>
        <v>7683.49231157046</v>
      </c>
      <c r="X12" s="6" t="n">
        <f aca="false">N12+O12+S12+U12+V12</f>
        <v>367</v>
      </c>
      <c r="Y12" s="113" t="n">
        <f aca="false">IF(L12&lt;0,L12*-1,0)</f>
        <v>93.4446685152508</v>
      </c>
      <c r="Z12" s="113" t="n">
        <f aca="false">X12+Y12</f>
        <v>460.444668515251</v>
      </c>
      <c r="AA12" s="163" t="n">
        <v>0</v>
      </c>
      <c r="AB12" s="119" t="n">
        <v>59</v>
      </c>
      <c r="AC12" s="169" t="n">
        <v>28</v>
      </c>
      <c r="AD12" s="120" t="n">
        <f aca="false">AD9-(Q12*1.9835)</f>
        <v>921.825415000001</v>
      </c>
      <c r="AE12" s="12" t="n">
        <f aca="false">795-(P12+3.35+8)</f>
        <v>746.1465</v>
      </c>
      <c r="AF12" s="306" t="n">
        <f aca="false">23.5*(T9*1.9835+AE12*1.9835)/E12</f>
        <v>11.5239537728509</v>
      </c>
    </row>
    <row r="13" customFormat="false" ht="11.1" hidden="false" customHeight="true" outlineLevel="0" collapsed="false">
      <c r="A13" s="120" t="n">
        <f aca="false">A12+1</f>
        <v>2</v>
      </c>
      <c r="B13" s="170" t="n">
        <v>6874.53</v>
      </c>
      <c r="C13" s="114" t="n">
        <v>200234</v>
      </c>
      <c r="D13" s="119" t="n">
        <f aca="false">C13-C12</f>
        <v>1634</v>
      </c>
      <c r="E13" s="114" t="n">
        <f aca="false">C13-152000</f>
        <v>48234</v>
      </c>
      <c r="F13" s="113" t="n">
        <f aca="false">D13/$D$2</f>
        <v>823.796319637005</v>
      </c>
      <c r="G13" s="310" t="n">
        <v>894</v>
      </c>
      <c r="H13" s="311" t="n">
        <v>11</v>
      </c>
      <c r="I13" s="113" t="n">
        <f aca="false">G13+H13</f>
        <v>905</v>
      </c>
      <c r="J13" s="185" t="n">
        <f aca="false">IF(L13&gt;0,L13,0)</f>
        <v>0</v>
      </c>
      <c r="K13" s="113" t="n">
        <f aca="false">I13+J13</f>
        <v>905</v>
      </c>
      <c r="L13" s="113" t="n">
        <f aca="false">F13-(I13-X13)</f>
        <v>-22.2036803629948</v>
      </c>
      <c r="M13" s="186" t="n">
        <v>41</v>
      </c>
      <c r="N13" s="113" t="n">
        <v>0</v>
      </c>
      <c r="O13" s="113" t="n">
        <f aca="false">8.64*1.05</f>
        <v>9.072</v>
      </c>
      <c r="P13" s="92" t="n">
        <f aca="false">M13-(N13+O13)</f>
        <v>31.928</v>
      </c>
      <c r="Q13" s="183" t="n">
        <v>0</v>
      </c>
      <c r="R13" s="183" t="n">
        <v>0</v>
      </c>
      <c r="S13" s="113" t="n">
        <f aca="false">SUM(P13:R13)</f>
        <v>31.928</v>
      </c>
      <c r="T13" s="114" t="n">
        <f aca="false">T12+AE13+(AD12/1.9835)-(AF13/1.9835)</f>
        <v>12725.6076603583</v>
      </c>
      <c r="U13" s="183" t="n">
        <v>0</v>
      </c>
      <c r="V13" s="243" t="n">
        <v>18</v>
      </c>
      <c r="W13" s="244" t="n">
        <f aca="false">W12-V13</f>
        <v>7665.49231157046</v>
      </c>
      <c r="X13" s="6" t="n">
        <f aca="false">N13+O13+S13+U13+V13</f>
        <v>59</v>
      </c>
      <c r="Y13" s="113" t="n">
        <f aca="false">IF(L13&lt;0,L13*-1,0)</f>
        <v>22.2036803629948</v>
      </c>
      <c r="Z13" s="113" t="n">
        <f aca="false">X13+Y13</f>
        <v>81.2036803629948</v>
      </c>
      <c r="AA13" s="163" t="n">
        <v>0</v>
      </c>
      <c r="AB13" s="119" t="n">
        <v>63</v>
      </c>
      <c r="AC13" s="169" t="n">
        <v>38</v>
      </c>
      <c r="AD13" s="120" t="n">
        <v>0</v>
      </c>
      <c r="AE13" s="12" t="n">
        <f aca="false">795-(S13+3.35+8)</f>
        <v>751.722</v>
      </c>
      <c r="AF13" s="306" t="n">
        <f aca="false">23.5*(T12*1.9835+AE13*1.9835)/E13</f>
        <v>11.8543949640438</v>
      </c>
    </row>
    <row r="14" customFormat="false" ht="11.1" hidden="false" customHeight="true" outlineLevel="0" collapsed="false">
      <c r="A14" s="120" t="n">
        <f aca="false">A13+1</f>
        <v>3</v>
      </c>
      <c r="B14" s="170" t="n">
        <v>6875.12</v>
      </c>
      <c r="C14" s="114" t="n">
        <v>201903</v>
      </c>
      <c r="D14" s="119" t="n">
        <f aca="false">C14-C13</f>
        <v>1669</v>
      </c>
      <c r="E14" s="114" t="n">
        <f aca="false">C14-152000</f>
        <v>49903</v>
      </c>
      <c r="F14" s="113" t="n">
        <f aca="false">D14/$D$2</f>
        <v>841.441895639022</v>
      </c>
      <c r="G14" s="310" t="n">
        <v>893</v>
      </c>
      <c r="H14" s="311" t="n">
        <v>5.8</v>
      </c>
      <c r="I14" s="113" t="n">
        <f aca="false">G14+H14</f>
        <v>898.8</v>
      </c>
      <c r="J14" s="185" t="n">
        <f aca="false">IF(L14&gt;0,L14,0)</f>
        <v>3.64189563902198</v>
      </c>
      <c r="K14" s="113" t="n">
        <f aca="false">I14+J14</f>
        <v>902.441895639022</v>
      </c>
      <c r="L14" s="113" t="n">
        <f aca="false">F14-(I14-X14)</f>
        <v>3.64189563902198</v>
      </c>
      <c r="M14" s="186" t="n">
        <v>43</v>
      </c>
      <c r="N14" s="113" t="n">
        <v>0</v>
      </c>
      <c r="O14" s="113" t="n">
        <v>0</v>
      </c>
      <c r="P14" s="92" t="n">
        <f aca="false">M14-(N14+O14)</f>
        <v>43</v>
      </c>
      <c r="Q14" s="183" t="n">
        <v>0</v>
      </c>
      <c r="R14" s="183" t="n">
        <v>0</v>
      </c>
      <c r="S14" s="113" t="n">
        <f aca="false">SUM(P14:R14)</f>
        <v>43</v>
      </c>
      <c r="T14" s="114" t="n">
        <f aca="false">T13+AE14-(AF14/1.9835)</f>
        <v>13459.9162168575</v>
      </c>
      <c r="U14" s="183" t="n">
        <v>0</v>
      </c>
      <c r="V14" s="243" t="n">
        <v>18</v>
      </c>
      <c r="W14" s="244" t="n">
        <f aca="false">W13-V14</f>
        <v>7647.49231157046</v>
      </c>
      <c r="X14" s="6" t="n">
        <f aca="false">N14+O14+S14+U14+V14</f>
        <v>61</v>
      </c>
      <c r="Y14" s="113" t="n">
        <f aca="false">IF(L14&lt;0,L14*-1,0)</f>
        <v>0</v>
      </c>
      <c r="Z14" s="113" t="n">
        <f aca="false">X14+Y14</f>
        <v>61</v>
      </c>
      <c r="AA14" s="163" t="n">
        <v>0</v>
      </c>
      <c r="AB14" s="119" t="n">
        <v>65</v>
      </c>
      <c r="AC14" s="169" t="n">
        <v>43</v>
      </c>
      <c r="AD14" s="120" t="n">
        <v>0</v>
      </c>
      <c r="AE14" s="12" t="n">
        <f aca="false">795-(S14+3.35+8)</f>
        <v>740.65</v>
      </c>
      <c r="AF14" s="306" t="n">
        <f aca="false">23.5*(T13*1.9835+AE14*1.9835)/E14</f>
        <v>12.5782531837572</v>
      </c>
    </row>
    <row r="15" customFormat="false" ht="11.1" hidden="false" customHeight="true" outlineLevel="0" collapsed="false">
      <c r="A15" s="120" t="n">
        <f aca="false">A14+1</f>
        <v>4</v>
      </c>
      <c r="B15" s="170" t="n">
        <v>6875.79</v>
      </c>
      <c r="C15" s="114" t="n">
        <v>203816</v>
      </c>
      <c r="D15" s="119" t="n">
        <f aca="false">C15-C14</f>
        <v>1913</v>
      </c>
      <c r="E15" s="114" t="n">
        <f aca="false">C15-152000</f>
        <v>51816</v>
      </c>
      <c r="F15" s="113" t="n">
        <f aca="false">D15/$D$2</f>
        <v>964.456768338795</v>
      </c>
      <c r="G15" s="310" t="n">
        <v>995</v>
      </c>
      <c r="H15" s="311" t="n">
        <v>4.6</v>
      </c>
      <c r="I15" s="113" t="n">
        <f aca="false">G15+H15</f>
        <v>999.6</v>
      </c>
      <c r="J15" s="185" t="n">
        <f aca="false">IF(L15&gt;0,L15,0)</f>
        <v>75.8567683387951</v>
      </c>
      <c r="K15" s="113" t="n">
        <f aca="false">I15+J15</f>
        <v>1075.4567683388</v>
      </c>
      <c r="L15" s="113" t="n">
        <f aca="false">F15-(I15-X15)</f>
        <v>75.8567683387951</v>
      </c>
      <c r="M15" s="186" t="n">
        <v>67</v>
      </c>
      <c r="N15" s="113" t="n">
        <v>0</v>
      </c>
      <c r="O15" s="113" t="n">
        <v>0</v>
      </c>
      <c r="P15" s="92" t="n">
        <f aca="false">M15-(N15+O15)</f>
        <v>67</v>
      </c>
      <c r="Q15" s="183" t="n">
        <v>0</v>
      </c>
      <c r="R15" s="183" t="n">
        <v>0</v>
      </c>
      <c r="S15" s="113" t="n">
        <f aca="false">SUM(P15:R15)</f>
        <v>67</v>
      </c>
      <c r="T15" s="114" t="n">
        <f aca="false">T14+AE15-(AF15/1.9835)</f>
        <v>14170.1367490079</v>
      </c>
      <c r="U15" s="183" t="n">
        <v>26</v>
      </c>
      <c r="V15" s="243" t="n">
        <v>18</v>
      </c>
      <c r="W15" s="244" t="n">
        <f aca="false">W14-V15</f>
        <v>7629.49231157046</v>
      </c>
      <c r="X15" s="6" t="n">
        <f aca="false">N15+O15+S15+U15+V15</f>
        <v>111</v>
      </c>
      <c r="Y15" s="113" t="n">
        <f aca="false">IF(L15&lt;0,L15*-1,0)</f>
        <v>0</v>
      </c>
      <c r="Z15" s="113" t="n">
        <f aca="false">X15+Y15</f>
        <v>111</v>
      </c>
      <c r="AA15" s="163" t="n">
        <v>0.11</v>
      </c>
      <c r="AB15" s="119" t="n">
        <v>55</v>
      </c>
      <c r="AC15" s="169" t="n">
        <v>33</v>
      </c>
      <c r="AD15" s="120" t="n">
        <v>0</v>
      </c>
      <c r="AE15" s="12" t="n">
        <f aca="false">795-(S15+3.35+8)</f>
        <v>716.65</v>
      </c>
      <c r="AF15" s="306" t="n">
        <f aca="false">23.5*(T14*1.9835+AE15*1.9835)/E15</f>
        <v>12.7528494797305</v>
      </c>
    </row>
    <row r="16" customFormat="false" ht="11.1" hidden="false" customHeight="true" outlineLevel="0" collapsed="false">
      <c r="A16" s="120" t="n">
        <f aca="false">A15+1</f>
        <v>5</v>
      </c>
      <c r="B16" s="170" t="n">
        <v>6876.17</v>
      </c>
      <c r="C16" s="114" t="n">
        <v>204906</v>
      </c>
      <c r="D16" s="119" t="n">
        <f aca="false">C16-C15</f>
        <v>1090</v>
      </c>
      <c r="E16" s="114" t="n">
        <f aca="false">C16-152000</f>
        <v>52906</v>
      </c>
      <c r="F16" s="113" t="n">
        <f aca="false">D16/$D$2</f>
        <v>549.533652634232</v>
      </c>
      <c r="G16" s="310" t="n">
        <v>792</v>
      </c>
      <c r="H16" s="311" t="n">
        <v>3.2</v>
      </c>
      <c r="I16" s="113" t="n">
        <f aca="false">G16+H16</f>
        <v>795.2</v>
      </c>
      <c r="J16" s="185" t="n">
        <f aca="false">IF(L16&gt;0,L16,0)</f>
        <v>1.33365263423241</v>
      </c>
      <c r="K16" s="113" t="n">
        <f aca="false">I16+J16</f>
        <v>796.533652634232</v>
      </c>
      <c r="L16" s="113" t="n">
        <f aca="false">F16-(I16-X16)</f>
        <v>1.33365263423241</v>
      </c>
      <c r="M16" s="186" t="n">
        <v>180</v>
      </c>
      <c r="N16" s="113" t="n">
        <v>0</v>
      </c>
      <c r="O16" s="113" t="n">
        <f aca="false">36*1.05</f>
        <v>37.8</v>
      </c>
      <c r="P16" s="92" t="n">
        <f aca="false">M16-(N16+O16)</f>
        <v>142.2</v>
      </c>
      <c r="Q16" s="183" t="n">
        <v>43</v>
      </c>
      <c r="R16" s="183" t="n">
        <v>6</v>
      </c>
      <c r="S16" s="113" t="n">
        <f aca="false">SUM(P16:R16)</f>
        <v>191.2</v>
      </c>
      <c r="T16" s="114" t="n">
        <f aca="false">T15+AE16-(AF16/1.9835)</f>
        <v>14756.0294438137</v>
      </c>
      <c r="U16" s="183" t="n">
        <v>0</v>
      </c>
      <c r="V16" s="243" t="n">
        <v>18</v>
      </c>
      <c r="W16" s="244" t="n">
        <f aca="false">W15-V16</f>
        <v>7611.49231157046</v>
      </c>
      <c r="X16" s="6" t="n">
        <f aca="false">N16+O16+S16+U16+V16</f>
        <v>247</v>
      </c>
      <c r="Y16" s="113" t="n">
        <f aca="false">IF(L16&lt;0,L16*-1,0)</f>
        <v>0</v>
      </c>
      <c r="Z16" s="113" t="n">
        <f aca="false">X16+Y16</f>
        <v>247</v>
      </c>
      <c r="AA16" s="163" t="n">
        <v>0</v>
      </c>
      <c r="AB16" s="119" t="n">
        <v>56</v>
      </c>
      <c r="AC16" s="169" t="n">
        <v>32</v>
      </c>
      <c r="AD16" s="120" t="n">
        <v>0</v>
      </c>
      <c r="AE16" s="12" t="n">
        <f aca="false">795-(S16+3.35+8)</f>
        <v>592.45</v>
      </c>
      <c r="AF16" s="306" t="n">
        <f aca="false">23.5*(T15*1.9835+AE16*1.9835)/E16</f>
        <v>13.006414852596</v>
      </c>
    </row>
    <row r="17" customFormat="false" ht="11.1" hidden="false" customHeight="true" outlineLevel="0" collapsed="false">
      <c r="A17" s="120" t="n">
        <f aca="false">A16+1</f>
        <v>6</v>
      </c>
      <c r="B17" s="170" t="n">
        <v>6876.42</v>
      </c>
      <c r="C17" s="114" t="n">
        <v>205628</v>
      </c>
      <c r="D17" s="119" t="n">
        <f aca="false">C17-C16</f>
        <v>722</v>
      </c>
      <c r="E17" s="114" t="n">
        <f aca="false">C17-152000</f>
        <v>53628</v>
      </c>
      <c r="F17" s="113" t="n">
        <f aca="false">D17/$D$2</f>
        <v>364.003024955886</v>
      </c>
      <c r="G17" s="310" t="n">
        <v>661</v>
      </c>
      <c r="H17" s="311" t="n">
        <v>2.5</v>
      </c>
      <c r="I17" s="113" t="n">
        <f aca="false">G17+H17</f>
        <v>663.5</v>
      </c>
      <c r="J17" s="185" t="n">
        <f aca="false">IF(L17&gt;0,L17,0)</f>
        <v>69.5030249558861</v>
      </c>
      <c r="K17" s="113" t="n">
        <f aca="false">I17+J17</f>
        <v>733.003024955886</v>
      </c>
      <c r="L17" s="113" t="n">
        <f aca="false">F17-(I17-X17)</f>
        <v>69.5030249558861</v>
      </c>
      <c r="M17" s="186" t="n">
        <v>252</v>
      </c>
      <c r="N17" s="113" t="n">
        <v>0</v>
      </c>
      <c r="O17" s="113" t="n">
        <f aca="false">65.76*1.05</f>
        <v>69.048</v>
      </c>
      <c r="P17" s="92" t="n">
        <f aca="false">M17-(N17+O17)</f>
        <v>182.952</v>
      </c>
      <c r="Q17" s="183" t="n">
        <v>90</v>
      </c>
      <c r="R17" s="183" t="n">
        <v>9</v>
      </c>
      <c r="S17" s="113" t="n">
        <f aca="false">SUM(P17:R17)</f>
        <v>281.952</v>
      </c>
      <c r="T17" s="114" t="n">
        <f aca="false">T16+AE17-(AF17/1.9835)</f>
        <v>15119.5990716028</v>
      </c>
      <c r="U17" s="183" t="n">
        <v>0</v>
      </c>
      <c r="V17" s="243" t="n">
        <v>18</v>
      </c>
      <c r="W17" s="244" t="n">
        <f aca="false">W16-V17</f>
        <v>7593.49231157046</v>
      </c>
      <c r="X17" s="6" t="n">
        <f aca="false">N17+O17+S17+U17+V17</f>
        <v>369</v>
      </c>
      <c r="Y17" s="113" t="n">
        <f aca="false">IF(L17&lt;0,L17*-1,0)</f>
        <v>0</v>
      </c>
      <c r="Z17" s="113" t="n">
        <f aca="false">X17+Y17</f>
        <v>369</v>
      </c>
      <c r="AA17" s="163" t="n">
        <v>0</v>
      </c>
      <c r="AB17" s="119" t="n">
        <v>59</v>
      </c>
      <c r="AC17" s="169" t="n">
        <v>31</v>
      </c>
      <c r="AD17" s="120" t="n">
        <v>0</v>
      </c>
      <c r="AE17" s="12" t="n">
        <f aca="false">IF(I17&gt;S17,I17-S17,I17-S17)-(3.35+8)</f>
        <v>370.198</v>
      </c>
      <c r="AF17" s="306" t="n">
        <f aca="false">23.5*(T16*1.9835+AE17*1.9835)/E17</f>
        <v>13.1473762804488</v>
      </c>
    </row>
    <row r="18" customFormat="false" ht="11.1" hidden="false" customHeight="true" outlineLevel="0" collapsed="false">
      <c r="A18" s="120" t="n">
        <f aca="false">A17+1</f>
        <v>7</v>
      </c>
      <c r="B18" s="170" t="n">
        <v>6876.56</v>
      </c>
      <c r="C18" s="114" t="n">
        <v>206033</v>
      </c>
      <c r="D18" s="119" t="n">
        <f aca="false">C18-C17</f>
        <v>405</v>
      </c>
      <c r="E18" s="114" t="n">
        <f aca="false">C18-152000</f>
        <v>54033</v>
      </c>
      <c r="F18" s="113" t="n">
        <f aca="false">D18/$D$2</f>
        <v>204.18452230905</v>
      </c>
      <c r="G18" s="310" t="n">
        <v>602</v>
      </c>
      <c r="H18" s="311" t="n">
        <v>2.1</v>
      </c>
      <c r="I18" s="113" t="n">
        <f aca="false">G18+H18</f>
        <v>604.1</v>
      </c>
      <c r="J18" s="185" t="n">
        <f aca="false">IF(L18&gt;0,L18,0)</f>
        <v>2.08452230904965</v>
      </c>
      <c r="K18" s="113" t="n">
        <f aca="false">I18+J18</f>
        <v>606.18452230905</v>
      </c>
      <c r="L18" s="113" t="n">
        <f aca="false">F18-(I18-X18)</f>
        <v>2.08452230904965</v>
      </c>
      <c r="M18" s="186" t="n">
        <v>260</v>
      </c>
      <c r="N18" s="113" t="n">
        <v>0</v>
      </c>
      <c r="O18" s="113" t="n">
        <f aca="false">67.95*1.05</f>
        <v>71.3475</v>
      </c>
      <c r="P18" s="92" t="n">
        <f aca="false">M18-(N18+O18)</f>
        <v>188.6525</v>
      </c>
      <c r="Q18" s="183" t="n">
        <v>111</v>
      </c>
      <c r="R18" s="183" t="n">
        <v>14</v>
      </c>
      <c r="S18" s="113" t="n">
        <f aca="false">SUM(P18:R18)</f>
        <v>313.6525</v>
      </c>
      <c r="T18" s="114" t="n">
        <f aca="false">T17+AE18-(AF18/1.9835)</f>
        <v>15391.999379712</v>
      </c>
      <c r="U18" s="183" t="n">
        <v>0</v>
      </c>
      <c r="V18" s="243" t="n">
        <v>17</v>
      </c>
      <c r="W18" s="244" t="n">
        <f aca="false">W17-V18</f>
        <v>7576.49231157046</v>
      </c>
      <c r="X18" s="6" t="n">
        <f aca="false">N18+O18+S18+U18+V18</f>
        <v>402</v>
      </c>
      <c r="Y18" s="113" t="n">
        <f aca="false">IF(L18&lt;0,L18*-1,0)</f>
        <v>0</v>
      </c>
      <c r="Z18" s="113" t="n">
        <f aca="false">X18+Y18</f>
        <v>402</v>
      </c>
      <c r="AA18" s="163" t="n">
        <v>0</v>
      </c>
      <c r="AB18" s="119" t="n">
        <v>62</v>
      </c>
      <c r="AC18" s="169" t="n">
        <v>40</v>
      </c>
      <c r="AD18" s="120" t="n">
        <v>0</v>
      </c>
      <c r="AE18" s="12" t="n">
        <f aca="false">IF(I18&gt;S18,I18-S18,I18-S18)-(3.35+8)</f>
        <v>279.0975</v>
      </c>
      <c r="AF18" s="306" t="n">
        <f aca="false">23.5*(T17*1.9835+AE18*1.9835)/E18</f>
        <v>13.2838801152942</v>
      </c>
    </row>
    <row r="19" customFormat="false" ht="11.1" hidden="false" customHeight="true" outlineLevel="0" collapsed="false">
      <c r="A19" s="120" t="n">
        <f aca="false">A18+1</f>
        <v>8</v>
      </c>
      <c r="B19" s="170" t="n">
        <v>6876.69</v>
      </c>
      <c r="C19" s="114" t="n">
        <v>206408</v>
      </c>
      <c r="D19" s="119" t="n">
        <f aca="false">C19-C18</f>
        <v>375</v>
      </c>
      <c r="E19" s="114" t="n">
        <f aca="false">C19-152000</f>
        <v>54408</v>
      </c>
      <c r="F19" s="113" t="n">
        <f aca="false">D19/$D$2</f>
        <v>189.05974287875</v>
      </c>
      <c r="G19" s="310" t="n">
        <v>576</v>
      </c>
      <c r="H19" s="311" t="n">
        <v>1.9</v>
      </c>
      <c r="I19" s="113" t="n">
        <f aca="false">G19+H19</f>
        <v>577.9</v>
      </c>
      <c r="J19" s="185" t="n">
        <f aca="false">IF(L19&gt;0,L19,0)</f>
        <v>0</v>
      </c>
      <c r="K19" s="113" t="n">
        <f aca="false">I19+J19</f>
        <v>577.9</v>
      </c>
      <c r="L19" s="113" t="n">
        <f aca="false">F19-(I19-X19)</f>
        <v>-16.8402571212503</v>
      </c>
      <c r="M19" s="186" t="n">
        <v>230</v>
      </c>
      <c r="N19" s="113" t="n">
        <v>0</v>
      </c>
      <c r="O19" s="113" t="n">
        <f aca="false">57.75*1.05</f>
        <v>60.6375</v>
      </c>
      <c r="P19" s="92" t="n">
        <f aca="false">M19-(N19+O19)</f>
        <v>169.3625</v>
      </c>
      <c r="Q19" s="183" t="n">
        <v>111</v>
      </c>
      <c r="R19" s="183" t="n">
        <v>14</v>
      </c>
      <c r="S19" s="113" t="n">
        <f aca="false">SUM(P19:R19)</f>
        <v>294.3625</v>
      </c>
      <c r="T19" s="114" t="n">
        <f aca="false">T18+AE19-(AF19/1.9835)</f>
        <v>15657.4211762921</v>
      </c>
      <c r="U19" s="183" t="n">
        <v>0</v>
      </c>
      <c r="V19" s="243" t="n">
        <v>17</v>
      </c>
      <c r="W19" s="244" t="n">
        <f aca="false">W18-V19</f>
        <v>7559.49231157046</v>
      </c>
      <c r="X19" s="6" t="n">
        <f aca="false">N19+O19+S19+U19+V19</f>
        <v>372</v>
      </c>
      <c r="Y19" s="113" t="n">
        <f aca="false">IF(L19&lt;0,L19*-1,0)</f>
        <v>16.8402571212503</v>
      </c>
      <c r="Z19" s="113" t="n">
        <f aca="false">X19+Y19</f>
        <v>388.84025712125</v>
      </c>
      <c r="AA19" s="163" t="n">
        <v>0.01</v>
      </c>
      <c r="AB19" s="119" t="n">
        <v>59</v>
      </c>
      <c r="AC19" s="169" t="n">
        <v>36</v>
      </c>
      <c r="AD19" s="120" t="n">
        <v>0</v>
      </c>
      <c r="AE19" s="12" t="n">
        <f aca="false">IF(I19&gt;S19,I19-S19,I19-S19)-(3.35+8)</f>
        <v>272.1875</v>
      </c>
      <c r="AF19" s="306" t="n">
        <f aca="false">23.5*(T18*1.9835+AE19*1.9835)/E19</f>
        <v>13.4197727334924</v>
      </c>
    </row>
    <row r="20" customFormat="false" ht="11.1" hidden="false" customHeight="true" outlineLevel="0" collapsed="false">
      <c r="A20" s="120" t="n">
        <f aca="false">A19+1</f>
        <v>9</v>
      </c>
      <c r="B20" s="170" t="n">
        <v>6876.82</v>
      </c>
      <c r="C20" s="114" t="n">
        <v>206784</v>
      </c>
      <c r="D20" s="119" t="n">
        <f aca="false">C20-C19</f>
        <v>376</v>
      </c>
      <c r="E20" s="114" t="n">
        <f aca="false">C20-152000</f>
        <v>54784</v>
      </c>
      <c r="F20" s="113" t="n">
        <f aca="false">D20/$D$2</f>
        <v>189.563902193093</v>
      </c>
      <c r="G20" s="310" t="n">
        <v>518</v>
      </c>
      <c r="H20" s="311" t="n">
        <v>1.8</v>
      </c>
      <c r="I20" s="113" t="n">
        <f aca="false">G20+H20</f>
        <v>519.8</v>
      </c>
      <c r="J20" s="185" t="n">
        <f aca="false">IF(L20&gt;0,L20,0)</f>
        <v>0</v>
      </c>
      <c r="K20" s="113" t="n">
        <f aca="false">I20+J20</f>
        <v>519.8</v>
      </c>
      <c r="L20" s="113" t="n">
        <f aca="false">F20-(I20-X20)</f>
        <v>-5.23609780690694</v>
      </c>
      <c r="M20" s="186" t="n">
        <v>179</v>
      </c>
      <c r="N20" s="113" t="n">
        <v>0</v>
      </c>
      <c r="O20" s="113" t="n">
        <f aca="false">29.95*1.05</f>
        <v>31.4475</v>
      </c>
      <c r="P20" s="92" t="n">
        <f aca="false">M20-(N20+O20)</f>
        <v>147.5525</v>
      </c>
      <c r="Q20" s="183" t="n">
        <v>112</v>
      </c>
      <c r="R20" s="183" t="n">
        <v>15</v>
      </c>
      <c r="S20" s="113" t="n">
        <f aca="false">SUM(P20:R20)</f>
        <v>274.5525</v>
      </c>
      <c r="T20" s="114" t="n">
        <f aca="false">T19+AE20-(AF20/1.9835)</f>
        <v>15884.5019781887</v>
      </c>
      <c r="U20" s="183" t="n">
        <v>0</v>
      </c>
      <c r="V20" s="243" t="n">
        <v>19</v>
      </c>
      <c r="W20" s="244" t="n">
        <f aca="false">W19-V20</f>
        <v>7540.49231157046</v>
      </c>
      <c r="X20" s="6" t="n">
        <f aca="false">N20+O20+S20+U20+V20</f>
        <v>325</v>
      </c>
      <c r="Y20" s="113" t="n">
        <f aca="false">IF(L20&lt;0,L20*-1,0)</f>
        <v>5.23609780690694</v>
      </c>
      <c r="Z20" s="113" t="n">
        <f aca="false">X20+Y20</f>
        <v>330.236097806907</v>
      </c>
      <c r="AA20" s="163" t="n">
        <v>0</v>
      </c>
      <c r="AB20" s="119" t="n">
        <v>56</v>
      </c>
      <c r="AC20" s="169" t="n">
        <v>30</v>
      </c>
      <c r="AD20" s="120" t="n">
        <v>0</v>
      </c>
      <c r="AE20" s="12" t="n">
        <f aca="false">IF(I20&gt;S20,I20-S20,I20-S20)-(3.35+8)</f>
        <v>233.8975</v>
      </c>
      <c r="AF20" s="306" t="n">
        <f aca="false">23.5*(T19*1.9835+AE20*1.9835)/E20</f>
        <v>13.5209206879562</v>
      </c>
    </row>
    <row r="21" customFormat="false" ht="11.1" hidden="false" customHeight="true" outlineLevel="0" collapsed="false">
      <c r="A21" s="120" t="n">
        <f aca="false">A20+1</f>
        <v>10</v>
      </c>
      <c r="B21" s="170" t="n">
        <v>6876.87</v>
      </c>
      <c r="C21" s="114" t="n">
        <v>206928</v>
      </c>
      <c r="D21" s="119" t="n">
        <f aca="false">C21-C20</f>
        <v>144</v>
      </c>
      <c r="E21" s="114" t="n">
        <f aca="false">C21-152000</f>
        <v>54928</v>
      </c>
      <c r="F21" s="113" t="n">
        <f aca="false">D21/$D$2</f>
        <v>72.5989412654399</v>
      </c>
      <c r="G21" s="310" t="n">
        <v>472</v>
      </c>
      <c r="H21" s="311" t="n">
        <v>1.7</v>
      </c>
      <c r="I21" s="113" t="n">
        <f aca="false">G21+H21</f>
        <v>473.7</v>
      </c>
      <c r="J21" s="185" t="n">
        <f aca="false">IF(L21&gt;0,L21,0)</f>
        <v>0</v>
      </c>
      <c r="K21" s="113" t="n">
        <f aca="false">I21+J21</f>
        <v>473.7</v>
      </c>
      <c r="L21" s="113" t="n">
        <f aca="false">F21-(I21-X21)</f>
        <v>-49.1010587345601</v>
      </c>
      <c r="M21" s="186" t="n">
        <v>171</v>
      </c>
      <c r="N21" s="113" t="n">
        <v>0</v>
      </c>
      <c r="O21" s="113" t="n">
        <v>0</v>
      </c>
      <c r="P21" s="92" t="n">
        <f aca="false">M21-(N21+O21)</f>
        <v>171</v>
      </c>
      <c r="Q21" s="183" t="n">
        <v>131</v>
      </c>
      <c r="R21" s="183" t="n">
        <v>18</v>
      </c>
      <c r="S21" s="113" t="n">
        <f aca="false">SUM(P21:R21)</f>
        <v>320</v>
      </c>
      <c r="T21" s="114" t="n">
        <f aca="false">T20+AE21-(AF21/1.9835)</f>
        <v>16019.9951652429</v>
      </c>
      <c r="U21" s="183" t="n">
        <v>13</v>
      </c>
      <c r="V21" s="243" t="n">
        <v>19</v>
      </c>
      <c r="W21" s="244" t="n">
        <f aca="false">W20-V21</f>
        <v>7521.49231157046</v>
      </c>
      <c r="X21" s="6" t="n">
        <f aca="false">N21+O21+S21+U21+V21</f>
        <v>352</v>
      </c>
      <c r="Y21" s="113" t="n">
        <f aca="false">IF(L21&lt;0,L21*-1,0)</f>
        <v>49.1010587345601</v>
      </c>
      <c r="Z21" s="113" t="n">
        <f aca="false">X21+Y21</f>
        <v>401.10105873456</v>
      </c>
      <c r="AA21" s="163" t="n">
        <v>0</v>
      </c>
      <c r="AB21" s="119" t="n">
        <v>55</v>
      </c>
      <c r="AC21" s="169" t="n">
        <v>22</v>
      </c>
      <c r="AD21" s="120" t="n">
        <v>0</v>
      </c>
      <c r="AE21" s="12" t="n">
        <f aca="false">IF(I21&gt;S21,I21-S21,I21-S21)-(3.35+8)</f>
        <v>142.35</v>
      </c>
      <c r="AF21" s="306" t="n">
        <f aca="false">23.5*(T20*1.9835+AE21*1.9835)/E21</f>
        <v>13.6004884780135</v>
      </c>
    </row>
    <row r="22" customFormat="false" ht="11.1" hidden="false" customHeight="true" outlineLevel="0" collapsed="false">
      <c r="A22" s="120" t="n">
        <f aca="false">A21+1</f>
        <v>11</v>
      </c>
      <c r="B22" s="170" t="n">
        <v>6876.89</v>
      </c>
      <c r="C22" s="114" t="n">
        <v>206986</v>
      </c>
      <c r="D22" s="119" t="n">
        <f aca="false">C22-C21</f>
        <v>58</v>
      </c>
      <c r="E22" s="114" t="n">
        <f aca="false">C22-152000</f>
        <v>54986</v>
      </c>
      <c r="F22" s="113" t="n">
        <f aca="false">D22/$D$2</f>
        <v>29.2412402319133</v>
      </c>
      <c r="G22" s="310" t="n">
        <v>444</v>
      </c>
      <c r="H22" s="311" t="n">
        <v>1.6</v>
      </c>
      <c r="I22" s="113" t="n">
        <f aca="false">G22+H22</f>
        <v>445.6</v>
      </c>
      <c r="J22" s="185" t="n">
        <f aca="false">IF(L22&gt;0,L22,0)</f>
        <v>0</v>
      </c>
      <c r="K22" s="113" t="n">
        <f aca="false">I22+J22</f>
        <v>445.6</v>
      </c>
      <c r="L22" s="113" t="n">
        <f aca="false">F22-(I22-X22)</f>
        <v>-35.7587597680867</v>
      </c>
      <c r="M22" s="186" t="n">
        <v>196</v>
      </c>
      <c r="N22" s="113" t="n">
        <v>0</v>
      </c>
      <c r="O22" s="113" t="n">
        <v>0</v>
      </c>
      <c r="P22" s="92" t="n">
        <f aca="false">M22-(N22+O22)</f>
        <v>196</v>
      </c>
      <c r="Q22" s="183" t="n">
        <v>141</v>
      </c>
      <c r="R22" s="183" t="n">
        <v>18</v>
      </c>
      <c r="S22" s="113" t="n">
        <f aca="false">SUM(P22:R22)</f>
        <v>355</v>
      </c>
      <c r="T22" s="114" t="n">
        <f aca="false">T21+AE22-(AF22/1.9835)</f>
        <v>16092.3646454491</v>
      </c>
      <c r="U22" s="183" t="n">
        <v>6.6</v>
      </c>
      <c r="V22" s="243" t="n">
        <v>19</v>
      </c>
      <c r="W22" s="244" t="n">
        <f aca="false">W21-V22</f>
        <v>7502.49231157046</v>
      </c>
      <c r="X22" s="6" t="n">
        <f aca="false">N22+O22+S22+U22+V22</f>
        <v>380.6</v>
      </c>
      <c r="Y22" s="113" t="n">
        <f aca="false">IF(L22&lt;0,L22*-1,0)</f>
        <v>35.7587597680867</v>
      </c>
      <c r="Z22" s="113" t="n">
        <f aca="false">X22+Y22</f>
        <v>416.358759768087</v>
      </c>
      <c r="AA22" s="163" t="n">
        <v>0</v>
      </c>
      <c r="AB22" s="119" t="n">
        <v>66</v>
      </c>
      <c r="AC22" s="169" t="n">
        <v>32</v>
      </c>
      <c r="AD22" s="120" t="n">
        <v>0</v>
      </c>
      <c r="AE22" s="12" t="n">
        <f aca="false">IF(I22&gt;S22,I22-S22,I22-S22)-(3.35+8)</f>
        <v>79.25</v>
      </c>
      <c r="AF22" s="306" t="n">
        <f aca="false">23.5*(T21*1.9835+AE22*1.9835)/E22</f>
        <v>13.64751101105</v>
      </c>
    </row>
    <row r="23" customFormat="false" ht="11.1" hidden="false" customHeight="true" outlineLevel="0" collapsed="false">
      <c r="A23" s="120" t="n">
        <f aca="false">A22+1</f>
        <v>12</v>
      </c>
      <c r="B23" s="170" t="n">
        <v>6876.98</v>
      </c>
      <c r="C23" s="114" t="n">
        <v>207246</v>
      </c>
      <c r="D23" s="119" t="n">
        <f aca="false">C23-C22</f>
        <v>260</v>
      </c>
      <c r="E23" s="114" t="n">
        <f aca="false">C23-152000</f>
        <v>55246</v>
      </c>
      <c r="F23" s="113" t="n">
        <f aca="false">D23/$D$2</f>
        <v>131.081421729266</v>
      </c>
      <c r="G23" s="310" t="n">
        <v>560</v>
      </c>
      <c r="H23" s="311" t="n">
        <v>1.5</v>
      </c>
      <c r="I23" s="113" t="n">
        <f aca="false">G23+H23</f>
        <v>561.5</v>
      </c>
      <c r="J23" s="185" t="n">
        <f aca="false">IF(L23&gt;0,L23,0)</f>
        <v>0</v>
      </c>
      <c r="K23" s="113" t="n">
        <f aca="false">I23+J23</f>
        <v>561.5</v>
      </c>
      <c r="L23" s="113" t="n">
        <f aca="false">F23-(I23-X23)</f>
        <v>-35.6185782707335</v>
      </c>
      <c r="M23" s="186" t="n">
        <v>191</v>
      </c>
      <c r="N23" s="113" t="n">
        <v>2.02</v>
      </c>
      <c r="O23" s="113" t="n">
        <f aca="false">8.23*1.05</f>
        <v>8.6415</v>
      </c>
      <c r="P23" s="92" t="n">
        <f aca="false">M23-(N23+O23)</f>
        <v>180.3385</v>
      </c>
      <c r="Q23" s="183" t="n">
        <v>141</v>
      </c>
      <c r="R23" s="183" t="n">
        <v>37</v>
      </c>
      <c r="S23" s="113" t="n">
        <f aca="false">SUM(P23:R23)</f>
        <v>358.3385</v>
      </c>
      <c r="T23" s="114" t="n">
        <f aca="false">T22+AE23-(AF23/1.9835)</f>
        <v>16277.2493427952</v>
      </c>
      <c r="U23" s="183" t="n">
        <v>6.8</v>
      </c>
      <c r="V23" s="243" t="n">
        <v>19</v>
      </c>
      <c r="W23" s="244" t="n">
        <f aca="false">W22-V23</f>
        <v>7483.49231157046</v>
      </c>
      <c r="X23" s="6" t="n">
        <f aca="false">N23+O23+S23+U23+V23</f>
        <v>394.8</v>
      </c>
      <c r="Y23" s="113" t="n">
        <f aca="false">IF(L23&lt;0,L23*-1,0)</f>
        <v>35.6185782707335</v>
      </c>
      <c r="Z23" s="113" t="n">
        <f aca="false">X23+Y23</f>
        <v>430.418578270734</v>
      </c>
      <c r="AA23" s="163" t="n">
        <v>0</v>
      </c>
      <c r="AB23" s="119" t="n">
        <v>71</v>
      </c>
      <c r="AC23" s="169" t="n">
        <v>38</v>
      </c>
      <c r="AD23" s="120" t="n">
        <v>0</v>
      </c>
      <c r="AE23" s="12" t="n">
        <f aca="false">IF(I23&gt;S23,I23-S23,I23-S23)-(3.35+8)</f>
        <v>191.8115</v>
      </c>
      <c r="AF23" s="306" t="n">
        <f aca="false">23.5*(T22*1.9835+AE23*1.9835)/E23</f>
        <v>13.7393130640356</v>
      </c>
    </row>
    <row r="24" customFormat="false" ht="11.1" hidden="false" customHeight="true" outlineLevel="0" collapsed="false">
      <c r="A24" s="120" t="n">
        <f aca="false">A23+1</f>
        <v>13</v>
      </c>
      <c r="B24" s="170" t="n">
        <v>6877.22</v>
      </c>
      <c r="C24" s="114" t="n">
        <v>207946</v>
      </c>
      <c r="D24" s="119" t="n">
        <f aca="false">C24-C23</f>
        <v>700</v>
      </c>
      <c r="E24" s="114" t="n">
        <f aca="false">C24-152000</f>
        <v>55946</v>
      </c>
      <c r="F24" s="113" t="n">
        <f aca="false">D24/$D$2</f>
        <v>352.911520040333</v>
      </c>
      <c r="G24" s="310" t="n">
        <v>787</v>
      </c>
      <c r="H24" s="311" t="n">
        <v>1.4</v>
      </c>
      <c r="I24" s="113" t="n">
        <f aca="false">G24+H24</f>
        <v>788.4</v>
      </c>
      <c r="J24" s="185" t="n">
        <f aca="false">IF(L24&gt;0,L24,0)</f>
        <v>47.5115200403328</v>
      </c>
      <c r="K24" s="113" t="n">
        <f aca="false">I24+J24</f>
        <v>835.911520040333</v>
      </c>
      <c r="L24" s="113" t="n">
        <f aca="false">F24-(I24-X24)</f>
        <v>47.5115200403328</v>
      </c>
      <c r="M24" s="186" t="n">
        <v>244</v>
      </c>
      <c r="N24" s="113" t="n">
        <v>3.03</v>
      </c>
      <c r="O24" s="113" t="n">
        <f aca="false">16.73*1.05</f>
        <v>17.5665</v>
      </c>
      <c r="P24" s="92" t="n">
        <f aca="false">M24-(N24+O24)</f>
        <v>223.4035</v>
      </c>
      <c r="Q24" s="183" t="n">
        <v>156</v>
      </c>
      <c r="R24" s="183" t="n">
        <v>43</v>
      </c>
      <c r="S24" s="113" t="n">
        <f aca="false">SUM(P24:R24)</f>
        <v>422.4035</v>
      </c>
      <c r="T24" s="114" t="n">
        <f aca="false">T23+AE24-(AF24/1.9835)</f>
        <v>16650.8487495748</v>
      </c>
      <c r="U24" s="183" t="n">
        <v>21</v>
      </c>
      <c r="V24" s="243" t="n">
        <v>19</v>
      </c>
      <c r="W24" s="244" t="n">
        <f aca="false">W23-V24</f>
        <v>7464.49231157046</v>
      </c>
      <c r="X24" s="6" t="n">
        <f aca="false">N24+O24+S24+U24+V24</f>
        <v>483</v>
      </c>
      <c r="Y24" s="113" t="n">
        <f aca="false">IF(L24&lt;0,L24*-1,0)</f>
        <v>0</v>
      </c>
      <c r="Z24" s="113" t="n">
        <f aca="false">X24+Y24</f>
        <v>483</v>
      </c>
      <c r="AA24" s="163" t="n">
        <v>0</v>
      </c>
      <c r="AB24" s="119" t="n">
        <v>72</v>
      </c>
      <c r="AC24" s="169" t="n">
        <v>43</v>
      </c>
      <c r="AD24" s="120" t="n">
        <v>0</v>
      </c>
      <c r="AE24" s="12" t="n">
        <f aca="false">795-(S24-8)</f>
        <v>380.5965</v>
      </c>
      <c r="AF24" s="306" t="n">
        <f aca="false">23.5*(T23*1.9835+AE24*1.9835)/E24</f>
        <v>13.8787344025637</v>
      </c>
    </row>
    <row r="25" customFormat="false" ht="11.1" hidden="false" customHeight="true" outlineLevel="0" collapsed="false">
      <c r="A25" s="120" t="n">
        <f aca="false">A24+1</f>
        <v>14</v>
      </c>
      <c r="B25" s="170" t="n">
        <v>6877.53</v>
      </c>
      <c r="C25" s="114" t="n">
        <v>208852</v>
      </c>
      <c r="D25" s="119" t="n">
        <f aca="false">C25-C24</f>
        <v>906</v>
      </c>
      <c r="E25" s="114" t="n">
        <f aca="false">C25-152000</f>
        <v>56852</v>
      </c>
      <c r="F25" s="113" t="n">
        <f aca="false">D25/$D$2</f>
        <v>456.768338795059</v>
      </c>
      <c r="G25" s="310" t="n">
        <v>854</v>
      </c>
      <c r="H25" s="311" t="n">
        <v>1.5</v>
      </c>
      <c r="I25" s="113" t="n">
        <f aca="false">G25+H25</f>
        <v>855.5</v>
      </c>
      <c r="J25" s="185" t="n">
        <f aca="false">IF(L25&gt;0,L25,0)</f>
        <v>137.168338795059</v>
      </c>
      <c r="K25" s="113" t="n">
        <f aca="false">I25+J25</f>
        <v>992.668338795059</v>
      </c>
      <c r="L25" s="113" t="n">
        <f aca="false">F25-(I25-X25)</f>
        <v>137.168338795059</v>
      </c>
      <c r="M25" s="186" t="n">
        <v>285</v>
      </c>
      <c r="N25" s="113" t="n">
        <v>0</v>
      </c>
      <c r="O25" s="113" t="n">
        <f aca="false">40.26*1.05</f>
        <v>42.273</v>
      </c>
      <c r="P25" s="92" t="n">
        <f aca="false">M25-(N25+O25)</f>
        <v>242.727</v>
      </c>
      <c r="Q25" s="183" t="n">
        <v>175</v>
      </c>
      <c r="R25" s="183" t="n">
        <v>53</v>
      </c>
      <c r="S25" s="113" t="n">
        <f aca="false">SUM(P25:R25)</f>
        <v>470.727</v>
      </c>
      <c r="T25" s="114" t="n">
        <f aca="false">T24+AE25-(AF25/1.9835)</f>
        <v>16976.1017087475</v>
      </c>
      <c r="U25" s="183" t="n">
        <v>3.9</v>
      </c>
      <c r="V25" s="243" t="n">
        <v>19</v>
      </c>
      <c r="W25" s="244" t="n">
        <f aca="false">W24-V25</f>
        <v>7445.49231157046</v>
      </c>
      <c r="X25" s="6" t="n">
        <f aca="false">N25+O25+S25+U25+V25</f>
        <v>535.9</v>
      </c>
      <c r="Y25" s="113" t="n">
        <f aca="false">IF(L25&lt;0,L25*-1,0)</f>
        <v>0</v>
      </c>
      <c r="Z25" s="113" t="n">
        <f aca="false">X25+Y25</f>
        <v>535.9</v>
      </c>
      <c r="AA25" s="163" t="n">
        <v>0</v>
      </c>
      <c r="AB25" s="119" t="n">
        <v>71</v>
      </c>
      <c r="AC25" s="169" t="n">
        <v>43</v>
      </c>
      <c r="AD25" s="120" t="n">
        <v>0</v>
      </c>
      <c r="AE25" s="12" t="n">
        <f aca="false">795-(S25-8)</f>
        <v>332.273</v>
      </c>
      <c r="AF25" s="306" t="n">
        <f aca="false">23.5*(T24*1.9835+AE25*1.9835)/E25</f>
        <v>13.9242509809966</v>
      </c>
    </row>
    <row r="26" customFormat="false" ht="11.1" hidden="false" customHeight="true" outlineLevel="0" collapsed="false">
      <c r="A26" s="120" t="n">
        <f aca="false">A25+1</f>
        <v>15</v>
      </c>
      <c r="B26" s="170" t="n">
        <v>6877.96</v>
      </c>
      <c r="C26" s="114" t="n">
        <v>210108</v>
      </c>
      <c r="D26" s="119" t="n">
        <f aca="false">C26-C25</f>
        <v>1256</v>
      </c>
      <c r="E26" s="114" t="n">
        <f aca="false">C26-152000</f>
        <v>58108</v>
      </c>
      <c r="F26" s="113" t="n">
        <f aca="false">D26/$D$2</f>
        <v>633.224098815226</v>
      </c>
      <c r="G26" s="310" t="n">
        <v>1120</v>
      </c>
      <c r="H26" s="311" t="n">
        <v>1.7</v>
      </c>
      <c r="I26" s="113" t="n">
        <f aca="false">G26+H26</f>
        <v>1121.7</v>
      </c>
      <c r="J26" s="185" t="n">
        <f aca="false">IF(L26&gt;0,L26,0)</f>
        <v>2.52409881522556</v>
      </c>
      <c r="K26" s="183" t="n">
        <f aca="false">I26+J26</f>
        <v>1124.22409881523</v>
      </c>
      <c r="L26" s="113" t="n">
        <f aca="false">F26-(I26-X26)</f>
        <v>2.52409881522556</v>
      </c>
      <c r="M26" s="186" t="n">
        <v>229</v>
      </c>
      <c r="N26" s="113" t="n">
        <v>0</v>
      </c>
      <c r="O26" s="113" t="n">
        <f aca="false">34.17*1.05</f>
        <v>35.8785</v>
      </c>
      <c r="P26" s="92" t="n">
        <f aca="false">M26-(N26+O26)</f>
        <v>193.1215</v>
      </c>
      <c r="Q26" s="183" t="n">
        <v>180</v>
      </c>
      <c r="R26" s="183" t="n">
        <v>63</v>
      </c>
      <c r="S26" s="113" t="n">
        <f aca="false">SUM(P26:R26)</f>
        <v>436.1215</v>
      </c>
      <c r="T26" s="114" t="n">
        <f aca="false">T25+AE26-(AF26/1.9835)</f>
        <v>17335.966371842</v>
      </c>
      <c r="U26" s="183" t="n">
        <v>0</v>
      </c>
      <c r="V26" s="243" t="n">
        <v>19</v>
      </c>
      <c r="W26" s="244" t="n">
        <f aca="false">W25-V26</f>
        <v>7426.49231157046</v>
      </c>
      <c r="X26" s="6" t="n">
        <f aca="false">N26+O26+S26+U26+V26</f>
        <v>491</v>
      </c>
      <c r="Y26" s="113" t="n">
        <f aca="false">IF(L26&lt;0,L26*-1,0)</f>
        <v>0</v>
      </c>
      <c r="Z26" s="113" t="n">
        <f aca="false">X26+Y26</f>
        <v>491</v>
      </c>
      <c r="AA26" s="163" t="n">
        <v>0.36</v>
      </c>
      <c r="AB26" s="119" t="n">
        <v>59</v>
      </c>
      <c r="AC26" s="169" t="n">
        <v>42</v>
      </c>
      <c r="AD26" s="120" t="n">
        <v>0</v>
      </c>
      <c r="AE26" s="12" t="n">
        <f aca="false">795-(S26-8)</f>
        <v>366.8785</v>
      </c>
      <c r="AF26" s="306" t="n">
        <f aca="false">23.5*(T25*1.9835+AE26*1.9835)/E26</f>
        <v>13.9119455020856</v>
      </c>
    </row>
    <row r="27" customFormat="false" ht="11.1" hidden="false" customHeight="true" outlineLevel="0" collapsed="false">
      <c r="A27" s="120" t="n">
        <f aca="false">A26+1</f>
        <v>16</v>
      </c>
      <c r="B27" s="170" t="n">
        <v>6878.32</v>
      </c>
      <c r="C27" s="114" t="n">
        <v>211170</v>
      </c>
      <c r="D27" s="119" t="n">
        <f aca="false">C27-C26</f>
        <v>1062</v>
      </c>
      <c r="E27" s="114" t="n">
        <f aca="false">C27-152000</f>
        <v>59170</v>
      </c>
      <c r="F27" s="113" t="n">
        <f aca="false">D27/$D$2</f>
        <v>535.417191832619</v>
      </c>
      <c r="G27" s="310" t="n">
        <v>1080</v>
      </c>
      <c r="H27" s="311" t="n">
        <v>2</v>
      </c>
      <c r="I27" s="113" t="n">
        <f aca="false">G27+H27</f>
        <v>1082</v>
      </c>
      <c r="J27" s="185" t="n">
        <f aca="false">IF(L27&gt;0,L27,0)</f>
        <v>0</v>
      </c>
      <c r="K27" s="113" t="n">
        <f aca="false">I27+J27</f>
        <v>1082</v>
      </c>
      <c r="L27" s="113" t="n">
        <f aca="false">F27-(I27-X27)</f>
        <v>-31.1828081673809</v>
      </c>
      <c r="M27" s="186" t="n">
        <v>246</v>
      </c>
      <c r="N27" s="113" t="n">
        <v>0</v>
      </c>
      <c r="O27" s="113" t="n">
        <f aca="false">27.63*1.05</f>
        <v>29.0115</v>
      </c>
      <c r="P27" s="92" t="n">
        <f aca="false">M27-(N27+O27)</f>
        <v>216.9885</v>
      </c>
      <c r="Q27" s="183" t="n">
        <v>180</v>
      </c>
      <c r="R27" s="183" t="n">
        <v>66</v>
      </c>
      <c r="S27" s="113" t="n">
        <f aca="false">SUM(P27:R27)</f>
        <v>462.9885</v>
      </c>
      <c r="T27" s="114" t="n">
        <f aca="false">T26+AE27-(AF27/1.9835)</f>
        <v>17668.9576676847</v>
      </c>
      <c r="U27" s="183" t="n">
        <v>4.4</v>
      </c>
      <c r="V27" s="243" t="n">
        <v>19</v>
      </c>
      <c r="W27" s="244" t="n">
        <f aca="false">W26-V27</f>
        <v>7407.49231157046</v>
      </c>
      <c r="X27" s="6" t="n">
        <f aca="false">N27+O27+S27+U27+V27</f>
        <v>515.4</v>
      </c>
      <c r="Y27" s="113" t="n">
        <f aca="false">IF(L27&lt;0,L27*-1,0)</f>
        <v>31.1828081673809</v>
      </c>
      <c r="Z27" s="113" t="n">
        <f aca="false">X27+Y27</f>
        <v>546.582808167381</v>
      </c>
      <c r="AA27" s="163" t="n">
        <v>0</v>
      </c>
      <c r="AB27" s="119" t="n">
        <v>74</v>
      </c>
      <c r="AC27" s="169" t="n">
        <v>40</v>
      </c>
      <c r="AD27" s="120" t="n">
        <v>0</v>
      </c>
      <c r="AE27" s="12" t="n">
        <f aca="false">795-(S27-8)</f>
        <v>340.0115</v>
      </c>
      <c r="AF27" s="306" t="n">
        <f aca="false">23.5*(T26*1.9835+AE27*1.9835)/E27</f>
        <v>13.9245749460329</v>
      </c>
    </row>
    <row r="28" customFormat="false" ht="11.1" hidden="false" customHeight="true" outlineLevel="0" collapsed="false">
      <c r="A28" s="120" t="n">
        <f aca="false">A27+1</f>
        <v>17</v>
      </c>
      <c r="B28" s="170" t="n">
        <v>6879.02</v>
      </c>
      <c r="C28" s="114" t="n">
        <v>213238</v>
      </c>
      <c r="D28" s="119" t="n">
        <f aca="false">C28-C27</f>
        <v>2068</v>
      </c>
      <c r="E28" s="114" t="n">
        <f aca="false">C28-152000</f>
        <v>61238</v>
      </c>
      <c r="F28" s="113" t="n">
        <f aca="false">D28/$D$2</f>
        <v>1042.60146206201</v>
      </c>
      <c r="G28" s="310" t="n">
        <v>1490</v>
      </c>
      <c r="H28" s="311" t="n">
        <v>2.1</v>
      </c>
      <c r="I28" s="113" t="n">
        <f aca="false">G28+H28</f>
        <v>1492.1</v>
      </c>
      <c r="J28" s="185" t="n">
        <f aca="false">IF(L28&gt;0,L28,0)</f>
        <v>86.5014620620116</v>
      </c>
      <c r="K28" s="183" t="n">
        <f aca="false">I28+J28</f>
        <v>1578.60146206201</v>
      </c>
      <c r="L28" s="113" t="n">
        <f aca="false">F28-(I28-X28)</f>
        <v>86.5014620620116</v>
      </c>
      <c r="M28" s="186" t="n">
        <v>244</v>
      </c>
      <c r="N28" s="113" t="n">
        <v>0</v>
      </c>
      <c r="O28" s="113" t="n">
        <f aca="false">17.1*1.05</f>
        <v>17.955</v>
      </c>
      <c r="P28" s="92" t="n">
        <f aca="false">M28-(N28+O28)</f>
        <v>226.045</v>
      </c>
      <c r="Q28" s="183" t="n">
        <v>178</v>
      </c>
      <c r="R28" s="183" t="n">
        <v>71</v>
      </c>
      <c r="S28" s="113" t="n">
        <f aca="false">SUM(P28:R28)</f>
        <v>475.045</v>
      </c>
      <c r="T28" s="114" t="n">
        <f aca="false">T27+AE28-(AF28/1.9835)</f>
        <v>17990.006376694</v>
      </c>
      <c r="U28" s="183" t="n">
        <v>24</v>
      </c>
      <c r="V28" s="243" t="n">
        <v>19</v>
      </c>
      <c r="W28" s="244" t="n">
        <f aca="false">W27-V28</f>
        <v>7388.49231157046</v>
      </c>
      <c r="X28" s="6" t="n">
        <f aca="false">N28+O28+S28+U28+V28</f>
        <v>536</v>
      </c>
      <c r="Y28" s="113" t="n">
        <f aca="false">IF(L28&lt;0,L28*-1,0)</f>
        <v>0</v>
      </c>
      <c r="Z28" s="113" t="n">
        <f aca="false">X28+Y28</f>
        <v>536</v>
      </c>
      <c r="AA28" s="163" t="n">
        <v>0</v>
      </c>
      <c r="AB28" s="119" t="n">
        <v>76</v>
      </c>
      <c r="AC28" s="169" t="n">
        <v>46</v>
      </c>
      <c r="AD28" s="120" t="n">
        <v>0</v>
      </c>
      <c r="AE28" s="12" t="n">
        <f aca="false">795-(S28-8)</f>
        <v>327.955</v>
      </c>
      <c r="AF28" s="306" t="n">
        <f aca="false">23.5*(T27*1.9835+AE28*1.9835)/E28</f>
        <v>13.6986281801216</v>
      </c>
    </row>
    <row r="29" customFormat="false" ht="11.1" hidden="false" customHeight="true" outlineLevel="0" collapsed="false">
      <c r="A29" s="120" t="n">
        <f aca="false">A28+1</f>
        <v>18</v>
      </c>
      <c r="B29" s="170" t="n">
        <v>6879.72</v>
      </c>
      <c r="C29" s="114" t="n">
        <v>215329</v>
      </c>
      <c r="D29" s="119" t="n">
        <f aca="false">C29-C28</f>
        <v>2091</v>
      </c>
      <c r="E29" s="114" t="n">
        <f aca="false">C29-152000</f>
        <v>63329</v>
      </c>
      <c r="F29" s="113" t="n">
        <f aca="false">D29/$D$2</f>
        <v>1054.19712629191</v>
      </c>
      <c r="G29" s="310" t="n">
        <v>1450</v>
      </c>
      <c r="H29" s="311" t="n">
        <v>2.3</v>
      </c>
      <c r="I29" s="113" t="n">
        <f aca="false">G29+H29</f>
        <v>1452.3</v>
      </c>
      <c r="J29" s="185" t="n">
        <f aca="false">IF(L29&gt;0,L29,0)</f>
        <v>141.897126291908</v>
      </c>
      <c r="K29" s="113" t="n">
        <f aca="false">I29+J29</f>
        <v>1594.19712629191</v>
      </c>
      <c r="L29" s="113" t="n">
        <f aca="false">F29-(I29-X29)</f>
        <v>141.897126291908</v>
      </c>
      <c r="M29" s="186" t="n">
        <v>244</v>
      </c>
      <c r="N29" s="113" t="n">
        <v>0</v>
      </c>
      <c r="O29" s="113" t="n">
        <f aca="false">18.01*1.05</f>
        <v>18.9105</v>
      </c>
      <c r="P29" s="92" t="n">
        <f aca="false">M29-(N29+O29)</f>
        <v>225.0895</v>
      </c>
      <c r="Q29" s="183" t="n">
        <v>181</v>
      </c>
      <c r="R29" s="183" t="n">
        <v>76</v>
      </c>
      <c r="S29" s="113" t="n">
        <f aca="false">SUM(P29:R29)</f>
        <v>482.0895</v>
      </c>
      <c r="T29" s="114" t="n">
        <f aca="false">T28+AE29-(AF29/1.9835)</f>
        <v>18304.1220978943</v>
      </c>
      <c r="U29" s="183" t="n">
        <v>20</v>
      </c>
      <c r="V29" s="243" t="n">
        <v>19</v>
      </c>
      <c r="W29" s="244" t="n">
        <f aca="false">W28-V29</f>
        <v>7369.49231157046</v>
      </c>
      <c r="X29" s="6" t="n">
        <f aca="false">N29+O29+S29+U29+V29</f>
        <v>540</v>
      </c>
      <c r="Y29" s="113" t="n">
        <f aca="false">IF(L29&lt;0,L29*-1,0)</f>
        <v>0</v>
      </c>
      <c r="Z29" s="113" t="n">
        <f aca="false">X29+Y29</f>
        <v>540</v>
      </c>
      <c r="AA29" s="163" t="n">
        <v>0.11</v>
      </c>
      <c r="AB29" s="119" t="n">
        <v>70</v>
      </c>
      <c r="AC29" s="169" t="n">
        <v>47</v>
      </c>
      <c r="AD29" s="120" t="n">
        <v>0</v>
      </c>
      <c r="AE29" s="12" t="n">
        <f aca="false">795-(S29-8)</f>
        <v>320.9105</v>
      </c>
      <c r="AF29" s="306" t="n">
        <f aca="false">23.5*(T28*1.9835+AE29*1.9835)/E29</f>
        <v>13.477443749083</v>
      </c>
    </row>
    <row r="30" customFormat="false" ht="11.1" hidden="false" customHeight="true" outlineLevel="0" collapsed="false">
      <c r="A30" s="120" t="n">
        <f aca="false">A29+1</f>
        <v>19</v>
      </c>
      <c r="B30" s="170" t="n">
        <v>6880.35</v>
      </c>
      <c r="C30" s="236" t="n">
        <v>217223</v>
      </c>
      <c r="D30" s="119" t="n">
        <f aca="false">C30-C29</f>
        <v>1894</v>
      </c>
      <c r="E30" s="114" t="n">
        <f aca="false">C30-152000</f>
        <v>65223</v>
      </c>
      <c r="F30" s="113" t="n">
        <f aca="false">D30/$D$2</f>
        <v>954.877741366272</v>
      </c>
      <c r="G30" s="310" t="n">
        <v>1420</v>
      </c>
      <c r="H30" s="311" t="n">
        <v>2.2</v>
      </c>
      <c r="I30" s="113" t="n">
        <f aca="false">G30+H30</f>
        <v>1422.2</v>
      </c>
      <c r="J30" s="185" t="n">
        <f aca="false">IF(L30&gt;0,L30,0)</f>
        <v>46.6777413662717</v>
      </c>
      <c r="K30" s="113" t="n">
        <f aca="false">I30+J30</f>
        <v>1468.87774136627</v>
      </c>
      <c r="L30" s="113" t="n">
        <f aca="false">F30-(I30-X30)</f>
        <v>46.6777413662717</v>
      </c>
      <c r="M30" s="186" t="n">
        <v>236</v>
      </c>
      <c r="N30" s="113" t="n">
        <v>1</v>
      </c>
      <c r="O30" s="113" t="n">
        <f aca="false">27.85*1.05</f>
        <v>29.2425</v>
      </c>
      <c r="P30" s="92" t="n">
        <f aca="false">M30-(N30+O30)</f>
        <v>205.7575</v>
      </c>
      <c r="Q30" s="183" t="n">
        <v>162</v>
      </c>
      <c r="R30" s="183" t="n">
        <v>80</v>
      </c>
      <c r="S30" s="113" t="n">
        <f aca="false">SUM(P30:R30)</f>
        <v>447.7575</v>
      </c>
      <c r="T30" s="114" t="n">
        <f aca="false">T29+AE30-(AF30/1.9835)</f>
        <v>18652.64158503</v>
      </c>
      <c r="U30" s="183" t="n">
        <v>17</v>
      </c>
      <c r="V30" s="243" t="n">
        <v>19</v>
      </c>
      <c r="W30" s="244" t="n">
        <f aca="false">W29-V30</f>
        <v>7350.49231157046</v>
      </c>
      <c r="X30" s="6" t="n">
        <f aca="false">N30+O30+S30+U30+V30</f>
        <v>514</v>
      </c>
      <c r="Y30" s="113" t="n">
        <f aca="false">IF(L30&lt;0,L30*-1,0)</f>
        <v>0</v>
      </c>
      <c r="Z30" s="113" t="n">
        <f aca="false">X30+Y30</f>
        <v>514</v>
      </c>
      <c r="AA30" s="163" t="n">
        <v>0</v>
      </c>
      <c r="AB30" s="119" t="n">
        <v>73</v>
      </c>
      <c r="AC30" s="169" t="n">
        <v>42</v>
      </c>
      <c r="AD30" s="120" t="n">
        <v>0</v>
      </c>
      <c r="AE30" s="12" t="n">
        <f aca="false">795-(S30-8)</f>
        <v>355.2425</v>
      </c>
      <c r="AF30" s="306" t="n">
        <f aca="false">23.5*(T29*1.9835+AE30*1.9835)/E30</f>
        <v>13.3350960164083</v>
      </c>
    </row>
    <row r="31" customFormat="false" ht="11.1" hidden="false" customHeight="true" outlineLevel="0" collapsed="false">
      <c r="A31" s="120" t="n">
        <f aca="false">A30+1</f>
        <v>20</v>
      </c>
      <c r="B31" s="170" t="n">
        <v>6880.93</v>
      </c>
      <c r="C31" s="114" t="n">
        <v>218976</v>
      </c>
      <c r="D31" s="119" t="n">
        <f aca="false">C31-C30</f>
        <v>1753</v>
      </c>
      <c r="E31" s="114" t="n">
        <f aca="false">C31-152000</f>
        <v>66976</v>
      </c>
      <c r="F31" s="113" t="n">
        <f aca="false">D31/$D$2</f>
        <v>883.791278043862</v>
      </c>
      <c r="G31" s="310" t="n">
        <v>1410</v>
      </c>
      <c r="H31" s="311" t="n">
        <v>2</v>
      </c>
      <c r="I31" s="113" t="n">
        <f aca="false">G31+H31</f>
        <v>1412</v>
      </c>
      <c r="J31" s="185" t="n">
        <f aca="false">IF(L31&gt;0,L31,0)</f>
        <v>0</v>
      </c>
      <c r="K31" s="113" t="n">
        <f aca="false">I31+J31</f>
        <v>1412</v>
      </c>
      <c r="L31" s="113" t="n">
        <f aca="false">F31-(I31-X31)</f>
        <v>-11.1087219561381</v>
      </c>
      <c r="M31" s="186" t="n">
        <v>252</v>
      </c>
      <c r="N31" s="113" t="n">
        <v>0</v>
      </c>
      <c r="O31" s="113" t="n">
        <f aca="false">41.53*1.05</f>
        <v>43.6065</v>
      </c>
      <c r="P31" s="92" t="n">
        <f aca="false">M31-(N31+O31)</f>
        <v>208.3935</v>
      </c>
      <c r="Q31" s="183" t="n">
        <v>155</v>
      </c>
      <c r="R31" s="183" t="n">
        <v>83</v>
      </c>
      <c r="S31" s="113" t="n">
        <f aca="false">SUM(P31:R31)</f>
        <v>446.3935</v>
      </c>
      <c r="T31" s="114" t="n">
        <f aca="false">T30+AE31-(AF31/1.9835)</f>
        <v>19002.5782730078</v>
      </c>
      <c r="U31" s="183" t="n">
        <v>9.1</v>
      </c>
      <c r="V31" s="243" t="n">
        <v>18</v>
      </c>
      <c r="W31" s="244" t="n">
        <f aca="false">W30-V31</f>
        <v>7332.49231157046</v>
      </c>
      <c r="X31" s="6" t="n">
        <f aca="false">N31+O31+S31+U31+V31</f>
        <v>517.1</v>
      </c>
      <c r="Y31" s="113" t="n">
        <f aca="false">IF(L31&lt;0,L31*-1,0)</f>
        <v>11.1087219561381</v>
      </c>
      <c r="Z31" s="113" t="n">
        <f aca="false">X31+Y31</f>
        <v>528.208721956138</v>
      </c>
      <c r="AA31" s="163" t="n">
        <v>0</v>
      </c>
      <c r="AB31" s="119" t="n">
        <v>75</v>
      </c>
      <c r="AC31" s="169" t="n">
        <v>46</v>
      </c>
      <c r="AD31" s="120" t="n">
        <v>0</v>
      </c>
      <c r="AE31" s="12" t="n">
        <f aca="false">795-(S31-8)</f>
        <v>356.6065</v>
      </c>
      <c r="AF31" s="306" t="n">
        <f aca="false">23.5*(T30*1.9835+AE31*1.9835)/E31</f>
        <v>13.2295721460141</v>
      </c>
    </row>
    <row r="32" customFormat="false" ht="11.1" hidden="false" customHeight="true" outlineLevel="0" collapsed="false">
      <c r="A32" s="120" t="n">
        <f aca="false">A31+1</f>
        <v>21</v>
      </c>
      <c r="B32" s="312" t="n">
        <v>6881.66</v>
      </c>
      <c r="C32" s="114" t="n">
        <v>221211</v>
      </c>
      <c r="D32" s="119" t="n">
        <f aca="false">C32-C31</f>
        <v>2235</v>
      </c>
      <c r="E32" s="114" t="n">
        <f aca="false">C32-152000</f>
        <v>69211</v>
      </c>
      <c r="F32" s="113" t="n">
        <f aca="false">D32/$D$2</f>
        <v>1126.79606755735</v>
      </c>
      <c r="G32" s="310" t="n">
        <v>1500</v>
      </c>
      <c r="H32" s="311" t="n">
        <v>1.8</v>
      </c>
      <c r="I32" s="113" t="n">
        <f aca="false">G32+H32</f>
        <v>1501.8</v>
      </c>
      <c r="J32" s="185" t="n">
        <f aca="false">IF(L32&gt;0,L32,0)</f>
        <v>146.826067557348</v>
      </c>
      <c r="K32" s="113" t="n">
        <f aca="false">I32+J32</f>
        <v>1648.62606755735</v>
      </c>
      <c r="L32" s="113" t="n">
        <f aca="false">F32-(I32-X32)</f>
        <v>146.826067557348</v>
      </c>
      <c r="M32" s="186" t="n">
        <v>248</v>
      </c>
      <c r="N32" s="113" t="n">
        <v>0</v>
      </c>
      <c r="O32" s="113" t="n">
        <f aca="false">43.31*1.05</f>
        <v>45.4755</v>
      </c>
      <c r="P32" s="92" t="n">
        <f aca="false">M32-(N32+O32)</f>
        <v>202.5245</v>
      </c>
      <c r="Q32" s="183" t="n">
        <v>171</v>
      </c>
      <c r="R32" s="183" t="n">
        <v>84</v>
      </c>
      <c r="S32" s="113" t="n">
        <f aca="false">SUM(P32:R32)</f>
        <v>457.5245</v>
      </c>
      <c r="T32" s="114" t="n">
        <f aca="false">T31+AE32-(AF32/1.9835)</f>
        <v>19341.4843076964</v>
      </c>
      <c r="U32" s="183" t="n">
        <v>0.83</v>
      </c>
      <c r="V32" s="243" t="n">
        <v>18</v>
      </c>
      <c r="W32" s="244" t="n">
        <f aca="false">W31-V32</f>
        <v>7314.49231157046</v>
      </c>
      <c r="X32" s="6" t="n">
        <f aca="false">N32+O32+S32+U32+V32</f>
        <v>521.83</v>
      </c>
      <c r="Y32" s="113" t="n">
        <f aca="false">IF(L32&lt;0,L32*-1,0)</f>
        <v>0</v>
      </c>
      <c r="Z32" s="113" t="n">
        <f aca="false">X32+Y32</f>
        <v>521.83</v>
      </c>
      <c r="AA32" s="163" t="n">
        <v>0</v>
      </c>
      <c r="AB32" s="119" t="n">
        <v>77</v>
      </c>
      <c r="AC32" s="169" t="n">
        <v>41</v>
      </c>
      <c r="AD32" s="120" t="n">
        <v>0</v>
      </c>
      <c r="AE32" s="12" t="n">
        <f aca="false">795-(S32-8)</f>
        <v>345.4755</v>
      </c>
      <c r="AF32" s="306" t="n">
        <f aca="false">23.5*(T31*1.9835+AE32*1.9835)/E32</f>
        <v>13.0305344451154</v>
      </c>
    </row>
    <row r="33" customFormat="false" ht="11.1" hidden="false" customHeight="true" outlineLevel="0" collapsed="false">
      <c r="A33" s="120" t="n">
        <f aca="false">A32+1</f>
        <v>22</v>
      </c>
      <c r="B33" s="170" t="n">
        <v>6882.48</v>
      </c>
      <c r="C33" s="114" t="n">
        <v>223744</v>
      </c>
      <c r="D33" s="119" t="n">
        <f aca="false">C33-C32</f>
        <v>2533</v>
      </c>
      <c r="E33" s="114" t="n">
        <f aca="false">C33-152000</f>
        <v>71744</v>
      </c>
      <c r="F33" s="113" t="n">
        <f aca="false">D33/$D$2</f>
        <v>1277.03554323166</v>
      </c>
      <c r="G33" s="310" t="n">
        <v>1680</v>
      </c>
      <c r="H33" s="311" t="n">
        <v>1.8</v>
      </c>
      <c r="I33" s="113" t="n">
        <f aca="false">G33+H33</f>
        <v>1681.8</v>
      </c>
      <c r="J33" s="185" t="n">
        <f aca="false">IF(L33&gt;0,L33,0)</f>
        <v>125.235543231661</v>
      </c>
      <c r="K33" s="113" t="n">
        <f aca="false">I33+J33</f>
        <v>1807.03554323166</v>
      </c>
      <c r="L33" s="113" t="n">
        <f aca="false">F33-(I33-X33)</f>
        <v>125.235543231661</v>
      </c>
      <c r="M33" s="186" t="n">
        <v>235</v>
      </c>
      <c r="N33" s="113" t="n">
        <v>0</v>
      </c>
      <c r="O33" s="113" t="n">
        <f aca="false">25.62*1.05</f>
        <v>26.901</v>
      </c>
      <c r="P33" s="92" t="n">
        <f aca="false">M33-(N33+O33)</f>
        <v>208.099</v>
      </c>
      <c r="Q33" s="183" t="n">
        <v>180</v>
      </c>
      <c r="R33" s="183" t="n">
        <v>79</v>
      </c>
      <c r="S33" s="183" t="n">
        <f aca="false">SUM(P33:R33)</f>
        <v>467.099</v>
      </c>
      <c r="T33" s="114" t="n">
        <f aca="false">T32+AE33-(AF33/1.9835)</f>
        <v>19670.9399108029</v>
      </c>
      <c r="U33" s="183" t="n">
        <v>18</v>
      </c>
      <c r="V33" s="243" t="n">
        <v>18</v>
      </c>
      <c r="W33" s="244" t="n">
        <f aca="false">W32-V33</f>
        <v>7296.49231157046</v>
      </c>
      <c r="X33" s="6" t="n">
        <f aca="false">N33+O33+S33+U33+V33</f>
        <v>530</v>
      </c>
      <c r="Y33" s="113" t="n">
        <f aca="false">IF(L33&lt;0,L33*-1,0)</f>
        <v>0</v>
      </c>
      <c r="Z33" s="113" t="n">
        <f aca="false">X33+Y33</f>
        <v>530</v>
      </c>
      <c r="AA33" s="163" t="n">
        <v>0</v>
      </c>
      <c r="AB33" s="119" t="n">
        <v>82</v>
      </c>
      <c r="AC33" s="169" t="n">
        <v>46</v>
      </c>
      <c r="AD33" s="120" t="n">
        <v>0</v>
      </c>
      <c r="AE33" s="12" t="n">
        <f aca="false">795-(S33-8)</f>
        <v>335.901</v>
      </c>
      <c r="AF33" s="306" t="n">
        <f aca="false">23.5*(T32*1.9835+AE33*1.9835)/E33</f>
        <v>12.7844447383568</v>
      </c>
    </row>
    <row r="34" customFormat="false" ht="11.1" hidden="false" customHeight="true" outlineLevel="0" collapsed="false">
      <c r="A34" s="120" t="n">
        <f aca="false">A33+1</f>
        <v>23</v>
      </c>
      <c r="B34" s="170" t="n">
        <v>6883.38</v>
      </c>
      <c r="C34" s="114" t="n">
        <v>226554</v>
      </c>
      <c r="D34" s="119" t="n">
        <f aca="false">C34-C33</f>
        <v>2810</v>
      </c>
      <c r="E34" s="114" t="n">
        <f aca="false">C34-152000</f>
        <v>74554</v>
      </c>
      <c r="F34" s="113" t="n">
        <f aca="false">D34/$D$2</f>
        <v>1416.68767330476</v>
      </c>
      <c r="G34" s="310" t="n">
        <v>1750</v>
      </c>
      <c r="H34" s="311" t="n">
        <v>1.7</v>
      </c>
      <c r="I34" s="113" t="n">
        <f aca="false">G34+H34</f>
        <v>1751.7</v>
      </c>
      <c r="J34" s="185" t="n">
        <f aca="false">IF(L34&gt;0,L34,0)</f>
        <v>211.987673304764</v>
      </c>
      <c r="K34" s="113" t="n">
        <f aca="false">I34+J34</f>
        <v>1963.68767330476</v>
      </c>
      <c r="L34" s="113" t="n">
        <f aca="false">F34-(I34-X34)</f>
        <v>211.987673304764</v>
      </c>
      <c r="M34" s="186" t="n">
        <v>227</v>
      </c>
      <c r="N34" s="113" t="n">
        <v>0</v>
      </c>
      <c r="O34" s="113" t="n">
        <f aca="false">12.12*1.05</f>
        <v>12.726</v>
      </c>
      <c r="P34" s="92" t="n">
        <f aca="false">M34-(N34+O34)</f>
        <v>214.274</v>
      </c>
      <c r="Q34" s="183" t="n">
        <v>179</v>
      </c>
      <c r="R34" s="183" t="n">
        <v>77</v>
      </c>
      <c r="S34" s="113" t="n">
        <f aca="false">SUM(P34:R34)</f>
        <v>470.274</v>
      </c>
      <c r="T34" s="114" t="n">
        <f aca="false">T33+AE34-(AF34/1.9835)</f>
        <v>19997.360599902</v>
      </c>
      <c r="U34" s="183" t="n">
        <v>46</v>
      </c>
      <c r="V34" s="243" t="n">
        <v>18</v>
      </c>
      <c r="W34" s="244" t="n">
        <f aca="false">W33-V34</f>
        <v>7278.49231157046</v>
      </c>
      <c r="X34" s="6" t="n">
        <f aca="false">N34+O34+S34+U34+V34</f>
        <v>547</v>
      </c>
      <c r="Y34" s="113" t="n">
        <f aca="false">IF(L34&lt;0,L34*-1,0)</f>
        <v>0</v>
      </c>
      <c r="Z34" s="113" t="n">
        <f aca="false">X34+Y34</f>
        <v>547</v>
      </c>
      <c r="AA34" s="163" t="n">
        <v>0</v>
      </c>
      <c r="AB34" s="119" t="n">
        <v>84</v>
      </c>
      <c r="AC34" s="169" t="n">
        <v>49</v>
      </c>
      <c r="AD34" s="120" t="n">
        <v>0</v>
      </c>
      <c r="AE34" s="12" t="n">
        <f aca="false">795-(S34-8)</f>
        <v>332.726</v>
      </c>
      <c r="AF34" s="306" t="n">
        <f aca="false">23.5*(T33*1.9835+AE34*1.9835)/E34</f>
        <v>12.5065841718864</v>
      </c>
    </row>
    <row r="35" customFormat="false" ht="11.1" hidden="false" customHeight="true" outlineLevel="0" collapsed="false">
      <c r="A35" s="120" t="n">
        <f aca="false">A34+1</f>
        <v>24</v>
      </c>
      <c r="B35" s="170" t="n">
        <v>6884.09</v>
      </c>
      <c r="C35" s="114" t="n">
        <v>228791</v>
      </c>
      <c r="D35" s="119" t="n">
        <f aca="false">C35-C34</f>
        <v>2237</v>
      </c>
      <c r="E35" s="114" t="n">
        <f aca="false">C35-152000</f>
        <v>76791</v>
      </c>
      <c r="F35" s="113" t="n">
        <f aca="false">D35/$D$2</f>
        <v>1127.80438618603</v>
      </c>
      <c r="G35" s="310" t="n">
        <v>1580</v>
      </c>
      <c r="H35" s="311" t="n">
        <v>1.6</v>
      </c>
      <c r="I35" s="113" t="n">
        <f aca="false">G35+H35</f>
        <v>1581.6</v>
      </c>
      <c r="J35" s="185" t="n">
        <f aca="false">IF(L35&gt;0,L35,0)</f>
        <v>116.204386186035</v>
      </c>
      <c r="K35" s="113" t="n">
        <f aca="false">I35+J35</f>
        <v>1697.80438618603</v>
      </c>
      <c r="L35" s="113" t="n">
        <f aca="false">F35-(I35-X35)</f>
        <v>116.204386186035</v>
      </c>
      <c r="M35" s="186" t="n">
        <v>232</v>
      </c>
      <c r="N35" s="113" t="n">
        <v>0</v>
      </c>
      <c r="O35" s="113" t="n">
        <f aca="false">8.2*1.05</f>
        <v>8.61</v>
      </c>
      <c r="P35" s="92" t="n">
        <f aca="false">M35-(N35+O35)</f>
        <v>223.39</v>
      </c>
      <c r="Q35" s="183" t="n">
        <v>178</v>
      </c>
      <c r="R35" s="183" t="n">
        <v>75</v>
      </c>
      <c r="S35" s="113" t="n">
        <f aca="false">SUM(P35:R35)</f>
        <v>476.39</v>
      </c>
      <c r="T35" s="114" t="n">
        <f aca="false">T34+AE35-(AF35/1.9835)</f>
        <v>20317.750947741</v>
      </c>
      <c r="U35" s="183" t="n">
        <v>67</v>
      </c>
      <c r="V35" s="243" t="n">
        <v>18</v>
      </c>
      <c r="W35" s="244" t="n">
        <f aca="false">W34-V35</f>
        <v>7260.49231157046</v>
      </c>
      <c r="X35" s="6" t="n">
        <f aca="false">N35+O35+S35+U35+V35</f>
        <v>570</v>
      </c>
      <c r="Y35" s="113" t="n">
        <f aca="false">IF(L35&lt;0,L35*-1,0)</f>
        <v>0</v>
      </c>
      <c r="Z35" s="113" t="n">
        <f aca="false">X35+Y35</f>
        <v>570</v>
      </c>
      <c r="AA35" s="163" t="n">
        <v>0</v>
      </c>
      <c r="AB35" s="119" t="n">
        <v>83</v>
      </c>
      <c r="AC35" s="169" t="n">
        <v>51</v>
      </c>
      <c r="AD35" s="120" t="n">
        <v>0</v>
      </c>
      <c r="AE35" s="12" t="n">
        <f aca="false">795-(S35-8)</f>
        <v>326.61</v>
      </c>
      <c r="AF35" s="306" t="n">
        <f aca="false">23.5*(T34*1.9835+AE35*1.9835)/E35</f>
        <v>12.3366800614041</v>
      </c>
    </row>
    <row r="36" customFormat="false" ht="11.1" hidden="false" customHeight="true" outlineLevel="0" collapsed="false">
      <c r="A36" s="120" t="n">
        <f aca="false">A35+1</f>
        <v>25</v>
      </c>
      <c r="B36" s="170" t="n">
        <v>6884.79</v>
      </c>
      <c r="C36" s="114" t="n">
        <v>231021</v>
      </c>
      <c r="D36" s="119" t="n">
        <f aca="false">C36-C35</f>
        <v>2230</v>
      </c>
      <c r="E36" s="114" t="n">
        <f aca="false">C36-152000</f>
        <v>79021</v>
      </c>
      <c r="F36" s="113" t="n">
        <f aca="false">D36/$D$2</f>
        <v>1124.27527098563</v>
      </c>
      <c r="G36" s="310" t="n">
        <v>1490</v>
      </c>
      <c r="H36" s="311" t="n">
        <v>1.6</v>
      </c>
      <c r="I36" s="113" t="n">
        <f aca="false">G36+H36</f>
        <v>1491.6</v>
      </c>
      <c r="J36" s="185" t="n">
        <f aca="false">IF(L36&gt;0,L36,0)</f>
        <v>212.675270985631</v>
      </c>
      <c r="K36" s="113" t="n">
        <f aca="false">I36+J36</f>
        <v>1704.27527098563</v>
      </c>
      <c r="L36" s="113" t="n">
        <f aca="false">F36-(I36-X36)</f>
        <v>212.675270985631</v>
      </c>
      <c r="M36" s="186" t="n">
        <v>221</v>
      </c>
      <c r="N36" s="113" t="n">
        <v>0</v>
      </c>
      <c r="O36" s="113" t="n">
        <f aca="false">5.65*1.05</f>
        <v>5.9325</v>
      </c>
      <c r="P36" s="92" t="n">
        <f aca="false">M36-(N36+O36)</f>
        <v>215.0675</v>
      </c>
      <c r="Q36" s="183" t="n">
        <v>178</v>
      </c>
      <c r="R36" s="183" t="n">
        <v>74</v>
      </c>
      <c r="S36" s="113" t="n">
        <f aca="false">SUM(P36:R36)</f>
        <v>467.0675</v>
      </c>
      <c r="T36" s="114" t="n">
        <f aca="false">T35+AE36-(AF36/1.9835)</f>
        <v>20647.5412632454</v>
      </c>
      <c r="U36" s="183" t="n">
        <v>89</v>
      </c>
      <c r="V36" s="243" t="n">
        <v>18</v>
      </c>
      <c r="W36" s="244" t="n">
        <f aca="false">W35-V36</f>
        <v>7242.49231157046</v>
      </c>
      <c r="X36" s="6" t="n">
        <f aca="false">N36+O36+S36+U36+V36</f>
        <v>580</v>
      </c>
      <c r="Y36" s="113" t="n">
        <f aca="false">IF(L36&lt;0,L36*-1,0)</f>
        <v>0</v>
      </c>
      <c r="Z36" s="113" t="n">
        <f aca="false">X36+Y36</f>
        <v>580</v>
      </c>
      <c r="AA36" s="163" t="n">
        <v>0</v>
      </c>
      <c r="AB36" s="119" t="n">
        <v>79</v>
      </c>
      <c r="AC36" s="169" t="n">
        <v>53</v>
      </c>
      <c r="AD36" s="120" t="n">
        <v>0</v>
      </c>
      <c r="AE36" s="12" t="n">
        <f aca="false">795-(S36-8)</f>
        <v>335.9325</v>
      </c>
      <c r="AF36" s="306" t="n">
        <f aca="false">23.5*(T35*1.9835+AE36*1.9835)/E36</f>
        <v>12.1830229468997</v>
      </c>
    </row>
    <row r="37" customFormat="false" ht="11.1" hidden="false" customHeight="true" outlineLevel="0" collapsed="false">
      <c r="A37" s="120" t="n">
        <f aca="false">A36+1</f>
        <v>26</v>
      </c>
      <c r="B37" s="170" t="n">
        <v>6885.46</v>
      </c>
      <c r="C37" s="114" t="n">
        <v>233172</v>
      </c>
      <c r="D37" s="119" t="n">
        <f aca="false">C37-C36</f>
        <v>2151</v>
      </c>
      <c r="E37" s="114" t="n">
        <f aca="false">C37-152000</f>
        <v>81172</v>
      </c>
      <c r="F37" s="113" t="n">
        <f aca="false">D37/$D$2</f>
        <v>1084.44668515251</v>
      </c>
      <c r="G37" s="310" t="n">
        <v>1620</v>
      </c>
      <c r="H37" s="311" t="n">
        <v>1.5</v>
      </c>
      <c r="I37" s="113" t="n">
        <f aca="false">G37+H37</f>
        <v>1621.5</v>
      </c>
      <c r="J37" s="185" t="n">
        <f aca="false">IF(L37&gt;0,L37,0)</f>
        <v>75.9466851525083</v>
      </c>
      <c r="K37" s="113" t="n">
        <f aca="false">I37+J37</f>
        <v>1697.44668515251</v>
      </c>
      <c r="L37" s="113" t="n">
        <f aca="false">F37-(I37-X37)</f>
        <v>75.9466851525083</v>
      </c>
      <c r="M37" s="186" t="n">
        <v>225</v>
      </c>
      <c r="N37" s="113" t="n">
        <v>0</v>
      </c>
      <c r="O37" s="113" t="n">
        <f aca="false">4.34*1.05</f>
        <v>4.557</v>
      </c>
      <c r="P37" s="92" t="n">
        <f aca="false">M37-(N37+O37)</f>
        <v>220.443</v>
      </c>
      <c r="Q37" s="183" t="n">
        <v>179</v>
      </c>
      <c r="R37" s="183" t="n">
        <v>75</v>
      </c>
      <c r="S37" s="113" t="n">
        <f aca="false">SUM(P37:R37)</f>
        <v>474.443</v>
      </c>
      <c r="T37" s="114" t="n">
        <f aca="false">T36+AE37-(AF37/1.9835)</f>
        <v>20970.0255003569</v>
      </c>
      <c r="U37" s="183" t="n">
        <v>116</v>
      </c>
      <c r="V37" s="243" t="n">
        <v>18</v>
      </c>
      <c r="W37" s="244" t="n">
        <f aca="false">W36-V37</f>
        <v>7224.49231157046</v>
      </c>
      <c r="X37" s="6" t="n">
        <f aca="false">N37+O37+S37+U37+V37</f>
        <v>613</v>
      </c>
      <c r="Y37" s="113" t="n">
        <f aca="false">IF(L37&lt;0,L37*-1,0)</f>
        <v>0</v>
      </c>
      <c r="Z37" s="113" t="n">
        <f aca="false">X37+Y37</f>
        <v>613</v>
      </c>
      <c r="AA37" s="163" t="n">
        <v>0</v>
      </c>
      <c r="AB37" s="119" t="n">
        <v>83</v>
      </c>
      <c r="AC37" s="169" t="n">
        <v>47</v>
      </c>
      <c r="AD37" s="120" t="n">
        <v>0</v>
      </c>
      <c r="AE37" s="12" t="n">
        <f aca="false">795-(S37-8)</f>
        <v>328.557</v>
      </c>
      <c r="AF37" s="306" t="n">
        <f aca="false">23.5*(T36*1.9835+AE37*1.9835)/E37</f>
        <v>12.0453251893629</v>
      </c>
    </row>
    <row r="38" customFormat="false" ht="11.1" hidden="false" customHeight="true" outlineLevel="0" collapsed="false">
      <c r="A38" s="120" t="n">
        <f aca="false">A37+1</f>
        <v>27</v>
      </c>
      <c r="B38" s="170" t="n">
        <v>6886.06</v>
      </c>
      <c r="C38" s="114" t="n">
        <v>235108</v>
      </c>
      <c r="D38" s="119" t="n">
        <f aca="false">C38-C37</f>
        <v>1936</v>
      </c>
      <c r="E38" s="114" t="n">
        <f aca="false">C38-152000</f>
        <v>83108</v>
      </c>
      <c r="F38" s="113" t="n">
        <f aca="false">D38/$D$2</f>
        <v>976.052432568692</v>
      </c>
      <c r="G38" s="310" t="n">
        <v>1730</v>
      </c>
      <c r="H38" s="311" t="n">
        <v>1.3</v>
      </c>
      <c r="I38" s="113" t="n">
        <f aca="false">G38+H38</f>
        <v>1731.3</v>
      </c>
      <c r="J38" s="185" t="n">
        <f aca="false">IF(L38&gt;0,L38,0)</f>
        <v>0</v>
      </c>
      <c r="K38" s="113" t="n">
        <f aca="false">I38+J38</f>
        <v>1731.3</v>
      </c>
      <c r="L38" s="113" t="n">
        <f aca="false">F38-(I38-X38)</f>
        <v>-129.247567431308</v>
      </c>
      <c r="M38" s="186" t="n">
        <v>251</v>
      </c>
      <c r="N38" s="113" t="n">
        <v>2.5</v>
      </c>
      <c r="O38" s="113" t="n">
        <f aca="false">19.15*1.9835</f>
        <v>37.984025</v>
      </c>
      <c r="P38" s="92" t="n">
        <f aca="false">M38-(N38+O38)</f>
        <v>210.515975</v>
      </c>
      <c r="Q38" s="183" t="n">
        <v>174</v>
      </c>
      <c r="R38" s="183" t="n">
        <v>77</v>
      </c>
      <c r="S38" s="113" t="n">
        <f aca="false">SUM(P38:R38)</f>
        <v>461.515975</v>
      </c>
      <c r="T38" s="114" t="n">
        <f aca="false">T37+AE38-(AF38/1.9835)</f>
        <v>21305.4833849872</v>
      </c>
      <c r="U38" s="183" t="n">
        <v>106</v>
      </c>
      <c r="V38" s="243" t="n">
        <v>18</v>
      </c>
      <c r="W38" s="244" t="n">
        <f aca="false">W37-V38</f>
        <v>7206.49231157046</v>
      </c>
      <c r="X38" s="6" t="n">
        <f aca="false">N38+O38+S38+U38+V38</f>
        <v>626</v>
      </c>
      <c r="Y38" s="113" t="n">
        <f aca="false">IF(L38&lt;0,L38*-1,0)</f>
        <v>129.247567431308</v>
      </c>
      <c r="Z38" s="113" t="n">
        <f aca="false">X38+Y38</f>
        <v>755.247567431308</v>
      </c>
      <c r="AA38" s="163" t="n">
        <v>0</v>
      </c>
      <c r="AB38" s="119" t="n">
        <v>86</v>
      </c>
      <c r="AC38" s="169" t="n">
        <v>51</v>
      </c>
      <c r="AD38" s="120" t="n">
        <v>0</v>
      </c>
      <c r="AE38" s="12" t="n">
        <f aca="false">795-(S38-8)</f>
        <v>341.484025</v>
      </c>
      <c r="AF38" s="306" t="n">
        <f aca="false">23.5*(T37*1.9835+AE38*1.9835)/E38</f>
        <v>11.9528494233205</v>
      </c>
    </row>
    <row r="39" customFormat="false" ht="11.1" hidden="false" customHeight="true" outlineLevel="0" collapsed="false">
      <c r="A39" s="120" t="n">
        <v>28</v>
      </c>
      <c r="B39" s="170" t="n">
        <v>6886.86</v>
      </c>
      <c r="C39" s="114" t="n">
        <v>237716</v>
      </c>
      <c r="D39" s="119" t="n">
        <f aca="false">C39-C38</f>
        <v>2608</v>
      </c>
      <c r="E39" s="114" t="n">
        <f aca="false">C39-152000</f>
        <v>85716</v>
      </c>
      <c r="F39" s="113" t="n">
        <f aca="false">D39/$D$2</f>
        <v>1314.84749180741</v>
      </c>
      <c r="G39" s="310" t="n">
        <v>1880</v>
      </c>
      <c r="H39" s="311" t="n">
        <v>1.2</v>
      </c>
      <c r="I39" s="113" t="n">
        <f aca="false">G39+H39</f>
        <v>1881.2</v>
      </c>
      <c r="J39" s="185" t="n">
        <f aca="false">IF(L39&gt;0,L39,0)</f>
        <v>80.6474918074111</v>
      </c>
      <c r="K39" s="113" t="n">
        <f aca="false">I39+J39</f>
        <v>1961.84749180741</v>
      </c>
      <c r="L39" s="113" t="n">
        <f aca="false">F39-(I39-X39)</f>
        <v>80.6474918074111</v>
      </c>
      <c r="M39" s="186" t="n">
        <v>258</v>
      </c>
      <c r="N39" s="113" t="n">
        <v>0</v>
      </c>
      <c r="O39" s="113" t="n">
        <f aca="false">34.13*1.05</f>
        <v>35.8365</v>
      </c>
      <c r="P39" s="92" t="n">
        <f aca="false">M39-(N39+O39)</f>
        <v>222.1635</v>
      </c>
      <c r="Q39" s="183" t="n">
        <v>171</v>
      </c>
      <c r="R39" s="183" t="n">
        <v>79</v>
      </c>
      <c r="S39" s="113" t="n">
        <f aca="false">SUM(P39:R39)</f>
        <v>472.1635</v>
      </c>
      <c r="T39" s="114" t="n">
        <f aca="false">T38+AE39-(AF39/1.9835)</f>
        <v>21630.3880459222</v>
      </c>
      <c r="U39" s="183" t="n">
        <v>121</v>
      </c>
      <c r="V39" s="243" t="n">
        <v>18</v>
      </c>
      <c r="W39" s="244" t="n">
        <f aca="false">W38-V39</f>
        <v>7188.49231157046</v>
      </c>
      <c r="X39" s="6" t="n">
        <f aca="false">N39+O39+S39+U39+V39</f>
        <v>647</v>
      </c>
      <c r="Y39" s="113" t="n">
        <f aca="false">IF(L39&lt;0,L39*-1,0)</f>
        <v>0</v>
      </c>
      <c r="Z39" s="113" t="n">
        <f aca="false">X39+Y39</f>
        <v>647</v>
      </c>
      <c r="AA39" s="163" t="n">
        <v>0</v>
      </c>
      <c r="AB39" s="119" t="n">
        <v>86</v>
      </c>
      <c r="AC39" s="169" t="n">
        <v>53</v>
      </c>
      <c r="AD39" s="120" t="n">
        <v>0</v>
      </c>
      <c r="AE39" s="12" t="n">
        <f aca="false">795-(S39-8)</f>
        <v>330.8365</v>
      </c>
      <c r="AF39" s="306" t="n">
        <f aca="false">23.5*(T38*1.9835+AE39*1.9835)/E39</f>
        <v>11.7658027854659</v>
      </c>
    </row>
    <row r="40" customFormat="false" ht="11.1" hidden="false" customHeight="true" outlineLevel="0" collapsed="false">
      <c r="A40" s="120" t="n">
        <v>29</v>
      </c>
      <c r="B40" s="170" t="n">
        <v>6887.52</v>
      </c>
      <c r="C40" s="114" t="n">
        <v>239887</v>
      </c>
      <c r="D40" s="119" t="n">
        <f aca="false">C40-C39</f>
        <v>2171</v>
      </c>
      <c r="E40" s="114" t="n">
        <f aca="false">C40-152000</f>
        <v>87887</v>
      </c>
      <c r="F40" s="113" t="n">
        <f aca="false">D40/$D$2</f>
        <v>1094.52987143937</v>
      </c>
      <c r="G40" s="310" t="n">
        <v>1820</v>
      </c>
      <c r="H40" s="311" t="n">
        <v>2</v>
      </c>
      <c r="I40" s="113" t="n">
        <f aca="false">G40+H40</f>
        <v>1822</v>
      </c>
      <c r="J40" s="185" t="n">
        <f aca="false">IF(L40&gt;0,L40,0)</f>
        <v>0</v>
      </c>
      <c r="K40" s="113" t="n">
        <f aca="false">I40+J40</f>
        <v>1822</v>
      </c>
      <c r="L40" s="113" t="n">
        <f aca="false">F40-(I40-X40)</f>
        <v>-59.4701285606252</v>
      </c>
      <c r="M40" s="186" t="n">
        <v>266</v>
      </c>
      <c r="N40" s="113" t="n">
        <v>0</v>
      </c>
      <c r="O40" s="113" t="n">
        <f aca="false">31.92*1.05</f>
        <v>33.516</v>
      </c>
      <c r="P40" s="92" t="n">
        <f aca="false">M40-(N40+O40)</f>
        <v>232.484</v>
      </c>
      <c r="Q40" s="183" t="n">
        <v>171</v>
      </c>
      <c r="R40" s="183" t="n">
        <v>81</v>
      </c>
      <c r="S40" s="113" t="n">
        <f aca="false">SUM(P40:R40)</f>
        <v>484.484</v>
      </c>
      <c r="T40" s="114" t="n">
        <f aca="false">T39+AE40-(AF40/1.9835)</f>
        <v>21943.0351546746</v>
      </c>
      <c r="U40" s="183" t="n">
        <v>132</v>
      </c>
      <c r="V40" s="243" t="n">
        <v>18</v>
      </c>
      <c r="W40" s="244" t="n">
        <f aca="false">W39-V40</f>
        <v>7170.49231157046</v>
      </c>
      <c r="X40" s="6" t="n">
        <f aca="false">N40+O40+S40+U40+V40</f>
        <v>668</v>
      </c>
      <c r="Y40" s="113" t="n">
        <f aca="false">IF(L40&lt;0,L40*-1,0)</f>
        <v>59.4701285606252</v>
      </c>
      <c r="Z40" s="113" t="n">
        <f aca="false">X40+Y40</f>
        <v>727.470128560625</v>
      </c>
      <c r="AA40" s="163" t="n">
        <v>0</v>
      </c>
      <c r="AB40" s="119" t="n">
        <v>85</v>
      </c>
      <c r="AC40" s="169" t="n">
        <v>52</v>
      </c>
      <c r="AD40" s="120" t="n">
        <v>0</v>
      </c>
      <c r="AE40" s="12" t="n">
        <f aca="false">795-(S40-8)</f>
        <v>318.516</v>
      </c>
      <c r="AF40" s="306" t="n">
        <f aca="false">23.5*(T39*1.9835+AE40*1.9835)/E40</f>
        <v>11.6409457896451</v>
      </c>
    </row>
    <row r="41" customFormat="false" ht="11.1" hidden="false" customHeight="true" outlineLevel="0" collapsed="false">
      <c r="A41" s="120" t="n">
        <v>30</v>
      </c>
      <c r="B41" s="170" t="n">
        <v>6887.93</v>
      </c>
      <c r="C41" s="114" t="n">
        <v>241238</v>
      </c>
      <c r="D41" s="119" t="n">
        <f aca="false">C41-C40</f>
        <v>1351</v>
      </c>
      <c r="E41" s="114" t="n">
        <f aca="false">C41-152000</f>
        <v>89238</v>
      </c>
      <c r="F41" s="113" t="n">
        <f aca="false">D41/$D$2</f>
        <v>681.119233677842</v>
      </c>
      <c r="G41" s="310" t="n">
        <v>1660</v>
      </c>
      <c r="H41" s="311" t="n">
        <v>1.2</v>
      </c>
      <c r="I41" s="113" t="n">
        <f aca="false">G41+H41</f>
        <v>1661.2</v>
      </c>
      <c r="J41" s="185" t="n">
        <f aca="false">IF(L41&gt;0,L41,0)</f>
        <v>0</v>
      </c>
      <c r="K41" s="113" t="n">
        <f aca="false">I41+J41</f>
        <v>1661.2</v>
      </c>
      <c r="L41" s="113" t="n">
        <f aca="false">F41-(I41-X41)</f>
        <v>-276.080766322158</v>
      </c>
      <c r="M41" s="186" t="n">
        <v>268</v>
      </c>
      <c r="N41" s="113" t="n">
        <v>0</v>
      </c>
      <c r="O41" s="113" t="n">
        <f aca="false">36.8*1.05</f>
        <v>38.64</v>
      </c>
      <c r="P41" s="92" t="n">
        <f aca="false">M41-(N41+O41)</f>
        <v>229.36</v>
      </c>
      <c r="Q41" s="183" t="n">
        <v>171</v>
      </c>
      <c r="R41" s="183" t="n">
        <v>82</v>
      </c>
      <c r="S41" s="113" t="n">
        <f aca="false">SUM(P41:R41)</f>
        <v>482.36</v>
      </c>
      <c r="T41" s="114" t="n">
        <f aca="false">T40+AE41-(AF41/1.9835)</f>
        <v>22257.8122222228</v>
      </c>
      <c r="U41" s="183" t="n">
        <v>165</v>
      </c>
      <c r="V41" s="243" t="n">
        <v>18</v>
      </c>
      <c r="W41" s="244" t="n">
        <f aca="false">W40-V41</f>
        <v>7152.49231157046</v>
      </c>
      <c r="X41" s="6" t="n">
        <f aca="false">N41+O41+S41+U41+V41</f>
        <v>704</v>
      </c>
      <c r="Y41" s="113" t="n">
        <f aca="false">IF(L41&lt;0,L41*-1,0)</f>
        <v>276.080766322158</v>
      </c>
      <c r="Z41" s="113" t="n">
        <f aca="false">X41+Y41</f>
        <v>980.080766322158</v>
      </c>
      <c r="AA41" s="163" t="n">
        <v>0</v>
      </c>
      <c r="AB41" s="119" t="n">
        <v>88</v>
      </c>
      <c r="AC41" s="169" t="n">
        <v>54</v>
      </c>
      <c r="AD41" s="120" t="n">
        <v>0</v>
      </c>
      <c r="AE41" s="12" t="n">
        <f aca="false">795-(S41-8)</f>
        <v>320.64</v>
      </c>
      <c r="AF41" s="306" t="n">
        <f aca="false">23.5*(T40*1.9835+AE41*1.9835)/E41</f>
        <v>11.6291265181703</v>
      </c>
    </row>
    <row r="42" customFormat="false" ht="11.1" hidden="false" customHeight="true" outlineLevel="0" collapsed="false">
      <c r="A42" s="120" t="n">
        <v>31</v>
      </c>
      <c r="B42" s="170" t="n">
        <v>6888.43</v>
      </c>
      <c r="C42" s="114" t="n">
        <v>242902</v>
      </c>
      <c r="D42" s="119" t="n">
        <f aca="false">C42-C41</f>
        <v>1664</v>
      </c>
      <c r="E42" s="114" t="n">
        <f aca="false">C42-152000</f>
        <v>90902</v>
      </c>
      <c r="F42" s="113" t="n">
        <f aca="false">D42/$D$2</f>
        <v>838.921099067305</v>
      </c>
      <c r="G42" s="310" t="n">
        <v>1590</v>
      </c>
      <c r="H42" s="311" t="n">
        <v>0.84</v>
      </c>
      <c r="I42" s="113" t="n">
        <f aca="false">G42+H42</f>
        <v>1590.84</v>
      </c>
      <c r="J42" s="185" t="n">
        <f aca="false">IF(L42&gt;0,L42,0)</f>
        <v>0</v>
      </c>
      <c r="K42" s="113" t="n">
        <f aca="false">I42+J42</f>
        <v>1590.84</v>
      </c>
      <c r="L42" s="113" t="n">
        <f aca="false">F42-(I42-X42)</f>
        <v>-33.9189009326947</v>
      </c>
      <c r="M42" s="186" t="n">
        <v>271</v>
      </c>
      <c r="N42" s="113" t="n">
        <v>0</v>
      </c>
      <c r="O42" s="113" t="n">
        <f aca="false">40.43*1.05</f>
        <v>42.4515</v>
      </c>
      <c r="P42" s="92" t="n">
        <f aca="false">M42-(N42+O42)</f>
        <v>228.5485</v>
      </c>
      <c r="Q42" s="183" t="n">
        <v>170</v>
      </c>
      <c r="R42" s="183" t="n">
        <v>82</v>
      </c>
      <c r="S42" s="113" t="n">
        <f aca="false">SUM(P42:R42)</f>
        <v>480.5485</v>
      </c>
      <c r="T42" s="114" t="n">
        <f aca="false">T41+AE42-(AF42/1.9835)</f>
        <v>22574.4262687292</v>
      </c>
      <c r="U42" s="183" t="n">
        <v>177</v>
      </c>
      <c r="V42" s="183" t="n">
        <v>18</v>
      </c>
      <c r="W42" s="114" t="n">
        <f aca="false">W41-V42</f>
        <v>7134.49231157046</v>
      </c>
      <c r="X42" s="6" t="n">
        <f aca="false">N42+O42+S42+U42+V42</f>
        <v>718</v>
      </c>
      <c r="Y42" s="113" t="n">
        <f aca="false">IF(L42&lt;0,L42*-1,0)</f>
        <v>33.9189009326947</v>
      </c>
      <c r="Z42" s="113" t="n">
        <f aca="false">X42+Y42</f>
        <v>751.918900932695</v>
      </c>
      <c r="AA42" s="163" t="n">
        <v>0.04</v>
      </c>
      <c r="AB42" s="119" t="n">
        <v>84</v>
      </c>
      <c r="AC42" s="169" t="n">
        <v>54</v>
      </c>
      <c r="AD42" s="120" t="n">
        <v>0</v>
      </c>
      <c r="AE42" s="12" t="n">
        <f aca="false">795-(S42-8)</f>
        <v>322.4515</v>
      </c>
      <c r="AF42" s="306" t="n">
        <f aca="false">23.5*(T41*1.9835+AE42*1.9835)/E42</f>
        <v>11.5785890044903</v>
      </c>
    </row>
    <row r="43" customFormat="false" ht="3" hidden="false" customHeight="true" outlineLevel="0" collapsed="false">
      <c r="A43" s="171"/>
      <c r="B43" s="189"/>
      <c r="C43" s="173"/>
      <c r="D43" s="171"/>
      <c r="E43" s="173"/>
      <c r="F43" s="171"/>
      <c r="G43" s="189"/>
      <c r="H43" s="308"/>
      <c r="I43" s="171"/>
      <c r="J43" s="171"/>
      <c r="K43" s="171"/>
      <c r="L43" s="171"/>
      <c r="M43" s="176"/>
      <c r="N43" s="171"/>
      <c r="O43" s="171"/>
      <c r="P43" s="177"/>
      <c r="Q43" s="171"/>
      <c r="R43" s="171"/>
      <c r="S43" s="171"/>
      <c r="T43" s="173"/>
      <c r="U43" s="171"/>
      <c r="V43" s="171"/>
      <c r="W43" s="171"/>
      <c r="X43" s="171"/>
      <c r="Y43" s="171"/>
      <c r="Z43" s="171"/>
      <c r="AA43" s="178"/>
      <c r="AB43" s="179"/>
      <c r="AC43" s="180"/>
      <c r="AD43" s="181"/>
      <c r="AE43" s="181"/>
      <c r="AF43" s="309"/>
    </row>
    <row r="44" customFormat="false" ht="11.1" hidden="false" customHeight="true" outlineLevel="0" collapsed="false">
      <c r="A44" s="113" t="s">
        <v>54</v>
      </c>
      <c r="B44" s="165"/>
      <c r="C44" s="114"/>
      <c r="D44" s="114"/>
      <c r="E44" s="114"/>
      <c r="F44" s="114" t="n">
        <f aca="false">SUM(F12:F42)</f>
        <v>22826.8212755231</v>
      </c>
      <c r="G44" s="307" t="n">
        <f aca="false">SUM(G12:G42)</f>
        <v>36249</v>
      </c>
      <c r="H44" s="117" t="n">
        <f aca="false">SUM(H12:H42)</f>
        <v>90.44</v>
      </c>
      <c r="I44" s="114" t="n">
        <f aca="false">SUM(I12:I42)</f>
        <v>36339.44</v>
      </c>
      <c r="J44" s="114" t="n">
        <f aca="false">SUM(J12:J42)</f>
        <v>1584.22326947315</v>
      </c>
      <c r="K44" s="114" t="n">
        <f aca="false">SUM(K12:K42)</f>
        <v>37923.6632694732</v>
      </c>
      <c r="L44" s="114" t="n">
        <f aca="false">SUM(L12:L42)</f>
        <v>785.011275523065</v>
      </c>
      <c r="M44" s="167" t="n">
        <f aca="false">SUM(M12:M42)</f>
        <v>6575</v>
      </c>
      <c r="N44" s="114" t="n">
        <f aca="false">SUM(N12:N42)</f>
        <v>8.55</v>
      </c>
      <c r="O44" s="114" t="n">
        <f aca="false">SUM(O12:O42)</f>
        <v>860.564525</v>
      </c>
      <c r="P44" s="168" t="n">
        <f aca="false">SUM(P12:P42)</f>
        <v>5705.885475</v>
      </c>
      <c r="Q44" s="114" t="n">
        <f aca="false">SUM(Q12:Q42)</f>
        <v>4422</v>
      </c>
      <c r="R44" s="114" t="n">
        <f aca="false">SUM(R12:R42)</f>
        <v>1531</v>
      </c>
      <c r="S44" s="114" t="n">
        <f aca="false">SUM(S12:S42)</f>
        <v>11658.885475</v>
      </c>
      <c r="T44" s="114"/>
      <c r="U44" s="114" t="n">
        <f aca="false">SUM(U12:U42)</f>
        <v>1202.63</v>
      </c>
      <c r="V44" s="114" t="n">
        <f aca="false">SUM(V12:V43)</f>
        <v>567</v>
      </c>
      <c r="W44" s="114"/>
      <c r="X44" s="114" t="n">
        <f aca="false">SUM(X12:X42)</f>
        <v>14297.63</v>
      </c>
      <c r="Y44" s="114" t="n">
        <f aca="false">SUM(Y12:Y42)</f>
        <v>799.211993950088</v>
      </c>
      <c r="Z44" s="114" t="n">
        <f aca="false">SUM(Z12:Z42)</f>
        <v>15096.8419939501</v>
      </c>
      <c r="AA44" s="163" t="n">
        <f aca="false">SUM(AA12:AA42)</f>
        <v>0.63</v>
      </c>
      <c r="AB44" s="119" t="n">
        <f aca="false">AVERAGE(AB12:AB42)</f>
        <v>71.3870967741936</v>
      </c>
      <c r="AC44" s="169" t="n">
        <f aca="false">AVERAGE(AC12:AC42)</f>
        <v>42.0322580645161</v>
      </c>
      <c r="AD44" s="120"/>
      <c r="AE44" s="212"/>
      <c r="AF44" s="306" t="n">
        <f aca="false">SUM(AF12:AF42)</f>
        <v>398.909279620692</v>
      </c>
    </row>
    <row r="45" customFormat="false" ht="11.1" hidden="false" customHeight="true" outlineLevel="0" collapsed="false">
      <c r="A45" s="113" t="s">
        <v>56</v>
      </c>
      <c r="B45" s="165"/>
      <c r="C45" s="114"/>
      <c r="D45" s="114" t="n">
        <f aca="false">SUM(D12:D42)</f>
        <v>45277</v>
      </c>
      <c r="E45" s="114"/>
      <c r="F45" s="114" t="n">
        <f aca="false">F44*$D$2</f>
        <v>45277</v>
      </c>
      <c r="G45" s="307" t="n">
        <f aca="false">G44*$D$2</f>
        <v>71899.8915</v>
      </c>
      <c r="H45" s="117" t="n">
        <f aca="false">H44*$D$2</f>
        <v>179.38774</v>
      </c>
      <c r="I45" s="114" t="n">
        <f aca="false">I44*$D$2</f>
        <v>72079.27924</v>
      </c>
      <c r="J45" s="114" t="n">
        <f aca="false">J44*$D$2</f>
        <v>3142.306855</v>
      </c>
      <c r="K45" s="114" t="n">
        <f aca="false">K44*$D$2</f>
        <v>75221.586095</v>
      </c>
      <c r="L45" s="114" t="n">
        <f aca="false">L44*$D$2</f>
        <v>1557.069865</v>
      </c>
      <c r="M45" s="167" t="n">
        <f aca="false">M44*$D$2</f>
        <v>13041.5125</v>
      </c>
      <c r="N45" s="114" t="n">
        <f aca="false">N44*$D$2</f>
        <v>16.958925</v>
      </c>
      <c r="O45" s="114" t="n">
        <f aca="false">O44*$D$2</f>
        <v>1706.9297353375</v>
      </c>
      <c r="P45" s="168" t="n">
        <f aca="false">P44*$D$2</f>
        <v>11317.6238396625</v>
      </c>
      <c r="Q45" s="114" t="n">
        <f aca="false">Q44*$D$2</f>
        <v>8771.037</v>
      </c>
      <c r="R45" s="114" t="n">
        <f aca="false">R44*$D$2</f>
        <v>3036.7385</v>
      </c>
      <c r="S45" s="114" t="n">
        <f aca="false">S44*$D$2</f>
        <v>23125.3993396625</v>
      </c>
      <c r="T45" s="114"/>
      <c r="U45" s="114" t="n">
        <f aca="false">U44*$D$2</f>
        <v>2385.416605</v>
      </c>
      <c r="V45" s="114" t="n">
        <f aca="false">V44*$D$2</f>
        <v>1124.6445</v>
      </c>
      <c r="W45" s="114"/>
      <c r="X45" s="313" t="n">
        <f aca="false">X44*$D$2</f>
        <v>28359.349105</v>
      </c>
      <c r="Y45" s="114" t="n">
        <f aca="false">Y44*$D$2</f>
        <v>1585.23699</v>
      </c>
      <c r="Z45" s="114" t="n">
        <f aca="false">Z44*$D$2</f>
        <v>29944.586095</v>
      </c>
      <c r="AA45" s="163"/>
      <c r="AB45" s="119" t="n">
        <f aca="false">MAX(AB12:AB42)</f>
        <v>88</v>
      </c>
      <c r="AC45" s="169" t="n">
        <f aca="false">MAX(AC12:AC42)</f>
        <v>54</v>
      </c>
      <c r="AD45" s="120"/>
      <c r="AE45" s="212"/>
      <c r="AF45" s="306" t="n">
        <f aca="false">AF44*$D$2</f>
        <v>791.236556127643</v>
      </c>
    </row>
    <row r="46" customFormat="false" ht="3" hidden="false" customHeight="true" outlineLevel="0" collapsed="false">
      <c r="A46" s="171"/>
      <c r="B46" s="189"/>
      <c r="C46" s="173"/>
      <c r="D46" s="173"/>
      <c r="E46" s="173"/>
      <c r="F46" s="173"/>
      <c r="G46" s="193"/>
      <c r="H46" s="308"/>
      <c r="I46" s="173"/>
      <c r="J46" s="173"/>
      <c r="K46" s="173"/>
      <c r="L46" s="173"/>
      <c r="M46" s="191"/>
      <c r="N46" s="173"/>
      <c r="O46" s="173"/>
      <c r="P46" s="192"/>
      <c r="Q46" s="173"/>
      <c r="R46" s="173"/>
      <c r="S46" s="173"/>
      <c r="T46" s="173"/>
      <c r="U46" s="173"/>
      <c r="V46" s="173"/>
      <c r="W46" s="171"/>
      <c r="X46" s="173"/>
      <c r="Y46" s="173"/>
      <c r="Z46" s="173"/>
      <c r="AA46" s="173"/>
      <c r="AB46" s="173"/>
      <c r="AC46" s="173"/>
      <c r="AD46" s="173"/>
      <c r="AE46" s="173"/>
      <c r="AF46" s="309"/>
    </row>
    <row r="47" customFormat="false" ht="11.1" hidden="false" customHeight="true" outlineLevel="0" collapsed="false">
      <c r="A47" s="113" t="s">
        <v>58</v>
      </c>
      <c r="B47" s="165"/>
      <c r="C47" s="114"/>
      <c r="D47" s="114"/>
      <c r="E47" s="114"/>
      <c r="F47" s="114" t="n">
        <f aca="false">F9+F44</f>
        <v>35249.3067809428</v>
      </c>
      <c r="G47" s="307" t="n">
        <f aca="false">G9+G44</f>
        <v>50571</v>
      </c>
      <c r="H47" s="117" t="n">
        <f aca="false">H9+H44</f>
        <v>1039.24</v>
      </c>
      <c r="I47" s="114" t="n">
        <f aca="false">I9+I44</f>
        <v>51610.24</v>
      </c>
      <c r="J47" s="114" t="n">
        <f aca="false">J9+J44</f>
        <v>5106.9760297454</v>
      </c>
      <c r="K47" s="114" t="n">
        <f aca="false">K9+K44</f>
        <v>56717.2160297454</v>
      </c>
      <c r="L47" s="114" t="n">
        <f aca="false">L9+L44</f>
        <v>4287.69678094278</v>
      </c>
      <c r="M47" s="167" t="n">
        <f aca="false">M9+M44</f>
        <v>7727.38</v>
      </c>
      <c r="N47" s="114" t="n">
        <f aca="false">N9+N44</f>
        <v>8.55</v>
      </c>
      <c r="O47" s="114" t="n">
        <f aca="false">O9+O44</f>
        <v>1523.177525</v>
      </c>
      <c r="P47" s="168" t="n">
        <f aca="false">P9+P44</f>
        <v>6195.299975</v>
      </c>
      <c r="Q47" s="114" t="n">
        <f aca="false">Q9+Q44</f>
        <v>8992.8</v>
      </c>
      <c r="R47" s="114" t="n">
        <f aca="false">R9+R44</f>
        <v>1541.8</v>
      </c>
      <c r="S47" s="114" t="n">
        <f aca="false">S9+S44</f>
        <v>16661.899975</v>
      </c>
      <c r="T47" s="114" t="n">
        <f aca="false">T42+T44</f>
        <v>22574.4262687292</v>
      </c>
      <c r="U47" s="114" t="n">
        <f aca="false">U9+U44</f>
        <v>1349.63</v>
      </c>
      <c r="V47" s="114" t="n">
        <f aca="false">V9+V44</f>
        <v>1107</v>
      </c>
      <c r="W47" s="114" t="n">
        <f aca="false">W42</f>
        <v>7134.49231157046</v>
      </c>
      <c r="X47" s="114" t="n">
        <f aca="false">X9+X44</f>
        <v>20648.63</v>
      </c>
      <c r="Y47" s="114" t="n">
        <f aca="false">Y9+Y44</f>
        <v>819.279248802622</v>
      </c>
      <c r="Z47" s="114" t="n">
        <f aca="false">Z9+Z44</f>
        <v>21467.9092488026</v>
      </c>
      <c r="AA47" s="163"/>
      <c r="AB47" s="119" t="n">
        <f aca="false">MIN(AB12:AB42)</f>
        <v>55</v>
      </c>
      <c r="AC47" s="169" t="n">
        <f aca="false">MIN(AC12:AC42)</f>
        <v>22</v>
      </c>
      <c r="AD47" s="120"/>
      <c r="AE47" s="212"/>
      <c r="AF47" s="306" t="n">
        <f aca="false">AF9+AF44</f>
        <v>508.91378606319</v>
      </c>
    </row>
    <row r="48" customFormat="false" ht="11.1" hidden="false" customHeight="true" outlineLevel="0" collapsed="false">
      <c r="A48" s="113" t="s">
        <v>60</v>
      </c>
      <c r="B48" s="165"/>
      <c r="C48" s="114"/>
      <c r="D48" s="114"/>
      <c r="E48" s="114"/>
      <c r="F48" s="114" t="n">
        <f aca="false">F47*$D$2</f>
        <v>69917</v>
      </c>
      <c r="G48" s="307" t="n">
        <f aca="false">G47*$D$2</f>
        <v>100307.5785</v>
      </c>
      <c r="H48" s="117" t="n">
        <f aca="false">H47*$D$2</f>
        <v>2061.33254</v>
      </c>
      <c r="I48" s="114" t="n">
        <f aca="false">I47*$D$2</f>
        <v>102368.91104</v>
      </c>
      <c r="J48" s="114" t="n">
        <f aca="false">J47*$D$2</f>
        <v>10129.686955</v>
      </c>
      <c r="K48" s="114" t="n">
        <f aca="false">K47*$D$2</f>
        <v>112498.597995</v>
      </c>
      <c r="L48" s="114" t="n">
        <f aca="false">L47*$D$2</f>
        <v>8504.646565</v>
      </c>
      <c r="M48" s="167" t="n">
        <f aca="false">M47*$D$2</f>
        <v>15327.25823</v>
      </c>
      <c r="N48" s="114" t="n">
        <f aca="false">N47*$D$2</f>
        <v>16.958925</v>
      </c>
      <c r="O48" s="114" t="n">
        <f aca="false">O47*$D$2</f>
        <v>3021.2226208375</v>
      </c>
      <c r="P48" s="168" t="n">
        <f aca="false">P47*$D$2</f>
        <v>12288.3775004125</v>
      </c>
      <c r="Q48" s="114" t="n">
        <f aca="false">Q47*$D$2</f>
        <v>17837.2188</v>
      </c>
      <c r="R48" s="114" t="n">
        <f aca="false">R47*$D$2</f>
        <v>3058.1603</v>
      </c>
      <c r="S48" s="114" t="n">
        <f aca="false">S47*$D$2</f>
        <v>33048.8786004125</v>
      </c>
      <c r="T48" s="114" t="n">
        <f aca="false">T47*$D$2</f>
        <v>44776.3745040243</v>
      </c>
      <c r="U48" s="114" t="n">
        <f aca="false">U47*$D$2</f>
        <v>2676.991105</v>
      </c>
      <c r="V48" s="114" t="n">
        <f aca="false">V47*$D$2</f>
        <v>2195.7345</v>
      </c>
      <c r="W48" s="114" t="n">
        <f aca="false">W47*D2</f>
        <v>14151.2655</v>
      </c>
      <c r="X48" s="114" t="n">
        <f aca="false">X47*$D$2</f>
        <v>40956.557605</v>
      </c>
      <c r="Y48" s="114" t="n">
        <f aca="false">Y47*$D$2</f>
        <v>1625.04039</v>
      </c>
      <c r="Z48" s="114" t="n">
        <f aca="false">Z47*$D$2</f>
        <v>42581.597995</v>
      </c>
      <c r="AA48" s="163"/>
      <c r="AB48" s="119"/>
      <c r="AC48" s="169"/>
      <c r="AD48" s="120"/>
      <c r="AE48" s="212"/>
      <c r="AF48" s="306" t="n">
        <f aca="false">AF47*$D$2</f>
        <v>1009.43049465634</v>
      </c>
    </row>
    <row r="49" customFormat="false" ht="3" hidden="false" customHeight="true" outlineLevel="0" collapsed="false">
      <c r="A49" s="171"/>
      <c r="B49" s="189"/>
      <c r="C49" s="173"/>
      <c r="D49" s="173"/>
      <c r="E49" s="173"/>
      <c r="F49" s="173"/>
      <c r="G49" s="193"/>
      <c r="H49" s="308"/>
      <c r="I49" s="173"/>
      <c r="J49" s="173"/>
      <c r="K49" s="173"/>
      <c r="L49" s="173"/>
      <c r="M49" s="191"/>
      <c r="N49" s="173"/>
      <c r="O49" s="173"/>
      <c r="P49" s="192"/>
      <c r="Q49" s="173"/>
      <c r="R49" s="173"/>
      <c r="S49" s="173"/>
      <c r="T49" s="173"/>
      <c r="U49" s="173"/>
      <c r="V49" s="173"/>
      <c r="W49" s="173"/>
      <c r="X49" s="173"/>
      <c r="Y49" s="173"/>
      <c r="Z49" s="173"/>
      <c r="AA49" s="178"/>
      <c r="AB49" s="314"/>
      <c r="AC49" s="194"/>
      <c r="AD49" s="178"/>
      <c r="AE49" s="194"/>
      <c r="AF49" s="309"/>
    </row>
    <row r="50" customFormat="false" ht="11.1" hidden="false" customHeight="true" outlineLevel="0" collapsed="false">
      <c r="A50" s="113" t="s">
        <v>61</v>
      </c>
      <c r="B50" s="165"/>
      <c r="C50" s="114"/>
      <c r="D50" s="114"/>
      <c r="E50" s="114"/>
      <c r="F50" s="114" t="n">
        <f aca="false">F10+F44</f>
        <v>43526.5944038316</v>
      </c>
      <c r="G50" s="307" t="n">
        <f aca="false">G10+G44</f>
        <v>58125</v>
      </c>
      <c r="H50" s="117" t="n">
        <f aca="false">H10+H44</f>
        <v>1321.98</v>
      </c>
      <c r="I50" s="114" t="n">
        <f aca="false">I10+I44</f>
        <v>59446.98</v>
      </c>
      <c r="J50" s="114" t="n">
        <f aca="false">J10+J44</f>
        <v>9585.72980085707</v>
      </c>
      <c r="K50" s="114" t="n">
        <f aca="false">K10+K44</f>
        <v>69032.7098008571</v>
      </c>
      <c r="L50" s="114" t="n">
        <f aca="false">L10+L44</f>
        <v>8131.93440383161</v>
      </c>
      <c r="M50" s="167" t="n">
        <f aca="false">M10+M44</f>
        <v>8684.2</v>
      </c>
      <c r="N50" s="114" t="n">
        <f aca="false">N10+N44</f>
        <v>8.55</v>
      </c>
      <c r="O50" s="114" t="n">
        <f aca="false">O10+O44</f>
        <v>1523.177525</v>
      </c>
      <c r="P50" s="168" t="n">
        <f aca="false">P10+P44</f>
        <v>7152.472475</v>
      </c>
      <c r="Q50" s="114" t="n">
        <f aca="false">Q10+Q44</f>
        <v>9054.8</v>
      </c>
      <c r="R50" s="114" t="n">
        <f aca="false">R10+R44</f>
        <v>1592.8</v>
      </c>
      <c r="S50" s="114" t="n">
        <f aca="false">S10+S44</f>
        <v>17800.072475</v>
      </c>
      <c r="T50" s="114"/>
      <c r="U50" s="114" t="n">
        <f aca="false">U10+U44</f>
        <v>1349.63</v>
      </c>
      <c r="V50" s="114" t="n">
        <f aca="false">V10+V44</f>
        <v>3370.89</v>
      </c>
      <c r="W50" s="114" t="n">
        <f aca="false">W42</f>
        <v>7134.49231157046</v>
      </c>
      <c r="X50" s="114" t="n">
        <f aca="false">X10+X44</f>
        <v>24052.32</v>
      </c>
      <c r="Y50" s="114" t="n">
        <f aca="false">Y10+Y44</f>
        <v>1453.79539702546</v>
      </c>
      <c r="Z50" s="114" t="n">
        <f aca="false">Z10+Z44</f>
        <v>25506.1153970255</v>
      </c>
      <c r="AA50" s="163" t="n">
        <f aca="false">AA10+AA44</f>
        <v>7.98</v>
      </c>
      <c r="AB50" s="119"/>
      <c r="AC50" s="169"/>
      <c r="AD50" s="120"/>
      <c r="AE50" s="212"/>
      <c r="AF50" s="306" t="n">
        <f aca="false">AF10+AF44</f>
        <v>508.91378606319</v>
      </c>
    </row>
    <row r="51" customFormat="false" ht="11.1" hidden="false" customHeight="true" outlineLevel="0" collapsed="false">
      <c r="A51" s="113" t="s">
        <v>62</v>
      </c>
      <c r="B51" s="165"/>
      <c r="C51" s="114"/>
      <c r="D51" s="114" t="n">
        <f aca="false">D10+D45</f>
        <v>86335</v>
      </c>
      <c r="E51" s="114" t="n">
        <f aca="false">E42</f>
        <v>90902</v>
      </c>
      <c r="F51" s="114" t="n">
        <f aca="false">F50*$D$2</f>
        <v>86335</v>
      </c>
      <c r="G51" s="307" t="n">
        <f aca="false">G50*$D$2</f>
        <v>115290.9375</v>
      </c>
      <c r="H51" s="117" t="n">
        <f aca="false">H50*$D$2</f>
        <v>2622.14733</v>
      </c>
      <c r="I51" s="114" t="n">
        <f aca="false">I50*$D$2</f>
        <v>117913.08483</v>
      </c>
      <c r="J51" s="114" t="n">
        <f aca="false">J50*$D$2</f>
        <v>19013.29506</v>
      </c>
      <c r="K51" s="114" t="n">
        <f aca="false">K50*$D$2</f>
        <v>136926.37989</v>
      </c>
      <c r="L51" s="114" t="n">
        <f aca="false">L50*$D$2</f>
        <v>16129.69189</v>
      </c>
      <c r="M51" s="167" t="n">
        <f aca="false">M50*$D$2</f>
        <v>17225.1107</v>
      </c>
      <c r="N51" s="114" t="n">
        <f aca="false">N50*$D$2</f>
        <v>16.958925</v>
      </c>
      <c r="O51" s="114" t="n">
        <f aca="false">O50*$D$2</f>
        <v>3021.2226208375</v>
      </c>
      <c r="P51" s="168" t="n">
        <f aca="false">P50*$D$2</f>
        <v>14186.9291541625</v>
      </c>
      <c r="Q51" s="114" t="n">
        <f aca="false">Q50*$D$2</f>
        <v>17960.1958</v>
      </c>
      <c r="R51" s="114" t="n">
        <f aca="false">R50*$D$2</f>
        <v>3159.3188</v>
      </c>
      <c r="S51" s="114" t="n">
        <f aca="false">S50*$D$2</f>
        <v>35306.4437541625</v>
      </c>
      <c r="T51" s="114"/>
      <c r="U51" s="114" t="n">
        <f aca="false">U50*$D$2</f>
        <v>2676.991105</v>
      </c>
      <c r="V51" s="114" t="n">
        <f aca="false">V50*$D$2</f>
        <v>6686.160315</v>
      </c>
      <c r="W51" s="114" t="n">
        <f aca="false">W50*$D$2</f>
        <v>14151.2655</v>
      </c>
      <c r="X51" s="114" t="n">
        <f aca="false">X50*$D$2</f>
        <v>47707.77672</v>
      </c>
      <c r="Y51" s="114" t="n">
        <f aca="false">Y50*$D$2</f>
        <v>2883.60317</v>
      </c>
      <c r="Z51" s="114" t="n">
        <f aca="false">Z50*$D$2</f>
        <v>50591.37989</v>
      </c>
      <c r="AA51" s="163"/>
      <c r="AB51" s="119"/>
      <c r="AC51" s="169"/>
      <c r="AD51" s="120"/>
      <c r="AE51" s="212"/>
      <c r="AF51" s="306" t="n">
        <f aca="false">AF50*$D$2</f>
        <v>1009.43049465634</v>
      </c>
    </row>
    <row r="52" customFormat="false" ht="3" hidden="false" customHeight="true" outlineLevel="0" collapsed="false">
      <c r="A52" s="171"/>
      <c r="B52" s="189"/>
      <c r="C52" s="173"/>
      <c r="D52" s="171"/>
      <c r="E52" s="173"/>
      <c r="F52" s="315"/>
      <c r="G52" s="316"/>
      <c r="H52" s="308"/>
      <c r="I52" s="171"/>
      <c r="J52" s="171"/>
      <c r="K52" s="171"/>
      <c r="L52" s="171"/>
      <c r="M52" s="176"/>
      <c r="N52" s="171"/>
      <c r="O52" s="171"/>
      <c r="P52" s="177"/>
      <c r="Q52" s="171"/>
      <c r="R52" s="171"/>
      <c r="S52" s="171"/>
      <c r="T52" s="173"/>
      <c r="U52" s="171"/>
      <c r="V52" s="171"/>
      <c r="W52" s="173"/>
      <c r="X52" s="171"/>
      <c r="Y52" s="171"/>
      <c r="Z52" s="171"/>
      <c r="AA52" s="171"/>
      <c r="AB52" s="171"/>
      <c r="AC52" s="171"/>
      <c r="AD52" s="171"/>
      <c r="AE52" s="171"/>
      <c r="AF52" s="309"/>
    </row>
    <row r="53" customFormat="false" ht="11.1" hidden="false" customHeight="true" outlineLevel="0" collapsed="false">
      <c r="A53" s="317"/>
      <c r="B53" s="196"/>
      <c r="C53" s="114"/>
      <c r="D53" s="113"/>
      <c r="E53" s="114"/>
      <c r="F53" s="318"/>
      <c r="G53" s="318"/>
      <c r="H53" s="117"/>
      <c r="I53" s="113"/>
      <c r="J53" s="113"/>
      <c r="K53" s="113"/>
      <c r="L53" s="113"/>
      <c r="M53" s="113"/>
      <c r="N53" s="113"/>
      <c r="O53" s="113"/>
      <c r="P53" s="113"/>
      <c r="Q53" s="113"/>
      <c r="R53" s="113"/>
      <c r="S53" s="113"/>
      <c r="T53" s="114"/>
      <c r="U53" s="113"/>
      <c r="V53" s="113"/>
      <c r="W53" s="114"/>
      <c r="X53" s="113"/>
      <c r="Y53" s="113"/>
      <c r="Z53" s="113"/>
      <c r="AA53" s="118"/>
      <c r="AB53" s="119"/>
      <c r="AC53" s="119"/>
      <c r="AD53" s="120"/>
      <c r="AE53" s="201"/>
      <c r="AF53" s="302"/>
    </row>
    <row r="54" customFormat="false" ht="11.1" hidden="false" customHeight="true" outlineLevel="0" collapsed="false">
      <c r="A54" s="113"/>
      <c r="B54" s="114"/>
      <c r="E54" s="319"/>
      <c r="F54" s="320"/>
      <c r="G54" s="321"/>
      <c r="H54" s="117"/>
      <c r="I54" s="236"/>
      <c r="J54" s="113"/>
      <c r="K54" s="104"/>
      <c r="L54" s="113"/>
      <c r="M54" s="113"/>
      <c r="N54" s="114"/>
      <c r="O54" s="293"/>
      <c r="P54" s="113"/>
      <c r="Q54" s="113"/>
      <c r="R54" s="114"/>
      <c r="S54" s="293"/>
      <c r="T54" s="114"/>
      <c r="U54" s="114"/>
      <c r="V54" s="114"/>
      <c r="W54" s="313"/>
      <c r="X54" s="113"/>
      <c r="Y54" s="113"/>
      <c r="Z54" s="117"/>
      <c r="AA54" s="118"/>
      <c r="AB54" s="119"/>
      <c r="AC54" s="120"/>
      <c r="AD54" s="201"/>
      <c r="AE54" s="201"/>
    </row>
    <row r="55" customFormat="false" ht="11.1" hidden="false" customHeight="true" outlineLevel="0" collapsed="false">
      <c r="A55" s="187"/>
      <c r="B55" s="187"/>
      <c r="C55" s="114"/>
      <c r="D55" s="114"/>
      <c r="F55" s="320"/>
      <c r="G55" s="322"/>
      <c r="H55" s="117"/>
      <c r="I55" s="114"/>
      <c r="J55" s="187"/>
      <c r="K55" s="187"/>
      <c r="L55" s="185"/>
      <c r="M55" s="0"/>
      <c r="N55" s="236"/>
      <c r="O55" s="119"/>
      <c r="P55" s="187"/>
      <c r="Q55" s="187"/>
      <c r="R55" s="236"/>
      <c r="S55" s="114"/>
      <c r="T55" s="119"/>
      <c r="U55" s="114"/>
      <c r="V55" s="119"/>
      <c r="W55" s="114"/>
      <c r="X55" s="187"/>
      <c r="Y55" s="187"/>
      <c r="Z55" s="117"/>
      <c r="AA55" s="118"/>
      <c r="AB55" s="119"/>
      <c r="AC55" s="120"/>
      <c r="AD55" s="219"/>
      <c r="AE55" s="219"/>
    </row>
    <row r="56" customFormat="false" ht="11.1" hidden="false" customHeight="true" outlineLevel="0" collapsed="false">
      <c r="A56" s="187"/>
      <c r="B56" s="117"/>
      <c r="C56" s="114"/>
      <c r="D56" s="114"/>
      <c r="F56" s="323"/>
      <c r="G56" s="187"/>
      <c r="I56" s="187"/>
      <c r="J56" s="187"/>
      <c r="K56" s="187"/>
      <c r="L56" s="187"/>
      <c r="M56" s="185"/>
      <c r="N56" s="185"/>
      <c r="O56" s="185"/>
      <c r="P56" s="187"/>
      <c r="Q56" s="187"/>
      <c r="R56" s="187"/>
      <c r="S56" s="114"/>
      <c r="T56" s="187"/>
      <c r="U56" s="114"/>
      <c r="V56" s="114"/>
      <c r="W56" s="187"/>
      <c r="X56" s="187"/>
      <c r="Y56" s="187"/>
      <c r="Z56" s="117"/>
      <c r="AA56" s="118"/>
      <c r="AB56" s="119"/>
      <c r="AC56" s="120"/>
      <c r="AD56" s="219"/>
      <c r="AE56" s="219"/>
    </row>
    <row r="57" customFormat="false" ht="11.1" hidden="false" customHeight="true" outlineLevel="0" collapsed="false">
      <c r="A57" s="187"/>
      <c r="B57" s="0"/>
      <c r="C57" s="114"/>
      <c r="D57" s="0"/>
      <c r="E57" s="114"/>
      <c r="F57" s="187"/>
      <c r="G57" s="324"/>
      <c r="H57" s="325"/>
      <c r="I57" s="326"/>
      <c r="J57" s="187"/>
      <c r="K57" s="187"/>
      <c r="L57" s="187"/>
      <c r="M57" s="185"/>
      <c r="N57" s="185"/>
      <c r="O57" s="185"/>
      <c r="P57" s="187"/>
      <c r="Q57" s="187"/>
      <c r="R57" s="187"/>
      <c r="S57" s="114"/>
      <c r="T57" s="187"/>
      <c r="U57" s="187"/>
      <c r="V57" s="114"/>
      <c r="W57" s="187"/>
      <c r="X57" s="187"/>
      <c r="Y57" s="187"/>
      <c r="Z57" s="117"/>
      <c r="AA57" s="118"/>
      <c r="AB57" s="119"/>
      <c r="AC57" s="120"/>
      <c r="AD57" s="219"/>
      <c r="AE57" s="219"/>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C18" activePane="bottomRight" state="frozen"/>
      <selection pane="topLeft" activeCell="A1" activeCellId="0" sqref="A1"/>
      <selection pane="topRight" activeCell="C1" activeCellId="0" sqref="C1"/>
      <selection pane="bottomLeft" activeCell="A18" activeCellId="0" sqref="A18"/>
      <selection pane="bottomRight" activeCell="V12" activeCellId="0" sqref="V12"/>
    </sheetView>
  </sheetViews>
  <sheetFormatPr defaultColWidth="9.2890625" defaultRowHeight="11.1" zeroHeight="false" outlineLevelRow="0" outlineLevelCol="0"/>
  <cols>
    <col collapsed="false" customWidth="true" hidden="false" outlineLevel="0" max="1" min="1" style="0" width="5.66"/>
    <col collapsed="false" customWidth="true" hidden="false" outlineLevel="0" max="2" min="2" style="0" width="7.49"/>
    <col collapsed="false" customWidth="true" hidden="false" outlineLevel="0" max="3" min="3" style="1" width="6.82"/>
    <col collapsed="false" customWidth="true" hidden="false" outlineLevel="0" max="4" min="4" style="0" width="6.99"/>
    <col collapsed="false" customWidth="true" hidden="false" outlineLevel="0" max="5" min="5" style="1" width="7.66"/>
    <col collapsed="false" customWidth="true" hidden="false" outlineLevel="0" max="6" min="6" style="0" width="7.66"/>
    <col collapsed="false" customWidth="true" hidden="false" outlineLevel="0" max="7" min="7" style="0" width="7.16"/>
    <col collapsed="false" customWidth="true" hidden="false" outlineLevel="0" max="8" min="8" style="3" width="6.66"/>
    <col collapsed="false" customWidth="true" hidden="false" outlineLevel="0" max="9" min="9" style="0" width="7.99"/>
    <col collapsed="false" customWidth="true" hidden="false" outlineLevel="0" max="11" min="10" style="0" width="6.66"/>
    <col collapsed="false" customWidth="true" hidden="false" outlineLevel="0" max="12" min="12" style="0" width="7.16"/>
    <col collapsed="false" customWidth="true" hidden="false" outlineLevel="0" max="13" min="13" style="3" width="6.16"/>
    <col collapsed="false" customWidth="true" hidden="false" outlineLevel="0" max="14" min="14" style="3" width="5.99"/>
    <col collapsed="false" customWidth="true" hidden="false" outlineLevel="0" max="15" min="15" style="3" width="6.49"/>
    <col collapsed="false" customWidth="true" hidden="false" outlineLevel="0" max="16" min="16" style="0" width="7.16"/>
    <col collapsed="false" customWidth="true" hidden="false" outlineLevel="0" max="18" min="17" style="0" width="5.49"/>
    <col collapsed="false" customWidth="true" hidden="false" outlineLevel="0" max="19" min="19" style="1" width="6.82"/>
    <col collapsed="false" customWidth="true" hidden="false" outlineLevel="0" max="20" min="20" style="0" width="6.49"/>
    <col collapsed="false" customWidth="true" hidden="false" outlineLevel="0" max="21" min="21" style="0" width="5.66"/>
    <col collapsed="false" customWidth="true" hidden="false" outlineLevel="0" max="22" min="22" style="1" width="6.16"/>
    <col collapsed="false" customWidth="true" hidden="false" outlineLevel="0" max="23" min="23" style="0" width="6.82"/>
    <col collapsed="false" customWidth="true" hidden="false" outlineLevel="0" max="25" min="24" style="0" width="7.82"/>
    <col collapsed="false" customWidth="true" hidden="false" outlineLevel="0" max="26" min="26" style="251" width="7.82"/>
    <col collapsed="false" customWidth="true" hidden="false" outlineLevel="0" max="27" min="27" style="2" width="5.32"/>
    <col collapsed="false" customWidth="true" hidden="false" outlineLevel="0" max="28" min="28" style="4" width="3.82"/>
    <col collapsed="false" customWidth="true" hidden="false" outlineLevel="0" max="29" min="29" style="5" width="3.82"/>
    <col collapsed="false" customWidth="true" hidden="false" outlineLevel="0" max="30" min="30" style="0" width="5.99"/>
    <col collapsed="false" customWidth="true" hidden="false" outlineLevel="0" max="31" min="31" style="0" width="6.66"/>
    <col collapsed="false" customWidth="true" hidden="false" outlineLevel="0" max="32" min="32" style="294" width="8.16"/>
    <col collapsed="false" customWidth="true" hidden="false" outlineLevel="0" max="33" min="33" style="252" width="8.66"/>
  </cols>
  <sheetData>
    <row r="1" customFormat="false" ht="14.1" hidden="false" customHeight="true" outlineLevel="0" collapsed="false">
      <c r="A1" s="6" t="s">
        <v>71</v>
      </c>
      <c r="B1" s="6"/>
      <c r="C1" s="7"/>
      <c r="D1" s="6"/>
      <c r="E1" s="7"/>
      <c r="F1" s="6"/>
      <c r="G1" s="6"/>
      <c r="H1" s="89"/>
      <c r="I1" s="6"/>
      <c r="J1" s="6"/>
      <c r="K1" s="9" t="s">
        <v>0</v>
      </c>
      <c r="L1" s="6"/>
      <c r="M1" s="6"/>
      <c r="N1" s="6"/>
      <c r="O1" s="89"/>
      <c r="P1" s="6"/>
      <c r="Q1" s="6"/>
      <c r="R1" s="6"/>
      <c r="S1" s="7"/>
      <c r="T1" s="6"/>
      <c r="U1" s="6"/>
      <c r="V1" s="7"/>
      <c r="W1" s="6"/>
      <c r="X1" s="6"/>
      <c r="Y1" s="6"/>
      <c r="Z1" s="10"/>
      <c r="AA1" s="11"/>
      <c r="AB1" s="12"/>
      <c r="AC1" s="13"/>
      <c r="AD1" s="327"/>
      <c r="AE1" s="327"/>
    </row>
    <row r="2" customFormat="false" ht="14.1" hidden="false" customHeight="true" outlineLevel="0" collapsed="false">
      <c r="A2" s="6" t="s">
        <v>1</v>
      </c>
      <c r="B2" s="6"/>
      <c r="C2" s="7"/>
      <c r="D2" s="14" t="n">
        <v>1.9835</v>
      </c>
      <c r="E2" s="7"/>
      <c r="F2" s="6"/>
      <c r="G2" s="6"/>
      <c r="H2" s="89"/>
      <c r="I2" s="6"/>
      <c r="J2" s="6"/>
      <c r="K2" s="328" t="s">
        <v>87</v>
      </c>
      <c r="L2" s="328"/>
      <c r="M2" s="328"/>
      <c r="N2" s="328"/>
      <c r="O2" s="328"/>
      <c r="P2" s="328"/>
      <c r="Q2" s="328"/>
      <c r="R2" s="328"/>
      <c r="S2" s="328"/>
      <c r="T2" s="328"/>
      <c r="U2" s="328"/>
      <c r="V2" s="328"/>
      <c r="W2" s="6"/>
      <c r="X2" s="6"/>
      <c r="Y2" s="6"/>
      <c r="Z2" s="10"/>
      <c r="AA2" s="11"/>
      <c r="AB2" s="12"/>
      <c r="AC2" s="13"/>
      <c r="AD2" s="327"/>
      <c r="AE2" s="327"/>
    </row>
    <row r="3" customFormat="false" ht="14.1" hidden="false" customHeight="true" outlineLevel="0" collapsed="false">
      <c r="A3" s="15"/>
      <c r="B3" s="15"/>
      <c r="C3" s="16"/>
      <c r="D3" s="17"/>
      <c r="E3" s="16"/>
      <c r="F3" s="15"/>
      <c r="G3" s="15"/>
      <c r="H3" s="329"/>
      <c r="I3" s="15"/>
      <c r="J3" s="15"/>
      <c r="K3" s="15"/>
      <c r="L3" s="15"/>
      <c r="M3" s="15"/>
      <c r="N3" s="15"/>
      <c r="O3" s="329"/>
      <c r="P3" s="15"/>
      <c r="Q3" s="15"/>
      <c r="R3" s="15"/>
      <c r="S3" s="16"/>
      <c r="T3" s="15"/>
      <c r="U3" s="15"/>
      <c r="V3" s="16"/>
      <c r="W3" s="15"/>
      <c r="X3" s="15"/>
      <c r="Y3" s="15"/>
      <c r="Z3" s="19"/>
      <c r="AA3" s="20"/>
      <c r="AB3" s="21"/>
      <c r="AC3" s="22"/>
      <c r="AD3" s="330"/>
      <c r="AE3" s="330"/>
    </row>
    <row r="4" customFormat="false" ht="14.1" hidden="false" customHeight="true" outlineLevel="0" collapsed="false">
      <c r="A4" s="6"/>
      <c r="B4" s="24"/>
      <c r="C4" s="25"/>
      <c r="D4" s="331" t="s">
        <v>3</v>
      </c>
      <c r="E4" s="25"/>
      <c r="F4" s="27"/>
      <c r="G4" s="6"/>
      <c r="H4" s="89"/>
      <c r="I4" s="6"/>
      <c r="J4" s="6"/>
      <c r="K4" s="6"/>
      <c r="L4" s="6"/>
      <c r="M4" s="6"/>
      <c r="N4" s="6"/>
      <c r="O4" s="89"/>
      <c r="P4" s="6"/>
      <c r="Q4" s="28" t="s">
        <v>4</v>
      </c>
      <c r="R4" s="6"/>
      <c r="S4" s="7"/>
      <c r="T4" s="6"/>
      <c r="U4" s="6"/>
      <c r="V4" s="7"/>
      <c r="W4" s="6"/>
      <c r="X4" s="6"/>
      <c r="Y4" s="6"/>
      <c r="Z4" s="10"/>
      <c r="AA4" s="29"/>
      <c r="AB4" s="30" t="s">
        <v>5</v>
      </c>
      <c r="AC4" s="31"/>
      <c r="AD4" s="327"/>
      <c r="AE4" s="327"/>
      <c r="AF4" s="300"/>
      <c r="AG4" s="272"/>
    </row>
    <row r="5" customFormat="false" ht="11.1" hidden="false" customHeight="true" outlineLevel="0" collapsed="false">
      <c r="A5" s="32" t="s">
        <v>6</v>
      </c>
      <c r="B5" s="33" t="s">
        <v>7</v>
      </c>
      <c r="C5" s="34" t="s">
        <v>7</v>
      </c>
      <c r="D5" s="35" t="s">
        <v>8</v>
      </c>
      <c r="E5" s="34" t="s">
        <v>9</v>
      </c>
      <c r="F5" s="36" t="s">
        <v>10</v>
      </c>
      <c r="G5" s="273" t="s">
        <v>11</v>
      </c>
      <c r="H5" s="332" t="s">
        <v>12</v>
      </c>
      <c r="I5" s="273" t="s">
        <v>13</v>
      </c>
      <c r="J5" s="273" t="s">
        <v>14</v>
      </c>
      <c r="K5" s="273" t="s">
        <v>15</v>
      </c>
      <c r="L5" s="32" t="s">
        <v>14</v>
      </c>
      <c r="M5" s="38" t="s">
        <v>16</v>
      </c>
      <c r="N5" s="38"/>
      <c r="O5" s="38"/>
      <c r="P5" s="38"/>
      <c r="Q5" s="32" t="s">
        <v>17</v>
      </c>
      <c r="R5" s="32" t="s">
        <v>18</v>
      </c>
      <c r="S5" s="32" t="s">
        <v>15</v>
      </c>
      <c r="T5" s="39" t="s">
        <v>19</v>
      </c>
      <c r="U5" s="32" t="s">
        <v>20</v>
      </c>
      <c r="V5" s="32" t="s">
        <v>21</v>
      </c>
      <c r="W5" s="39" t="s">
        <v>22</v>
      </c>
      <c r="X5" s="32" t="s">
        <v>13</v>
      </c>
      <c r="Y5" s="32" t="s">
        <v>14</v>
      </c>
      <c r="Z5" s="32" t="s">
        <v>15</v>
      </c>
      <c r="AA5" s="40" t="s">
        <v>23</v>
      </c>
      <c r="AB5" s="41" t="s">
        <v>24</v>
      </c>
      <c r="AC5" s="42" t="s">
        <v>25</v>
      </c>
      <c r="AD5" s="43" t="s">
        <v>64</v>
      </c>
      <c r="AE5" s="333" t="s">
        <v>19</v>
      </c>
      <c r="AF5" s="302" t="s">
        <v>19</v>
      </c>
      <c r="AG5" s="334" t="s">
        <v>88</v>
      </c>
    </row>
    <row r="6" customFormat="false" ht="11.1" hidden="false" customHeight="true" outlineLevel="0" collapsed="false">
      <c r="A6" s="44" t="s">
        <v>89</v>
      </c>
      <c r="B6" s="33" t="s">
        <v>28</v>
      </c>
      <c r="C6" s="34" t="s">
        <v>8</v>
      </c>
      <c r="D6" s="35" t="s">
        <v>29</v>
      </c>
      <c r="E6" s="34" t="s">
        <v>30</v>
      </c>
      <c r="F6" s="36" t="s">
        <v>31</v>
      </c>
      <c r="G6" s="273" t="s">
        <v>32</v>
      </c>
      <c r="H6" s="332" t="s">
        <v>33</v>
      </c>
      <c r="I6" s="273" t="s">
        <v>34</v>
      </c>
      <c r="J6" s="273" t="s">
        <v>34</v>
      </c>
      <c r="K6" s="273" t="s">
        <v>34</v>
      </c>
      <c r="L6" s="32" t="s">
        <v>35</v>
      </c>
      <c r="M6" s="45" t="s">
        <v>36</v>
      </c>
      <c r="N6" s="35" t="s">
        <v>37</v>
      </c>
      <c r="O6" s="335" t="s">
        <v>38</v>
      </c>
      <c r="P6" s="278" t="s">
        <v>79</v>
      </c>
      <c r="Q6" s="32" t="s">
        <v>40</v>
      </c>
      <c r="R6" s="32" t="s">
        <v>41</v>
      </c>
      <c r="S6" s="32" t="s">
        <v>19</v>
      </c>
      <c r="T6" s="39" t="s">
        <v>80</v>
      </c>
      <c r="U6" s="32" t="s">
        <v>43</v>
      </c>
      <c r="V6" s="32" t="s">
        <v>44</v>
      </c>
      <c r="W6" s="39" t="s">
        <v>45</v>
      </c>
      <c r="X6" s="32" t="s">
        <v>46</v>
      </c>
      <c r="Y6" s="32" t="s">
        <v>46</v>
      </c>
      <c r="Z6" s="32" t="s">
        <v>46</v>
      </c>
      <c r="AA6" s="47"/>
      <c r="AB6" s="41" t="s">
        <v>47</v>
      </c>
      <c r="AC6" s="42" t="s">
        <v>47</v>
      </c>
      <c r="AD6" s="48" t="s">
        <v>42</v>
      </c>
      <c r="AE6" s="333" t="s">
        <v>42</v>
      </c>
      <c r="AF6" s="302" t="s">
        <v>42</v>
      </c>
      <c r="AG6" s="334" t="s">
        <v>90</v>
      </c>
    </row>
    <row r="7" customFormat="false" ht="11.1" hidden="false" customHeight="true" outlineLevel="0" collapsed="false">
      <c r="A7" s="49"/>
      <c r="B7" s="50"/>
      <c r="C7" s="51"/>
      <c r="D7" s="52"/>
      <c r="E7" s="53" t="s">
        <v>48</v>
      </c>
      <c r="F7" s="54"/>
      <c r="G7" s="49"/>
      <c r="H7" s="255"/>
      <c r="I7" s="49"/>
      <c r="J7" s="49"/>
      <c r="K7" s="49"/>
      <c r="L7" s="49"/>
      <c r="M7" s="56"/>
      <c r="N7" s="52"/>
      <c r="O7" s="336"/>
      <c r="P7" s="57"/>
      <c r="Q7" s="49"/>
      <c r="R7" s="49"/>
      <c r="S7" s="49"/>
      <c r="T7" s="58" t="s">
        <v>81</v>
      </c>
      <c r="U7" s="49"/>
      <c r="V7" s="49"/>
      <c r="W7" s="64"/>
      <c r="X7" s="49"/>
      <c r="Y7" s="49"/>
      <c r="Z7" s="49"/>
      <c r="AA7" s="60"/>
      <c r="AB7" s="61" t="s">
        <v>50</v>
      </c>
      <c r="AC7" s="62"/>
      <c r="AD7" s="13"/>
      <c r="AE7" s="63" t="s">
        <v>51</v>
      </c>
      <c r="AF7" s="305" t="s">
        <v>83</v>
      </c>
      <c r="AG7" s="337" t="s">
        <v>91</v>
      </c>
    </row>
    <row r="8" customFormat="false" ht="11.1" hidden="false" customHeight="true" outlineLevel="0" collapsed="false">
      <c r="A8" s="49"/>
      <c r="B8" s="50"/>
      <c r="C8" s="51"/>
      <c r="D8" s="52"/>
      <c r="E8" s="51"/>
      <c r="F8" s="54"/>
      <c r="G8" s="49"/>
      <c r="H8" s="255"/>
      <c r="I8" s="49"/>
      <c r="J8" s="49"/>
      <c r="K8" s="49"/>
      <c r="L8" s="49"/>
      <c r="M8" s="56"/>
      <c r="N8" s="52"/>
      <c r="O8" s="336"/>
      <c r="P8" s="57"/>
      <c r="Q8" s="49"/>
      <c r="R8" s="49"/>
      <c r="S8" s="49"/>
      <c r="T8" s="64"/>
      <c r="U8" s="49"/>
      <c r="V8" s="49"/>
      <c r="W8" s="64"/>
      <c r="X8" s="49"/>
      <c r="Y8" s="49"/>
      <c r="Z8" s="49"/>
      <c r="AA8" s="60"/>
      <c r="AB8" s="65"/>
      <c r="AC8" s="62"/>
      <c r="AD8" s="13"/>
      <c r="AF8" s="306"/>
      <c r="AG8" s="338"/>
    </row>
    <row r="9" customFormat="false" ht="11.1" hidden="false" customHeight="true" outlineLevel="0" collapsed="false">
      <c r="A9" s="6" t="s">
        <v>52</v>
      </c>
      <c r="B9" s="66"/>
      <c r="C9" s="67"/>
      <c r="D9" s="67"/>
      <c r="E9" s="67"/>
      <c r="F9" s="68" t="n">
        <f aca="false">MAY!F47</f>
        <v>35249.3067809428</v>
      </c>
      <c r="G9" s="7" t="n">
        <f aca="false">MAY!G47</f>
        <v>50571</v>
      </c>
      <c r="H9" s="89" t="n">
        <f aca="false">MAY!H47</f>
        <v>1039.24</v>
      </c>
      <c r="I9" s="7" t="n">
        <f aca="false">MAY!I47</f>
        <v>51610.24</v>
      </c>
      <c r="J9" s="7" t="n">
        <f aca="false">MAY!J47</f>
        <v>5106.9760297454</v>
      </c>
      <c r="K9" s="7" t="n">
        <f aca="false">MAY!K47</f>
        <v>56717.2160297454</v>
      </c>
      <c r="L9" s="7" t="n">
        <f aca="false">MAY!L47</f>
        <v>4287.69678094278</v>
      </c>
      <c r="M9" s="69" t="n">
        <f aca="false">MAY!M47</f>
        <v>7727.38</v>
      </c>
      <c r="N9" s="67" t="n">
        <f aca="false">MAY!N47</f>
        <v>8.55</v>
      </c>
      <c r="O9" s="339" t="n">
        <f aca="false">MAY!O47</f>
        <v>1523.177525</v>
      </c>
      <c r="P9" s="70" t="n">
        <f aca="false">MAY!P47</f>
        <v>6195.299975</v>
      </c>
      <c r="Q9" s="7" t="n">
        <f aca="false">MAY!Q47</f>
        <v>8992.8</v>
      </c>
      <c r="R9" s="7" t="n">
        <f aca="false">MAY!R47</f>
        <v>1541.8</v>
      </c>
      <c r="S9" s="7" t="n">
        <f aca="false">MAY!S47</f>
        <v>16661.899975</v>
      </c>
      <c r="T9" s="7" t="n">
        <f aca="false">MAY!T47</f>
        <v>22574.4262687292</v>
      </c>
      <c r="U9" s="7" t="n">
        <f aca="false">MAY!U47</f>
        <v>1349.63</v>
      </c>
      <c r="V9" s="7" t="n">
        <f aca="false">MAY!V47</f>
        <v>1107</v>
      </c>
      <c r="W9" s="7"/>
      <c r="X9" s="7" t="n">
        <f aca="false">MAY!X47</f>
        <v>20648.63</v>
      </c>
      <c r="Y9" s="7" t="n">
        <f aca="false">MAY!Y47</f>
        <v>819.279248802622</v>
      </c>
      <c r="Z9" s="7" t="n">
        <f aca="false">MAY!Z47</f>
        <v>21467.9092488026</v>
      </c>
      <c r="AA9" s="60"/>
      <c r="AB9" s="72"/>
      <c r="AC9" s="73"/>
      <c r="AD9" s="13"/>
      <c r="AE9" s="340"/>
      <c r="AF9" s="306" t="n">
        <f aca="false">MAY!AF47</f>
        <v>508.91378606319</v>
      </c>
    </row>
    <row r="10" s="1" customFormat="true" ht="11.1" hidden="false" customHeight="true" outlineLevel="0" collapsed="false">
      <c r="A10" s="7" t="s">
        <v>53</v>
      </c>
      <c r="B10" s="74" t="n">
        <f aca="false">MAY!B42</f>
        <v>6888.43</v>
      </c>
      <c r="C10" s="67" t="n">
        <f aca="false">MAY!C42</f>
        <v>242902</v>
      </c>
      <c r="D10" s="67" t="n">
        <f aca="false">MAY!D51</f>
        <v>86335</v>
      </c>
      <c r="E10" s="67" t="n">
        <f aca="false">MAY!E51</f>
        <v>90902</v>
      </c>
      <c r="F10" s="68" t="n">
        <f aca="false">MAY!F50</f>
        <v>43526.5944038316</v>
      </c>
      <c r="G10" s="7" t="n">
        <f aca="false">MAY!G50</f>
        <v>58125</v>
      </c>
      <c r="H10" s="89" t="n">
        <f aca="false">MAY!H50</f>
        <v>1321.98</v>
      </c>
      <c r="I10" s="7" t="n">
        <f aca="false">MAY!I50</f>
        <v>59446.98</v>
      </c>
      <c r="J10" s="7" t="n">
        <f aca="false">MAY!J50</f>
        <v>9585.72980085707</v>
      </c>
      <c r="K10" s="7" t="n">
        <f aca="false">MAY!K50</f>
        <v>69032.7098008571</v>
      </c>
      <c r="L10" s="7" t="n">
        <f aca="false">MAY!L50</f>
        <v>8131.93440383161</v>
      </c>
      <c r="M10" s="69" t="n">
        <f aca="false">MAY!M50</f>
        <v>8684.2</v>
      </c>
      <c r="N10" s="67" t="n">
        <f aca="false">MAY!N50</f>
        <v>8.55</v>
      </c>
      <c r="O10" s="339" t="n">
        <f aca="false">MAY!O50</f>
        <v>1523.177525</v>
      </c>
      <c r="P10" s="70" t="n">
        <f aca="false">MAY!P50</f>
        <v>7152.472475</v>
      </c>
      <c r="Q10" s="7" t="n">
        <f aca="false">MAY!Q50</f>
        <v>9054.8</v>
      </c>
      <c r="R10" s="7" t="n">
        <f aca="false">MAY!R50</f>
        <v>1592.8</v>
      </c>
      <c r="S10" s="7" t="n">
        <f aca="false">MAY!S50</f>
        <v>17800.072475</v>
      </c>
      <c r="T10" s="7"/>
      <c r="U10" s="7" t="n">
        <f aca="false">MAY!U50</f>
        <v>1349.63</v>
      </c>
      <c r="V10" s="7" t="n">
        <f aca="false">MAY!V50</f>
        <v>3370.89</v>
      </c>
      <c r="W10" s="7" t="n">
        <f aca="false">MAY!W50</f>
        <v>7134.49231157046</v>
      </c>
      <c r="X10" s="7" t="n">
        <f aca="false">MAY!X50</f>
        <v>24052.32</v>
      </c>
      <c r="Y10" s="7" t="n">
        <f aca="false">MAY!Y50</f>
        <v>1453.79539702546</v>
      </c>
      <c r="Z10" s="7" t="n">
        <f aca="false">MAY!Z50</f>
        <v>25506.1153970255</v>
      </c>
      <c r="AA10" s="60" t="n">
        <f aca="false">MAY!AA50</f>
        <v>7.98</v>
      </c>
      <c r="AB10" s="72"/>
      <c r="AC10" s="73"/>
      <c r="AD10" s="13"/>
      <c r="AE10" s="341"/>
      <c r="AF10" s="306" t="n">
        <f aca="false">MAY!AF50</f>
        <v>508.91378606319</v>
      </c>
      <c r="AG10" s="252"/>
    </row>
    <row r="11" customFormat="false" ht="3" hidden="false" customHeight="true" outlineLevel="0" collapsed="false">
      <c r="A11" s="75"/>
      <c r="B11" s="76"/>
      <c r="C11" s="77"/>
      <c r="D11" s="75"/>
      <c r="E11" s="77"/>
      <c r="F11" s="78"/>
      <c r="G11" s="75"/>
      <c r="H11" s="280"/>
      <c r="I11" s="75"/>
      <c r="J11" s="75"/>
      <c r="K11" s="75"/>
      <c r="L11" s="75"/>
      <c r="M11" s="80"/>
      <c r="N11" s="75"/>
      <c r="O11" s="280" t="n">
        <v>0</v>
      </c>
      <c r="P11" s="81"/>
      <c r="Q11" s="75"/>
      <c r="R11" s="75" t="n">
        <v>0</v>
      </c>
      <c r="S11" s="75"/>
      <c r="T11" s="77"/>
      <c r="U11" s="75"/>
      <c r="V11" s="75"/>
      <c r="W11" s="77"/>
      <c r="X11" s="75"/>
      <c r="Y11" s="75"/>
      <c r="Z11" s="75"/>
      <c r="AA11" s="82"/>
      <c r="AB11" s="83"/>
      <c r="AC11" s="84"/>
      <c r="AD11" s="85"/>
      <c r="AE11" s="85"/>
      <c r="AF11" s="309"/>
      <c r="AG11" s="309"/>
    </row>
    <row r="12" customFormat="false" ht="11.1" hidden="false" customHeight="true" outlineLevel="0" collapsed="false">
      <c r="A12" s="13" t="n">
        <v>1</v>
      </c>
      <c r="B12" s="74" t="n">
        <v>6888.88</v>
      </c>
      <c r="C12" s="67" t="n">
        <v>244401</v>
      </c>
      <c r="D12" s="72" t="n">
        <f aca="false">C12-C10</f>
        <v>1499</v>
      </c>
      <c r="E12" s="67" t="n">
        <f aca="false">C12-152000</f>
        <v>92401</v>
      </c>
      <c r="F12" s="86" t="n">
        <f aca="false">D12/$D$2</f>
        <v>755.734812200655</v>
      </c>
      <c r="G12" s="87" t="n">
        <v>1430</v>
      </c>
      <c r="H12" s="342" t="n">
        <v>0.66</v>
      </c>
      <c r="I12" s="6" t="n">
        <f aca="false">G12+H12</f>
        <v>1430.66</v>
      </c>
      <c r="J12" s="283" t="n">
        <f aca="false">IF(L12&gt;0,L12,0)</f>
        <v>11.0748122006553</v>
      </c>
      <c r="K12" s="6" t="n">
        <f aca="false">I12+J12</f>
        <v>1441.73481220066</v>
      </c>
      <c r="L12" s="6" t="n">
        <f aca="false">F12-(I12-X12)</f>
        <v>11.0748122006553</v>
      </c>
      <c r="M12" s="90" t="n">
        <v>247</v>
      </c>
      <c r="N12" s="91" t="n">
        <v>0</v>
      </c>
      <c r="O12" s="185" t="n">
        <f aca="false">34.38*1.05</f>
        <v>36.099</v>
      </c>
      <c r="P12" s="92" t="n">
        <f aca="false">M12-(N12+O12)</f>
        <v>210.901</v>
      </c>
      <c r="Q12" s="87" t="n">
        <v>163</v>
      </c>
      <c r="R12" s="87" t="n">
        <v>83</v>
      </c>
      <c r="S12" s="6" t="n">
        <f aca="false">SUM(P12:R12)</f>
        <v>456.901</v>
      </c>
      <c r="T12" s="7" t="n">
        <f aca="false">T9+AE12-(AF12/1.9835)+1714.14</f>
        <v>24628.8359774465</v>
      </c>
      <c r="U12" s="87" t="n">
        <v>175</v>
      </c>
      <c r="V12" s="284" t="n">
        <v>18</v>
      </c>
      <c r="W12" s="285" t="n">
        <f aca="false">W10-V12</f>
        <v>7116.49231157046</v>
      </c>
      <c r="X12" s="6" t="n">
        <f aca="false">N12+O12+S12+U12+V12</f>
        <v>686</v>
      </c>
      <c r="Y12" s="6" t="n">
        <f aca="false">IF(L12&lt;0,L12*-1,0)</f>
        <v>0</v>
      </c>
      <c r="Z12" s="6" t="n">
        <f aca="false">X12+Y12</f>
        <v>686</v>
      </c>
      <c r="AA12" s="60" t="n">
        <v>0</v>
      </c>
      <c r="AB12" s="72" t="n">
        <v>80</v>
      </c>
      <c r="AC12" s="73" t="n">
        <v>53</v>
      </c>
      <c r="AD12" s="13" t="n">
        <v>0</v>
      </c>
      <c r="AE12" s="12" t="n">
        <f aca="false">795-(S12-8)</f>
        <v>346.099</v>
      </c>
      <c r="AF12" s="306" t="n">
        <f aca="false">23.5*(T9*1.9835+AE12*1.9835)/E12</f>
        <v>11.5623992592864</v>
      </c>
    </row>
    <row r="13" customFormat="false" ht="11.1" hidden="false" customHeight="true" outlineLevel="0" collapsed="false">
      <c r="A13" s="13" t="n">
        <f aca="false">A12+1</f>
        <v>2</v>
      </c>
      <c r="B13" s="74" t="n">
        <v>6889.36</v>
      </c>
      <c r="C13" s="67" t="n">
        <v>246013</v>
      </c>
      <c r="D13" s="72" t="n">
        <f aca="false">C13-C12</f>
        <v>1612</v>
      </c>
      <c r="E13" s="67" t="n">
        <f aca="false">C13-152000</f>
        <v>94013</v>
      </c>
      <c r="F13" s="86" t="n">
        <f aca="false">D13/$D$2</f>
        <v>812.704814721452</v>
      </c>
      <c r="G13" s="87" t="n">
        <v>1430</v>
      </c>
      <c r="H13" s="342" t="n">
        <v>0.49</v>
      </c>
      <c r="I13" s="6" t="n">
        <f aca="false">G13+H13</f>
        <v>1430.49</v>
      </c>
      <c r="J13" s="283" t="n">
        <f aca="false">IF(L13&gt;0,L13,0)</f>
        <v>78.2148147214519</v>
      </c>
      <c r="K13" s="6" t="n">
        <f aca="false">I13+J13</f>
        <v>1508.70481472145</v>
      </c>
      <c r="L13" s="6" t="n">
        <f aca="false">F13-(I13-X13)</f>
        <v>78.2148147214519</v>
      </c>
      <c r="M13" s="90" t="n">
        <v>244</v>
      </c>
      <c r="N13" s="91" t="n">
        <v>0</v>
      </c>
      <c r="O13" s="185" t="n">
        <f aca="false">33.45*1.05</f>
        <v>35.1225</v>
      </c>
      <c r="P13" s="92" t="n">
        <f aca="false">M13-(N13+O13)</f>
        <v>208.8775</v>
      </c>
      <c r="Q13" s="87" t="n">
        <v>154</v>
      </c>
      <c r="R13" s="87" t="n">
        <v>80</v>
      </c>
      <c r="S13" s="6" t="n">
        <f aca="false">SUM(P13:R13)</f>
        <v>442.8775</v>
      </c>
      <c r="T13" s="114" t="n">
        <f aca="false">T12+AE13-(AF13/1.9835)</f>
        <v>24982.9128239281</v>
      </c>
      <c r="U13" s="87" t="n">
        <v>200</v>
      </c>
      <c r="V13" s="284" t="n">
        <v>18</v>
      </c>
      <c r="W13" s="285" t="n">
        <f aca="false">W12-V13</f>
        <v>7098.49231157046</v>
      </c>
      <c r="X13" s="6" t="n">
        <f aca="false">N13+O13+S13+U13+V13</f>
        <v>696</v>
      </c>
      <c r="Y13" s="6" t="n">
        <f aca="false">IF(L13&lt;0,L13*-1,0)</f>
        <v>0</v>
      </c>
      <c r="Z13" s="6" t="n">
        <f aca="false">X13+Y13</f>
        <v>696</v>
      </c>
      <c r="AA13" s="60" t="n">
        <v>0</v>
      </c>
      <c r="AB13" s="72" t="n">
        <v>83</v>
      </c>
      <c r="AC13" s="73" t="n">
        <v>50</v>
      </c>
      <c r="AD13" s="13" t="n">
        <v>0</v>
      </c>
      <c r="AE13" s="12" t="n">
        <f aca="false">795-(S13-8)</f>
        <v>360.1225</v>
      </c>
      <c r="AF13" s="306" t="n">
        <f aca="false">23.5*(T12*1.9835-S13*1.9835)/E13</f>
        <v>11.9915537536336</v>
      </c>
    </row>
    <row r="14" customFormat="false" ht="11.1" hidden="false" customHeight="true" outlineLevel="0" collapsed="false">
      <c r="A14" s="13" t="n">
        <f aca="false">A13+1</f>
        <v>3</v>
      </c>
      <c r="B14" s="74" t="n">
        <v>6889.8</v>
      </c>
      <c r="C14" s="67" t="n">
        <v>247495</v>
      </c>
      <c r="D14" s="72" t="n">
        <f aca="false">C14-C13</f>
        <v>1482</v>
      </c>
      <c r="E14" s="67" t="n">
        <f aca="false">C14-152000</f>
        <v>95495</v>
      </c>
      <c r="F14" s="86" t="n">
        <f aca="false">D14/$D$2</f>
        <v>747.164103856819</v>
      </c>
      <c r="G14" s="87" t="n">
        <v>1270</v>
      </c>
      <c r="H14" s="342" t="n">
        <v>0.37</v>
      </c>
      <c r="I14" s="6" t="n">
        <f aca="false">G14+H14</f>
        <v>1270.37</v>
      </c>
      <c r="J14" s="283" t="n">
        <f aca="false">IF(L14&gt;0,L14,0)</f>
        <v>188.794103856819</v>
      </c>
      <c r="K14" s="6" t="n">
        <f aca="false">I14+J14</f>
        <v>1459.16410385682</v>
      </c>
      <c r="L14" s="6" t="n">
        <f aca="false">F14-(I14-X14)</f>
        <v>188.794103856819</v>
      </c>
      <c r="M14" s="90" t="n">
        <v>270</v>
      </c>
      <c r="N14" s="91" t="n">
        <v>0</v>
      </c>
      <c r="O14" s="339" t="n">
        <f aca="false">51.64*1.05</f>
        <v>54.222</v>
      </c>
      <c r="P14" s="92" t="n">
        <f aca="false">M14-(N14+O14)</f>
        <v>215.778</v>
      </c>
      <c r="Q14" s="87" t="n">
        <v>154</v>
      </c>
      <c r="R14" s="87" t="n">
        <v>81</v>
      </c>
      <c r="S14" s="6" t="n">
        <f aca="false">SUM(P14:R14)</f>
        <v>450.778</v>
      </c>
      <c r="T14" s="114" t="n">
        <f aca="false">T13+AE14-(AF14/1.9835)</f>
        <v>25329.0978045202</v>
      </c>
      <c r="U14" s="87" t="n">
        <v>189</v>
      </c>
      <c r="V14" s="284" t="n">
        <v>18</v>
      </c>
      <c r="W14" s="285" t="n">
        <f aca="false">W13-V14</f>
        <v>7080.49231157046</v>
      </c>
      <c r="X14" s="6" t="n">
        <f aca="false">N14+O14+S14+U14+V14</f>
        <v>712</v>
      </c>
      <c r="Y14" s="6" t="n">
        <f aca="false">IF(L14&lt;0,L14*-1,0)</f>
        <v>0</v>
      </c>
      <c r="Z14" s="6" t="n">
        <f aca="false">X14+Y14</f>
        <v>712</v>
      </c>
      <c r="AA14" s="60" t="n">
        <v>0</v>
      </c>
      <c r="AB14" s="72" t="n">
        <v>81</v>
      </c>
      <c r="AC14" s="73" t="n">
        <v>51</v>
      </c>
      <c r="AD14" s="13" t="n">
        <v>0</v>
      </c>
      <c r="AE14" s="12" t="n">
        <f aca="false">795-(S14-8)</f>
        <v>352.222</v>
      </c>
      <c r="AF14" s="306" t="n">
        <f aca="false">23.5*(T13*1.9835-S14*1.9835)/E14</f>
        <v>11.9744279956714</v>
      </c>
    </row>
    <row r="15" customFormat="false" ht="11.1" hidden="false" customHeight="true" outlineLevel="0" collapsed="false">
      <c r="A15" s="13" t="n">
        <f aca="false">A14+1</f>
        <v>4</v>
      </c>
      <c r="B15" s="74" t="n">
        <v>6889.99</v>
      </c>
      <c r="C15" s="67" t="n">
        <v>248134</v>
      </c>
      <c r="D15" s="72" t="n">
        <f aca="false">C15-C14</f>
        <v>639</v>
      </c>
      <c r="E15" s="67" t="n">
        <f aca="false">C15-152000</f>
        <v>96134</v>
      </c>
      <c r="F15" s="86" t="n">
        <f aca="false">D15/$D$2</f>
        <v>322.157801865389</v>
      </c>
      <c r="G15" s="87" t="n">
        <v>1120</v>
      </c>
      <c r="H15" s="342" t="n">
        <v>0.26</v>
      </c>
      <c r="I15" s="6" t="n">
        <f aca="false">G15+H15</f>
        <v>1120.26</v>
      </c>
      <c r="J15" s="283" t="n">
        <f aca="false">IF(L15&gt;0,L15,0)</f>
        <v>0</v>
      </c>
      <c r="K15" s="6" t="n">
        <f aca="false">I15+J15</f>
        <v>1120.26</v>
      </c>
      <c r="L15" s="6" t="n">
        <f aca="false">F15-(I15-X15)</f>
        <v>-72.1021981346105</v>
      </c>
      <c r="M15" s="90" t="n">
        <v>284</v>
      </c>
      <c r="N15" s="91" t="n">
        <v>0</v>
      </c>
      <c r="O15" s="339" t="n">
        <f aca="false">59.32*1.05</f>
        <v>62.286</v>
      </c>
      <c r="P15" s="92" t="n">
        <f aca="false">M15-(N15+O15)</f>
        <v>221.714</v>
      </c>
      <c r="Q15" s="87" t="n">
        <v>153</v>
      </c>
      <c r="R15" s="87" t="n">
        <v>79</v>
      </c>
      <c r="S15" s="6" t="n">
        <f aca="false">SUM(P15:R15)</f>
        <v>453.714</v>
      </c>
      <c r="T15" s="114" t="n">
        <f aca="false">T14-(S15-8)-(AF15/1.9835)</f>
        <v>24877.3030056415</v>
      </c>
      <c r="U15" s="87" t="n">
        <v>192</v>
      </c>
      <c r="V15" s="284" t="n">
        <v>18</v>
      </c>
      <c r="W15" s="285" t="n">
        <f aca="false">W14-V15</f>
        <v>7062.49231157046</v>
      </c>
      <c r="X15" s="6" t="n">
        <f aca="false">N15+O15+S15+U15+V15</f>
        <v>726</v>
      </c>
      <c r="Y15" s="6" t="n">
        <f aca="false">IF(L15&lt;0,L15*-1,0)</f>
        <v>72.1021981346105</v>
      </c>
      <c r="Z15" s="6" t="n">
        <f aca="false">X15+Y15</f>
        <v>798.102198134611</v>
      </c>
      <c r="AA15" s="60" t="n">
        <v>0</v>
      </c>
      <c r="AB15" s="72" t="n">
        <v>81</v>
      </c>
      <c r="AC15" s="73" t="n">
        <v>50</v>
      </c>
      <c r="AD15" s="13" t="n">
        <v>0</v>
      </c>
      <c r="AE15" s="12" t="n">
        <v>0</v>
      </c>
      <c r="AF15" s="306" t="n">
        <f aca="false">23.5*(T14*1.9835-S15*1.9835)/E15</f>
        <v>12.0612645759278</v>
      </c>
    </row>
    <row r="16" customFormat="false" ht="11.1" hidden="false" customHeight="true" outlineLevel="0" collapsed="false">
      <c r="A16" s="13" t="n">
        <f aca="false">A15+1</f>
        <v>5</v>
      </c>
      <c r="B16" s="74" t="n">
        <v>6890.1</v>
      </c>
      <c r="C16" s="67" t="n">
        <v>248508</v>
      </c>
      <c r="D16" s="72" t="n">
        <f aca="false">C16-C15</f>
        <v>374</v>
      </c>
      <c r="E16" s="67" t="n">
        <f aca="false">C16-152000</f>
        <v>96508</v>
      </c>
      <c r="F16" s="86" t="n">
        <f aca="false">D16/$D$2</f>
        <v>188.555583564406</v>
      </c>
      <c r="G16" s="87" t="n">
        <v>986</v>
      </c>
      <c r="H16" s="342" t="n">
        <v>0.17</v>
      </c>
      <c r="I16" s="6" t="n">
        <f aca="false">G16+H16</f>
        <v>986.17</v>
      </c>
      <c r="J16" s="283" t="n">
        <f aca="false">IF(L16&gt;0,L16,0)</f>
        <v>0</v>
      </c>
      <c r="K16" s="6" t="n">
        <f aca="false">I16+J16</f>
        <v>986.17</v>
      </c>
      <c r="L16" s="6" t="n">
        <f aca="false">F16-(I16-X16)</f>
        <v>-99.6144164355936</v>
      </c>
      <c r="M16" s="90" t="n">
        <v>260</v>
      </c>
      <c r="N16" s="91" t="n">
        <v>0</v>
      </c>
      <c r="O16" s="339" t="n">
        <f aca="false">63.02*1.05</f>
        <v>66.171</v>
      </c>
      <c r="P16" s="92" t="n">
        <f aca="false">M16-(N16+O16)</f>
        <v>193.829</v>
      </c>
      <c r="Q16" s="87" t="n">
        <v>153</v>
      </c>
      <c r="R16" s="87" t="n">
        <v>77</v>
      </c>
      <c r="S16" s="6" t="n">
        <f aca="false">SUM(P16:R16)</f>
        <v>423.829</v>
      </c>
      <c r="T16" s="114" t="n">
        <f aca="false">T15-(S16-8)-(AF16/1.9835)</f>
        <v>24455.5195081995</v>
      </c>
      <c r="U16" s="87" t="n">
        <v>188</v>
      </c>
      <c r="V16" s="284" t="n">
        <v>20</v>
      </c>
      <c r="W16" s="285" t="n">
        <f aca="false">W15-V16</f>
        <v>7042.49231157046</v>
      </c>
      <c r="X16" s="6" t="n">
        <f aca="false">N16+O16+S16+U16+V16</f>
        <v>698</v>
      </c>
      <c r="Y16" s="6" t="n">
        <f aca="false">IF(L16&lt;0,L16*-1,0)</f>
        <v>99.6144164355936</v>
      </c>
      <c r="Z16" s="6" t="n">
        <f aca="false">X16+Y16</f>
        <v>797.614416435594</v>
      </c>
      <c r="AA16" s="60" t="n">
        <v>0</v>
      </c>
      <c r="AB16" s="72" t="n">
        <v>75</v>
      </c>
      <c r="AC16" s="73" t="n">
        <v>43</v>
      </c>
      <c r="AD16" s="13" t="n">
        <v>0</v>
      </c>
      <c r="AE16" s="12" t="n">
        <v>0</v>
      </c>
      <c r="AF16" s="306" t="n">
        <f aca="false">23.5*(T15*1.9835-S16*1.9835)/E16</f>
        <v>11.8107456762078</v>
      </c>
    </row>
    <row r="17" customFormat="false" ht="11.1" hidden="false" customHeight="true" outlineLevel="0" collapsed="false">
      <c r="A17" s="13" t="n">
        <f aca="false">A16+1</f>
        <v>6</v>
      </c>
      <c r="B17" s="74" t="n">
        <v>6890.14</v>
      </c>
      <c r="C17" s="67" t="n">
        <v>248644</v>
      </c>
      <c r="D17" s="72" t="n">
        <f aca="false">C17-C16</f>
        <v>136</v>
      </c>
      <c r="E17" s="67" t="n">
        <f aca="false">C17-152000</f>
        <v>96644</v>
      </c>
      <c r="F17" s="86" t="n">
        <f aca="false">D17/$D$2</f>
        <v>68.5656667506932</v>
      </c>
      <c r="G17" s="87" t="n">
        <v>833</v>
      </c>
      <c r="H17" s="342" t="n">
        <v>0.11</v>
      </c>
      <c r="I17" s="6" t="n">
        <f aca="false">G17+H17</f>
        <v>833.11</v>
      </c>
      <c r="J17" s="283" t="n">
        <f aca="false">IF(L17&gt;0,L17,0)</f>
        <v>0</v>
      </c>
      <c r="K17" s="6" t="n">
        <f aca="false">I17+J17</f>
        <v>833.11</v>
      </c>
      <c r="L17" s="6" t="n">
        <f aca="false">F17-(I17-X17)</f>
        <v>-65.5443332493068</v>
      </c>
      <c r="M17" s="90" t="n">
        <v>261</v>
      </c>
      <c r="N17" s="91" t="n">
        <v>0</v>
      </c>
      <c r="O17" s="339" t="n">
        <f aca="false">62.5*1.05</f>
        <v>65.625</v>
      </c>
      <c r="P17" s="92" t="n">
        <f aca="false">M17-(N17+O17)</f>
        <v>195.375</v>
      </c>
      <c r="Q17" s="87" t="n">
        <v>153</v>
      </c>
      <c r="R17" s="87" t="n">
        <v>75</v>
      </c>
      <c r="S17" s="6" t="n">
        <f aca="false">SUM(P17:R17)</f>
        <v>423.375</v>
      </c>
      <c r="T17" s="114" t="n">
        <f aca="false">T16-(S17-8)-(AF17/1.9835)</f>
        <v>24034.3008407608</v>
      </c>
      <c r="U17" s="87" t="n">
        <v>188</v>
      </c>
      <c r="V17" s="284" t="n">
        <v>22</v>
      </c>
      <c r="W17" s="285" t="n">
        <f aca="false">W16-V17</f>
        <v>7020.49231157046</v>
      </c>
      <c r="X17" s="6" t="n">
        <f aca="false">N17+O17+S17+U17+V17</f>
        <v>699</v>
      </c>
      <c r="Y17" s="6" t="n">
        <f aca="false">IF(L17&lt;0,L17*-1,0)</f>
        <v>65.5443332493068</v>
      </c>
      <c r="Z17" s="6" t="n">
        <f aca="false">X17+Y17</f>
        <v>764.544333249307</v>
      </c>
      <c r="AA17" s="60" t="n">
        <v>0</v>
      </c>
      <c r="AB17" s="72" t="n">
        <v>75</v>
      </c>
      <c r="AC17" s="73" t="n">
        <v>45</v>
      </c>
      <c r="AD17" s="13" t="n">
        <v>0</v>
      </c>
      <c r="AE17" s="12" t="n">
        <v>0</v>
      </c>
      <c r="AF17" s="306" t="n">
        <f aca="false">23.5*(T16*1.9835-S17*1.9835)/E17</f>
        <v>11.5909143645991</v>
      </c>
    </row>
    <row r="18" customFormat="false" ht="11.1" hidden="false" customHeight="true" outlineLevel="0" collapsed="false">
      <c r="A18" s="13" t="n">
        <f aca="false">A17+1</f>
        <v>7</v>
      </c>
      <c r="B18" s="74" t="n">
        <v>6890.16</v>
      </c>
      <c r="C18" s="67" t="n">
        <v>248712</v>
      </c>
      <c r="D18" s="72" t="n">
        <f aca="false">C18-C17</f>
        <v>68</v>
      </c>
      <c r="E18" s="67" t="n">
        <f aca="false">C18-152000</f>
        <v>96712</v>
      </c>
      <c r="F18" s="86" t="n">
        <f aca="false">D18/$D$2</f>
        <v>34.2828333753466</v>
      </c>
      <c r="G18" s="87" t="n">
        <v>720</v>
      </c>
      <c r="H18" s="342" t="n">
        <v>0.07</v>
      </c>
      <c r="I18" s="6" t="n">
        <f aca="false">G18+H18</f>
        <v>720.07</v>
      </c>
      <c r="J18" s="283" t="n">
        <f aca="false">IF(L18&gt;0,L18,0)</f>
        <v>0</v>
      </c>
      <c r="K18" s="6" t="n">
        <f aca="false">I18+J18</f>
        <v>720.07</v>
      </c>
      <c r="L18" s="6" t="n">
        <f aca="false">F18-(I18-X18)</f>
        <v>-15.7871666246534</v>
      </c>
      <c r="M18" s="90" t="n">
        <v>249</v>
      </c>
      <c r="N18" s="91" t="n">
        <v>0</v>
      </c>
      <c r="O18" s="339" t="n">
        <f aca="false">52.2*1.05</f>
        <v>54.81</v>
      </c>
      <c r="P18" s="92" t="n">
        <f aca="false">M18-(N18+O18)</f>
        <v>194.19</v>
      </c>
      <c r="Q18" s="87" t="n">
        <v>156</v>
      </c>
      <c r="R18" s="87" t="n">
        <v>76</v>
      </c>
      <c r="S18" s="6" t="n">
        <f aca="false">SUM(P18:R18)</f>
        <v>426.19</v>
      </c>
      <c r="T18" s="114" t="n">
        <f aca="false">T17-(S18-8)-(AF18/1.9835)</f>
        <v>23610.3743178396</v>
      </c>
      <c r="U18" s="87" t="n">
        <v>167</v>
      </c>
      <c r="V18" s="284" t="n">
        <v>22</v>
      </c>
      <c r="W18" s="285" t="n">
        <f aca="false">W17-V18</f>
        <v>6998.49231157046</v>
      </c>
      <c r="X18" s="6" t="n">
        <f aca="false">N18+O18+S18+U18+V18</f>
        <v>670</v>
      </c>
      <c r="Y18" s="6" t="n">
        <f aca="false">IF(L18&lt;0,L18*-1,0)</f>
        <v>15.7871666246534</v>
      </c>
      <c r="Z18" s="6" t="n">
        <f aca="false">X18+Y18</f>
        <v>685.787166624653</v>
      </c>
      <c r="AA18" s="60" t="n">
        <v>0</v>
      </c>
      <c r="AB18" s="72" t="n">
        <v>76</v>
      </c>
      <c r="AC18" s="73" t="n">
        <v>44</v>
      </c>
      <c r="AD18" s="13" t="n">
        <v>0</v>
      </c>
      <c r="AE18" s="12" t="n">
        <v>0</v>
      </c>
      <c r="AF18" s="306" t="n">
        <f aca="false">23.5*(T17*1.9835-S18*1.9835)/E18</f>
        <v>11.3783932142573</v>
      </c>
    </row>
    <row r="19" customFormat="false" ht="11.1" hidden="false" customHeight="true" outlineLevel="0" collapsed="false">
      <c r="A19" s="13" t="n">
        <f aca="false">A18+1</f>
        <v>8</v>
      </c>
      <c r="B19" s="74" t="n">
        <v>6890.11</v>
      </c>
      <c r="C19" s="67" t="n">
        <v>248542</v>
      </c>
      <c r="D19" s="72" t="n">
        <f aca="false">C19-C18</f>
        <v>-170</v>
      </c>
      <c r="E19" s="67" t="n">
        <f aca="false">C19-152000</f>
        <v>96542</v>
      </c>
      <c r="F19" s="86" t="n">
        <f aca="false">D19/$D$2</f>
        <v>-85.7070834383665</v>
      </c>
      <c r="G19" s="87" t="n">
        <v>659</v>
      </c>
      <c r="H19" s="342" t="n">
        <v>0.03</v>
      </c>
      <c r="I19" s="6" t="n">
        <f aca="false">G19+H19</f>
        <v>659.03</v>
      </c>
      <c r="J19" s="283" t="n">
        <f aca="false">IF(L19&gt;0,L19,0)</f>
        <v>0</v>
      </c>
      <c r="K19" s="6" t="n">
        <f aca="false">I19+J19</f>
        <v>659.03</v>
      </c>
      <c r="L19" s="6" t="n">
        <f aca="false">F19-(I19-X19)</f>
        <v>-102.737083438367</v>
      </c>
      <c r="M19" s="90" t="n">
        <v>246</v>
      </c>
      <c r="N19" s="91" t="n">
        <v>0</v>
      </c>
      <c r="O19" s="339" t="n">
        <f aca="false">56.28*1.05</f>
        <v>59.094</v>
      </c>
      <c r="P19" s="92" t="n">
        <f aca="false">M19-(N19+O19)</f>
        <v>186.906</v>
      </c>
      <c r="Q19" s="87" t="n">
        <v>157</v>
      </c>
      <c r="R19" s="87" t="n">
        <v>76</v>
      </c>
      <c r="S19" s="6" t="n">
        <f aca="false">SUM(P19:R19)</f>
        <v>419.906</v>
      </c>
      <c r="T19" s="114" t="n">
        <f aca="false">T18-(S19-8)-(AF19/1.9835)</f>
        <v>23192.8233549688</v>
      </c>
      <c r="U19" s="87" t="n">
        <v>141</v>
      </c>
      <c r="V19" s="284" t="n">
        <v>22</v>
      </c>
      <c r="W19" s="285" t="n">
        <f aca="false">W18-V19</f>
        <v>6976.49231157046</v>
      </c>
      <c r="X19" s="6" t="n">
        <f aca="false">N19+O19+S19+U19+V19</f>
        <v>642</v>
      </c>
      <c r="Y19" s="6" t="n">
        <f aca="false">IF(L19&lt;0,L19*-1,0)</f>
        <v>102.737083438367</v>
      </c>
      <c r="Z19" s="6" t="n">
        <f aca="false">X19+Y19</f>
        <v>744.737083438367</v>
      </c>
      <c r="AA19" s="60" t="n">
        <v>0</v>
      </c>
      <c r="AB19" s="72" t="n">
        <v>81</v>
      </c>
      <c r="AC19" s="73" t="n">
        <v>45</v>
      </c>
      <c r="AD19" s="13" t="n">
        <v>0</v>
      </c>
      <c r="AE19" s="12" t="n">
        <v>0</v>
      </c>
      <c r="AF19" s="306" t="n">
        <f aca="false">23.5*(T18*1.9835-S19*1.9835)/E19</f>
        <v>11.196783854159</v>
      </c>
    </row>
    <row r="20" customFormat="false" ht="11.1" hidden="false" customHeight="true" outlineLevel="0" collapsed="false">
      <c r="A20" s="13" t="n">
        <f aca="false">A19+1</f>
        <v>9</v>
      </c>
      <c r="B20" s="74" t="n">
        <v>6890.03</v>
      </c>
      <c r="C20" s="67" t="n">
        <v>248270</v>
      </c>
      <c r="D20" s="72" t="n">
        <f aca="false">C20-C19</f>
        <v>-272</v>
      </c>
      <c r="E20" s="67" t="n">
        <f aca="false">C20-152000</f>
        <v>96270</v>
      </c>
      <c r="F20" s="86" t="n">
        <f aca="false">D20/$D$2</f>
        <v>-137.131333501386</v>
      </c>
      <c r="G20" s="87" t="n">
        <v>638</v>
      </c>
      <c r="H20" s="342" t="n">
        <v>0.02</v>
      </c>
      <c r="I20" s="6" t="n">
        <f aca="false">G20+H20</f>
        <v>638.02</v>
      </c>
      <c r="J20" s="283" t="n">
        <f aca="false">IF(L20&gt;0,L20,0)</f>
        <v>0</v>
      </c>
      <c r="K20" s="6" t="n">
        <f aca="false">I20+J20</f>
        <v>638.02</v>
      </c>
      <c r="L20" s="6" t="n">
        <f aca="false">F20-(I20-X20)</f>
        <v>-127.151333501386</v>
      </c>
      <c r="M20" s="90" t="n">
        <v>254</v>
      </c>
      <c r="N20" s="91" t="n">
        <v>0</v>
      </c>
      <c r="O20" s="339" t="n">
        <f aca="false">60.95*1.05</f>
        <v>63.9975</v>
      </c>
      <c r="P20" s="92" t="n">
        <f aca="false">M20-(N20+O20)</f>
        <v>190.0025</v>
      </c>
      <c r="Q20" s="87" t="n">
        <v>157</v>
      </c>
      <c r="R20" s="87" t="n">
        <v>76</v>
      </c>
      <c r="S20" s="6" t="n">
        <f aca="false">SUM(P20:R20)</f>
        <v>423.0025</v>
      </c>
      <c r="T20" s="114" t="n">
        <f aca="false">T19-(S20-8)-(AF20/1.9835)</f>
        <v>22772.2626250935</v>
      </c>
      <c r="U20" s="87" t="n">
        <v>139</v>
      </c>
      <c r="V20" s="284" t="n">
        <v>22</v>
      </c>
      <c r="W20" s="285" t="n">
        <f aca="false">W19-V20</f>
        <v>6954.49231157046</v>
      </c>
      <c r="X20" s="6" t="n">
        <f aca="false">N20+O20+S20+U20+V20</f>
        <v>648</v>
      </c>
      <c r="Y20" s="6" t="n">
        <f aca="false">IF(L20&lt;0,L20*-1,0)</f>
        <v>127.151333501386</v>
      </c>
      <c r="Z20" s="6" t="n">
        <f aca="false">X20+Y20</f>
        <v>775.151333501386</v>
      </c>
      <c r="AA20" s="60" t="n">
        <v>0</v>
      </c>
      <c r="AB20" s="72" t="n">
        <v>83</v>
      </c>
      <c r="AC20" s="73" t="n">
        <v>48</v>
      </c>
      <c r="AD20" s="13" t="n">
        <v>0</v>
      </c>
      <c r="AE20" s="12" t="n">
        <v>0</v>
      </c>
      <c r="AF20" s="306" t="n">
        <f aca="false">23.5*(T19*1.9835-S20*1.9835)/E20</f>
        <v>11.0247489575882</v>
      </c>
    </row>
    <row r="21" customFormat="false" ht="11.1" hidden="false" customHeight="true" outlineLevel="0" collapsed="false">
      <c r="A21" s="13" t="n">
        <f aca="false">A20+1</f>
        <v>10</v>
      </c>
      <c r="B21" s="74" t="n">
        <v>6889.96</v>
      </c>
      <c r="C21" s="67" t="n">
        <v>248033</v>
      </c>
      <c r="D21" s="72" t="n">
        <f aca="false">C21-C20</f>
        <v>-237</v>
      </c>
      <c r="E21" s="67" t="n">
        <f aca="false">C21-152000</f>
        <v>96033</v>
      </c>
      <c r="F21" s="86" t="n">
        <f aca="false">D21/$D$2</f>
        <v>-119.48575749937</v>
      </c>
      <c r="G21" s="87" t="n">
        <v>603</v>
      </c>
      <c r="H21" s="342" t="n">
        <v>0.01</v>
      </c>
      <c r="I21" s="6" t="n">
        <f aca="false">G21+H21</f>
        <v>603.01</v>
      </c>
      <c r="J21" s="283" t="n">
        <f aca="false">IF(L21&gt;0,L21,0)</f>
        <v>0</v>
      </c>
      <c r="K21" s="6" t="n">
        <f aca="false">I21+J21</f>
        <v>603.01</v>
      </c>
      <c r="L21" s="6" t="n">
        <f aca="false">F21-(I21-X21)</f>
        <v>-63.4957574993698</v>
      </c>
      <c r="M21" s="90" t="n">
        <v>265</v>
      </c>
      <c r="N21" s="91" t="n">
        <v>0</v>
      </c>
      <c r="O21" s="339" t="n">
        <f aca="false">61.09*1.05</f>
        <v>64.1445</v>
      </c>
      <c r="P21" s="92" t="n">
        <f aca="false">M21-(N21+O21)</f>
        <v>200.8555</v>
      </c>
      <c r="Q21" s="87" t="n">
        <v>157</v>
      </c>
      <c r="R21" s="87" t="n">
        <v>76</v>
      </c>
      <c r="S21" s="6" t="n">
        <f aca="false">SUM(P21:R21)</f>
        <v>433.8555</v>
      </c>
      <c r="T21" s="114" t="n">
        <f aca="false">T20-(S21-8)-(AF21/1.9835)</f>
        <v>22340.9407482497</v>
      </c>
      <c r="U21" s="87" t="n">
        <v>139</v>
      </c>
      <c r="V21" s="284" t="n">
        <v>22</v>
      </c>
      <c r="W21" s="285" t="n">
        <f aca="false">W20-V21</f>
        <v>6932.49231157046</v>
      </c>
      <c r="X21" s="6" t="n">
        <f aca="false">N21+O21+S21+U21+V21</f>
        <v>659</v>
      </c>
      <c r="Y21" s="6" t="n">
        <f aca="false">IF(L21&lt;0,L21*-1,0)</f>
        <v>63.4957574993698</v>
      </c>
      <c r="Z21" s="6" t="n">
        <f aca="false">X21+Y21</f>
        <v>722.49575749937</v>
      </c>
      <c r="AA21" s="60" t="n">
        <v>0</v>
      </c>
      <c r="AB21" s="72" t="n">
        <v>79</v>
      </c>
      <c r="AC21" s="73" t="n">
        <v>49</v>
      </c>
      <c r="AD21" s="13" t="n">
        <v>0</v>
      </c>
      <c r="AE21" s="12" t="n">
        <v>0</v>
      </c>
      <c r="AF21" s="306" t="n">
        <f aca="false">23.5*(T20*1.9835-S21*1.9835)/E21</f>
        <v>10.8425584696577</v>
      </c>
    </row>
    <row r="22" customFormat="false" ht="11.1" hidden="false" customHeight="true" outlineLevel="0" collapsed="false">
      <c r="A22" s="13" t="n">
        <f aca="false">A21+1</f>
        <v>11</v>
      </c>
      <c r="B22" s="74" t="n">
        <v>6889.97</v>
      </c>
      <c r="C22" s="67" t="n">
        <v>247730</v>
      </c>
      <c r="D22" s="72" t="n">
        <f aca="false">C22-C21</f>
        <v>-303</v>
      </c>
      <c r="E22" s="67" t="n">
        <f aca="false">C22-152000</f>
        <v>95730</v>
      </c>
      <c r="F22" s="86" t="n">
        <f aca="false">D22/$D$2</f>
        <v>-152.76027224603</v>
      </c>
      <c r="G22" s="87" t="n">
        <v>578</v>
      </c>
      <c r="H22" s="342" t="n">
        <v>0</v>
      </c>
      <c r="I22" s="6" t="n">
        <f aca="false">G22+H22</f>
        <v>578</v>
      </c>
      <c r="J22" s="283" t="n">
        <f aca="false">IF(L22&gt;0,L22,0)</f>
        <v>0</v>
      </c>
      <c r="K22" s="6" t="n">
        <f aca="false">I22+J22</f>
        <v>578</v>
      </c>
      <c r="L22" s="6" t="n">
        <f aca="false">F22-(I22-X22)</f>
        <v>-78.7602722460297</v>
      </c>
      <c r="M22" s="90" t="n">
        <v>263</v>
      </c>
      <c r="N22" s="91" t="n">
        <v>0</v>
      </c>
      <c r="O22" s="339" t="n">
        <f aca="false">64.52*1.05</f>
        <v>67.746</v>
      </c>
      <c r="P22" s="92" t="n">
        <f aca="false">M22-(N22+O22)</f>
        <v>195.254</v>
      </c>
      <c r="Q22" s="87" t="n">
        <v>157</v>
      </c>
      <c r="R22" s="87" t="n">
        <v>76</v>
      </c>
      <c r="S22" s="6" t="n">
        <f aca="false">SUM(P22:R22)</f>
        <v>428.254</v>
      </c>
      <c r="T22" s="114" t="n">
        <f aca="false">T21-(S22-8)-(AF22/1.9835)</f>
        <v>21915.3075762182</v>
      </c>
      <c r="U22" s="87" t="n">
        <v>134</v>
      </c>
      <c r="V22" s="284" t="n">
        <v>22</v>
      </c>
      <c r="W22" s="285" t="n">
        <f aca="false">W21-V22</f>
        <v>6910.49231157046</v>
      </c>
      <c r="X22" s="6" t="n">
        <f aca="false">N22+O22+S22+U22+V22</f>
        <v>652</v>
      </c>
      <c r="Y22" s="6" t="n">
        <f aca="false">IF(L22&lt;0,L22*-1,0)</f>
        <v>78.7602722460297</v>
      </c>
      <c r="Z22" s="6" t="n">
        <f aca="false">X22+Y22</f>
        <v>730.76027224603</v>
      </c>
      <c r="AA22" s="60" t="n">
        <v>0</v>
      </c>
      <c r="AB22" s="72" t="n">
        <v>76</v>
      </c>
      <c r="AC22" s="73" t="n">
        <v>43</v>
      </c>
      <c r="AD22" s="13" t="n">
        <v>0</v>
      </c>
      <c r="AE22" s="12" t="n">
        <v>0</v>
      </c>
      <c r="AF22" s="306" t="n">
        <f aca="false">23.5*(T21*1.9835-S22*1.9835)/E22</f>
        <v>10.6695877246538</v>
      </c>
    </row>
    <row r="23" customFormat="false" ht="11.1" hidden="false" customHeight="true" outlineLevel="0" collapsed="false">
      <c r="A23" s="13" t="n">
        <f aca="false">A22+1</f>
        <v>12</v>
      </c>
      <c r="B23" s="74" t="n">
        <v>6889.75</v>
      </c>
      <c r="C23" s="67" t="n">
        <v>247326</v>
      </c>
      <c r="D23" s="72" t="n">
        <f aca="false">C23-C22</f>
        <v>-404</v>
      </c>
      <c r="E23" s="67" t="n">
        <f aca="false">C23-152000</f>
        <v>95326</v>
      </c>
      <c r="F23" s="86" t="n">
        <f aca="false">D23/$D$2</f>
        <v>-203.680362994706</v>
      </c>
      <c r="G23" s="87" t="n">
        <v>522</v>
      </c>
      <c r="H23" s="342" t="n">
        <v>0</v>
      </c>
      <c r="I23" s="6" t="n">
        <f aca="false">G23+H23</f>
        <v>522</v>
      </c>
      <c r="J23" s="283" t="n">
        <f aca="false">IF(L23&gt;0,L23,0)</f>
        <v>0</v>
      </c>
      <c r="K23" s="6" t="n">
        <f aca="false">I23+J23</f>
        <v>522</v>
      </c>
      <c r="L23" s="6" t="n">
        <f aca="false">F23-(I23-X23)</f>
        <v>-108.680362994706</v>
      </c>
      <c r="M23" s="90" t="n">
        <v>246</v>
      </c>
      <c r="N23" s="91" t="n">
        <v>0</v>
      </c>
      <c r="O23" s="339" t="n">
        <f aca="false">60.9*1.05</f>
        <v>63.945</v>
      </c>
      <c r="P23" s="92" t="n">
        <f aca="false">M23-(N23+O23)</f>
        <v>182.055</v>
      </c>
      <c r="Q23" s="87" t="n">
        <v>157</v>
      </c>
      <c r="R23" s="87" t="n">
        <v>76</v>
      </c>
      <c r="S23" s="6" t="n">
        <f aca="false">SUM(P23:R23)</f>
        <v>415.055</v>
      </c>
      <c r="T23" s="114" t="n">
        <f aca="false">T22-(S23-8)-(AF23/1.9835)</f>
        <v>21502.9522810674</v>
      </c>
      <c r="U23" s="87" t="n">
        <v>116</v>
      </c>
      <c r="V23" s="284" t="n">
        <v>22</v>
      </c>
      <c r="W23" s="285" t="n">
        <f aca="false">W22-V23</f>
        <v>6888.49231157046</v>
      </c>
      <c r="X23" s="6" t="n">
        <f aca="false">N23+O23+S23+U23+V23</f>
        <v>617</v>
      </c>
      <c r="Y23" s="6" t="n">
        <f aca="false">IF(L23&lt;0,L23*-1,0)</f>
        <v>108.680362994706</v>
      </c>
      <c r="Z23" s="6" t="n">
        <f aca="false">X23+Y23</f>
        <v>725.680362994706</v>
      </c>
      <c r="AA23" s="60" t="n">
        <v>0</v>
      </c>
      <c r="AB23" s="72" t="n">
        <v>78</v>
      </c>
      <c r="AC23" s="73" t="n">
        <v>44</v>
      </c>
      <c r="AD23" s="13" t="n">
        <v>0</v>
      </c>
      <c r="AE23" s="12" t="n">
        <v>0</v>
      </c>
      <c r="AF23" s="306" t="n">
        <f aca="false">23.5*(T22*1.9835-S23*1.9835)/E23</f>
        <v>10.5131354315279</v>
      </c>
    </row>
    <row r="24" customFormat="false" ht="11.1" hidden="false" customHeight="true" outlineLevel="0" collapsed="false">
      <c r="A24" s="13" t="n">
        <f aca="false">A23+1</f>
        <v>13</v>
      </c>
      <c r="B24" s="74" t="n">
        <v>6889.62</v>
      </c>
      <c r="C24" s="67" t="n">
        <v>246889</v>
      </c>
      <c r="D24" s="72" t="n">
        <f aca="false">C24-C23</f>
        <v>-437</v>
      </c>
      <c r="E24" s="67" t="n">
        <f aca="false">C24-152000</f>
        <v>94889</v>
      </c>
      <c r="F24" s="86" t="n">
        <f aca="false">D24/$D$2</f>
        <v>-220.317620368036</v>
      </c>
      <c r="G24" s="87" t="n">
        <v>453</v>
      </c>
      <c r="H24" s="342" t="n">
        <v>0</v>
      </c>
      <c r="I24" s="6" t="n">
        <f aca="false">G24+H24</f>
        <v>453</v>
      </c>
      <c r="J24" s="283" t="n">
        <f aca="false">IF(L24&gt;0,L24,0)</f>
        <v>0</v>
      </c>
      <c r="K24" s="6" t="n">
        <f aca="false">I24+J24</f>
        <v>453</v>
      </c>
      <c r="L24" s="6" t="n">
        <f aca="false">F24-(I24-X24)</f>
        <v>-52.3176203680363</v>
      </c>
      <c r="M24" s="90" t="n">
        <v>252</v>
      </c>
      <c r="N24" s="91" t="n">
        <v>0</v>
      </c>
      <c r="O24" s="339" t="n">
        <f aca="false">56.31*1.05</f>
        <v>59.1255</v>
      </c>
      <c r="P24" s="92" t="n">
        <f aca="false">M24-(N24+O24)</f>
        <v>192.8745</v>
      </c>
      <c r="Q24" s="87" t="n">
        <v>157</v>
      </c>
      <c r="R24" s="87" t="n">
        <v>75</v>
      </c>
      <c r="S24" s="6" t="n">
        <f aca="false">SUM(P24:R24)</f>
        <v>424.8745</v>
      </c>
      <c r="T24" s="114" t="n">
        <f aca="false">T23-(S24-8)-(AF24/1.9835)</f>
        <v>21080.8576309145</v>
      </c>
      <c r="U24" s="87" t="n">
        <v>116</v>
      </c>
      <c r="V24" s="284" t="n">
        <v>21</v>
      </c>
      <c r="W24" s="285" t="n">
        <f aca="false">W23-V24</f>
        <v>6867.49231157046</v>
      </c>
      <c r="X24" s="6" t="n">
        <f aca="false">N24+O24+S24+U24+V24</f>
        <v>621</v>
      </c>
      <c r="Y24" s="6" t="n">
        <f aca="false">IF(L24&lt;0,L24*-1,0)</f>
        <v>52.3176203680363</v>
      </c>
      <c r="Z24" s="6" t="n">
        <f aca="false">X24+Y24</f>
        <v>673.317620368036</v>
      </c>
      <c r="AA24" s="60" t="n">
        <v>0</v>
      </c>
      <c r="AB24" s="72" t="n">
        <v>77</v>
      </c>
      <c r="AC24" s="73" t="n">
        <v>49</v>
      </c>
      <c r="AD24" s="13" t="n">
        <v>0</v>
      </c>
      <c r="AE24" s="12" t="n">
        <v>0</v>
      </c>
      <c r="AF24" s="306" t="n">
        <f aca="false">23.5*(T23*1.9835-S24*1.9835)/E24</f>
        <v>10.3541678282052</v>
      </c>
    </row>
    <row r="25" customFormat="false" ht="11.1" hidden="false" customHeight="true" outlineLevel="0" collapsed="false">
      <c r="A25" s="13" t="n">
        <f aca="false">A24+1</f>
        <v>14</v>
      </c>
      <c r="B25" s="74" t="n">
        <v>6889.43</v>
      </c>
      <c r="C25" s="67" t="n">
        <v>246249</v>
      </c>
      <c r="D25" s="72" t="n">
        <f aca="false">C25-C24</f>
        <v>-640</v>
      </c>
      <c r="E25" s="67" t="n">
        <f aca="false">C25-152000</f>
        <v>94249</v>
      </c>
      <c r="F25" s="86" t="n">
        <f aca="false">D25/$D$2</f>
        <v>-322.661961179733</v>
      </c>
      <c r="G25" s="87" t="n">
        <v>404</v>
      </c>
      <c r="H25" s="342" t="n">
        <v>0</v>
      </c>
      <c r="I25" s="6" t="n">
        <f aca="false">G25+H25</f>
        <v>404</v>
      </c>
      <c r="J25" s="283" t="n">
        <f aca="false">IF(L25&gt;0,L25,0)</f>
        <v>0</v>
      </c>
      <c r="K25" s="6" t="n">
        <f aca="false">I25+J25</f>
        <v>404</v>
      </c>
      <c r="L25" s="6" t="n">
        <f aca="false">F25-(I25-X25)</f>
        <v>-122.661961179733</v>
      </c>
      <c r="M25" s="90" t="n">
        <v>253</v>
      </c>
      <c r="N25" s="91" t="n">
        <v>0</v>
      </c>
      <c r="O25" s="339" t="n">
        <f aca="false">56.25*1.05</f>
        <v>59.0625</v>
      </c>
      <c r="P25" s="92" t="n">
        <f aca="false">M25-(N25+O25)</f>
        <v>193.9375</v>
      </c>
      <c r="Q25" s="87" t="n">
        <v>157</v>
      </c>
      <c r="R25" s="87" t="n">
        <v>75</v>
      </c>
      <c r="S25" s="6" t="n">
        <f aca="false">SUM(P25:R25)</f>
        <v>425.9375</v>
      </c>
      <c r="T25" s="114" t="n">
        <f aca="false">T24-(S25-8)-(AF25/1.9835)</f>
        <v>20657.7700431356</v>
      </c>
      <c r="U25" s="87" t="n">
        <v>99</v>
      </c>
      <c r="V25" s="284" t="n">
        <v>20</v>
      </c>
      <c r="W25" s="285" t="n">
        <f aca="false">W24-V25</f>
        <v>6847.49231157046</v>
      </c>
      <c r="X25" s="6" t="n">
        <f aca="false">N25+O25+S25+U25+V25</f>
        <v>604</v>
      </c>
      <c r="Y25" s="6" t="n">
        <f aca="false">IF(L25&lt;0,L25*-1,0)</f>
        <v>122.661961179733</v>
      </c>
      <c r="Z25" s="6" t="n">
        <f aca="false">X25+Y25</f>
        <v>726.661961179733</v>
      </c>
      <c r="AA25" s="60" t="n">
        <v>0</v>
      </c>
      <c r="AB25" s="72" t="n">
        <v>82</v>
      </c>
      <c r="AC25" s="73" t="n">
        <v>49</v>
      </c>
      <c r="AD25" s="13" t="n">
        <v>0</v>
      </c>
      <c r="AE25" s="12" t="n">
        <v>0</v>
      </c>
      <c r="AF25" s="306" t="n">
        <f aca="false">23.5*(T24*1.9835-S25*1.9835)/E25</f>
        <v>10.2151991095101</v>
      </c>
    </row>
    <row r="26" customFormat="false" ht="11.1" hidden="false" customHeight="true" outlineLevel="0" collapsed="false">
      <c r="A26" s="13" t="n">
        <f aca="false">A25+1</f>
        <v>15</v>
      </c>
      <c r="B26" s="74" t="n">
        <v>6889.24</v>
      </c>
      <c r="C26" s="67" t="n">
        <v>245609</v>
      </c>
      <c r="D26" s="72" t="n">
        <f aca="false">C26-C25</f>
        <v>-640</v>
      </c>
      <c r="E26" s="67" t="n">
        <f aca="false">C26-152000</f>
        <v>93609</v>
      </c>
      <c r="F26" s="86" t="n">
        <f aca="false">D26/$D$2</f>
        <v>-322.661961179733</v>
      </c>
      <c r="G26" s="87" t="n">
        <v>382</v>
      </c>
      <c r="H26" s="342" t="n">
        <v>0</v>
      </c>
      <c r="I26" s="6" t="n">
        <f aca="false">G26+H26</f>
        <v>382</v>
      </c>
      <c r="J26" s="283" t="n">
        <f aca="false">IF(L26&gt;0,L26,0)</f>
        <v>0</v>
      </c>
      <c r="K26" s="6" t="n">
        <f aca="false">I26+J26</f>
        <v>382</v>
      </c>
      <c r="L26" s="6" t="n">
        <f aca="false">F26-(I26-X26)</f>
        <v>-121.661961179733</v>
      </c>
      <c r="M26" s="90" t="n">
        <v>251</v>
      </c>
      <c r="N26" s="91" t="n">
        <v>0</v>
      </c>
      <c r="O26" s="339" t="n">
        <f aca="false">53.32*1.05</f>
        <v>55.986</v>
      </c>
      <c r="P26" s="92" t="n">
        <f aca="false">M26-(N26+O26)</f>
        <v>195.014</v>
      </c>
      <c r="Q26" s="87" t="n">
        <v>158</v>
      </c>
      <c r="R26" s="87" t="n">
        <v>75</v>
      </c>
      <c r="S26" s="6" t="n">
        <f aca="false">SUM(P26:R26)</f>
        <v>428.014</v>
      </c>
      <c r="T26" s="114" t="n">
        <f aca="false">T25-(S26-8)-(AF26/1.9835)</f>
        <v>20232.677479461</v>
      </c>
      <c r="U26" s="87" t="n">
        <v>78</v>
      </c>
      <c r="V26" s="284" t="n">
        <v>21</v>
      </c>
      <c r="W26" s="285" t="n">
        <f aca="false">W25-V26</f>
        <v>6826.49231157046</v>
      </c>
      <c r="X26" s="6" t="n">
        <f aca="false">N26+O26+S26+U26+V26</f>
        <v>583</v>
      </c>
      <c r="Y26" s="6" t="n">
        <f aca="false">IF(L26&lt;0,L26*-1,0)</f>
        <v>121.661961179733</v>
      </c>
      <c r="Z26" s="6" t="n">
        <f aca="false">X26+Y26</f>
        <v>704.661961179733</v>
      </c>
      <c r="AA26" s="60" t="n">
        <v>0</v>
      </c>
      <c r="AB26" s="72" t="n">
        <v>86</v>
      </c>
      <c r="AC26" s="73" t="n">
        <v>51</v>
      </c>
      <c r="AD26" s="13" t="n">
        <v>0</v>
      </c>
      <c r="AE26" s="12" t="n">
        <v>0</v>
      </c>
      <c r="AF26" s="306" t="n">
        <f aca="false">23.5*(T25*1.9835-S26*1.9835)/E26</f>
        <v>10.0733310485279</v>
      </c>
    </row>
    <row r="27" customFormat="false" ht="11.1" hidden="false" customHeight="true" outlineLevel="0" collapsed="false">
      <c r="A27" s="13" t="n">
        <f aca="false">A26+1</f>
        <v>16</v>
      </c>
      <c r="B27" s="74" t="n">
        <v>6889.12</v>
      </c>
      <c r="C27" s="67" t="n">
        <v>245205</v>
      </c>
      <c r="D27" s="72" t="n">
        <f aca="false">C27-C26</f>
        <v>-404</v>
      </c>
      <c r="E27" s="67" t="n">
        <f aca="false">C27-152000</f>
        <v>93205</v>
      </c>
      <c r="F27" s="86" t="n">
        <f aca="false">D27/$D$2</f>
        <v>-203.680362994706</v>
      </c>
      <c r="G27" s="87" t="n">
        <v>377</v>
      </c>
      <c r="H27" s="342" t="n">
        <v>0</v>
      </c>
      <c r="I27" s="6" t="n">
        <f aca="false">G27+H27</f>
        <v>377</v>
      </c>
      <c r="J27" s="283" t="n">
        <f aca="false">IF(L27&gt;0,L27,0)</f>
        <v>19.3196370052937</v>
      </c>
      <c r="K27" s="6" t="n">
        <f aca="false">I27+J27</f>
        <v>396.319637005294</v>
      </c>
      <c r="L27" s="6" t="n">
        <f aca="false">F27-(I27-X27)</f>
        <v>19.3196370052937</v>
      </c>
      <c r="M27" s="90" t="n">
        <v>246</v>
      </c>
      <c r="N27" s="91" t="n">
        <v>0</v>
      </c>
      <c r="O27" s="339" t="n">
        <f aca="false">51.61*1.05</f>
        <v>54.1905</v>
      </c>
      <c r="P27" s="92" t="n">
        <f aca="false">M27-(N27+O27)</f>
        <v>191.8095</v>
      </c>
      <c r="Q27" s="87" t="n">
        <v>158</v>
      </c>
      <c r="R27" s="87" t="n">
        <v>73</v>
      </c>
      <c r="S27" s="6" t="n">
        <f aca="false">SUM(P27:R27)</f>
        <v>422.8095</v>
      </c>
      <c r="T27" s="114" t="n">
        <f aca="false">T26-(S27-8)-(AF27/1.9835)</f>
        <v>19812.8732699764</v>
      </c>
      <c r="U27" s="87" t="n">
        <v>102</v>
      </c>
      <c r="V27" s="284" t="n">
        <v>21</v>
      </c>
      <c r="W27" s="285" t="n">
        <f aca="false">W26-V27</f>
        <v>6805.49231157046</v>
      </c>
      <c r="X27" s="6" t="n">
        <f aca="false">N27+O27+S27+U27+V27</f>
        <v>600</v>
      </c>
      <c r="Y27" s="6" t="n">
        <f aca="false">IF(L27&lt;0,L27*-1,0)</f>
        <v>0</v>
      </c>
      <c r="Z27" s="6" t="n">
        <f aca="false">X27+Y27</f>
        <v>600</v>
      </c>
      <c r="AA27" s="60" t="n">
        <v>0</v>
      </c>
      <c r="AB27" s="72" t="n">
        <v>85</v>
      </c>
      <c r="AC27" s="73" t="n">
        <v>53</v>
      </c>
      <c r="AD27" s="13" t="n">
        <v>0</v>
      </c>
      <c r="AE27" s="12" t="n">
        <v>0</v>
      </c>
      <c r="AF27" s="306" t="n">
        <f aca="false">23.5*(T26*1.9835-S27*1.9835)/E27</f>
        <v>9.90700626281457</v>
      </c>
    </row>
    <row r="28" customFormat="false" ht="11.1" hidden="false" customHeight="true" outlineLevel="0" collapsed="false">
      <c r="A28" s="13" t="n">
        <f aca="false">A27+1</f>
        <v>17</v>
      </c>
      <c r="B28" s="74" t="n">
        <v>6888.97</v>
      </c>
      <c r="C28" s="67" t="n">
        <v>244701</v>
      </c>
      <c r="D28" s="72" t="n">
        <f aca="false">C28-C27</f>
        <v>-504</v>
      </c>
      <c r="E28" s="67" t="n">
        <f aca="false">C28-152000</f>
        <v>92701</v>
      </c>
      <c r="F28" s="86" t="n">
        <f aca="false">D28/$D$2</f>
        <v>-254.09629442904</v>
      </c>
      <c r="G28" s="87" t="n">
        <v>338</v>
      </c>
      <c r="H28" s="342" t="n">
        <v>0</v>
      </c>
      <c r="I28" s="6" t="n">
        <f aca="false">G28+H28</f>
        <v>338</v>
      </c>
      <c r="J28" s="283" t="n">
        <f aca="false">IF(L28&gt;0,L28,0)</f>
        <v>0</v>
      </c>
      <c r="K28" s="6" t="n">
        <f aca="false">I28+J28</f>
        <v>338</v>
      </c>
      <c r="L28" s="6" t="n">
        <f aca="false">F28-(I28-X28)</f>
        <v>-14.0962944290396</v>
      </c>
      <c r="M28" s="90" t="n">
        <v>244</v>
      </c>
      <c r="N28" s="91" t="n">
        <v>0</v>
      </c>
      <c r="O28" s="339" t="n">
        <f aca="false">46.4*1.05</f>
        <v>48.72</v>
      </c>
      <c r="P28" s="92" t="n">
        <f aca="false">M28-(N28+O28)</f>
        <v>195.28</v>
      </c>
      <c r="Q28" s="87" t="n">
        <v>111</v>
      </c>
      <c r="R28" s="87" t="n">
        <v>72</v>
      </c>
      <c r="S28" s="6" t="n">
        <f aca="false">SUM(P28:R28)</f>
        <v>378.28</v>
      </c>
      <c r="T28" s="114" t="n">
        <f aca="false">T27-(S28-8)-(AF28/1.9835)</f>
        <v>19437.6665384218</v>
      </c>
      <c r="U28" s="87" t="n">
        <v>131</v>
      </c>
      <c r="V28" s="284" t="n">
        <v>20</v>
      </c>
      <c r="W28" s="285" t="n">
        <f aca="false">W27-V28</f>
        <v>6785.49231157046</v>
      </c>
      <c r="X28" s="6" t="n">
        <f aca="false">N28+O28+S28+U28+V28</f>
        <v>578</v>
      </c>
      <c r="Y28" s="6" t="n">
        <f aca="false">IF(L28&lt;0,L28*-1,0)</f>
        <v>14.0962944290396</v>
      </c>
      <c r="Z28" s="6" t="n">
        <f aca="false">X28+Y28</f>
        <v>592.09629442904</v>
      </c>
      <c r="AA28" s="60" t="n">
        <v>0.01</v>
      </c>
      <c r="AB28" s="72" t="n">
        <v>81</v>
      </c>
      <c r="AC28" s="73" t="n">
        <v>54</v>
      </c>
      <c r="AD28" s="13" t="n">
        <v>0</v>
      </c>
      <c r="AE28" s="12" t="n">
        <v>0</v>
      </c>
      <c r="AF28" s="306" t="n">
        <f aca="false">23.5*(T27*1.9835-S28*1.9835)/E28</f>
        <v>9.77217203858055</v>
      </c>
    </row>
    <row r="29" customFormat="false" ht="11.1" hidden="false" customHeight="true" outlineLevel="0" collapsed="false">
      <c r="A29" s="13" t="n">
        <f aca="false">A28+1</f>
        <v>18</v>
      </c>
      <c r="B29" s="74" t="n">
        <v>6888.88</v>
      </c>
      <c r="C29" s="67" t="n">
        <v>244401</v>
      </c>
      <c r="D29" s="72" t="n">
        <f aca="false">C29-C28</f>
        <v>-300</v>
      </c>
      <c r="E29" s="67" t="n">
        <f aca="false">C29-152000</f>
        <v>92401</v>
      </c>
      <c r="F29" s="86" t="n">
        <f aca="false">D29/$D$2</f>
        <v>-151.247794303</v>
      </c>
      <c r="G29" s="87" t="n">
        <v>310</v>
      </c>
      <c r="H29" s="342" t="n">
        <v>0</v>
      </c>
      <c r="I29" s="6" t="n">
        <f aca="false">G29+H29</f>
        <v>310</v>
      </c>
      <c r="J29" s="283" t="n">
        <f aca="false">IF(L29&gt;0,L29,0)</f>
        <v>42.7522056970003</v>
      </c>
      <c r="K29" s="6" t="n">
        <f aca="false">I29+J29</f>
        <v>352.752205697</v>
      </c>
      <c r="L29" s="6" t="n">
        <f aca="false">F29-(I29-X29)</f>
        <v>42.7522056970003</v>
      </c>
      <c r="M29" s="90" t="n">
        <v>241</v>
      </c>
      <c r="N29" s="91" t="n">
        <v>0</v>
      </c>
      <c r="O29" s="339" t="n">
        <f aca="false">42.75*1.05</f>
        <v>44.8875</v>
      </c>
      <c r="P29" s="92" t="n">
        <f aca="false">M29-(N29+O29)</f>
        <v>196.1125</v>
      </c>
      <c r="Q29" s="87" t="n">
        <v>68</v>
      </c>
      <c r="R29" s="87" t="n">
        <v>72</v>
      </c>
      <c r="S29" s="6" t="n">
        <f aca="false">SUM(P29:R29)</f>
        <v>336.1125</v>
      </c>
      <c r="T29" s="114" t="n">
        <f aca="false">T28-(S29-8)-(AF29/1.9835)</f>
        <v>19104.6960117781</v>
      </c>
      <c r="U29" s="87" t="n">
        <v>103</v>
      </c>
      <c r="V29" s="284" t="n">
        <v>20</v>
      </c>
      <c r="W29" s="285" t="n">
        <f aca="false">W28-V29</f>
        <v>6765.49231157046</v>
      </c>
      <c r="X29" s="6" t="n">
        <f aca="false">N29+O29+S29+U29+V29</f>
        <v>504</v>
      </c>
      <c r="Y29" s="6" t="n">
        <f aca="false">IF(L29&lt;0,L29*-1,0)</f>
        <v>0</v>
      </c>
      <c r="Z29" s="6" t="n">
        <f aca="false">X29+Y29</f>
        <v>504</v>
      </c>
      <c r="AA29" s="60" t="n">
        <v>0</v>
      </c>
      <c r="AB29" s="72" t="n">
        <v>81</v>
      </c>
      <c r="AC29" s="73" t="n">
        <v>51</v>
      </c>
      <c r="AD29" s="13" t="n">
        <v>0</v>
      </c>
      <c r="AE29" s="12" t="n">
        <v>0</v>
      </c>
      <c r="AF29" s="306" t="n">
        <f aca="false">23.5*(T28*1.9835-S29*1.9835)/E29</f>
        <v>9.63589584774434</v>
      </c>
    </row>
    <row r="30" customFormat="false" ht="11.1" hidden="false" customHeight="true" outlineLevel="0" collapsed="false">
      <c r="A30" s="13" t="n">
        <f aca="false">A29+1</f>
        <v>19</v>
      </c>
      <c r="B30" s="74" t="n">
        <v>6888.73</v>
      </c>
      <c r="C30" s="67" t="n">
        <v>243902</v>
      </c>
      <c r="D30" s="72" t="n">
        <f aca="false">C30-C29</f>
        <v>-499</v>
      </c>
      <c r="E30" s="67" t="n">
        <f aca="false">C30-152000</f>
        <v>91902</v>
      </c>
      <c r="F30" s="86" t="n">
        <f aca="false">D30/$D$2</f>
        <v>-251.575497857323</v>
      </c>
      <c r="G30" s="87" t="n">
        <v>297</v>
      </c>
      <c r="H30" s="342" t="n">
        <v>0</v>
      </c>
      <c r="I30" s="6" t="n">
        <f aca="false">G30+H30</f>
        <v>297</v>
      </c>
      <c r="J30" s="283" t="n">
        <f aca="false">IF(L30&gt;0,L30,0)</f>
        <v>0</v>
      </c>
      <c r="K30" s="6" t="n">
        <f aca="false">I30+J30</f>
        <v>297</v>
      </c>
      <c r="L30" s="6" t="n">
        <f aca="false">F30-(I30-X30)</f>
        <v>-33.5754978573229</v>
      </c>
      <c r="M30" s="90" t="n">
        <v>250</v>
      </c>
      <c r="N30" s="91" t="n">
        <v>0</v>
      </c>
      <c r="O30" s="339" t="n">
        <f aca="false">41.46*1.05</f>
        <v>43.533</v>
      </c>
      <c r="P30" s="92" t="n">
        <f aca="false">M30-(N30+O30)</f>
        <v>206.467</v>
      </c>
      <c r="Q30" s="87" t="n">
        <v>69</v>
      </c>
      <c r="R30" s="87" t="n">
        <v>72</v>
      </c>
      <c r="S30" s="6" t="n">
        <f aca="false">SUM(P30:R30)</f>
        <v>347.467</v>
      </c>
      <c r="T30" s="114" t="n">
        <f aca="false">T29-(S30-8)-(AF30/1.9835)</f>
        <v>18760.4326538993</v>
      </c>
      <c r="U30" s="87" t="n">
        <v>104</v>
      </c>
      <c r="V30" s="284" t="n">
        <v>20</v>
      </c>
      <c r="W30" s="285" t="n">
        <f aca="false">W29-V30</f>
        <v>6745.49231157046</v>
      </c>
      <c r="X30" s="6" t="n">
        <f aca="false">N30+O30+S30+U30+V30</f>
        <v>515</v>
      </c>
      <c r="Y30" s="6" t="n">
        <f aca="false">IF(L30&lt;0,L30*-1,0)</f>
        <v>33.5754978573229</v>
      </c>
      <c r="Z30" s="6" t="n">
        <f aca="false">X30+Y30</f>
        <v>548.575497857323</v>
      </c>
      <c r="AA30" s="60" t="n">
        <v>0.09</v>
      </c>
      <c r="AB30" s="72" t="n">
        <v>77</v>
      </c>
      <c r="AC30" s="73" t="n">
        <v>51</v>
      </c>
      <c r="AD30" s="13" t="n">
        <v>0</v>
      </c>
      <c r="AE30" s="12" t="n">
        <v>0</v>
      </c>
      <c r="AF30" s="306" t="n">
        <f aca="false">23.5*(T29*1.9835-S30*1.9835)/E30</f>
        <v>9.51357585258484</v>
      </c>
    </row>
    <row r="31" customFormat="false" ht="11.1" hidden="false" customHeight="true" outlineLevel="0" collapsed="false">
      <c r="A31" s="13" t="n">
        <f aca="false">A30+1</f>
        <v>20</v>
      </c>
      <c r="B31" s="74" t="n">
        <v>6888.52</v>
      </c>
      <c r="C31" s="67" t="n">
        <v>243202</v>
      </c>
      <c r="D31" s="72" t="n">
        <f aca="false">C31-C30</f>
        <v>-700</v>
      </c>
      <c r="E31" s="67" t="n">
        <f aca="false">C31-152000</f>
        <v>91202</v>
      </c>
      <c r="F31" s="86" t="n">
        <f aca="false">D31/$D$2</f>
        <v>-352.911520040333</v>
      </c>
      <c r="G31" s="87" t="n">
        <v>325</v>
      </c>
      <c r="H31" s="342" t="n">
        <v>0</v>
      </c>
      <c r="I31" s="6" t="n">
        <f aca="false">G31+H31</f>
        <v>325</v>
      </c>
      <c r="J31" s="283" t="n">
        <f aca="false">IF(L31&gt;0,L31,0)</f>
        <v>0</v>
      </c>
      <c r="K31" s="6" t="n">
        <f aca="false">I31+J31</f>
        <v>325</v>
      </c>
      <c r="L31" s="6" t="n">
        <f aca="false">F31-(I31-X31)</f>
        <v>-189.911520040333</v>
      </c>
      <c r="M31" s="90" t="n">
        <v>224</v>
      </c>
      <c r="N31" s="91" t="n">
        <v>0</v>
      </c>
      <c r="O31" s="343" t="n">
        <f aca="false">32.44*1.05</f>
        <v>34.062</v>
      </c>
      <c r="P31" s="92" t="n">
        <f aca="false">M31-(N31+O31)</f>
        <v>189.938</v>
      </c>
      <c r="Q31" s="87" t="n">
        <v>70</v>
      </c>
      <c r="R31" s="87" t="n">
        <v>72</v>
      </c>
      <c r="S31" s="6" t="n">
        <f aca="false">SUM(P31:R31)</f>
        <v>331.938</v>
      </c>
      <c r="T31" s="114" t="n">
        <f aca="false">T30-(S31-8)-(AF31/1.9835)</f>
        <v>18431.7461875897</v>
      </c>
      <c r="U31" s="87" t="n">
        <v>93</v>
      </c>
      <c r="V31" s="284" t="n">
        <v>29</v>
      </c>
      <c r="W31" s="285" t="n">
        <f aca="false">W30-V31</f>
        <v>6716.49231157046</v>
      </c>
      <c r="X31" s="6" t="n">
        <f aca="false">N31+O31+S31+U31+V31</f>
        <v>488</v>
      </c>
      <c r="Y31" s="6" t="n">
        <f aca="false">IF(L31&lt;0,L31*-1,0)</f>
        <v>189.911520040333</v>
      </c>
      <c r="Z31" s="6" t="n">
        <f aca="false">X31+Y31</f>
        <v>677.911520040333</v>
      </c>
      <c r="AA31" s="60" t="n">
        <v>0</v>
      </c>
      <c r="AB31" s="72" t="n">
        <v>75</v>
      </c>
      <c r="AC31" s="73" t="n">
        <v>52</v>
      </c>
      <c r="AD31" s="13" t="n">
        <v>0</v>
      </c>
      <c r="AE31" s="12" t="n">
        <v>0</v>
      </c>
      <c r="AF31" s="306" t="n">
        <f aca="false">23.5*(T30*1.9835-S31*1.9835)/E31</f>
        <v>9.41858292505884</v>
      </c>
    </row>
    <row r="32" customFormat="false" ht="11.1" hidden="false" customHeight="true" outlineLevel="0" collapsed="false">
      <c r="A32" s="13" t="n">
        <f aca="false">A31+1</f>
        <v>21</v>
      </c>
      <c r="B32" s="74" t="n">
        <v>6888.39</v>
      </c>
      <c r="C32" s="67" t="n">
        <v>242769</v>
      </c>
      <c r="D32" s="72" t="n">
        <f aca="false">C32-C31</f>
        <v>-433</v>
      </c>
      <c r="E32" s="67" t="n">
        <f aca="false">C32-152000</f>
        <v>90769</v>
      </c>
      <c r="F32" s="86" t="n">
        <f aca="false">D32/$D$2</f>
        <v>-218.300983110663</v>
      </c>
      <c r="G32" s="87" t="n">
        <v>278</v>
      </c>
      <c r="H32" s="342" t="n">
        <v>0</v>
      </c>
      <c r="I32" s="6" t="n">
        <f aca="false">G32+H32</f>
        <v>278</v>
      </c>
      <c r="J32" s="283" t="n">
        <f aca="false">IF(L32&gt;0,L32,0)</f>
        <v>23.699016889337</v>
      </c>
      <c r="K32" s="6" t="n">
        <f aca="false">I32+J32</f>
        <v>301.699016889337</v>
      </c>
      <c r="L32" s="6" t="n">
        <f aca="false">F32-(I32-X32)</f>
        <v>23.699016889337</v>
      </c>
      <c r="M32" s="90" t="n">
        <v>224</v>
      </c>
      <c r="N32" s="91" t="n">
        <v>0</v>
      </c>
      <c r="O32" s="339" t="n">
        <f aca="false">19.39*1.05</f>
        <v>20.3595</v>
      </c>
      <c r="P32" s="92" t="n">
        <f aca="false">M32-(N32+O32)</f>
        <v>203.6405</v>
      </c>
      <c r="Q32" s="87" t="n">
        <v>72</v>
      </c>
      <c r="R32" s="87" t="n">
        <v>72</v>
      </c>
      <c r="S32" s="6" t="n">
        <f aca="false">SUM(P32:R32)</f>
        <v>347.6405</v>
      </c>
      <c r="T32" s="114" t="n">
        <f aca="false">T31-(S32-8)-(AF32/1.9835)</f>
        <v>18087.4237313749</v>
      </c>
      <c r="U32" s="87" t="n">
        <v>111</v>
      </c>
      <c r="V32" s="284" t="n">
        <v>41</v>
      </c>
      <c r="W32" s="285" t="n">
        <f aca="false">W31-V32</f>
        <v>6675.49231157046</v>
      </c>
      <c r="X32" s="6" t="n">
        <f aca="false">N32+O32+S32+U32+V32</f>
        <v>520</v>
      </c>
      <c r="Y32" s="6" t="n">
        <f aca="false">IF(L32&lt;0,L32*-1,0)</f>
        <v>0</v>
      </c>
      <c r="Z32" s="6" t="n">
        <f aca="false">X32+Y32</f>
        <v>520</v>
      </c>
      <c r="AA32" s="60" t="n">
        <v>0</v>
      </c>
      <c r="AB32" s="72" t="n">
        <v>78</v>
      </c>
      <c r="AC32" s="73" t="n">
        <v>42</v>
      </c>
      <c r="AD32" s="13" t="n">
        <v>0</v>
      </c>
      <c r="AE32" s="12" t="n">
        <v>0</v>
      </c>
      <c r="AF32" s="306" t="n">
        <f aca="false">23.5*(T31*1.9835-S32*1.9835)/E32</f>
        <v>9.2866601519941</v>
      </c>
    </row>
    <row r="33" customFormat="false" ht="11.1" hidden="false" customHeight="true" outlineLevel="0" collapsed="false">
      <c r="A33" s="13" t="n">
        <f aca="false">A32+1</f>
        <v>22</v>
      </c>
      <c r="B33" s="74" t="n">
        <v>6888.21</v>
      </c>
      <c r="C33" s="67" t="n">
        <v>242169</v>
      </c>
      <c r="D33" s="72" t="n">
        <f aca="false">C33-C32</f>
        <v>-600</v>
      </c>
      <c r="E33" s="67" t="n">
        <f aca="false">C33-152000</f>
        <v>90169</v>
      </c>
      <c r="F33" s="86" t="n">
        <f aca="false">D33/$D$2</f>
        <v>-302.495588605999</v>
      </c>
      <c r="G33" s="87" t="n">
        <v>257</v>
      </c>
      <c r="H33" s="342" t="n">
        <v>0</v>
      </c>
      <c r="I33" s="6" t="n">
        <f aca="false">G33+H33</f>
        <v>257</v>
      </c>
      <c r="J33" s="283" t="n">
        <f aca="false">IF(L33&gt;0,L33,0)</f>
        <v>0</v>
      </c>
      <c r="K33" s="6" t="n">
        <f aca="false">I33+J33</f>
        <v>257</v>
      </c>
      <c r="L33" s="6" t="n">
        <f aca="false">F33-(I33-X33)</f>
        <v>-20.4955886059995</v>
      </c>
      <c r="M33" s="90" t="n">
        <v>229</v>
      </c>
      <c r="N33" s="91" t="n">
        <v>5.55</v>
      </c>
      <c r="O33" s="339" t="n">
        <f aca="false">19.26*1.05</f>
        <v>20.223</v>
      </c>
      <c r="P33" s="92" t="n">
        <f aca="false">M33-(N33+O33)</f>
        <v>203.227</v>
      </c>
      <c r="Q33" s="87" t="n">
        <v>72</v>
      </c>
      <c r="R33" s="87" t="n">
        <v>72</v>
      </c>
      <c r="S33" s="6" t="n">
        <f aca="false">SUM(P33:R33)</f>
        <v>347.227</v>
      </c>
      <c r="T33" s="114" t="n">
        <f aca="false">T32-(S33-8)-(AF33/1.9835)</f>
        <v>17743.5732507642</v>
      </c>
      <c r="U33" s="87" t="n">
        <v>125</v>
      </c>
      <c r="V33" s="284" t="n">
        <v>41</v>
      </c>
      <c r="W33" s="285" t="n">
        <f aca="false">W32-V33</f>
        <v>6634.49231157046</v>
      </c>
      <c r="X33" s="6" t="n">
        <f aca="false">N33+O33+S33+U33+V33</f>
        <v>539</v>
      </c>
      <c r="Y33" s="6" t="n">
        <f aca="false">IF(L33&lt;0,L33*-1,0)</f>
        <v>20.4955886059995</v>
      </c>
      <c r="Z33" s="6" t="n">
        <f aca="false">X33+Y33</f>
        <v>559.495588606</v>
      </c>
      <c r="AA33" s="60" t="n">
        <v>0</v>
      </c>
      <c r="AB33" s="72" t="n">
        <v>79</v>
      </c>
      <c r="AC33" s="73" t="n">
        <v>43</v>
      </c>
      <c r="AD33" s="13" t="n">
        <v>0</v>
      </c>
      <c r="AE33" s="12" t="n">
        <v>0</v>
      </c>
      <c r="AF33" s="306" t="n">
        <f aca="false">23.5*(T32*1.9835-S33*1.9835)/E33</f>
        <v>9.1706737913477</v>
      </c>
    </row>
    <row r="34" customFormat="false" ht="11.1" hidden="false" customHeight="true" outlineLevel="0" collapsed="false">
      <c r="A34" s="13" t="n">
        <f aca="false">A33+1</f>
        <v>23</v>
      </c>
      <c r="B34" s="74" t="n">
        <v>6887.96</v>
      </c>
      <c r="C34" s="67" t="n">
        <v>241337</v>
      </c>
      <c r="D34" s="72" t="n">
        <f aca="false">C34-C33</f>
        <v>-832</v>
      </c>
      <c r="E34" s="67" t="n">
        <f aca="false">C34-152000</f>
        <v>89337</v>
      </c>
      <c r="F34" s="86" t="n">
        <f aca="false">D34/$D$2</f>
        <v>-419.460549533653</v>
      </c>
      <c r="G34" s="87" t="n">
        <v>248</v>
      </c>
      <c r="H34" s="342" t="n">
        <v>0</v>
      </c>
      <c r="I34" s="6" t="n">
        <f aca="false">G34+H34</f>
        <v>248</v>
      </c>
      <c r="J34" s="283" t="n">
        <f aca="false">IF(L34&gt;0,L34,0)</f>
        <v>0</v>
      </c>
      <c r="K34" s="6" t="n">
        <f aca="false">I34+J34</f>
        <v>248</v>
      </c>
      <c r="L34" s="6" t="n">
        <f aca="false">F34-(I34-X34)</f>
        <v>-123.460549533653</v>
      </c>
      <c r="M34" s="90" t="n">
        <v>231</v>
      </c>
      <c r="N34" s="91" t="n">
        <v>0</v>
      </c>
      <c r="O34" s="339" t="n">
        <f aca="false">25.6*1.05</f>
        <v>26.88</v>
      </c>
      <c r="P34" s="92" t="n">
        <f aca="false">M34-(N34+O34)</f>
        <v>204.12</v>
      </c>
      <c r="Q34" s="87" t="n">
        <v>72</v>
      </c>
      <c r="R34" s="87" t="n">
        <v>71</v>
      </c>
      <c r="S34" s="6" t="n">
        <f aca="false">SUM(P34:R34)</f>
        <v>347.12</v>
      </c>
      <c r="T34" s="114" t="n">
        <f aca="false">T33-(S34-8)-(AF34/1.9835)</f>
        <v>17399.8771327908</v>
      </c>
      <c r="U34" s="87" t="n">
        <v>130</v>
      </c>
      <c r="V34" s="284" t="n">
        <v>40</v>
      </c>
      <c r="W34" s="285" t="n">
        <f aca="false">W33-V34</f>
        <v>6594.49231157046</v>
      </c>
      <c r="X34" s="6" t="n">
        <f aca="false">N34+O34+S34+U34+V34</f>
        <v>544</v>
      </c>
      <c r="Y34" s="6" t="n">
        <f aca="false">IF(L34&lt;0,L34*-1,0)</f>
        <v>123.460549533653</v>
      </c>
      <c r="Z34" s="6" t="n">
        <f aca="false">X34+Y34</f>
        <v>667.460549533653</v>
      </c>
      <c r="AA34" s="60" t="n">
        <v>0</v>
      </c>
      <c r="AB34" s="72" t="n">
        <v>82</v>
      </c>
      <c r="AC34" s="73" t="n">
        <v>50</v>
      </c>
      <c r="AD34" s="13" t="n">
        <v>0</v>
      </c>
      <c r="AE34" s="12" t="n">
        <v>0</v>
      </c>
      <c r="AF34" s="306" t="n">
        <f aca="false">23.5*(T33*1.9835-S34*1.9835)/E34</f>
        <v>9.07673000031268</v>
      </c>
    </row>
    <row r="35" customFormat="false" ht="11.1" hidden="false" customHeight="true" outlineLevel="0" collapsed="false">
      <c r="A35" s="13" t="n">
        <f aca="false">A34+1</f>
        <v>24</v>
      </c>
      <c r="B35" s="74" t="n">
        <v>6887.76</v>
      </c>
      <c r="C35" s="67" t="n">
        <v>240678</v>
      </c>
      <c r="D35" s="72" t="n">
        <f aca="false">C35-C34</f>
        <v>-659</v>
      </c>
      <c r="E35" s="67" t="n">
        <f aca="false">C35-152000</f>
        <v>88678</v>
      </c>
      <c r="F35" s="86" t="n">
        <f aca="false">D35/$D$2</f>
        <v>-332.240988152256</v>
      </c>
      <c r="G35" s="87" t="n">
        <v>229</v>
      </c>
      <c r="H35" s="342" t="n">
        <v>0</v>
      </c>
      <c r="I35" s="6" t="n">
        <f aca="false">G35+H35</f>
        <v>229</v>
      </c>
      <c r="J35" s="283" t="n">
        <f aca="false">IF(L35&gt;0,L35,0)</f>
        <v>0</v>
      </c>
      <c r="K35" s="6" t="n">
        <f aca="false">I35+J35</f>
        <v>229</v>
      </c>
      <c r="L35" s="6" t="n">
        <f aca="false">F35-(I35-X35)</f>
        <v>-28.2409881522561</v>
      </c>
      <c r="M35" s="90" t="n">
        <v>236</v>
      </c>
      <c r="N35" s="91" t="n">
        <v>0</v>
      </c>
      <c r="O35" s="339" t="n">
        <f aca="false">23.59*1.05</f>
        <v>24.7695</v>
      </c>
      <c r="P35" s="92" t="n">
        <f aca="false">M35-(N35+O35)</f>
        <v>211.2305</v>
      </c>
      <c r="Q35" s="87" t="n">
        <v>71</v>
      </c>
      <c r="R35" s="87" t="n">
        <v>71</v>
      </c>
      <c r="S35" s="6" t="n">
        <f aca="false">SUM(P35:R35)</f>
        <v>353.2305</v>
      </c>
      <c r="T35" s="114" t="n">
        <f aca="false">T34-(S35-8)-(AF35/1.9835)</f>
        <v>17050.1292079969</v>
      </c>
      <c r="U35" s="87" t="n">
        <v>115</v>
      </c>
      <c r="V35" s="284" t="n">
        <v>40</v>
      </c>
      <c r="W35" s="285" t="n">
        <f aca="false">W34-V35</f>
        <v>6554.49231157046</v>
      </c>
      <c r="X35" s="6" t="n">
        <f aca="false">N35+O35+S35+U35+V35</f>
        <v>533</v>
      </c>
      <c r="Y35" s="6" t="n">
        <f aca="false">IF(L35&lt;0,L35*-1,0)</f>
        <v>28.2409881522561</v>
      </c>
      <c r="Z35" s="6" t="n">
        <f aca="false">X35+Y35</f>
        <v>561.240988152256</v>
      </c>
      <c r="AA35" s="60" t="n">
        <v>0</v>
      </c>
      <c r="AB35" s="72" t="n">
        <v>77</v>
      </c>
      <c r="AC35" s="73" t="n">
        <v>54</v>
      </c>
      <c r="AD35" s="13" t="n">
        <v>0</v>
      </c>
      <c r="AE35" s="12" t="n">
        <v>0</v>
      </c>
      <c r="AF35" s="306" t="n">
        <f aca="false">23.5*(T34*1.9835-S35*1.9835)/E35</f>
        <v>8.96031207863621</v>
      </c>
    </row>
    <row r="36" customFormat="false" ht="11.1" hidden="false" customHeight="true" outlineLevel="0" collapsed="false">
      <c r="A36" s="13" t="n">
        <f aca="false">A35+1</f>
        <v>25</v>
      </c>
      <c r="B36" s="74" t="n">
        <v>6887.53</v>
      </c>
      <c r="C36" s="67" t="n">
        <v>239920</v>
      </c>
      <c r="D36" s="72" t="n">
        <f aca="false">C36-C35</f>
        <v>-758</v>
      </c>
      <c r="E36" s="67" t="n">
        <f aca="false">C36-152000</f>
        <v>87920</v>
      </c>
      <c r="F36" s="86" t="n">
        <f aca="false">D36/$D$2</f>
        <v>-382.152760272246</v>
      </c>
      <c r="G36" s="87" t="n">
        <v>209</v>
      </c>
      <c r="H36" s="342" t="n">
        <v>0</v>
      </c>
      <c r="I36" s="6" t="n">
        <f aca="false">G36+H36</f>
        <v>209</v>
      </c>
      <c r="J36" s="283" t="n">
        <f aca="false">IF(L36&gt;0,L36,0)</f>
        <v>0</v>
      </c>
      <c r="K36" s="6" t="n">
        <f aca="false">I36+J36</f>
        <v>209</v>
      </c>
      <c r="L36" s="6" t="n">
        <f aca="false">F36-(I36-X36)</f>
        <v>-38.152760272246</v>
      </c>
      <c r="M36" s="90" t="n">
        <v>238</v>
      </c>
      <c r="N36" s="91" t="n">
        <v>0</v>
      </c>
      <c r="O36" s="339" t="n">
        <f aca="false">26.08*1.05</f>
        <v>27.384</v>
      </c>
      <c r="P36" s="92" t="n">
        <f aca="false">M36-(N36+O36)</f>
        <v>210.616</v>
      </c>
      <c r="Q36" s="87" t="n">
        <v>71</v>
      </c>
      <c r="R36" s="87" t="n">
        <v>70</v>
      </c>
      <c r="S36" s="6" t="n">
        <f aca="false">SUM(P36:R36)</f>
        <v>351.616</v>
      </c>
      <c r="T36" s="114" t="n">
        <f aca="false">T35-(S36-8)-(AF36/1.9835)</f>
        <v>16702.0498883838</v>
      </c>
      <c r="U36" s="87" t="n">
        <v>135</v>
      </c>
      <c r="V36" s="284" t="n">
        <v>39</v>
      </c>
      <c r="W36" s="285" t="n">
        <f aca="false">W35-V36</f>
        <v>6515.49231157046</v>
      </c>
      <c r="X36" s="6" t="n">
        <f aca="false">N36+O36+S36+U36+V36</f>
        <v>553</v>
      </c>
      <c r="Y36" s="6" t="n">
        <f aca="false">IF(L36&lt;0,L36*-1,0)</f>
        <v>38.152760272246</v>
      </c>
      <c r="Z36" s="6" t="n">
        <f aca="false">X36+Y36</f>
        <v>591.152760272246</v>
      </c>
      <c r="AA36" s="60" t="n">
        <v>0</v>
      </c>
      <c r="AB36" s="72" t="n">
        <v>74</v>
      </c>
      <c r="AC36" s="73" t="n">
        <v>41</v>
      </c>
      <c r="AD36" s="13" t="n">
        <v>0</v>
      </c>
      <c r="AE36" s="12" t="n">
        <v>0</v>
      </c>
      <c r="AF36" s="306" t="n">
        <f aca="false">23.5*(T35*1.9835-S36*1.9835)/E36</f>
        <v>8.85299445267805</v>
      </c>
    </row>
    <row r="37" customFormat="false" ht="11.1" hidden="false" customHeight="true" outlineLevel="0" collapsed="false">
      <c r="A37" s="13" t="n">
        <f aca="false">A36+1</f>
        <v>26</v>
      </c>
      <c r="B37" s="74" t="n">
        <v>6887.14</v>
      </c>
      <c r="C37" s="67" t="n">
        <v>238997</v>
      </c>
      <c r="D37" s="72" t="n">
        <f aca="false">C37-C36</f>
        <v>-923</v>
      </c>
      <c r="E37" s="67" t="n">
        <f aca="false">C37-152000</f>
        <v>86997</v>
      </c>
      <c r="F37" s="86" t="n">
        <f aca="false">D37/$D$2</f>
        <v>-465.339047138896</v>
      </c>
      <c r="G37" s="87" t="n">
        <v>196</v>
      </c>
      <c r="H37" s="342" t="n">
        <v>0</v>
      </c>
      <c r="I37" s="6" t="n">
        <f aca="false">G37+H37</f>
        <v>196</v>
      </c>
      <c r="J37" s="283" t="n">
        <f aca="false">IF(L37&gt;0,L37,0)</f>
        <v>0</v>
      </c>
      <c r="K37" s="6" t="n">
        <f aca="false">I37+J37</f>
        <v>196</v>
      </c>
      <c r="L37" s="6" t="n">
        <f aca="false">F37-(I37-X37)</f>
        <v>-60.3390471388959</v>
      </c>
      <c r="M37" s="90" t="n">
        <v>243</v>
      </c>
      <c r="N37" s="91" t="n">
        <v>0</v>
      </c>
      <c r="O37" s="3" t="n">
        <f aca="false">24.4*1.05</f>
        <v>25.62</v>
      </c>
      <c r="P37" s="92" t="n">
        <f aca="false">M37-(N37+O37)</f>
        <v>217.38</v>
      </c>
      <c r="Q37" s="87" t="n">
        <v>70</v>
      </c>
      <c r="R37" s="87" t="n">
        <v>68</v>
      </c>
      <c r="S37" s="6" t="n">
        <f aca="false">SUM(P37:R37)</f>
        <v>355.38</v>
      </c>
      <c r="T37" s="114" t="n">
        <f aca="false">T36-(S37-8)-(AF37/1.9835)+AG37</f>
        <v>16356.1842563231</v>
      </c>
      <c r="U37" s="87" t="n">
        <v>182</v>
      </c>
      <c r="V37" s="284" t="n">
        <v>38</v>
      </c>
      <c r="W37" s="285" t="n">
        <f aca="false">W36-V37</f>
        <v>6477.49231157046</v>
      </c>
      <c r="X37" s="6" t="n">
        <f aca="false">N37+O37+S37+U37+V37</f>
        <v>601</v>
      </c>
      <c r="Y37" s="6" t="n">
        <f aca="false">IF(L37&lt;0,L37*-1,0)</f>
        <v>60.3390471388959</v>
      </c>
      <c r="Z37" s="6" t="n">
        <f aca="false">X37+Y37</f>
        <v>661.339047138896</v>
      </c>
      <c r="AA37" s="60" t="n">
        <v>0</v>
      </c>
      <c r="AB37" s="72" t="n">
        <v>78</v>
      </c>
      <c r="AC37" s="73" t="n">
        <v>43</v>
      </c>
      <c r="AD37" s="13" t="n">
        <v>0</v>
      </c>
      <c r="AE37" s="12" t="n">
        <v>0</v>
      </c>
      <c r="AF37" s="306" t="n">
        <f aca="false">23.5*(T36*1.9835-S37*1.9835)/E37</f>
        <v>8.7584061922229</v>
      </c>
      <c r="AG37" s="10" t="n">
        <v>5.93</v>
      </c>
    </row>
    <row r="38" customFormat="false" ht="11.1" hidden="false" customHeight="true" outlineLevel="0" collapsed="false">
      <c r="A38" s="13" t="n">
        <f aca="false">A37+1</f>
        <v>27</v>
      </c>
      <c r="B38" s="74" t="n">
        <v>6886.97</v>
      </c>
      <c r="C38" s="67" t="n">
        <v>238075</v>
      </c>
      <c r="D38" s="72" t="n">
        <f aca="false">C38-C37</f>
        <v>-922</v>
      </c>
      <c r="E38" s="67" t="n">
        <f aca="false">C38-152000</f>
        <v>86075</v>
      </c>
      <c r="F38" s="86" t="n">
        <f aca="false">D38/$D$2</f>
        <v>-464.834887824553</v>
      </c>
      <c r="G38" s="87" t="n">
        <v>193</v>
      </c>
      <c r="H38" s="342" t="n">
        <v>0</v>
      </c>
      <c r="I38" s="6" t="n">
        <f aca="false">G38+H38</f>
        <v>193</v>
      </c>
      <c r="J38" s="283" t="n">
        <f aca="false">IF(L38&gt;0,L38,0)</f>
        <v>0</v>
      </c>
      <c r="K38" s="6" t="n">
        <f aca="false">I38+J38</f>
        <v>193</v>
      </c>
      <c r="L38" s="6" t="n">
        <f aca="false">F38-(I38-X38)</f>
        <v>-54.8348878245525</v>
      </c>
      <c r="M38" s="90" t="n">
        <v>239</v>
      </c>
      <c r="N38" s="91" t="n">
        <v>0</v>
      </c>
      <c r="O38" s="339" t="n">
        <f aca="false">24.4*1.05</f>
        <v>25.62</v>
      </c>
      <c r="P38" s="92" t="n">
        <f aca="false">M38-(N38+O38)</f>
        <v>213.38</v>
      </c>
      <c r="Q38" s="87" t="n">
        <v>51</v>
      </c>
      <c r="R38" s="87" t="n">
        <v>71</v>
      </c>
      <c r="S38" s="6" t="n">
        <f aca="false">SUM(P38:R38)</f>
        <v>335.38</v>
      </c>
      <c r="T38" s="114" t="n">
        <f aca="false">T37-(S38-8)-(AF38/1.9835)+AG38</f>
        <v>16039.4302929189</v>
      </c>
      <c r="U38" s="87" t="n">
        <v>203</v>
      </c>
      <c r="V38" s="284" t="n">
        <v>39</v>
      </c>
      <c r="W38" s="285" t="n">
        <f aca="false">W37-V38</f>
        <v>6438.49231157046</v>
      </c>
      <c r="X38" s="6" t="n">
        <f aca="false">N38+O38+S38+U38+V38</f>
        <v>603</v>
      </c>
      <c r="Y38" s="6" t="n">
        <f aca="false">IF(L38&lt;0,L38*-1,0)</f>
        <v>54.8348878245525</v>
      </c>
      <c r="Z38" s="6" t="n">
        <f aca="false">X38+Y38</f>
        <v>657.834887824553</v>
      </c>
      <c r="AA38" s="60" t="n">
        <v>0</v>
      </c>
      <c r="AB38" s="72" t="n">
        <v>84</v>
      </c>
      <c r="AC38" s="73" t="n">
        <v>48</v>
      </c>
      <c r="AD38" s="13" t="n">
        <v>0</v>
      </c>
      <c r="AE38" s="12" t="n">
        <v>0</v>
      </c>
      <c r="AF38" s="306" t="n">
        <f aca="false">23.5*(T37*1.9835-S38*1.9835)/E38</f>
        <v>8.67575641239383</v>
      </c>
      <c r="AG38" s="10" t="n">
        <v>15</v>
      </c>
    </row>
    <row r="39" customFormat="false" ht="11.1" hidden="false" customHeight="true" outlineLevel="0" collapsed="false">
      <c r="A39" s="13" t="n">
        <f aca="false">A38+1</f>
        <v>28</v>
      </c>
      <c r="B39" s="74" t="n">
        <v>6886.71</v>
      </c>
      <c r="C39" s="67" t="n">
        <v>237227</v>
      </c>
      <c r="D39" s="72" t="n">
        <f aca="false">C39-C38</f>
        <v>-848</v>
      </c>
      <c r="E39" s="67" t="n">
        <f aca="false">C39-152000</f>
        <v>85227</v>
      </c>
      <c r="F39" s="86" t="n">
        <f aca="false">D39/$D$2</f>
        <v>-427.527098563146</v>
      </c>
      <c r="G39" s="87" t="n">
        <v>185</v>
      </c>
      <c r="H39" s="342" t="n">
        <v>0</v>
      </c>
      <c r="I39" s="6" t="n">
        <f aca="false">G39+H39</f>
        <v>185</v>
      </c>
      <c r="J39" s="283" t="n">
        <f aca="false">IF(L39&gt;0,L39,0)</f>
        <v>0</v>
      </c>
      <c r="K39" s="6" t="n">
        <f aca="false">I39+J39</f>
        <v>185</v>
      </c>
      <c r="L39" s="6" t="n">
        <f aca="false">F39-(I39-X39)</f>
        <v>-35.527098563146</v>
      </c>
      <c r="M39" s="90" t="n">
        <v>224</v>
      </c>
      <c r="N39" s="91" t="n">
        <v>0</v>
      </c>
      <c r="O39" s="339" t="n">
        <f aca="false">27.12*1.05</f>
        <v>28.476</v>
      </c>
      <c r="P39" s="92" t="n">
        <f aca="false">M39-(N39+O39)</f>
        <v>195.524</v>
      </c>
      <c r="Q39" s="87" t="n">
        <v>43</v>
      </c>
      <c r="R39" s="87" t="n">
        <v>72</v>
      </c>
      <c r="S39" s="6" t="n">
        <f aca="false">SUM(P39:R39)</f>
        <v>310.524</v>
      </c>
      <c r="T39" s="114" t="n">
        <f aca="false">T38-(S39-8)-(AF39/1.9835)+AG39</f>
        <v>15747.5692952786</v>
      </c>
      <c r="U39" s="87" t="n">
        <v>199</v>
      </c>
      <c r="V39" s="284" t="n">
        <v>39</v>
      </c>
      <c r="W39" s="285" t="n">
        <f aca="false">W38-V39</f>
        <v>6399.49231157046</v>
      </c>
      <c r="X39" s="6" t="n">
        <f aca="false">N39+O39+S39+U39+V39</f>
        <v>577</v>
      </c>
      <c r="Y39" s="6" t="n">
        <f aca="false">IF(L39&lt;0,L39*-1,0)</f>
        <v>35.527098563146</v>
      </c>
      <c r="Z39" s="6" t="n">
        <f aca="false">X39+Y39</f>
        <v>612.527098563146</v>
      </c>
      <c r="AA39" s="60" t="n">
        <v>0</v>
      </c>
      <c r="AB39" s="72" t="n">
        <v>87</v>
      </c>
      <c r="AC39" s="73" t="n">
        <v>50</v>
      </c>
      <c r="AD39" s="13" t="n">
        <v>0</v>
      </c>
      <c r="AE39" s="12" t="n">
        <v>0</v>
      </c>
      <c r="AF39" s="306" t="n">
        <f aca="false">23.5*(T38*1.9835-S39*1.9835)/E39</f>
        <v>8.60243481938948</v>
      </c>
      <c r="AG39" s="10" t="n">
        <v>15</v>
      </c>
    </row>
    <row r="40" customFormat="false" ht="11.1" hidden="false" customHeight="true" outlineLevel="0" collapsed="false">
      <c r="A40" s="13" t="n">
        <f aca="false">A39+1</f>
        <v>29</v>
      </c>
      <c r="B40" s="74" t="n">
        <v>6886.46</v>
      </c>
      <c r="C40" s="67" t="n">
        <v>236412</v>
      </c>
      <c r="D40" s="72" t="n">
        <f aca="false">C40-C39</f>
        <v>-815</v>
      </c>
      <c r="E40" s="67" t="n">
        <f aca="false">C40-152000</f>
        <v>84412</v>
      </c>
      <c r="F40" s="86" t="n">
        <f aca="false">D40/$D$2</f>
        <v>-410.889841189816</v>
      </c>
      <c r="G40" s="87" t="n">
        <v>176</v>
      </c>
      <c r="H40" s="342" t="n">
        <v>0</v>
      </c>
      <c r="I40" s="6" t="n">
        <f aca="false">G40+H40</f>
        <v>176</v>
      </c>
      <c r="J40" s="283" t="n">
        <f aca="false">IF(L40&gt;0,L40,0)</f>
        <v>0</v>
      </c>
      <c r="K40" s="6" t="n">
        <f aca="false">I40+J40</f>
        <v>176</v>
      </c>
      <c r="L40" s="6" t="n">
        <f aca="false">F40-(I40-X40)</f>
        <v>-65.889841189816</v>
      </c>
      <c r="M40" s="90" t="n">
        <v>199</v>
      </c>
      <c r="N40" s="91" t="n">
        <v>0</v>
      </c>
      <c r="O40" s="339" t="n">
        <f aca="false">28.88*1.05</f>
        <v>30.324</v>
      </c>
      <c r="P40" s="92" t="n">
        <f aca="false">M40-(N40+O40)</f>
        <v>168.676</v>
      </c>
      <c r="Q40" s="87" t="n">
        <v>43</v>
      </c>
      <c r="R40" s="87" t="n">
        <v>73</v>
      </c>
      <c r="S40" s="6" t="n">
        <f aca="false">SUM(P40:R40)</f>
        <v>284.676</v>
      </c>
      <c r="T40" s="114" t="n">
        <f aca="false">T39-(S40-8)-(AF40/1.9835)+AG40</f>
        <v>15481.5884808869</v>
      </c>
      <c r="U40" s="87" t="n">
        <v>167</v>
      </c>
      <c r="V40" s="284" t="n">
        <v>39</v>
      </c>
      <c r="W40" s="285" t="n">
        <f aca="false">W39-V40</f>
        <v>6360.49231157046</v>
      </c>
      <c r="X40" s="6" t="n">
        <f aca="false">N40+O40+S40+U40+V40</f>
        <v>521</v>
      </c>
      <c r="Y40" s="6" t="n">
        <f aca="false">IF(L40&lt;0,L40*-1,0)</f>
        <v>65.889841189816</v>
      </c>
      <c r="Z40" s="6" t="n">
        <f aca="false">X40+Y40</f>
        <v>586.889841189816</v>
      </c>
      <c r="AA40" s="60" t="n">
        <v>0</v>
      </c>
      <c r="AB40" s="72" t="n">
        <v>88</v>
      </c>
      <c r="AC40" s="73" t="n">
        <v>53</v>
      </c>
      <c r="AD40" s="13" t="n">
        <v>0</v>
      </c>
      <c r="AE40" s="12" t="n">
        <v>0</v>
      </c>
      <c r="AF40" s="306" t="n">
        <f aca="false">23.5*(T39*1.9835-S40*1.9835)/E40</f>
        <v>8.53859934609833</v>
      </c>
      <c r="AG40" s="10" t="n">
        <v>15</v>
      </c>
    </row>
    <row r="41" customFormat="false" ht="11.1" hidden="false" customHeight="true" outlineLevel="0" collapsed="false">
      <c r="A41" s="13" t="n">
        <v>30</v>
      </c>
      <c r="B41" s="74" t="n">
        <v>6886.26</v>
      </c>
      <c r="C41" s="67" t="n">
        <v>235760</v>
      </c>
      <c r="D41" s="72" t="n">
        <f aca="false">C41-C40</f>
        <v>-652</v>
      </c>
      <c r="E41" s="67" t="n">
        <f aca="false">C41-152000</f>
        <v>83760</v>
      </c>
      <c r="F41" s="86" t="n">
        <f aca="false">D41/$D$2</f>
        <v>-328.711872951853</v>
      </c>
      <c r="G41" s="87" t="n">
        <v>171</v>
      </c>
      <c r="H41" s="342" t="n">
        <v>0</v>
      </c>
      <c r="I41" s="6" t="n">
        <f aca="false">G41+H41</f>
        <v>171</v>
      </c>
      <c r="J41" s="283" t="n">
        <f aca="false">IF(L41&gt;0,L41,0)</f>
        <v>33.2881270481472</v>
      </c>
      <c r="K41" s="6" t="n">
        <f aca="false">I41+J41</f>
        <v>204.288127048147</v>
      </c>
      <c r="L41" s="6" t="n">
        <f aca="false">F41-(I41-X41)</f>
        <v>33.2881270481472</v>
      </c>
      <c r="M41" s="90" t="n">
        <v>189</v>
      </c>
      <c r="N41" s="91" t="n">
        <v>6.05</v>
      </c>
      <c r="O41" s="339" t="n">
        <f aca="false">23.4*1.05</f>
        <v>24.57</v>
      </c>
      <c r="P41" s="92" t="n">
        <f aca="false">M41-(N41+O41)</f>
        <v>158.38</v>
      </c>
      <c r="Q41" s="87" t="n">
        <v>43</v>
      </c>
      <c r="R41" s="87" t="n">
        <v>72</v>
      </c>
      <c r="S41" s="6" t="n">
        <f aca="false">SUM(P41:R41)</f>
        <v>273.38</v>
      </c>
      <c r="T41" s="114" t="n">
        <f aca="false">T40-(S41-8)-(AF41/1.9835)+AG41</f>
        <v>15226.9416124616</v>
      </c>
      <c r="U41" s="87" t="n">
        <v>190</v>
      </c>
      <c r="V41" s="284" t="n">
        <v>39</v>
      </c>
      <c r="W41" s="285" t="n">
        <f aca="false">W40-V41</f>
        <v>6321.49231157046</v>
      </c>
      <c r="X41" s="6" t="n">
        <f aca="false">N41+O41+S41+U41+V41</f>
        <v>533</v>
      </c>
      <c r="Y41" s="6" t="n">
        <f aca="false">IF(L41&lt;0,L41*-1,0)</f>
        <v>0</v>
      </c>
      <c r="Z41" s="6" t="n">
        <f aca="false">X41+Y41</f>
        <v>533</v>
      </c>
      <c r="AA41" s="60" t="n">
        <v>0</v>
      </c>
      <c r="AB41" s="72" t="n">
        <v>88</v>
      </c>
      <c r="AC41" s="73" t="n">
        <v>56</v>
      </c>
      <c r="AD41" s="13" t="n">
        <v>0</v>
      </c>
      <c r="AE41" s="12" t="n">
        <v>0</v>
      </c>
      <c r="AF41" s="306" t="n">
        <f aca="false">23.5*(T40*1.9835-S41*1.9835)/E41</f>
        <v>8.4633335215284</v>
      </c>
      <c r="AG41" s="10" t="n">
        <v>15</v>
      </c>
    </row>
    <row r="42" customFormat="false" ht="3" hidden="false" customHeight="true" outlineLevel="0" collapsed="false">
      <c r="A42" s="75"/>
      <c r="B42" s="96"/>
      <c r="C42" s="77"/>
      <c r="D42" s="75"/>
      <c r="E42" s="77"/>
      <c r="F42" s="78"/>
      <c r="G42" s="75"/>
      <c r="H42" s="280" t="n">
        <v>0.29</v>
      </c>
      <c r="I42" s="75"/>
      <c r="J42" s="75"/>
      <c r="K42" s="75"/>
      <c r="L42" s="75"/>
      <c r="M42" s="80"/>
      <c r="N42" s="75"/>
      <c r="O42" s="280"/>
      <c r="P42" s="81"/>
      <c r="Q42" s="75"/>
      <c r="R42" s="75"/>
      <c r="S42" s="75"/>
      <c r="T42" s="77"/>
      <c r="U42" s="75"/>
      <c r="V42" s="75"/>
      <c r="W42" s="75"/>
      <c r="X42" s="75"/>
      <c r="Y42" s="75"/>
      <c r="Z42" s="75"/>
      <c r="AA42" s="82"/>
      <c r="AB42" s="83"/>
      <c r="AC42" s="84"/>
      <c r="AD42" s="85"/>
      <c r="AE42" s="85"/>
      <c r="AF42" s="309"/>
      <c r="AG42" s="309"/>
    </row>
    <row r="43" customFormat="false" ht="11.1" hidden="false" customHeight="true" outlineLevel="0" collapsed="false">
      <c r="A43" s="6" t="s">
        <v>54</v>
      </c>
      <c r="B43" s="66"/>
      <c r="C43" s="67"/>
      <c r="D43" s="67"/>
      <c r="E43" s="67"/>
      <c r="F43" s="68" t="n">
        <f aca="false">SUM(F12:F41)</f>
        <v>-3600.70582304008</v>
      </c>
      <c r="G43" s="7" t="n">
        <f aca="false">SUM(G12:G41)</f>
        <v>15817</v>
      </c>
      <c r="H43" s="89" t="n">
        <f aca="false">SUM(H12:H41)</f>
        <v>2.19</v>
      </c>
      <c r="I43" s="7" t="n">
        <f aca="false">SUM(I12:I41)</f>
        <v>15819.19</v>
      </c>
      <c r="J43" s="7" t="n">
        <f aca="false">SUM(J12:J41)</f>
        <v>397.142717418704</v>
      </c>
      <c r="K43" s="7" t="n">
        <f aca="false">SUM(K12:K41)</f>
        <v>16216.3327174187</v>
      </c>
      <c r="L43" s="7" t="n">
        <f aca="false">SUM(L12:L41)</f>
        <v>-1297.89582304008</v>
      </c>
      <c r="M43" s="69" t="n">
        <f aca="false">SUM(M12:M41)</f>
        <v>7302</v>
      </c>
      <c r="N43" s="67" t="n">
        <f aca="false">SUM(N12:N41)</f>
        <v>11.6</v>
      </c>
      <c r="O43" s="339" t="n">
        <f aca="false">SUM(O12:O41)</f>
        <v>1347.0555</v>
      </c>
      <c r="P43" s="70" t="n">
        <f aca="false">SUM(P12:P41)</f>
        <v>5943.3445</v>
      </c>
      <c r="Q43" s="7" t="n">
        <f aca="false">SUM(Q12:Q41)</f>
        <v>3427</v>
      </c>
      <c r="R43" s="7" t="n">
        <f aca="false">SUM(R12:R41)</f>
        <v>2229</v>
      </c>
      <c r="S43" s="7" t="n">
        <f aca="false">SUM(S12:S41)</f>
        <v>11599.3445</v>
      </c>
      <c r="T43" s="7"/>
      <c r="U43" s="7" t="n">
        <f aca="false">SUM(U12:U41)</f>
        <v>4351</v>
      </c>
      <c r="V43" s="7" t="n">
        <f aca="false">SUM(V12:V41)</f>
        <v>813</v>
      </c>
      <c r="W43" s="7"/>
      <c r="X43" s="7" t="n">
        <f aca="false">SUM(X12:X41)</f>
        <v>18122</v>
      </c>
      <c r="Y43" s="7" t="n">
        <f aca="false">SUM(Y12:Y41)</f>
        <v>1695.03854045878</v>
      </c>
      <c r="Z43" s="7" t="n">
        <f aca="false">SUM(Z12:Z41)</f>
        <v>19817.0385404588</v>
      </c>
      <c r="AA43" s="60" t="n">
        <f aca="false">SUM(AA12:AA41)</f>
        <v>0.1</v>
      </c>
      <c r="AB43" s="72" t="n">
        <f aca="false">AVERAGE(AB12:AB41)</f>
        <v>80.2333333333333</v>
      </c>
      <c r="AC43" s="73" t="n">
        <f aca="false">AVERAGE(AC12:AC41)</f>
        <v>48.5</v>
      </c>
      <c r="AD43" s="13" t="s">
        <v>84</v>
      </c>
      <c r="AE43" s="327"/>
      <c r="AF43" s="306" t="n">
        <f aca="false">SUM(AF12:AF41)</f>
        <v>303.892344956798</v>
      </c>
    </row>
    <row r="44" customFormat="false" ht="11.1" hidden="false" customHeight="true" outlineLevel="0" collapsed="false">
      <c r="A44" s="6" t="s">
        <v>56</v>
      </c>
      <c r="B44" s="66"/>
      <c r="C44" s="67"/>
      <c r="D44" s="67" t="n">
        <f aca="false">SUM(D12:D41)</f>
        <v>-7142</v>
      </c>
      <c r="E44" s="67"/>
      <c r="F44" s="68" t="n">
        <f aca="false">F43*$D$2</f>
        <v>-7142</v>
      </c>
      <c r="G44" s="7" t="n">
        <f aca="false">G43*$D$2</f>
        <v>31373.0195</v>
      </c>
      <c r="H44" s="89" t="n">
        <f aca="false">H43*$D$2</f>
        <v>4.343865</v>
      </c>
      <c r="I44" s="7" t="n">
        <f aca="false">I43*$D$2</f>
        <v>31377.363365</v>
      </c>
      <c r="J44" s="7" t="n">
        <f aca="false">J43*$D$2</f>
        <v>787.73258</v>
      </c>
      <c r="K44" s="7" t="n">
        <f aca="false">K43*$D$2</f>
        <v>32165.095945</v>
      </c>
      <c r="L44" s="7" t="n">
        <f aca="false">L43*$D$2</f>
        <v>-2574.376365</v>
      </c>
      <c r="M44" s="69" t="n">
        <f aca="false">M43*$D$2</f>
        <v>14483.517</v>
      </c>
      <c r="N44" s="67" t="n">
        <f aca="false">N43*$D$2</f>
        <v>23.0086</v>
      </c>
      <c r="O44" s="339" t="n">
        <f aca="false">O43*$D$2</f>
        <v>2671.88458425</v>
      </c>
      <c r="P44" s="70" t="n">
        <f aca="false">P43*$D$2</f>
        <v>11788.62381575</v>
      </c>
      <c r="Q44" s="7" t="n">
        <f aca="false">Q43*$D$2</f>
        <v>6797.4545</v>
      </c>
      <c r="R44" s="7" t="n">
        <f aca="false">R43*$D$2</f>
        <v>4421.2215</v>
      </c>
      <c r="S44" s="7" t="n">
        <f aca="false">S43*$D$2</f>
        <v>23007.29981575</v>
      </c>
      <c r="T44" s="7"/>
      <c r="U44" s="7" t="n">
        <f aca="false">U43*$D$2</f>
        <v>8630.2085</v>
      </c>
      <c r="V44" s="7" t="n">
        <f aca="false">V43*$D$2</f>
        <v>1612.5855</v>
      </c>
      <c r="W44" s="7"/>
      <c r="X44" s="7" t="n">
        <f aca="false">X43*$D$2</f>
        <v>35944.987</v>
      </c>
      <c r="Y44" s="7" t="n">
        <f aca="false">Y43*$D$2</f>
        <v>3362.108945</v>
      </c>
      <c r="Z44" s="7" t="n">
        <f aca="false">Z43*$D$2</f>
        <v>39307.095945</v>
      </c>
      <c r="AA44" s="60"/>
      <c r="AB44" s="72" t="n">
        <f aca="false">MAX(AB12:AB41)</f>
        <v>88</v>
      </c>
      <c r="AC44" s="73" t="n">
        <f aca="false">MAX(AC12:AC41)</f>
        <v>56</v>
      </c>
      <c r="AD44" s="13" t="s">
        <v>57</v>
      </c>
      <c r="AE44" s="327"/>
      <c r="AF44" s="306" t="n">
        <f aca="false">AF43*$D$2</f>
        <v>602.770466221809</v>
      </c>
    </row>
    <row r="45" customFormat="false" ht="3" hidden="false" customHeight="true" outlineLevel="0" collapsed="false">
      <c r="A45" s="75"/>
      <c r="B45" s="96"/>
      <c r="C45" s="77"/>
      <c r="D45" s="77"/>
      <c r="E45" s="77"/>
      <c r="F45" s="97"/>
      <c r="G45" s="77"/>
      <c r="H45" s="280"/>
      <c r="I45" s="77"/>
      <c r="J45" s="77"/>
      <c r="K45" s="77"/>
      <c r="L45" s="77"/>
      <c r="M45" s="98"/>
      <c r="N45" s="77"/>
      <c r="O45" s="280"/>
      <c r="P45" s="99"/>
      <c r="Q45" s="77"/>
      <c r="R45" s="77"/>
      <c r="S45" s="77"/>
      <c r="T45" s="77"/>
      <c r="U45" s="77"/>
      <c r="V45" s="77"/>
      <c r="W45" s="75"/>
      <c r="X45" s="77"/>
      <c r="Y45" s="77"/>
      <c r="Z45" s="77"/>
      <c r="AA45" s="288"/>
      <c r="AB45" s="77"/>
      <c r="AC45" s="97"/>
      <c r="AD45" s="77"/>
      <c r="AE45" s="77"/>
      <c r="AF45" s="309"/>
      <c r="AG45" s="309"/>
    </row>
    <row r="46" customFormat="false" ht="11.1" hidden="false" customHeight="true" outlineLevel="0" collapsed="false">
      <c r="A46" s="6" t="s">
        <v>58</v>
      </c>
      <c r="B46" s="66"/>
      <c r="C46" s="67"/>
      <c r="D46" s="67"/>
      <c r="E46" s="67"/>
      <c r="F46" s="68" t="n">
        <f aca="false">F9+F43</f>
        <v>31648.6009579027</v>
      </c>
      <c r="G46" s="7" t="n">
        <f aca="false">G9+G43</f>
        <v>66388</v>
      </c>
      <c r="H46" s="89" t="n">
        <f aca="false">H9+H43</f>
        <v>1041.43</v>
      </c>
      <c r="I46" s="7" t="n">
        <f aca="false">I9+I43</f>
        <v>67429.43</v>
      </c>
      <c r="J46" s="7" t="n">
        <f aca="false">J9+J43</f>
        <v>5504.1187471641</v>
      </c>
      <c r="K46" s="7" t="n">
        <f aca="false">K9+K43</f>
        <v>72933.5487471641</v>
      </c>
      <c r="L46" s="7" t="n">
        <f aca="false">L9+L43</f>
        <v>2989.8009579027</v>
      </c>
      <c r="M46" s="69" t="n">
        <f aca="false">M9+M43</f>
        <v>15029.38</v>
      </c>
      <c r="N46" s="67" t="n">
        <f aca="false">N9+N43</f>
        <v>20.15</v>
      </c>
      <c r="O46" s="339" t="n">
        <f aca="false">O9+O43</f>
        <v>2870.233025</v>
      </c>
      <c r="P46" s="70" t="n">
        <f aca="false">P9+P43</f>
        <v>12138.644475</v>
      </c>
      <c r="Q46" s="7" t="n">
        <f aca="false">Q9+Q43</f>
        <v>12419.8</v>
      </c>
      <c r="R46" s="7" t="n">
        <f aca="false">R9+R43</f>
        <v>3770.8</v>
      </c>
      <c r="S46" s="7" t="n">
        <f aca="false">S9+S43</f>
        <v>28261.244475</v>
      </c>
      <c r="T46" s="344" t="n">
        <f aca="false">T41</f>
        <v>15226.9416124616</v>
      </c>
      <c r="U46" s="7" t="n">
        <f aca="false">U9+U43</f>
        <v>5700.63</v>
      </c>
      <c r="V46" s="7" t="n">
        <f aca="false">V9+V43</f>
        <v>1920</v>
      </c>
      <c r="W46" s="344" t="n">
        <f aca="false">W41</f>
        <v>6321.49231157046</v>
      </c>
      <c r="X46" s="7" t="n">
        <f aca="false">X9+X43</f>
        <v>38770.63</v>
      </c>
      <c r="Y46" s="7" t="n">
        <f aca="false">Y9+Y43</f>
        <v>2514.31778926141</v>
      </c>
      <c r="Z46" s="7" t="n">
        <f aca="false">Z9+Z43</f>
        <v>41284.9477892614</v>
      </c>
      <c r="AA46" s="60"/>
      <c r="AB46" s="72" t="n">
        <f aca="false">MIN(AB12:AB41)</f>
        <v>74</v>
      </c>
      <c r="AC46" s="73" t="n">
        <f aca="false">MIN(AC12:AC41)</f>
        <v>41</v>
      </c>
      <c r="AD46" s="13" t="s">
        <v>59</v>
      </c>
      <c r="AE46" s="327"/>
      <c r="AF46" s="306" t="n">
        <f aca="false">AF9+AF43</f>
        <v>812.806131019988</v>
      </c>
      <c r="AG46" s="252" t="n">
        <f aca="false">SUM(AG12:AG41)</f>
        <v>65.93</v>
      </c>
    </row>
    <row r="47" customFormat="false" ht="11.1" hidden="false" customHeight="true" outlineLevel="0" collapsed="false">
      <c r="A47" s="6" t="s">
        <v>60</v>
      </c>
      <c r="B47" s="66"/>
      <c r="C47" s="67"/>
      <c r="D47" s="67"/>
      <c r="E47" s="67"/>
      <c r="F47" s="68" t="n">
        <f aca="false">F46*$D$2</f>
        <v>62775</v>
      </c>
      <c r="G47" s="7" t="n">
        <f aca="false">G46*$D$2</f>
        <v>131680.598</v>
      </c>
      <c r="H47" s="89" t="n">
        <f aca="false">H46*$D$2</f>
        <v>2065.676405</v>
      </c>
      <c r="I47" s="7" t="n">
        <f aca="false">I46*$D$2</f>
        <v>133746.274405</v>
      </c>
      <c r="J47" s="7" t="n">
        <f aca="false">J46*$D$2</f>
        <v>10917.419535</v>
      </c>
      <c r="K47" s="7" t="n">
        <f aca="false">K46*$D$2</f>
        <v>144663.69394</v>
      </c>
      <c r="L47" s="7" t="n">
        <f aca="false">L46*$D$2</f>
        <v>5930.2702</v>
      </c>
      <c r="M47" s="69" t="n">
        <f aca="false">M46*$D$2</f>
        <v>29810.77523</v>
      </c>
      <c r="N47" s="67" t="n">
        <f aca="false">N46*$D$2</f>
        <v>39.967525</v>
      </c>
      <c r="O47" s="339" t="n">
        <f aca="false">O46*$D$2</f>
        <v>5693.1072050875</v>
      </c>
      <c r="P47" s="70" t="n">
        <f aca="false">P46*$D$2</f>
        <v>24077.0013161625</v>
      </c>
      <c r="Q47" s="7" t="n">
        <f aca="false">Q46*$D$2</f>
        <v>24634.6733</v>
      </c>
      <c r="R47" s="7" t="n">
        <f aca="false">R46*$D$2</f>
        <v>7479.3818</v>
      </c>
      <c r="S47" s="7" t="n">
        <f aca="false">S46*$D$2</f>
        <v>56056.1784161625</v>
      </c>
      <c r="T47" s="7" t="n">
        <f aca="false">T46*$D$2</f>
        <v>30202.6386883176</v>
      </c>
      <c r="U47" s="7" t="n">
        <f aca="false">U46*$D$2</f>
        <v>11307.199605</v>
      </c>
      <c r="V47" s="7" t="n">
        <f aca="false">V46*$D$2</f>
        <v>3808.32</v>
      </c>
      <c r="W47" s="7" t="n">
        <f aca="false">W46*$D$2</f>
        <v>12538.68</v>
      </c>
      <c r="X47" s="7" t="n">
        <f aca="false">X46*$D$2</f>
        <v>76901.544605</v>
      </c>
      <c r="Y47" s="7" t="n">
        <f aca="false">Y46*$D$2</f>
        <v>4987.149335</v>
      </c>
      <c r="Z47" s="7" t="n">
        <f aca="false">Z46*$D$2</f>
        <v>81888.69394</v>
      </c>
      <c r="AA47" s="60"/>
      <c r="AB47" s="72"/>
      <c r="AC47" s="73"/>
      <c r="AD47" s="13"/>
      <c r="AE47" s="327"/>
      <c r="AF47" s="306" t="n">
        <f aca="false">AF46*$D$2</f>
        <v>1612.20096087815</v>
      </c>
      <c r="AG47" s="252" t="n">
        <f aca="false">AG46*$D$2</f>
        <v>130.772155</v>
      </c>
    </row>
    <row r="48" customFormat="false" ht="3" hidden="false" customHeight="true" outlineLevel="0" collapsed="false">
      <c r="A48" s="75"/>
      <c r="B48" s="96"/>
      <c r="C48" s="77"/>
      <c r="D48" s="77"/>
      <c r="E48" s="77"/>
      <c r="F48" s="97"/>
      <c r="G48" s="77"/>
      <c r="H48" s="280"/>
      <c r="I48" s="77"/>
      <c r="J48" s="77"/>
      <c r="K48" s="77"/>
      <c r="L48" s="77"/>
      <c r="M48" s="98"/>
      <c r="N48" s="77"/>
      <c r="O48" s="280"/>
      <c r="P48" s="99"/>
      <c r="Q48" s="77"/>
      <c r="R48" s="77"/>
      <c r="S48" s="77"/>
      <c r="T48" s="77"/>
      <c r="U48" s="77"/>
      <c r="V48" s="77"/>
      <c r="W48" s="77"/>
      <c r="X48" s="77"/>
      <c r="Y48" s="77"/>
      <c r="Z48" s="77"/>
      <c r="AA48" s="82"/>
      <c r="AB48" s="291"/>
      <c r="AC48" s="292"/>
      <c r="AD48" s="291"/>
      <c r="AE48" s="291"/>
      <c r="AF48" s="309"/>
      <c r="AG48" s="309"/>
    </row>
    <row r="49" customFormat="false" ht="11.1" hidden="false" customHeight="true" outlineLevel="0" collapsed="false">
      <c r="A49" s="6" t="s">
        <v>61</v>
      </c>
      <c r="B49" s="66"/>
      <c r="C49" s="67"/>
      <c r="D49" s="67"/>
      <c r="E49" s="67"/>
      <c r="F49" s="68" t="n">
        <f aca="false">F10+F43</f>
        <v>39925.8885807915</v>
      </c>
      <c r="G49" s="7" t="n">
        <f aca="false">G10+G43</f>
        <v>73942</v>
      </c>
      <c r="H49" s="89" t="n">
        <f aca="false">H10+H43</f>
        <v>1324.17</v>
      </c>
      <c r="I49" s="7" t="n">
        <f aca="false">I10+I43</f>
        <v>75266.17</v>
      </c>
      <c r="J49" s="7" t="n">
        <f aca="false">J10+J43</f>
        <v>9982.87251827578</v>
      </c>
      <c r="K49" s="7" t="n">
        <f aca="false">K10+K43</f>
        <v>85249.0425182758</v>
      </c>
      <c r="L49" s="7" t="n">
        <f aca="false">L10+L43</f>
        <v>6834.03858079153</v>
      </c>
      <c r="M49" s="69" t="n">
        <f aca="false">M10+M43</f>
        <v>15986.2</v>
      </c>
      <c r="N49" s="67" t="n">
        <f aca="false">N10+N43</f>
        <v>20.15</v>
      </c>
      <c r="O49" s="339" t="n">
        <f aca="false">O10+O43</f>
        <v>2870.233025</v>
      </c>
      <c r="P49" s="70" t="n">
        <f aca="false">P10+P43</f>
        <v>13095.816975</v>
      </c>
      <c r="Q49" s="7" t="n">
        <f aca="false">Q10+Q43</f>
        <v>12481.8</v>
      </c>
      <c r="R49" s="7" t="n">
        <f aca="false">R10+R43</f>
        <v>3821.8</v>
      </c>
      <c r="S49" s="7" t="n">
        <f aca="false">S10+S43</f>
        <v>29399.416975</v>
      </c>
      <c r="T49" s="7"/>
      <c r="U49" s="7" t="n">
        <f aca="false">U10+U43</f>
        <v>5700.63</v>
      </c>
      <c r="V49" s="7" t="n">
        <f aca="false">V10+V43</f>
        <v>4183.89</v>
      </c>
      <c r="X49" s="7" t="n">
        <f aca="false">X10+X43</f>
        <v>42174.32</v>
      </c>
      <c r="Y49" s="7" t="n">
        <f aca="false">Y10+Y43</f>
        <v>3148.83393748424</v>
      </c>
      <c r="Z49" s="7" t="n">
        <f aca="false">Z10+Z43</f>
        <v>45323.1539374842</v>
      </c>
      <c r="AA49" s="60" t="n">
        <f aca="false">AA10+AA43</f>
        <v>8.08</v>
      </c>
      <c r="AB49" s="72"/>
      <c r="AC49" s="73"/>
      <c r="AD49" s="13"/>
      <c r="AE49" s="327"/>
      <c r="AF49" s="306" t="n">
        <f aca="false">AF10+AF43</f>
        <v>812.806131019988</v>
      </c>
    </row>
    <row r="50" customFormat="false" ht="11.1" hidden="false" customHeight="true" outlineLevel="0" collapsed="false">
      <c r="A50" s="6" t="s">
        <v>62</v>
      </c>
      <c r="B50" s="66"/>
      <c r="C50" s="67"/>
      <c r="D50" s="67" t="n">
        <f aca="false">D10+D44</f>
        <v>79193</v>
      </c>
      <c r="E50" s="67" t="n">
        <f aca="false">E41</f>
        <v>83760</v>
      </c>
      <c r="F50" s="68" t="n">
        <f aca="false">F49*$D$2</f>
        <v>79193</v>
      </c>
      <c r="G50" s="7" t="n">
        <f aca="false">G49*$D$2</f>
        <v>146663.957</v>
      </c>
      <c r="H50" s="89" t="n">
        <f aca="false">H49*$D$2</f>
        <v>2626.491195</v>
      </c>
      <c r="I50" s="7" t="n">
        <f aca="false">I49*$D$2</f>
        <v>149290.448195</v>
      </c>
      <c r="J50" s="7" t="n">
        <f aca="false">J49*$D$2</f>
        <v>19801.02764</v>
      </c>
      <c r="K50" s="7" t="n">
        <f aca="false">K49*$D$2</f>
        <v>169091.475835</v>
      </c>
      <c r="L50" s="7" t="n">
        <f aca="false">L49*$D$2</f>
        <v>13555.315525</v>
      </c>
      <c r="M50" s="69" t="n">
        <f aca="false">M49*$D$2</f>
        <v>31708.6277</v>
      </c>
      <c r="N50" s="67" t="n">
        <f aca="false">N49*$D$2</f>
        <v>39.967525</v>
      </c>
      <c r="O50" s="339" t="n">
        <f aca="false">O49*$D$2</f>
        <v>5693.1072050875</v>
      </c>
      <c r="P50" s="70" t="n">
        <f aca="false">P49*$D$2</f>
        <v>25975.5529699125</v>
      </c>
      <c r="Q50" s="7" t="n">
        <f aca="false">Q49*$D$2</f>
        <v>24757.6503</v>
      </c>
      <c r="R50" s="7" t="n">
        <f aca="false">R49*$D$2</f>
        <v>7580.5403</v>
      </c>
      <c r="S50" s="7" t="n">
        <f aca="false">S49*$D$2</f>
        <v>58313.7435699125</v>
      </c>
      <c r="T50" s="7"/>
      <c r="U50" s="7" t="n">
        <f aca="false">U49*$D$2</f>
        <v>11307.199605</v>
      </c>
      <c r="V50" s="7" t="n">
        <f aca="false">V49*$D$2</f>
        <v>8298.745815</v>
      </c>
      <c r="X50" s="7" t="n">
        <f aca="false">X49*$D$2</f>
        <v>83652.76372</v>
      </c>
      <c r="Y50" s="7" t="n">
        <f aca="false">Y49*$D$2</f>
        <v>6245.712115</v>
      </c>
      <c r="Z50" s="7" t="n">
        <f aca="false">Z49*$D$2</f>
        <v>89898.475835</v>
      </c>
      <c r="AA50" s="60"/>
      <c r="AB50" s="72"/>
      <c r="AC50" s="73"/>
      <c r="AD50" s="13"/>
      <c r="AE50" s="327"/>
      <c r="AF50" s="306" t="n">
        <f aca="false">AF49*$D$2</f>
        <v>1612.20096087815</v>
      </c>
    </row>
    <row r="51" customFormat="false" ht="3" hidden="false" customHeight="true" outlineLevel="0" collapsed="false">
      <c r="A51" s="75"/>
      <c r="B51" s="96"/>
      <c r="C51" s="77"/>
      <c r="D51" s="75"/>
      <c r="E51" s="77"/>
      <c r="F51" s="78"/>
      <c r="G51" s="75"/>
      <c r="H51" s="280"/>
      <c r="I51" s="75"/>
      <c r="J51" s="75"/>
      <c r="K51" s="345"/>
      <c r="L51" s="75"/>
      <c r="M51" s="80"/>
      <c r="N51" s="75"/>
      <c r="O51" s="280"/>
      <c r="P51" s="81"/>
      <c r="Q51" s="75"/>
      <c r="R51" s="75"/>
      <c r="S51" s="75"/>
      <c r="T51" s="77"/>
      <c r="U51" s="75"/>
      <c r="V51" s="75"/>
      <c r="W51" s="77"/>
      <c r="X51" s="75"/>
      <c r="Y51" s="75"/>
      <c r="Z51" s="75"/>
      <c r="AA51" s="96"/>
      <c r="AB51" s="75"/>
      <c r="AC51" s="78"/>
      <c r="AD51" s="75"/>
      <c r="AE51" s="75"/>
      <c r="AF51" s="309"/>
      <c r="AG51" s="309"/>
    </row>
    <row r="52" customFormat="false" ht="14.1" hidden="false" customHeight="true" outlineLevel="0" collapsed="false">
      <c r="A52" s="100"/>
      <c r="B52" s="102"/>
      <c r="C52" s="7"/>
      <c r="D52" s="6"/>
      <c r="E52" s="344"/>
      <c r="H52" s="89"/>
      <c r="I52" s="6"/>
      <c r="J52" s="6"/>
      <c r="K52" s="346"/>
      <c r="L52" s="114"/>
      <c r="M52" s="6"/>
      <c r="N52" s="6"/>
      <c r="O52" s="89"/>
      <c r="P52" s="6"/>
      <c r="Q52" s="6"/>
      <c r="R52" s="6"/>
      <c r="S52" s="6"/>
      <c r="T52" s="347"/>
      <c r="U52" s="6"/>
      <c r="V52" s="6"/>
      <c r="W52" s="344"/>
      <c r="X52" s="6"/>
      <c r="Y52" s="6"/>
      <c r="Z52" s="6"/>
      <c r="AA52" s="11"/>
      <c r="AB52" s="12"/>
      <c r="AC52" s="12"/>
      <c r="AD52" s="13"/>
      <c r="AE52" s="327"/>
      <c r="AF52" s="302"/>
    </row>
    <row r="53" customFormat="false" ht="11.1" hidden="false" customHeight="true" outlineLevel="0" collapsed="false">
      <c r="A53" s="6"/>
      <c r="B53" s="102"/>
      <c r="C53" s="7"/>
      <c r="D53" s="103"/>
      <c r="E53" s="319"/>
      <c r="F53" s="348"/>
      <c r="H53" s="89"/>
      <c r="I53" s="8"/>
      <c r="J53" s="6"/>
      <c r="K53" s="104"/>
      <c r="L53" s="185"/>
      <c r="M53" s="6"/>
      <c r="N53" s="6"/>
      <c r="O53" s="89"/>
      <c r="P53" s="91"/>
      <c r="Q53" s="349"/>
      <c r="R53" s="91"/>
      <c r="S53" s="350"/>
      <c r="T53" s="114"/>
      <c r="U53" s="347"/>
      <c r="V53" s="6"/>
      <c r="W53" s="7"/>
      <c r="X53" s="6"/>
      <c r="Y53" s="6"/>
      <c r="Z53" s="6"/>
      <c r="AA53" s="11"/>
      <c r="AB53" s="12"/>
      <c r="AC53" s="12"/>
      <c r="AD53" s="13"/>
      <c r="AE53" s="327"/>
    </row>
    <row r="54" customFormat="false" ht="11.1" hidden="false" customHeight="true" outlineLevel="0" collapsed="false">
      <c r="B54" s="114"/>
      <c r="C54" s="107"/>
      <c r="D54" s="106"/>
      <c r="E54" s="319"/>
      <c r="F54" s="320"/>
      <c r="H54" s="89"/>
      <c r="I54" s="103"/>
      <c r="J54" s="103"/>
      <c r="K54" s="351"/>
      <c r="L54" s="313"/>
      <c r="M54" s="89"/>
      <c r="N54" s="89"/>
      <c r="O54" s="352"/>
      <c r="P54" s="94"/>
      <c r="Q54" s="349"/>
      <c r="R54" s="91"/>
      <c r="S54" s="67"/>
      <c r="T54" s="114"/>
      <c r="U54" s="114"/>
      <c r="V54" s="7"/>
      <c r="W54" s="349"/>
      <c r="X54" s="103"/>
      <c r="Y54" s="103"/>
      <c r="Z54" s="10"/>
      <c r="AA54" s="11"/>
      <c r="AB54" s="12"/>
      <c r="AC54" s="13"/>
      <c r="AD54" s="353"/>
      <c r="AE54" s="353"/>
    </row>
    <row r="55" customFormat="false" ht="11.1" hidden="false" customHeight="true" outlineLevel="0" collapsed="false">
      <c r="A55" s="103"/>
      <c r="B55" s="187"/>
      <c r="C55" s="114"/>
      <c r="D55" s="114"/>
      <c r="E55" s="319"/>
      <c r="H55" s="185"/>
      <c r="J55" s="103"/>
      <c r="K55" s="351"/>
      <c r="L55" s="185"/>
      <c r="M55" s="89"/>
      <c r="N55" s="89"/>
      <c r="O55" s="185"/>
      <c r="P55" s="94"/>
      <c r="Q55" s="94"/>
      <c r="R55" s="94"/>
      <c r="S55" s="67"/>
      <c r="T55" s="119"/>
      <c r="U55" s="114"/>
      <c r="V55" s="7"/>
      <c r="W55" s="114"/>
      <c r="X55" s="103"/>
      <c r="Y55" s="103"/>
      <c r="Z55" s="10"/>
      <c r="AA55" s="11"/>
      <c r="AB55" s="12"/>
      <c r="AC55" s="13"/>
      <c r="AD55" s="353"/>
      <c r="AE55" s="353"/>
    </row>
    <row r="56" customFormat="false" ht="11.1" hidden="false" customHeight="true" outlineLevel="0" collapsed="false">
      <c r="A56" s="103"/>
      <c r="B56" s="117"/>
      <c r="C56" s="114"/>
      <c r="D56" s="114"/>
      <c r="E56" s="319"/>
      <c r="F56" s="323"/>
      <c r="G56" s="187"/>
      <c r="H56" s="89"/>
      <c r="I56" s="103"/>
      <c r="J56" s="103"/>
      <c r="K56" s="104"/>
      <c r="L56" s="103"/>
      <c r="M56" s="89"/>
      <c r="N56" s="89"/>
      <c r="O56" s="89"/>
      <c r="P56" s="103"/>
      <c r="Q56" s="103"/>
      <c r="R56" s="103"/>
      <c r="S56" s="7"/>
      <c r="T56" s="7"/>
      <c r="U56" s="103"/>
      <c r="V56" s="7"/>
      <c r="W56" s="103"/>
      <c r="X56" s="103"/>
      <c r="Y56" s="103"/>
      <c r="Z56" s="10"/>
      <c r="AA56" s="11"/>
      <c r="AB56" s="12"/>
      <c r="AC56" s="13"/>
      <c r="AD56" s="353"/>
      <c r="AE56" s="353"/>
    </row>
    <row r="57" customFormat="false" ht="11.1" hidden="false" customHeight="true" outlineLevel="0" collapsed="false">
      <c r="R57" s="103"/>
      <c r="S57" s="7"/>
    </row>
    <row r="58" customFormat="false" ht="11.1" hidden="false" customHeight="true" outlineLevel="0" collapsed="false">
      <c r="B58" s="101"/>
    </row>
  </sheetData>
  <mergeCells count="2">
    <mergeCell ref="K2:V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8" activePane="bottomRight" state="frozen"/>
      <selection pane="topLeft" activeCell="A1" activeCellId="0" sqref="A1"/>
      <selection pane="topRight" activeCell="B1" activeCellId="0" sqref="B1"/>
      <selection pane="bottomLeft" activeCell="A18" activeCellId="0" sqref="A18"/>
      <selection pane="bottomRight" activeCell="K38" activeCellId="0" sqref="K38"/>
    </sheetView>
  </sheetViews>
  <sheetFormatPr defaultColWidth="9.328125" defaultRowHeight="11.1" zeroHeight="false" outlineLevelRow="0" outlineLevelCol="0"/>
  <cols>
    <col collapsed="false" customWidth="true" hidden="false" outlineLevel="0" max="1" min="1" style="106" width="5.66"/>
    <col collapsed="false" customWidth="true" hidden="false" outlineLevel="0" max="2" min="2" style="106" width="7.49"/>
    <col collapsed="false" customWidth="true" hidden="false" outlineLevel="0" max="3" min="3" style="107" width="6.82"/>
    <col collapsed="false" customWidth="true" hidden="false" outlineLevel="0" max="4" min="4" style="106" width="6.99"/>
    <col collapsed="false" customWidth="true" hidden="false" outlineLevel="0" max="5" min="5" style="107" width="7.66"/>
    <col collapsed="false" customWidth="true" hidden="false" outlineLevel="0" max="6" min="6" style="106" width="7.66"/>
    <col collapsed="false" customWidth="true" hidden="false" outlineLevel="0" max="7" min="7" style="106" width="7.16"/>
    <col collapsed="false" customWidth="true" hidden="false" outlineLevel="0" max="8" min="8" style="109" width="6.66"/>
    <col collapsed="false" customWidth="true" hidden="false" outlineLevel="0" max="9" min="9" style="106" width="7.99"/>
    <col collapsed="false" customWidth="true" hidden="false" outlineLevel="0" max="10" min="10" style="106" width="6.66"/>
    <col collapsed="false" customWidth="true" hidden="false" outlineLevel="0" max="12" min="11"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06" width="7.16"/>
    <col collapsed="false" customWidth="true" hidden="false" outlineLevel="0" max="18" min="17" style="106" width="5.49"/>
    <col collapsed="false" customWidth="true" hidden="false" outlineLevel="0" max="19" min="19" style="107" width="6.82"/>
    <col collapsed="false" customWidth="true" hidden="false" outlineLevel="0" max="20" min="20" style="106" width="6.49"/>
    <col collapsed="false" customWidth="true" hidden="false" outlineLevel="0" max="21" min="21" style="106" width="5.66"/>
    <col collapsed="false" customWidth="true" hidden="false" outlineLevel="0" max="22" min="22" style="107" width="6.16"/>
    <col collapsed="false" customWidth="true" hidden="false" outlineLevel="0" max="23" min="23" style="106" width="6.82"/>
    <col collapsed="false" customWidth="true" hidden="false" outlineLevel="0" max="25" min="24" style="106" width="7.82"/>
    <col collapsed="false" customWidth="true" hidden="false" outlineLevel="0" max="26" min="26" style="110" width="7.82"/>
    <col collapsed="false" customWidth="true" hidden="false" outlineLevel="0" max="27" min="27" style="111" width="5.32"/>
    <col collapsed="false" customWidth="true" hidden="false" outlineLevel="0" max="28" min="28" style="111" width="3.82"/>
    <col collapsed="false" customWidth="true" hidden="false" outlineLevel="0" max="29" min="29" style="112" width="3.82"/>
    <col collapsed="false" customWidth="true" hidden="false" outlineLevel="0" max="30" min="30" style="106" width="5.99"/>
    <col collapsed="false" customWidth="true" hidden="false" outlineLevel="0" max="31" min="31" style="109" width="6.66"/>
    <col collapsed="false" customWidth="true" hidden="false" outlineLevel="0" max="32" min="32" style="354" width="7.49"/>
    <col collapsed="false" customWidth="true" hidden="false" outlineLevel="0" max="33" min="33" style="239" width="8.82"/>
    <col collapsed="false" customWidth="false" hidden="false" outlineLevel="0" max="257" min="34" style="106" width="9.32"/>
  </cols>
  <sheetData>
    <row r="1" customFormat="false" ht="14.1" hidden="false" customHeight="true" outlineLevel="0" collapsed="false">
      <c r="A1" s="6"/>
      <c r="B1" s="6"/>
      <c r="C1" s="7"/>
      <c r="D1" s="6"/>
      <c r="E1" s="7"/>
      <c r="F1" s="6"/>
      <c r="G1" s="6"/>
      <c r="H1" s="89"/>
      <c r="I1" s="6"/>
      <c r="J1" s="6"/>
      <c r="K1" s="9" t="s">
        <v>0</v>
      </c>
      <c r="L1" s="6"/>
      <c r="M1" s="6"/>
      <c r="N1" s="6"/>
      <c r="O1" s="6"/>
      <c r="P1" s="6"/>
      <c r="Q1" s="6"/>
      <c r="R1" s="6"/>
      <c r="S1" s="7"/>
      <c r="T1" s="6"/>
      <c r="U1" s="6"/>
      <c r="V1" s="7"/>
      <c r="W1" s="6"/>
      <c r="X1" s="6"/>
      <c r="Y1" s="6"/>
      <c r="Z1" s="10"/>
      <c r="AA1" s="11"/>
      <c r="AB1" s="12"/>
      <c r="AC1" s="13"/>
      <c r="AD1" s="327"/>
      <c r="AE1" s="355"/>
      <c r="AG1" s="25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6" t="s">
        <v>1</v>
      </c>
      <c r="B2" s="6"/>
      <c r="C2" s="7"/>
      <c r="D2" s="14" t="n">
        <v>1.9835</v>
      </c>
      <c r="E2" s="7"/>
      <c r="F2" s="6"/>
      <c r="G2" s="6"/>
      <c r="H2" s="89"/>
      <c r="I2" s="6"/>
      <c r="J2" s="6"/>
      <c r="K2" s="328" t="s">
        <v>92</v>
      </c>
      <c r="L2" s="328"/>
      <c r="M2" s="328"/>
      <c r="N2" s="328"/>
      <c r="O2" s="328"/>
      <c r="P2" s="328"/>
      <c r="Q2" s="328"/>
      <c r="R2" s="328"/>
      <c r="S2" s="328"/>
      <c r="T2" s="328"/>
      <c r="U2" s="328"/>
      <c r="V2" s="328"/>
      <c r="W2" s="6"/>
      <c r="X2" s="6"/>
      <c r="Y2" s="6"/>
      <c r="Z2" s="10"/>
      <c r="AA2" s="11"/>
      <c r="AB2" s="12"/>
      <c r="AC2" s="13"/>
      <c r="AD2" s="327"/>
      <c r="AE2" s="355"/>
      <c r="AG2" s="25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1" hidden="false" customHeight="true" outlineLevel="0" collapsed="false">
      <c r="A3" s="15"/>
      <c r="B3" s="15"/>
      <c r="C3" s="16"/>
      <c r="D3" s="17"/>
      <c r="E3" s="16"/>
      <c r="F3" s="15"/>
      <c r="G3" s="15"/>
      <c r="H3" s="329"/>
      <c r="I3" s="15"/>
      <c r="J3" s="15"/>
      <c r="K3" s="15"/>
      <c r="L3" s="15"/>
      <c r="M3" s="15"/>
      <c r="N3" s="15"/>
      <c r="O3" s="15"/>
      <c r="P3" s="15"/>
      <c r="Q3" s="15"/>
      <c r="R3" s="15"/>
      <c r="S3" s="16"/>
      <c r="T3" s="15"/>
      <c r="U3" s="15"/>
      <c r="V3" s="16"/>
      <c r="W3" s="15"/>
      <c r="X3" s="15"/>
      <c r="Y3" s="15"/>
      <c r="Z3" s="19"/>
      <c r="AA3" s="20"/>
      <c r="AB3" s="21"/>
      <c r="AC3" s="22"/>
      <c r="AD3" s="330"/>
      <c r="AE3" s="356"/>
      <c r="AG3" s="25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customFormat="false" ht="14.1" hidden="false" customHeight="true" outlineLevel="0" collapsed="false">
      <c r="A4" s="6"/>
      <c r="B4" s="24"/>
      <c r="C4" s="25"/>
      <c r="D4" s="331" t="s">
        <v>3</v>
      </c>
      <c r="E4" s="25"/>
      <c r="F4" s="27"/>
      <c r="G4" s="6"/>
      <c r="H4" s="89"/>
      <c r="I4" s="6"/>
      <c r="J4" s="6"/>
      <c r="K4" s="6"/>
      <c r="L4" s="6"/>
      <c r="M4" s="6"/>
      <c r="N4" s="6"/>
      <c r="O4" s="6"/>
      <c r="P4" s="6"/>
      <c r="Q4" s="28" t="s">
        <v>4</v>
      </c>
      <c r="R4" s="6"/>
      <c r="S4" s="7"/>
      <c r="T4" s="6"/>
      <c r="U4" s="6"/>
      <c r="V4" s="7"/>
      <c r="W4" s="6"/>
      <c r="X4" s="6"/>
      <c r="Y4" s="6"/>
      <c r="Z4" s="10"/>
      <c r="AA4" s="29"/>
      <c r="AB4" s="30" t="s">
        <v>5</v>
      </c>
      <c r="AC4" s="31"/>
      <c r="AD4" s="327"/>
      <c r="AE4" s="355"/>
      <c r="AF4" s="357" t="s">
        <v>93</v>
      </c>
      <c r="AG4" s="358"/>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row>
    <row r="5" customFormat="false" ht="11.1" hidden="false" customHeight="true" outlineLevel="0" collapsed="false">
      <c r="A5" s="140" t="s">
        <v>6</v>
      </c>
      <c r="B5" s="141" t="s">
        <v>7</v>
      </c>
      <c r="C5" s="142" t="s">
        <v>7</v>
      </c>
      <c r="D5" s="140" t="s">
        <v>8</v>
      </c>
      <c r="E5" s="142" t="s">
        <v>9</v>
      </c>
      <c r="F5" s="143" t="s">
        <v>10</v>
      </c>
      <c r="G5" s="242" t="s">
        <v>11</v>
      </c>
      <c r="H5" s="359" t="s">
        <v>12</v>
      </c>
      <c r="I5" s="242" t="s">
        <v>13</v>
      </c>
      <c r="J5" s="242" t="s">
        <v>14</v>
      </c>
      <c r="K5" s="242" t="s">
        <v>15</v>
      </c>
      <c r="L5" s="140" t="s">
        <v>14</v>
      </c>
      <c r="M5" s="145" t="s">
        <v>16</v>
      </c>
      <c r="N5" s="145"/>
      <c r="O5" s="145"/>
      <c r="P5" s="145"/>
      <c r="Q5" s="140" t="s">
        <v>17</v>
      </c>
      <c r="R5" s="140" t="s">
        <v>18</v>
      </c>
      <c r="S5" s="140" t="s">
        <v>15</v>
      </c>
      <c r="T5" s="158" t="s">
        <v>19</v>
      </c>
      <c r="U5" s="140" t="s">
        <v>20</v>
      </c>
      <c r="V5" s="140" t="s">
        <v>21</v>
      </c>
      <c r="W5" s="142" t="s">
        <v>22</v>
      </c>
      <c r="X5" s="140" t="s">
        <v>13</v>
      </c>
      <c r="Y5" s="140" t="s">
        <v>14</v>
      </c>
      <c r="Z5" s="140" t="s">
        <v>15</v>
      </c>
      <c r="AA5" s="360" t="s">
        <v>23</v>
      </c>
      <c r="AB5" s="147" t="s">
        <v>24</v>
      </c>
      <c r="AC5" s="148" t="s">
        <v>25</v>
      </c>
      <c r="AD5" s="147" t="s">
        <v>64</v>
      </c>
      <c r="AE5" s="225" t="s">
        <v>19</v>
      </c>
      <c r="AF5" s="361" t="s">
        <v>19</v>
      </c>
      <c r="AG5" s="362" t="s">
        <v>88</v>
      </c>
    </row>
    <row r="6" customFormat="false" ht="11.1" hidden="false" customHeight="true" outlineLevel="0" collapsed="false">
      <c r="A6" s="150" t="s">
        <v>94</v>
      </c>
      <c r="B6" s="141" t="s">
        <v>28</v>
      </c>
      <c r="C6" s="142" t="s">
        <v>8</v>
      </c>
      <c r="D6" s="140" t="s">
        <v>29</v>
      </c>
      <c r="E6" s="142" t="s">
        <v>30</v>
      </c>
      <c r="F6" s="143" t="s">
        <v>31</v>
      </c>
      <c r="G6" s="242" t="s">
        <v>32</v>
      </c>
      <c r="H6" s="359" t="s">
        <v>33</v>
      </c>
      <c r="I6" s="242" t="s">
        <v>34</v>
      </c>
      <c r="J6" s="242" t="s">
        <v>34</v>
      </c>
      <c r="K6" s="242" t="s">
        <v>34</v>
      </c>
      <c r="L6" s="140" t="s">
        <v>35</v>
      </c>
      <c r="M6" s="151" t="s">
        <v>36</v>
      </c>
      <c r="N6" s="140" t="s">
        <v>37</v>
      </c>
      <c r="O6" s="140" t="s">
        <v>38</v>
      </c>
      <c r="P6" s="152" t="s">
        <v>39</v>
      </c>
      <c r="Q6" s="140" t="s">
        <v>40</v>
      </c>
      <c r="R6" s="140" t="s">
        <v>41</v>
      </c>
      <c r="S6" s="140" t="s">
        <v>19</v>
      </c>
      <c r="T6" s="158" t="s">
        <v>80</v>
      </c>
      <c r="U6" s="140" t="s">
        <v>43</v>
      </c>
      <c r="V6" s="140" t="s">
        <v>44</v>
      </c>
      <c r="W6" s="142" t="s">
        <v>45</v>
      </c>
      <c r="X6" s="140" t="s">
        <v>46</v>
      </c>
      <c r="Y6" s="140" t="s">
        <v>46</v>
      </c>
      <c r="Z6" s="140" t="s">
        <v>46</v>
      </c>
      <c r="AA6" s="363"/>
      <c r="AB6" s="147" t="s">
        <v>47</v>
      </c>
      <c r="AC6" s="148" t="s">
        <v>47</v>
      </c>
      <c r="AD6" s="154" t="s">
        <v>42</v>
      </c>
      <c r="AE6" s="225" t="s">
        <v>42</v>
      </c>
      <c r="AF6" s="361" t="s">
        <v>95</v>
      </c>
      <c r="AG6" s="362" t="s">
        <v>90</v>
      </c>
    </row>
    <row r="7" customFormat="false" ht="11.1" hidden="false" customHeight="true" outlineLevel="0" collapsed="false">
      <c r="A7" s="155"/>
      <c r="B7" s="156"/>
      <c r="C7" s="157"/>
      <c r="D7" s="155"/>
      <c r="E7" s="158" t="s">
        <v>48</v>
      </c>
      <c r="F7" s="159"/>
      <c r="G7" s="155"/>
      <c r="H7" s="228"/>
      <c r="I7" s="155"/>
      <c r="J7" s="155"/>
      <c r="K7" s="155"/>
      <c r="L7" s="155"/>
      <c r="M7" s="161"/>
      <c r="N7" s="155"/>
      <c r="O7" s="158" t="n">
        <v>12583</v>
      </c>
      <c r="P7" s="162"/>
      <c r="Q7" s="155"/>
      <c r="R7" s="364"/>
      <c r="S7" s="155"/>
      <c r="T7" s="158" t="s">
        <v>81</v>
      </c>
      <c r="U7" s="158" t="n">
        <v>30060</v>
      </c>
      <c r="V7" s="155"/>
      <c r="W7" s="157"/>
      <c r="X7" s="155"/>
      <c r="Y7" s="155"/>
      <c r="Z7" s="155"/>
      <c r="AA7" s="365"/>
      <c r="AB7" s="154" t="s">
        <v>50</v>
      </c>
      <c r="AC7" s="164"/>
      <c r="AD7" s="120"/>
      <c r="AE7" s="225" t="s">
        <v>51</v>
      </c>
      <c r="AF7" s="361" t="s">
        <v>83</v>
      </c>
      <c r="AG7" s="366" t="s">
        <v>91</v>
      </c>
    </row>
    <row r="8" customFormat="false" ht="11.1" hidden="false" customHeight="true" outlineLevel="0" collapsed="false">
      <c r="A8" s="155"/>
      <c r="B8" s="156"/>
      <c r="C8" s="157"/>
      <c r="D8" s="155"/>
      <c r="E8" s="157"/>
      <c r="F8" s="159"/>
      <c r="G8" s="155"/>
      <c r="H8" s="228"/>
      <c r="I8" s="155"/>
      <c r="J8" s="155"/>
      <c r="K8" s="155"/>
      <c r="L8" s="155"/>
      <c r="M8" s="161"/>
      <c r="N8" s="155"/>
      <c r="O8" s="155"/>
      <c r="P8" s="162"/>
      <c r="Q8" s="155"/>
      <c r="R8" s="364"/>
      <c r="S8" s="155"/>
      <c r="T8" s="158" t="n">
        <v>6577</v>
      </c>
      <c r="U8" s="155"/>
      <c r="V8" s="155"/>
      <c r="W8" s="157"/>
      <c r="X8" s="155"/>
      <c r="Y8" s="155"/>
      <c r="Z8" s="155"/>
      <c r="AA8" s="365"/>
      <c r="AB8" s="120"/>
      <c r="AC8" s="164"/>
      <c r="AD8" s="120"/>
      <c r="AE8" s="367"/>
      <c r="AG8" s="368"/>
    </row>
    <row r="9" customFormat="false" ht="11.1" hidden="false" customHeight="true" outlineLevel="0" collapsed="false">
      <c r="A9" s="113" t="s">
        <v>52</v>
      </c>
      <c r="B9" s="165"/>
      <c r="C9" s="114"/>
      <c r="D9" s="114"/>
      <c r="E9" s="114"/>
      <c r="F9" s="166" t="n">
        <f aca="false">JUN!F46</f>
        <v>31648.6009579027</v>
      </c>
      <c r="G9" s="114" t="n">
        <f aca="false">JUN!G46</f>
        <v>66388</v>
      </c>
      <c r="H9" s="185" t="n">
        <f aca="false">JUN!H46</f>
        <v>1041.43</v>
      </c>
      <c r="I9" s="114" t="n">
        <f aca="false">JUN!I46</f>
        <v>67429.43</v>
      </c>
      <c r="J9" s="114" t="n">
        <f aca="false">JUN!J46</f>
        <v>5504.1187471641</v>
      </c>
      <c r="K9" s="114" t="n">
        <f aca="false">JUN!K46</f>
        <v>72933.5487471641</v>
      </c>
      <c r="L9" s="114" t="n">
        <f aca="false">JUN!L46</f>
        <v>2989.8009579027</v>
      </c>
      <c r="M9" s="167" t="n">
        <f aca="false">JUN!M46</f>
        <v>15029.38</v>
      </c>
      <c r="N9" s="114" t="n">
        <f aca="false">JUN!N46</f>
        <v>20.15</v>
      </c>
      <c r="O9" s="114" t="n">
        <f aca="false">JUN!O46</f>
        <v>2870.233025</v>
      </c>
      <c r="P9" s="168" t="n">
        <f aca="false">JUN!P46</f>
        <v>12138.644475</v>
      </c>
      <c r="Q9" s="114" t="n">
        <f aca="false">JUN!Q46</f>
        <v>12419.8</v>
      </c>
      <c r="R9" s="114" t="n">
        <f aca="false">JUN!R46</f>
        <v>3770.8</v>
      </c>
      <c r="S9" s="114" t="n">
        <f aca="false">JUN!S46</f>
        <v>28261.244475</v>
      </c>
      <c r="T9" s="114" t="n">
        <f aca="false">JUN!T46</f>
        <v>15226.9416124616</v>
      </c>
      <c r="U9" s="114" t="n">
        <f aca="false">JUN!U46</f>
        <v>5700.63</v>
      </c>
      <c r="V9" s="114" t="n">
        <f aca="false">JUN!V46</f>
        <v>1920</v>
      </c>
      <c r="W9" s="114"/>
      <c r="X9" s="114" t="n">
        <f aca="false">JUN!X46</f>
        <v>38770.63</v>
      </c>
      <c r="Y9" s="114" t="n">
        <f aca="false">JUN!Y46</f>
        <v>2514.31778926141</v>
      </c>
      <c r="Z9" s="114" t="n">
        <f aca="false">JUN!Z46</f>
        <v>41284.9477892614</v>
      </c>
      <c r="AA9" s="365"/>
      <c r="AB9" s="119"/>
      <c r="AC9" s="169"/>
      <c r="AD9" s="120"/>
      <c r="AE9" s="367"/>
      <c r="AF9" s="354" t="n">
        <f aca="false">JUN!AF46</f>
        <v>812.806131019988</v>
      </c>
      <c r="AG9" s="250" t="n">
        <f aca="false">JUN!AG46</f>
        <v>65.93</v>
      </c>
    </row>
    <row r="10" s="107" customFormat="true" ht="11.1" hidden="false" customHeight="true" outlineLevel="0" collapsed="false">
      <c r="A10" s="114" t="s">
        <v>53</v>
      </c>
      <c r="B10" s="170" t="n">
        <f aca="false">JUN!B41</f>
        <v>6886.26</v>
      </c>
      <c r="C10" s="114" t="n">
        <f aca="false">JUN!C41</f>
        <v>235760</v>
      </c>
      <c r="D10" s="114" t="n">
        <f aca="false">JUN!D50</f>
        <v>79193</v>
      </c>
      <c r="E10" s="114" t="n">
        <f aca="false">JUN!E50</f>
        <v>83760</v>
      </c>
      <c r="F10" s="166" t="n">
        <f aca="false">JUN!F49</f>
        <v>39925.8885807915</v>
      </c>
      <c r="G10" s="114" t="n">
        <f aca="false">JUN!G49</f>
        <v>73942</v>
      </c>
      <c r="H10" s="185" t="n">
        <f aca="false">JUN!H49</f>
        <v>1324.17</v>
      </c>
      <c r="I10" s="114" t="n">
        <f aca="false">JUN!I49</f>
        <v>75266.17</v>
      </c>
      <c r="J10" s="114" t="n">
        <f aca="false">JUN!J49</f>
        <v>9982.87251827578</v>
      </c>
      <c r="K10" s="114" t="n">
        <f aca="false">JUN!K49</f>
        <v>85249.0425182758</v>
      </c>
      <c r="L10" s="114" t="n">
        <f aca="false">JUN!L49</f>
        <v>6834.03858079153</v>
      </c>
      <c r="M10" s="167" t="n">
        <f aca="false">JUN!M49</f>
        <v>15986.2</v>
      </c>
      <c r="N10" s="114" t="n">
        <f aca="false">JUN!N49</f>
        <v>20.15</v>
      </c>
      <c r="O10" s="114" t="n">
        <f aca="false">JUN!O49</f>
        <v>2870.233025</v>
      </c>
      <c r="P10" s="168" t="n">
        <f aca="false">JUN!P49</f>
        <v>13095.816975</v>
      </c>
      <c r="Q10" s="114" t="n">
        <f aca="false">JUN!Q49</f>
        <v>12481.8</v>
      </c>
      <c r="R10" s="114" t="n">
        <f aca="false">JUN!R49</f>
        <v>3821.8</v>
      </c>
      <c r="S10" s="114" t="n">
        <f aca="false">JUN!S49</f>
        <v>29399.416975</v>
      </c>
      <c r="T10" s="114"/>
      <c r="U10" s="114" t="n">
        <f aca="false">JUN!U49</f>
        <v>5700.63</v>
      </c>
      <c r="V10" s="114" t="n">
        <f aca="false">JUN!V49</f>
        <v>4183.89</v>
      </c>
      <c r="W10" s="114" t="n">
        <f aca="false">JUN!W46</f>
        <v>6321.49231157046</v>
      </c>
      <c r="X10" s="114" t="n">
        <f aca="false">JUN!X49</f>
        <v>42174.32</v>
      </c>
      <c r="Y10" s="114" t="n">
        <f aca="false">JUN!Y49</f>
        <v>3148.83393748424</v>
      </c>
      <c r="Z10" s="114" t="n">
        <f aca="false">JUN!Z49</f>
        <v>45323.1539374842</v>
      </c>
      <c r="AA10" s="369" t="n">
        <f aca="false">JUN!AA49</f>
        <v>8.08</v>
      </c>
      <c r="AB10" s="119"/>
      <c r="AC10" s="169"/>
      <c r="AD10" s="120"/>
      <c r="AE10" s="367"/>
      <c r="AF10" s="354" t="n">
        <f aca="false">JUN!AF49</f>
        <v>812.806131019988</v>
      </c>
      <c r="AG10" s="250"/>
    </row>
    <row r="11" customFormat="false" ht="3" hidden="false" customHeight="true" outlineLevel="0" collapsed="false">
      <c r="A11" s="171"/>
      <c r="B11" s="172"/>
      <c r="C11" s="173"/>
      <c r="D11" s="171"/>
      <c r="E11" s="173"/>
      <c r="F11" s="174"/>
      <c r="G11" s="171"/>
      <c r="H11" s="237"/>
      <c r="I11" s="171"/>
      <c r="J11" s="171"/>
      <c r="K11" s="171"/>
      <c r="L11" s="171"/>
      <c r="M11" s="176"/>
      <c r="N11" s="171"/>
      <c r="O11" s="171"/>
      <c r="P11" s="177"/>
      <c r="Q11" s="171"/>
      <c r="R11" s="171"/>
      <c r="S11" s="171"/>
      <c r="T11" s="173"/>
      <c r="U11" s="171"/>
      <c r="V11" s="171"/>
      <c r="W11" s="173"/>
      <c r="X11" s="171"/>
      <c r="Y11" s="171"/>
      <c r="Z11" s="171"/>
      <c r="AA11" s="370"/>
      <c r="AB11" s="179"/>
      <c r="AC11" s="180"/>
      <c r="AD11" s="181"/>
      <c r="AE11" s="232"/>
      <c r="AF11" s="371"/>
      <c r="AG11" s="232"/>
    </row>
    <row r="12" customFormat="false" ht="11.1" hidden="false" customHeight="true" outlineLevel="0" collapsed="false">
      <c r="A12" s="120" t="n">
        <v>1</v>
      </c>
      <c r="B12" s="170" t="n">
        <v>6885.95</v>
      </c>
      <c r="C12" s="114" t="n">
        <v>234751</v>
      </c>
      <c r="D12" s="119" t="n">
        <f aca="false">C12-C10</f>
        <v>-1009</v>
      </c>
      <c r="E12" s="114" t="n">
        <f aca="false">C12-152000</f>
        <v>82751</v>
      </c>
      <c r="F12" s="182" t="n">
        <f aca="false">D12/$D$2</f>
        <v>-508.696748172422</v>
      </c>
      <c r="G12" s="183" t="n">
        <v>152</v>
      </c>
      <c r="H12" s="372" t="n">
        <v>0</v>
      </c>
      <c r="I12" s="113" t="n">
        <f aca="false">G12+H12</f>
        <v>152</v>
      </c>
      <c r="J12" s="185" t="n">
        <f aca="false">IF(L12&gt;0,L12,0)</f>
        <v>0</v>
      </c>
      <c r="K12" s="113" t="n">
        <f aca="false">I12+J12</f>
        <v>152</v>
      </c>
      <c r="L12" s="113" t="n">
        <f aca="false">F12-(I12-X12)</f>
        <v>-64.5967481724225</v>
      </c>
      <c r="M12" s="186" t="n">
        <v>202</v>
      </c>
      <c r="N12" s="113" t="n">
        <v>0</v>
      </c>
      <c r="O12" s="113" t="n">
        <f aca="false">22.88*1.05</f>
        <v>24.024</v>
      </c>
      <c r="P12" s="92" t="n">
        <f aca="false">M12-(N12+O12)</f>
        <v>177.976</v>
      </c>
      <c r="Q12" s="183" t="n">
        <v>42</v>
      </c>
      <c r="R12" s="183" t="n">
        <v>70</v>
      </c>
      <c r="S12" s="113" t="n">
        <f aca="false">SUM(P12:R12)</f>
        <v>289.976</v>
      </c>
      <c r="T12" s="114" t="n">
        <f aca="false">T9+AE12-(AF12/1.9835)+AG12</f>
        <v>15097.023745996</v>
      </c>
      <c r="U12" s="113" t="n">
        <v>243.1</v>
      </c>
      <c r="V12" s="243" t="n">
        <v>39</v>
      </c>
      <c r="W12" s="244" t="n">
        <f aca="false">W10-V12</f>
        <v>6282.49231157046</v>
      </c>
      <c r="X12" s="6" t="n">
        <f aca="false">N12+O12+S12+U12+V12</f>
        <v>596.1</v>
      </c>
      <c r="Y12" s="113" t="n">
        <f aca="false">IF(L12&lt;0,L12*-1,0)</f>
        <v>64.5967481724225</v>
      </c>
      <c r="Z12" s="113" t="n">
        <f aca="false">X12+Y12</f>
        <v>660.696748172423</v>
      </c>
      <c r="AA12" s="365" t="n">
        <v>0</v>
      </c>
      <c r="AB12" s="373" t="n">
        <v>88</v>
      </c>
      <c r="AC12" s="374" t="n">
        <v>54</v>
      </c>
      <c r="AD12" s="120" t="n">
        <v>0</v>
      </c>
      <c r="AE12" s="89" t="n">
        <f aca="false">(I12-8-2.7)-(S12-8)</f>
        <v>-140.676</v>
      </c>
      <c r="AF12" s="354" t="n">
        <f aca="false">23.5*(T9*1.9835-S12*1.9835)/E12</f>
        <v>8.41374213446922</v>
      </c>
      <c r="AG12" s="250" t="n">
        <v>15</v>
      </c>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1.1" hidden="false" customHeight="true" outlineLevel="0" collapsed="false">
      <c r="A13" s="120" t="n">
        <f aca="false">A12+1</f>
        <v>2</v>
      </c>
      <c r="B13" s="170" t="n">
        <v>6885.64</v>
      </c>
      <c r="C13" s="114" t="n">
        <v>233752</v>
      </c>
      <c r="D13" s="119" t="n">
        <f aca="false">C13-C12</f>
        <v>-999</v>
      </c>
      <c r="E13" s="114" t="n">
        <f aca="false">C13-152000</f>
        <v>81752</v>
      </c>
      <c r="F13" s="182" t="n">
        <f aca="false">D13/$D$2</f>
        <v>-503.655155028989</v>
      </c>
      <c r="G13" s="183" t="n">
        <v>148</v>
      </c>
      <c r="H13" s="372" t="n">
        <v>0</v>
      </c>
      <c r="I13" s="113" t="n">
        <f aca="false">G13+H13</f>
        <v>148</v>
      </c>
      <c r="J13" s="185" t="n">
        <f aca="false">IF(L13&gt;0,L13,0)</f>
        <v>0</v>
      </c>
      <c r="K13" s="113" t="n">
        <f aca="false">I13+J13</f>
        <v>148</v>
      </c>
      <c r="L13" s="113" t="n">
        <f aca="false">F13-(I13-X13)</f>
        <v>-55.5951550289892</v>
      </c>
      <c r="M13" s="186" t="n">
        <v>208</v>
      </c>
      <c r="N13" s="113" t="n">
        <v>0</v>
      </c>
      <c r="O13" s="113" t="n">
        <f aca="false">32.44*1.05</f>
        <v>34.062</v>
      </c>
      <c r="P13" s="92" t="n">
        <f aca="false">M13-(N13+O13)</f>
        <v>173.938</v>
      </c>
      <c r="Q13" s="183" t="n">
        <v>42</v>
      </c>
      <c r="R13" s="183" t="n">
        <v>71</v>
      </c>
      <c r="S13" s="113" t="n">
        <f aca="false">SUM(P13:R13)</f>
        <v>286.938</v>
      </c>
      <c r="T13" s="114" t="n">
        <f aca="false">T12+AE13-(AF13/1.9835)+AG13</f>
        <v>14966.1285166312</v>
      </c>
      <c r="U13" s="113" t="n">
        <v>236.06</v>
      </c>
      <c r="V13" s="243" t="n">
        <v>39</v>
      </c>
      <c r="W13" s="244" t="n">
        <f aca="false">W12-V13</f>
        <v>6243.49231157046</v>
      </c>
      <c r="X13" s="6" t="n">
        <f aca="false">N13+O13+S13+U13+V13</f>
        <v>596.06</v>
      </c>
      <c r="Y13" s="113" t="n">
        <f aca="false">IF(L13&lt;0,L13*-1,0)</f>
        <v>55.5951550289892</v>
      </c>
      <c r="Z13" s="113" t="n">
        <f aca="false">X13+Y13</f>
        <v>651.655155028989</v>
      </c>
      <c r="AA13" s="365" t="n">
        <v>0</v>
      </c>
      <c r="AB13" s="119" t="n">
        <v>87</v>
      </c>
      <c r="AC13" s="169" t="n">
        <v>51</v>
      </c>
      <c r="AD13" s="120" t="n">
        <v>0</v>
      </c>
      <c r="AE13" s="89" t="n">
        <f aca="false">(I13-8-2.7)-(S13-8)</f>
        <v>-141.638</v>
      </c>
      <c r="AF13" s="354" t="n">
        <f aca="false">23.5*(T12*1.9835-S13*1.9835)/E13</f>
        <v>8.44421444507538</v>
      </c>
      <c r="AG13" s="250" t="n">
        <v>15</v>
      </c>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1.1" hidden="false" customHeight="true" outlineLevel="0" collapsed="false">
      <c r="A14" s="120" t="n">
        <f aca="false">A13+1</f>
        <v>3</v>
      </c>
      <c r="B14" s="170" t="n">
        <v>6885.34</v>
      </c>
      <c r="C14" s="114" t="n">
        <v>232785</v>
      </c>
      <c r="D14" s="119" t="n">
        <f aca="false">C14-C13</f>
        <v>-967</v>
      </c>
      <c r="E14" s="114" t="n">
        <f aca="false">C14-152000</f>
        <v>80785</v>
      </c>
      <c r="F14" s="182" t="n">
        <f aca="false">D14/$D$2</f>
        <v>-487.522056970002</v>
      </c>
      <c r="G14" s="183" t="n">
        <v>150</v>
      </c>
      <c r="H14" s="372" t="n">
        <v>0</v>
      </c>
      <c r="I14" s="113" t="n">
        <f aca="false">G14+H14</f>
        <v>150</v>
      </c>
      <c r="J14" s="185" t="n">
        <f aca="false">IF(L14&gt;0,L14,0)</f>
        <v>0</v>
      </c>
      <c r="K14" s="113" t="n">
        <f aca="false">I14+J14</f>
        <v>150</v>
      </c>
      <c r="L14" s="113" t="n">
        <f aca="false">F14-(I14-X14)</f>
        <v>-46.4220569700025</v>
      </c>
      <c r="M14" s="186" t="n">
        <v>209</v>
      </c>
      <c r="N14" s="113" t="n">
        <v>0</v>
      </c>
      <c r="O14" s="113" t="n">
        <f aca="false">28.31*1.05</f>
        <v>29.7255</v>
      </c>
      <c r="P14" s="92" t="n">
        <f aca="false">M14-(N14+O14)</f>
        <v>179.2745</v>
      </c>
      <c r="Q14" s="183" t="n">
        <v>42</v>
      </c>
      <c r="R14" s="183" t="n">
        <v>75</v>
      </c>
      <c r="S14" s="113" t="n">
        <f aca="false">SUM(P14:R14)</f>
        <v>296.2745</v>
      </c>
      <c r="T14" s="114" t="n">
        <f aca="false">T13+AE14-(AF14/1.9835)+AG14</f>
        <v>14827.8866208351</v>
      </c>
      <c r="U14" s="113" t="n">
        <v>226.1</v>
      </c>
      <c r="V14" s="243" t="n">
        <v>39</v>
      </c>
      <c r="W14" s="244" t="n">
        <f aca="false">W13-V14</f>
        <v>6204.49231157046</v>
      </c>
      <c r="X14" s="6" t="n">
        <f aca="false">N14+O14+S14+U14+V14</f>
        <v>591.1</v>
      </c>
      <c r="Y14" s="113" t="n">
        <f aca="false">IF(L14&lt;0,L14*-1,0)</f>
        <v>46.4220569700025</v>
      </c>
      <c r="Z14" s="113" t="n">
        <f aca="false">X14+Y14</f>
        <v>637.522056970002</v>
      </c>
      <c r="AA14" s="365" t="n">
        <v>0</v>
      </c>
      <c r="AB14" s="119" t="n">
        <v>89</v>
      </c>
      <c r="AC14" s="169" t="n">
        <v>52</v>
      </c>
      <c r="AD14" s="120" t="n">
        <v>0</v>
      </c>
      <c r="AE14" s="89" t="n">
        <f aca="false">(I14-8-2.7)-(S14-8)</f>
        <v>-148.9745</v>
      </c>
      <c r="AF14" s="354" t="n">
        <f aca="false">23.5*(T13*1.9835-S14*1.9835)/E14</f>
        <v>8.46437956163543</v>
      </c>
      <c r="AG14" s="250" t="n">
        <v>15</v>
      </c>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1.1" hidden="false" customHeight="true" outlineLevel="0" collapsed="false">
      <c r="A15" s="120" t="n">
        <f aca="false">A14+1</f>
        <v>4</v>
      </c>
      <c r="B15" s="170" t="n">
        <v>6885.01</v>
      </c>
      <c r="C15" s="114" t="n">
        <v>231722</v>
      </c>
      <c r="D15" s="119" t="n">
        <f aca="false">C15-C14</f>
        <v>-1063</v>
      </c>
      <c r="E15" s="114" t="n">
        <f aca="false">C15-152000</f>
        <v>79722</v>
      </c>
      <c r="F15" s="182" t="n">
        <f aca="false">D15/$D$2</f>
        <v>-535.921351146962</v>
      </c>
      <c r="G15" s="183" t="n">
        <v>143</v>
      </c>
      <c r="H15" s="372" t="n">
        <v>0</v>
      </c>
      <c r="I15" s="113" t="n">
        <f aca="false">G15+H15</f>
        <v>143</v>
      </c>
      <c r="J15" s="185" t="n">
        <f aca="false">IF(L15&gt;0,L15,0)</f>
        <v>0</v>
      </c>
      <c r="K15" s="113" t="n">
        <f aca="false">I15+J15</f>
        <v>143</v>
      </c>
      <c r="L15" s="113" t="n">
        <f aca="false">F15-(I15-X15)</f>
        <v>-75.0613511469625</v>
      </c>
      <c r="M15" s="186" t="n">
        <v>199</v>
      </c>
      <c r="N15" s="113" t="n">
        <v>0</v>
      </c>
      <c r="O15" s="113" t="n">
        <f aca="false">25.72*1.05</f>
        <v>27.006</v>
      </c>
      <c r="P15" s="92" t="n">
        <f aca="false">M15-(N15+O15)</f>
        <v>171.994</v>
      </c>
      <c r="Q15" s="183" t="n">
        <v>43</v>
      </c>
      <c r="R15" s="183" t="n">
        <v>75</v>
      </c>
      <c r="S15" s="113" t="n">
        <f aca="false">SUM(P15:R15)</f>
        <v>289.994</v>
      </c>
      <c r="T15" s="114" t="n">
        <f aca="false">T14+AE15-(AF15/1.9835)+AG15</f>
        <v>14688.9072231206</v>
      </c>
      <c r="U15" s="113" t="n">
        <v>247.86</v>
      </c>
      <c r="V15" s="243" t="n">
        <v>39</v>
      </c>
      <c r="W15" s="244" t="n">
        <f aca="false">W14-V15</f>
        <v>6165.49231157046</v>
      </c>
      <c r="X15" s="6" t="n">
        <f aca="false">N15+O15+S15+U15+V15</f>
        <v>603.86</v>
      </c>
      <c r="Y15" s="113" t="n">
        <f aca="false">IF(L15&lt;0,L15*-1,0)</f>
        <v>75.0613511469625</v>
      </c>
      <c r="Z15" s="113" t="n">
        <f aca="false">X15+Y15</f>
        <v>678.921351146963</v>
      </c>
      <c r="AA15" s="365" t="n">
        <v>0</v>
      </c>
      <c r="AB15" s="119" t="n">
        <v>92</v>
      </c>
      <c r="AC15" s="169" t="n">
        <v>54</v>
      </c>
      <c r="AD15" s="120" t="n">
        <v>0</v>
      </c>
      <c r="AE15" s="89" t="n">
        <f aca="false">(I15-8-2.7)-(S15-8)</f>
        <v>-149.694</v>
      </c>
      <c r="AF15" s="354" t="n">
        <f aca="false">23.5*(T14*1.9835-S15*1.9835)/E15</f>
        <v>8.50008636656782</v>
      </c>
      <c r="AG15" s="250" t="n">
        <v>15</v>
      </c>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1.1" hidden="false" customHeight="true" outlineLevel="0" collapsed="false">
      <c r="A16" s="120" t="n">
        <f aca="false">A15+1</f>
        <v>5</v>
      </c>
      <c r="B16" s="170" t="n">
        <v>6884.65</v>
      </c>
      <c r="C16" s="114" t="n">
        <v>230575</v>
      </c>
      <c r="D16" s="119" t="n">
        <f aca="false">C16-C15</f>
        <v>-1147</v>
      </c>
      <c r="E16" s="114" t="n">
        <f aca="false">C16-152000</f>
        <v>78575</v>
      </c>
      <c r="F16" s="182" t="n">
        <f aca="false">D16/$D$2</f>
        <v>-578.270733551802</v>
      </c>
      <c r="G16" s="183" t="n">
        <v>137</v>
      </c>
      <c r="H16" s="372" t="n">
        <v>0</v>
      </c>
      <c r="I16" s="113" t="n">
        <f aca="false">G16+H16</f>
        <v>137</v>
      </c>
      <c r="J16" s="185" t="n">
        <f aca="false">IF(L16&gt;0,L16,0)</f>
        <v>0</v>
      </c>
      <c r="K16" s="113" t="n">
        <f aca="false">I16+J16</f>
        <v>137</v>
      </c>
      <c r="L16" s="113" t="n">
        <f aca="false">F16-(I16-X16)</f>
        <v>-144.080733551802</v>
      </c>
      <c r="M16" s="186" t="n">
        <v>202</v>
      </c>
      <c r="N16" s="113" t="n">
        <v>0</v>
      </c>
      <c r="O16" s="113" t="n">
        <f aca="false">26.29*1.05</f>
        <v>27.6045</v>
      </c>
      <c r="P16" s="92" t="n">
        <f aca="false">M16-(N16+O16)</f>
        <v>174.3955</v>
      </c>
      <c r="Q16" s="183" t="n">
        <v>43</v>
      </c>
      <c r="R16" s="183" t="n">
        <v>76</v>
      </c>
      <c r="S16" s="113" t="n">
        <f aca="false">SUM(P16:R16)</f>
        <v>293.3955</v>
      </c>
      <c r="T16" s="114" t="n">
        <f aca="false">T15+AE16-(AF16/1.9835)+AG16</f>
        <v>14540.5063521312</v>
      </c>
      <c r="U16" s="113" t="n">
        <v>211.19</v>
      </c>
      <c r="V16" s="243" t="n">
        <v>39</v>
      </c>
      <c r="W16" s="244" t="n">
        <f aca="false">W15-V16</f>
        <v>6126.49231157046</v>
      </c>
      <c r="X16" s="6" t="n">
        <f aca="false">N16+O16+S16+U16+V16</f>
        <v>571.19</v>
      </c>
      <c r="Y16" s="113" t="n">
        <f aca="false">IF(L16&lt;0,L16*-1,0)</f>
        <v>144.080733551802</v>
      </c>
      <c r="Z16" s="113" t="n">
        <f aca="false">X16+Y16</f>
        <v>715.270733551802</v>
      </c>
      <c r="AA16" s="365" t="n">
        <v>0</v>
      </c>
      <c r="AB16" s="119" t="n">
        <v>90</v>
      </c>
      <c r="AC16" s="169" t="n">
        <v>55</v>
      </c>
      <c r="AD16" s="120" t="n">
        <v>0</v>
      </c>
      <c r="AE16" s="89" t="n">
        <f aca="false">(I16-8-2.7)-(S16-8)</f>
        <v>-159.0955</v>
      </c>
      <c r="AF16" s="354" t="n">
        <f aca="false">23.5*(T15*1.9835-S16*1.9835)/E16</f>
        <v>8.53970335750596</v>
      </c>
      <c r="AG16" s="250" t="n">
        <v>15</v>
      </c>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1.1" hidden="false" customHeight="true" outlineLevel="0" collapsed="false">
      <c r="A17" s="120" t="n">
        <f aca="false">A16+1</f>
        <v>6</v>
      </c>
      <c r="B17" s="170" t="n">
        <v>6884.29</v>
      </c>
      <c r="C17" s="114" t="n">
        <v>229428</v>
      </c>
      <c r="D17" s="119" t="n">
        <f aca="false">C17-C16</f>
        <v>-1147</v>
      </c>
      <c r="E17" s="114" t="n">
        <f aca="false">C17-152000</f>
        <v>77428</v>
      </c>
      <c r="F17" s="182" t="n">
        <f aca="false">D17/$D$2</f>
        <v>-578.270733551802</v>
      </c>
      <c r="G17" s="183" t="n">
        <v>126</v>
      </c>
      <c r="H17" s="372" t="n">
        <v>0</v>
      </c>
      <c r="I17" s="113" t="n">
        <f aca="false">G17+H17</f>
        <v>126</v>
      </c>
      <c r="J17" s="185" t="n">
        <f aca="false">IF(L17&gt;0,L17,0)</f>
        <v>0</v>
      </c>
      <c r="K17" s="113" t="n">
        <f aca="false">I17+J17</f>
        <v>126</v>
      </c>
      <c r="L17" s="113" t="n">
        <f aca="false">F17-(I17-X17)</f>
        <v>-110.320733551802</v>
      </c>
      <c r="M17" s="186" t="n">
        <v>213</v>
      </c>
      <c r="N17" s="113" t="n">
        <v>0</v>
      </c>
      <c r="O17" s="113" t="n">
        <f aca="false">26.57*1.05</f>
        <v>27.8985</v>
      </c>
      <c r="P17" s="92" t="n">
        <f aca="false">M17-(N17+O17)</f>
        <v>185.1015</v>
      </c>
      <c r="Q17" s="183" t="n">
        <v>44</v>
      </c>
      <c r="R17" s="183" t="n">
        <v>73</v>
      </c>
      <c r="S17" s="113" t="n">
        <f aca="false">SUM(P17:R17)</f>
        <v>302.1015</v>
      </c>
      <c r="T17" s="114" t="n">
        <f aca="false">T16+AE17-(AF17/1.9835)+AG17</f>
        <v>14372.3833855555</v>
      </c>
      <c r="U17" s="113" t="n">
        <v>224.95</v>
      </c>
      <c r="V17" s="243" t="n">
        <v>39</v>
      </c>
      <c r="W17" s="244" t="n">
        <f aca="false">W16-V17</f>
        <v>6087.49231157046</v>
      </c>
      <c r="X17" s="6" t="n">
        <f aca="false">N17+O17+S17+U17+V17</f>
        <v>593.95</v>
      </c>
      <c r="Y17" s="113" t="n">
        <f aca="false">IF(L17&lt;0,L17*-1,0)</f>
        <v>110.320733551802</v>
      </c>
      <c r="Z17" s="113" t="n">
        <f aca="false">X17+Y17</f>
        <v>704.270733551802</v>
      </c>
      <c r="AA17" s="365" t="n">
        <v>0</v>
      </c>
      <c r="AB17" s="119" t="n">
        <v>91</v>
      </c>
      <c r="AC17" s="169" t="n">
        <v>57</v>
      </c>
      <c r="AD17" s="120" t="n">
        <v>0</v>
      </c>
      <c r="AE17" s="89" t="n">
        <f aca="false">(I17-8-2.7)-(S17-8)</f>
        <v>-178.8015</v>
      </c>
      <c r="AF17" s="354" t="n">
        <f aca="false">23.5*(T16*1.9835-S17*1.9835)/E17</f>
        <v>8.57162895294666</v>
      </c>
      <c r="AG17" s="250" t="n">
        <v>15</v>
      </c>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1.1" hidden="false" customHeight="true" outlineLevel="0" collapsed="false">
      <c r="A18" s="120" t="n">
        <f aca="false">A17+1</f>
        <v>7</v>
      </c>
      <c r="B18" s="170" t="n">
        <v>6883.99</v>
      </c>
      <c r="C18" s="114" t="n">
        <v>228473</v>
      </c>
      <c r="D18" s="119" t="n">
        <f aca="false">C18-C17</f>
        <v>-955</v>
      </c>
      <c r="E18" s="114" t="n">
        <f aca="false">C18-152000</f>
        <v>76473</v>
      </c>
      <c r="F18" s="182" t="n">
        <f aca="false">D18/$D$2</f>
        <v>-481.472145197883</v>
      </c>
      <c r="G18" s="183" t="n">
        <v>118</v>
      </c>
      <c r="H18" s="372" t="n">
        <v>0</v>
      </c>
      <c r="I18" s="113" t="n">
        <f aca="false">G18+H18</f>
        <v>118</v>
      </c>
      <c r="J18" s="185" t="n">
        <f aca="false">IF(L18&gt;0,L18,0)</f>
        <v>0</v>
      </c>
      <c r="K18" s="113" t="n">
        <f aca="false">I18+J18</f>
        <v>118</v>
      </c>
      <c r="L18" s="113" t="n">
        <f aca="false">F18-(I18-X18)</f>
        <v>-5.38214519788249</v>
      </c>
      <c r="M18" s="186" t="n">
        <v>203</v>
      </c>
      <c r="N18" s="113" t="n">
        <v>0</v>
      </c>
      <c r="O18" s="113" t="n">
        <f aca="false">31.94*1.05</f>
        <v>33.537</v>
      </c>
      <c r="P18" s="92" t="n">
        <f aca="false">M18-(N18+O18)</f>
        <v>169.463</v>
      </c>
      <c r="Q18" s="183" t="n">
        <v>58</v>
      </c>
      <c r="R18" s="183" t="n">
        <v>74</v>
      </c>
      <c r="S18" s="113" t="n">
        <f aca="false">SUM(P18:R18)</f>
        <v>301.463</v>
      </c>
      <c r="T18" s="114" t="n">
        <f aca="false">T17+AE18-(AF18/1.9835)+AG18</f>
        <v>14196.8964198544</v>
      </c>
      <c r="U18" s="113" t="n">
        <v>221.09</v>
      </c>
      <c r="V18" s="243" t="n">
        <v>38</v>
      </c>
      <c r="W18" s="244" t="n">
        <f aca="false">W17-V18</f>
        <v>6049.49231157046</v>
      </c>
      <c r="X18" s="6" t="n">
        <f aca="false">N18+O18+S18+U18+V18</f>
        <v>594.09</v>
      </c>
      <c r="Y18" s="113" t="n">
        <f aca="false">IF(L18&lt;0,L18*-1,0)</f>
        <v>5.38214519788249</v>
      </c>
      <c r="Z18" s="113" t="n">
        <f aca="false">X18+Y18</f>
        <v>599.472145197883</v>
      </c>
      <c r="AA18" s="365" t="n">
        <v>0</v>
      </c>
      <c r="AB18" s="373" t="n">
        <v>89</v>
      </c>
      <c r="AC18" s="374" t="n">
        <v>52</v>
      </c>
      <c r="AD18" s="120" t="n">
        <v>0</v>
      </c>
      <c r="AE18" s="89" t="n">
        <f aca="false">(I18-8-2.7)-(S18-8)</f>
        <v>-186.163</v>
      </c>
      <c r="AF18" s="354" t="n">
        <f aca="false">23.5*(T17*1.9835-S18*1.9835)/E18</f>
        <v>8.57658596814052</v>
      </c>
      <c r="AG18" s="250" t="n">
        <v>15</v>
      </c>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1.1" hidden="false" customHeight="true" outlineLevel="0" collapsed="false">
      <c r="A19" s="120" t="n">
        <f aca="false">A18+1</f>
        <v>8</v>
      </c>
      <c r="B19" s="170" t="n">
        <v>6883.69</v>
      </c>
      <c r="C19" s="114" t="n">
        <v>227530</v>
      </c>
      <c r="D19" s="119" t="n">
        <f aca="false">C19-C18</f>
        <v>-943</v>
      </c>
      <c r="E19" s="114" t="n">
        <f aca="false">C19-152000</f>
        <v>75530</v>
      </c>
      <c r="F19" s="182" t="n">
        <f aca="false">D19/$D$2</f>
        <v>-475.422233425763</v>
      </c>
      <c r="G19" s="183" t="n">
        <v>115</v>
      </c>
      <c r="H19" s="372" t="n">
        <v>0</v>
      </c>
      <c r="I19" s="113" t="n">
        <f aca="false">G19+H19</f>
        <v>115</v>
      </c>
      <c r="J19" s="185" t="n">
        <f aca="false">IF(L19&gt;0,L19,0)</f>
        <v>12.5477665742375</v>
      </c>
      <c r="K19" s="113" t="n">
        <f aca="false">I19+J19</f>
        <v>127.547766574237</v>
      </c>
      <c r="L19" s="113" t="n">
        <f aca="false">F19-(I19-X19)</f>
        <v>12.5477665742375</v>
      </c>
      <c r="M19" s="186" t="n">
        <v>192</v>
      </c>
      <c r="N19" s="113" t="n">
        <v>5.04</v>
      </c>
      <c r="O19" s="113" t="n">
        <f aca="false">21.13*1.05</f>
        <v>22.1865</v>
      </c>
      <c r="P19" s="92" t="n">
        <f aca="false">M19-(N19+O19)</f>
        <v>164.7735</v>
      </c>
      <c r="Q19" s="183" t="n">
        <v>66</v>
      </c>
      <c r="R19" s="183" t="n">
        <v>75</v>
      </c>
      <c r="S19" s="113" t="n">
        <f aca="false">SUM(P19:R19)</f>
        <v>305.7735</v>
      </c>
      <c r="T19" s="114" t="n">
        <f aca="false">T18+AE19-(AF19/1.9835)+AG19</f>
        <v>14014.1009102077</v>
      </c>
      <c r="U19" s="113" t="n">
        <v>231.97</v>
      </c>
      <c r="V19" s="243" t="n">
        <v>38</v>
      </c>
      <c r="W19" s="244" t="n">
        <f aca="false">W18-V19</f>
        <v>6011.49231157046</v>
      </c>
      <c r="X19" s="6" t="n">
        <f aca="false">N19+O19+S19+U19+V19</f>
        <v>602.97</v>
      </c>
      <c r="Y19" s="113" t="n">
        <f aca="false">IF(L19&lt;0,L19*-1,0)</f>
        <v>0</v>
      </c>
      <c r="Z19" s="113" t="n">
        <f aca="false">X19+Y19</f>
        <v>602.97</v>
      </c>
      <c r="AA19" s="365" t="n">
        <v>0</v>
      </c>
      <c r="AB19" s="119" t="n">
        <v>91</v>
      </c>
      <c r="AC19" s="169" t="n">
        <v>53</v>
      </c>
      <c r="AD19" s="120" t="n">
        <v>0</v>
      </c>
      <c r="AE19" s="89" t="n">
        <f aca="false">(I19-8-2.7)-(S19-8)</f>
        <v>-193.4735</v>
      </c>
      <c r="AF19" s="354" t="n">
        <f aca="false">23.5*(T18*1.9835-S19*1.9835)/E19</f>
        <v>8.57270613426431</v>
      </c>
      <c r="AG19" s="250" t="n">
        <v>15</v>
      </c>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1.1" hidden="false" customHeight="true" outlineLevel="0" collapsed="false">
      <c r="A20" s="120" t="n">
        <f aca="false">A19+1</f>
        <v>9</v>
      </c>
      <c r="B20" s="170" t="n">
        <v>6883.39</v>
      </c>
      <c r="C20" s="114" t="n">
        <v>226586</v>
      </c>
      <c r="D20" s="119" t="n">
        <f aca="false">C20-C19</f>
        <v>-944</v>
      </c>
      <c r="E20" s="114" t="n">
        <f aca="false">C20-152000</f>
        <v>74586</v>
      </c>
      <c r="F20" s="182" t="n">
        <f aca="false">D20/$D$2</f>
        <v>-475.926392740106</v>
      </c>
      <c r="G20" s="183" t="n">
        <v>110</v>
      </c>
      <c r="H20" s="372" t="n">
        <v>0</v>
      </c>
      <c r="I20" s="113" t="n">
        <f aca="false">G20+H20</f>
        <v>110</v>
      </c>
      <c r="J20" s="185" t="n">
        <f aca="false">IF(L20&gt;0,L20,0)</f>
        <v>14.5736072598941</v>
      </c>
      <c r="K20" s="113" t="n">
        <f aca="false">I20+J20</f>
        <v>124.573607259894</v>
      </c>
      <c r="L20" s="113" t="n">
        <f aca="false">F20-(I20-X20)</f>
        <v>14.5736072598941</v>
      </c>
      <c r="M20" s="186" t="n">
        <v>197</v>
      </c>
      <c r="N20" s="113" t="n">
        <v>0</v>
      </c>
      <c r="O20" s="113" t="n">
        <f aca="false">25.62*1.05</f>
        <v>26.901</v>
      </c>
      <c r="P20" s="92" t="n">
        <f aca="false">M20-(N20+O20)</f>
        <v>170.099</v>
      </c>
      <c r="Q20" s="183" t="n">
        <v>66</v>
      </c>
      <c r="R20" s="183" t="n">
        <v>73</v>
      </c>
      <c r="S20" s="113" t="n">
        <f aca="false">SUM(P20:R20)</f>
        <v>309.099</v>
      </c>
      <c r="T20" s="114" t="n">
        <f aca="false">T19+AE20-(AF20/1.9835)+AG20</f>
        <v>13822.9838405312</v>
      </c>
      <c r="U20" s="113" t="n">
        <v>225.5</v>
      </c>
      <c r="V20" s="243" t="n">
        <v>39</v>
      </c>
      <c r="W20" s="244" t="n">
        <f aca="false">W19-V20</f>
        <v>5972.49231157046</v>
      </c>
      <c r="X20" s="6" t="n">
        <f aca="false">N20+O20+S20+U20+V20</f>
        <v>600.5</v>
      </c>
      <c r="Y20" s="113" t="n">
        <f aca="false">IF(L20&lt;0,L20*-1,0)</f>
        <v>0</v>
      </c>
      <c r="Z20" s="113" t="n">
        <f aca="false">X20+Y20</f>
        <v>600.5</v>
      </c>
      <c r="AA20" s="365" t="n">
        <v>0</v>
      </c>
      <c r="AB20" s="187" t="n">
        <v>93</v>
      </c>
      <c r="AC20" s="169" t="n">
        <v>56</v>
      </c>
      <c r="AD20" s="120" t="n">
        <v>0</v>
      </c>
      <c r="AE20" s="89" t="n">
        <f aca="false">(I20-8-2.7)-(S20-8)</f>
        <v>-201.799</v>
      </c>
      <c r="AF20" s="354" t="n">
        <f aca="false">23.5*(T19*1.9835-S20*1.9835)/E20</f>
        <v>8.56489120329658</v>
      </c>
      <c r="AG20" s="250" t="n">
        <v>15</v>
      </c>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1.1" hidden="false" customHeight="true" outlineLevel="0" collapsed="false">
      <c r="A21" s="120" t="n">
        <f aca="false">A20+1</f>
        <v>10</v>
      </c>
      <c r="B21" s="170" t="n">
        <v>6883.1</v>
      </c>
      <c r="C21" s="114" t="n">
        <v>225674</v>
      </c>
      <c r="D21" s="119" t="n">
        <f aca="false">C21-C20</f>
        <v>-912</v>
      </c>
      <c r="E21" s="114" t="n">
        <f aca="false">C21-152000</f>
        <v>73674</v>
      </c>
      <c r="F21" s="182" t="n">
        <f aca="false">D21/$D$2</f>
        <v>-459.793294681119</v>
      </c>
      <c r="G21" s="183" t="n">
        <v>99</v>
      </c>
      <c r="H21" s="372" t="n">
        <v>0</v>
      </c>
      <c r="I21" s="113" t="n">
        <f aca="false">G21+H21</f>
        <v>99</v>
      </c>
      <c r="J21" s="185" t="n">
        <f aca="false">IF(L21&gt;0,L21,0)</f>
        <v>8.26670531888072</v>
      </c>
      <c r="K21" s="113" t="n">
        <f aca="false">I21+J21</f>
        <v>107.266705318881</v>
      </c>
      <c r="L21" s="113" t="n">
        <f aca="false">F21-(I21-X21)</f>
        <v>8.26670531888072</v>
      </c>
      <c r="M21" s="186" t="n">
        <v>191</v>
      </c>
      <c r="N21" s="113" t="n">
        <v>0</v>
      </c>
      <c r="O21" s="113" t="n">
        <f aca="false">23.11*1.05</f>
        <v>24.2655</v>
      </c>
      <c r="P21" s="92" t="n">
        <f aca="false">M21-(N21+O21)</f>
        <v>166.7345</v>
      </c>
      <c r="Q21" s="183" t="n">
        <v>67</v>
      </c>
      <c r="R21" s="183" t="n">
        <v>74</v>
      </c>
      <c r="S21" s="113" t="n">
        <f aca="false">SUM(P21:R21)</f>
        <v>307.7345</v>
      </c>
      <c r="T21" s="114" t="n">
        <f aca="false">T20+AE21-(AF21/1.9835)+AG21</f>
        <v>13622.2383439856</v>
      </c>
      <c r="U21" s="113" t="n">
        <v>196.06</v>
      </c>
      <c r="V21" s="243" t="n">
        <v>39</v>
      </c>
      <c r="W21" s="244" t="n">
        <f aca="false">W20-V21</f>
        <v>5933.49231157046</v>
      </c>
      <c r="X21" s="6" t="n">
        <f aca="false">N21+O21+S21+U21+V21</f>
        <v>567.06</v>
      </c>
      <c r="Y21" s="113" t="n">
        <f aca="false">IF(L21&lt;0,L21*-1,0)</f>
        <v>0</v>
      </c>
      <c r="Z21" s="113" t="n">
        <f aca="false">X21+Y21</f>
        <v>567.06</v>
      </c>
      <c r="AA21" s="365" t="n">
        <v>0</v>
      </c>
      <c r="AB21" s="119" t="n">
        <v>95</v>
      </c>
      <c r="AC21" s="169" t="n">
        <v>51</v>
      </c>
      <c r="AD21" s="120" t="n">
        <v>0</v>
      </c>
      <c r="AE21" s="89" t="n">
        <f aca="false">(I21-8-2.7)-(S21-8)</f>
        <v>-211.4345</v>
      </c>
      <c r="AF21" s="354" t="n">
        <f aca="false">23.5*(T20*1.9835-S21*1.9835)/E21</f>
        <v>8.55086164825007</v>
      </c>
      <c r="AG21" s="250" t="n">
        <v>15</v>
      </c>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1.1" hidden="false" customHeight="true" outlineLevel="0" collapsed="false">
      <c r="A22" s="120" t="n">
        <f aca="false">A21+1</f>
        <v>11</v>
      </c>
      <c r="B22" s="170" t="n">
        <v>6882.76</v>
      </c>
      <c r="C22" s="114" t="n">
        <v>224614</v>
      </c>
      <c r="D22" s="119" t="n">
        <f aca="false">C22-C21</f>
        <v>-1060</v>
      </c>
      <c r="E22" s="114" t="n">
        <f aca="false">C22-152000</f>
        <v>72614</v>
      </c>
      <c r="F22" s="182" t="n">
        <f aca="false">D22/$D$2</f>
        <v>-534.408873203932</v>
      </c>
      <c r="G22" s="183" t="n">
        <v>136</v>
      </c>
      <c r="H22" s="372" t="n">
        <v>0</v>
      </c>
      <c r="I22" s="113" t="n">
        <f aca="false">G22+H22</f>
        <v>136</v>
      </c>
      <c r="J22" s="185" t="n">
        <f aca="false">IF(L22&gt;0,L22,0)</f>
        <v>0</v>
      </c>
      <c r="K22" s="113" t="n">
        <f aca="false">I22+J22</f>
        <v>136</v>
      </c>
      <c r="L22" s="113" t="n">
        <f aca="false">F22-(I22-X22)</f>
        <v>-111.098873203933</v>
      </c>
      <c r="M22" s="186" t="n">
        <v>191</v>
      </c>
      <c r="N22" s="113" t="n">
        <v>0</v>
      </c>
      <c r="O22" s="113" t="n">
        <f aca="false">21.45*1.05</f>
        <v>22.5225</v>
      </c>
      <c r="P22" s="92" t="n">
        <f aca="false">M22-(N22+O22)</f>
        <v>168.4775</v>
      </c>
      <c r="Q22" s="183" t="n">
        <v>67</v>
      </c>
      <c r="R22" s="183" t="n">
        <v>73</v>
      </c>
      <c r="S22" s="113" t="n">
        <f aca="false">SUM(P22:R22)</f>
        <v>308.4775</v>
      </c>
      <c r="T22" s="114" t="n">
        <f aca="false">T21+AE22-(AF22/1.9835)+AG22</f>
        <v>13457.7521241818</v>
      </c>
      <c r="U22" s="113" t="n">
        <v>190.31</v>
      </c>
      <c r="V22" s="243" t="n">
        <v>38</v>
      </c>
      <c r="W22" s="244" t="n">
        <f aca="false">W21-V22</f>
        <v>5895.49231157046</v>
      </c>
      <c r="X22" s="6" t="n">
        <f aca="false">N22+O22+S22+U22+V22</f>
        <v>559.31</v>
      </c>
      <c r="Y22" s="113" t="n">
        <f aca="false">IF(L22&lt;0,L22*-1,0)</f>
        <v>111.098873203933</v>
      </c>
      <c r="Z22" s="113" t="n">
        <f aca="false">X22+Y22</f>
        <v>670.408873203933</v>
      </c>
      <c r="AA22" s="365" t="n">
        <v>0</v>
      </c>
      <c r="AB22" s="119" t="n">
        <v>95</v>
      </c>
      <c r="AC22" s="169" t="n">
        <v>53</v>
      </c>
      <c r="AD22" s="120" t="n">
        <v>0</v>
      </c>
      <c r="AE22" s="89" t="n">
        <f aca="false">(I22-8-2.7)-(S22-8)</f>
        <v>-175.1775</v>
      </c>
      <c r="AF22" s="354" t="n">
        <f aca="false">23.5*(T21*1.9835-S22*1.9835)/E22</f>
        <v>8.54634573085172</v>
      </c>
      <c r="AG22" s="250" t="n">
        <v>15</v>
      </c>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1.1" hidden="false" customHeight="true" outlineLevel="0" collapsed="false">
      <c r="A23" s="120" t="n">
        <f aca="false">A22+1</f>
        <v>12</v>
      </c>
      <c r="B23" s="170" t="n">
        <v>6882.43</v>
      </c>
      <c r="C23" s="114" t="n">
        <v>223589</v>
      </c>
      <c r="D23" s="119" t="n">
        <f aca="false">C23-C22</f>
        <v>-1025</v>
      </c>
      <c r="E23" s="114" t="n">
        <f aca="false">C23-152000</f>
        <v>71589</v>
      </c>
      <c r="F23" s="182" t="n">
        <f aca="false">D23/$D$2</f>
        <v>-516.763297201916</v>
      </c>
      <c r="G23" s="183" t="n">
        <v>135</v>
      </c>
      <c r="H23" s="372" t="n">
        <v>0</v>
      </c>
      <c r="I23" s="113" t="n">
        <f aca="false">G23+H23</f>
        <v>135</v>
      </c>
      <c r="J23" s="185" t="n">
        <f aca="false">IF(L23&gt;0,L23,0)</f>
        <v>0</v>
      </c>
      <c r="K23" s="113" t="n">
        <f aca="false">I23+J23</f>
        <v>135</v>
      </c>
      <c r="L23" s="113" t="n">
        <f aca="false">F23-(I23-X23)</f>
        <v>-85.2032972019158</v>
      </c>
      <c r="M23" s="186" t="n">
        <v>193</v>
      </c>
      <c r="N23" s="113" t="n">
        <v>0</v>
      </c>
      <c r="O23" s="113" t="n">
        <f aca="false">22.94*1.05</f>
        <v>24.087</v>
      </c>
      <c r="P23" s="92" t="n">
        <f aca="false">M23-(N23+O23)</f>
        <v>168.913</v>
      </c>
      <c r="Q23" s="183" t="n">
        <v>67</v>
      </c>
      <c r="R23" s="183" t="n">
        <v>71</v>
      </c>
      <c r="S23" s="113" t="n">
        <f aca="false">SUM(P23:R23)</f>
        <v>306.913</v>
      </c>
      <c r="T23" s="114" t="n">
        <f aca="false">T22+AE23-(AF23/1.9835)+AG23</f>
        <v>13293.8221939353</v>
      </c>
      <c r="U23" s="113" t="n">
        <v>198.56</v>
      </c>
      <c r="V23" s="243" t="n">
        <v>37</v>
      </c>
      <c r="W23" s="244" t="n">
        <f aca="false">W22-V23</f>
        <v>5858.49231157046</v>
      </c>
      <c r="X23" s="6" t="n">
        <f aca="false">N23+O23+S23+U23+V23</f>
        <v>566.56</v>
      </c>
      <c r="Y23" s="113" t="n">
        <f aca="false">IF(L23&lt;0,L23*-1,0)</f>
        <v>85.2032972019158</v>
      </c>
      <c r="Z23" s="113" t="n">
        <f aca="false">X23+Y23</f>
        <v>651.763297201916</v>
      </c>
      <c r="AA23" s="365" t="n">
        <v>0</v>
      </c>
      <c r="AB23" s="119" t="n">
        <v>94</v>
      </c>
      <c r="AC23" s="169" t="n">
        <v>56</v>
      </c>
      <c r="AD23" s="120" t="n">
        <v>0</v>
      </c>
      <c r="AE23" s="89" t="n">
        <f aca="false">(I23-8-2.7)-(S23-8)</f>
        <v>-174.613</v>
      </c>
      <c r="AF23" s="354" t="n">
        <f aca="false">23.5*(T22*1.9835-S23*1.9835)/E23</f>
        <v>8.56263114397662</v>
      </c>
      <c r="AG23" s="250" t="n">
        <v>15</v>
      </c>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1.1" hidden="false" customHeight="true" outlineLevel="0" collapsed="false">
      <c r="A24" s="120" t="n">
        <f aca="false">A23+1</f>
        <v>13</v>
      </c>
      <c r="B24" s="170" t="n">
        <v>6882.08</v>
      </c>
      <c r="C24" s="114" t="n">
        <v>222502</v>
      </c>
      <c r="D24" s="119" t="n">
        <f aca="false">C24-C23</f>
        <v>-1087</v>
      </c>
      <c r="E24" s="114" t="n">
        <f aca="false">C24-152000</f>
        <v>70502</v>
      </c>
      <c r="F24" s="182" t="n">
        <f aca="false">D24/$D$2</f>
        <v>-548.021174691202</v>
      </c>
      <c r="G24" s="183" t="n">
        <v>134</v>
      </c>
      <c r="H24" s="372" t="n">
        <v>0</v>
      </c>
      <c r="I24" s="113" t="n">
        <f aca="false">G24+H24</f>
        <v>134</v>
      </c>
      <c r="J24" s="185" t="n">
        <f aca="false">IF(L24&gt;0,L24,0)</f>
        <v>0</v>
      </c>
      <c r="K24" s="113" t="n">
        <f aca="false">I24+J24</f>
        <v>134</v>
      </c>
      <c r="L24" s="113" t="n">
        <f aca="false">F24-(I24-X24)</f>
        <v>-134.881174691202</v>
      </c>
      <c r="M24" s="186" t="n">
        <v>194</v>
      </c>
      <c r="N24" s="113" t="n">
        <v>2</v>
      </c>
      <c r="O24" s="113" t="n">
        <f aca="false">22.08*1.05</f>
        <v>23.184</v>
      </c>
      <c r="P24" s="92" t="n">
        <f aca="false">M24-(N24+O24)</f>
        <v>168.816</v>
      </c>
      <c r="Q24" s="183" t="n">
        <v>67</v>
      </c>
      <c r="R24" s="183" t="n">
        <v>70</v>
      </c>
      <c r="S24" s="113" t="n">
        <f aca="false">SUM(P24:R24)</f>
        <v>305.816</v>
      </c>
      <c r="T24" s="114" t="n">
        <f aca="false">T23+AE24-(AF24/1.9835)+AG24</f>
        <v>13129.9769813518</v>
      </c>
      <c r="U24" s="113" t="n">
        <v>179.14</v>
      </c>
      <c r="V24" s="243" t="n">
        <v>37</v>
      </c>
      <c r="W24" s="244" t="n">
        <f aca="false">W23-V24</f>
        <v>5821.49231157046</v>
      </c>
      <c r="X24" s="6" t="n">
        <f aca="false">N24+O24+S24+U24+V24</f>
        <v>547.14</v>
      </c>
      <c r="Y24" s="113" t="n">
        <f aca="false">IF(L24&lt;0,L24*-1,0)</f>
        <v>134.881174691202</v>
      </c>
      <c r="Z24" s="113" t="n">
        <f aca="false">X24+Y24</f>
        <v>682.021174691202</v>
      </c>
      <c r="AA24" s="365" t="n">
        <v>0</v>
      </c>
      <c r="AB24" s="119" t="n">
        <v>96</v>
      </c>
      <c r="AC24" s="169" t="n">
        <v>57</v>
      </c>
      <c r="AD24" s="120" t="n">
        <v>0</v>
      </c>
      <c r="AE24" s="89" t="n">
        <f aca="false">(I24-8-2.7)-(S24-8)</f>
        <v>-174.516</v>
      </c>
      <c r="AF24" s="354" t="n">
        <f aca="false">23.5*(T23*1.9835-S24*1.9835)/E24</f>
        <v>8.58699315924738</v>
      </c>
      <c r="AG24" s="250" t="n">
        <v>15</v>
      </c>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1.1" hidden="false" customHeight="true" outlineLevel="0" collapsed="false">
      <c r="A25" s="120" t="n">
        <f aca="false">A24+1</f>
        <v>14</v>
      </c>
      <c r="B25" s="170" t="n">
        <v>6881.76</v>
      </c>
      <c r="C25" s="114" t="n">
        <v>221517</v>
      </c>
      <c r="D25" s="119" t="n">
        <f aca="false">C25-C24</f>
        <v>-985</v>
      </c>
      <c r="E25" s="114" t="n">
        <f aca="false">C25-152000</f>
        <v>69517</v>
      </c>
      <c r="F25" s="182" t="n">
        <f aca="false">D25/$D$2</f>
        <v>-496.596924628182</v>
      </c>
      <c r="G25" s="183" t="n">
        <v>127</v>
      </c>
      <c r="H25" s="372" t="n">
        <v>0</v>
      </c>
      <c r="I25" s="113" t="n">
        <f aca="false">G25+H25</f>
        <v>127</v>
      </c>
      <c r="J25" s="185" t="n">
        <f aca="false">IF(L25&gt;0,L25,0)</f>
        <v>0</v>
      </c>
      <c r="K25" s="113" t="n">
        <f aca="false">I25+J25</f>
        <v>127</v>
      </c>
      <c r="L25" s="113" t="n">
        <f aca="false">F25-(I25-X25)</f>
        <v>-43.7069246281825</v>
      </c>
      <c r="M25" s="186" t="n">
        <v>196</v>
      </c>
      <c r="N25" s="113" t="n">
        <v>0</v>
      </c>
      <c r="O25" s="113" t="n">
        <f aca="false">19.59*1.05</f>
        <v>20.5695</v>
      </c>
      <c r="P25" s="92" t="n">
        <f aca="false">M25-(N25+O25)</f>
        <v>175.4305</v>
      </c>
      <c r="Q25" s="183" t="n">
        <v>66</v>
      </c>
      <c r="R25" s="183" t="n">
        <v>67</v>
      </c>
      <c r="S25" s="113" t="n">
        <f aca="false">SUM(P25:R25)</f>
        <v>308.4305</v>
      </c>
      <c r="T25" s="114" t="n">
        <f aca="false">T24+AE25-(AF25/1.9835)+AG25</f>
        <v>12956.5121984813</v>
      </c>
      <c r="U25" s="113" t="n">
        <v>212.89</v>
      </c>
      <c r="V25" s="243" t="n">
        <v>38</v>
      </c>
      <c r="W25" s="244" t="n">
        <f aca="false">W24-V25</f>
        <v>5783.49231157046</v>
      </c>
      <c r="X25" s="6" t="n">
        <f aca="false">N25+O25+S25+U25+V25</f>
        <v>579.89</v>
      </c>
      <c r="Y25" s="113" t="n">
        <f aca="false">IF(L25&lt;0,L25*-1,0)</f>
        <v>43.7069246281825</v>
      </c>
      <c r="Z25" s="113" t="n">
        <f aca="false">X25+Y25</f>
        <v>623.596924628183</v>
      </c>
      <c r="AA25" s="365" t="n">
        <v>0</v>
      </c>
      <c r="AB25" s="119" t="n">
        <v>97</v>
      </c>
      <c r="AC25" s="169" t="n">
        <v>57</v>
      </c>
      <c r="AD25" s="120" t="n">
        <v>0</v>
      </c>
      <c r="AE25" s="89" t="n">
        <f aca="false">(I25-8-2.7)-(S25-8)</f>
        <v>-184.1305</v>
      </c>
      <c r="AF25" s="354" t="n">
        <f aca="false">23.5*(T24*1.9835-S25*1.9835)/E25</f>
        <v>8.59705007372861</v>
      </c>
      <c r="AG25" s="250" t="n">
        <v>15</v>
      </c>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1.1" hidden="false" customHeight="true" outlineLevel="0" collapsed="false">
      <c r="A26" s="120" t="n">
        <f aca="false">A25+1</f>
        <v>15</v>
      </c>
      <c r="B26" s="170" t="n">
        <v>6881.45</v>
      </c>
      <c r="C26" s="114" t="n">
        <v>220567</v>
      </c>
      <c r="D26" s="119" t="n">
        <f aca="false">C26-C25</f>
        <v>-950</v>
      </c>
      <c r="E26" s="114" t="n">
        <f aca="false">C26-152000</f>
        <v>68567</v>
      </c>
      <c r="F26" s="182" t="n">
        <f aca="false">D26/$D$2</f>
        <v>-478.951348626166</v>
      </c>
      <c r="G26" s="183" t="n">
        <v>124</v>
      </c>
      <c r="H26" s="372" t="n">
        <v>0</v>
      </c>
      <c r="I26" s="113" t="n">
        <f aca="false">G26+H26</f>
        <v>124</v>
      </c>
      <c r="J26" s="185" t="n">
        <f aca="false">IF(L26&gt;0,L26,0)</f>
        <v>0.828651373834134</v>
      </c>
      <c r="K26" s="113" t="n">
        <f aca="false">I26+J26</f>
        <v>124.828651373834</v>
      </c>
      <c r="L26" s="113" t="n">
        <f aca="false">F26-(I26-X26)</f>
        <v>0.828651373834134</v>
      </c>
      <c r="M26" s="186" t="n">
        <v>197</v>
      </c>
      <c r="N26" s="113" t="n">
        <v>0</v>
      </c>
      <c r="O26" s="113" t="n">
        <f aca="false">21.86*1.05</f>
        <v>22.953</v>
      </c>
      <c r="P26" s="92" t="n">
        <f aca="false">M26-(N26+O26)</f>
        <v>174.047</v>
      </c>
      <c r="Q26" s="183" t="n">
        <v>75</v>
      </c>
      <c r="R26" s="183" t="n">
        <v>69</v>
      </c>
      <c r="S26" s="113" t="n">
        <f aca="false">SUM(P26:R26)</f>
        <v>318.047</v>
      </c>
      <c r="T26" s="114" t="n">
        <f aca="false">T25+AE26-(AF26/1.9835)+AG26</f>
        <v>12770.4336113889</v>
      </c>
      <c r="U26" s="113" t="n">
        <v>225.78</v>
      </c>
      <c r="V26" s="243" t="n">
        <v>37</v>
      </c>
      <c r="W26" s="244" t="n">
        <f aca="false">W25-V26</f>
        <v>5746.49231157046</v>
      </c>
      <c r="X26" s="6" t="n">
        <f aca="false">N26+O26+S26+U26+V26</f>
        <v>603.78</v>
      </c>
      <c r="Y26" s="113" t="n">
        <f aca="false">IF(L26&lt;0,L26*-1,0)</f>
        <v>0</v>
      </c>
      <c r="Z26" s="113" t="n">
        <f aca="false">X26+Y26</f>
        <v>603.78</v>
      </c>
      <c r="AA26" s="365" t="n">
        <v>0</v>
      </c>
      <c r="AB26" s="187" t="n">
        <v>97</v>
      </c>
      <c r="AC26" s="169" t="n">
        <v>62</v>
      </c>
      <c r="AD26" s="120" t="n">
        <v>0</v>
      </c>
      <c r="AE26" s="89" t="n">
        <f aca="false">(I26-8-2.7)-(S26-8)</f>
        <v>-196.747</v>
      </c>
      <c r="AF26" s="354" t="n">
        <f aca="false">23.5*(T25*1.9835-S26*1.9835)/E26</f>
        <v>8.59170299776728</v>
      </c>
      <c r="AG26" s="250" t="n">
        <v>15</v>
      </c>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1.1" hidden="false" customHeight="true" outlineLevel="0" collapsed="false">
      <c r="A27" s="120" t="n">
        <f aca="false">A26+1</f>
        <v>16</v>
      </c>
      <c r="B27" s="170" t="n">
        <v>6881.15</v>
      </c>
      <c r="C27" s="114" t="n">
        <v>219648</v>
      </c>
      <c r="D27" s="119" t="n">
        <f aca="false">C27-C26</f>
        <v>-919</v>
      </c>
      <c r="E27" s="114" t="n">
        <f aca="false">C27-152000</f>
        <v>67648</v>
      </c>
      <c r="F27" s="182" t="n">
        <f aca="false">D27/$D$2</f>
        <v>-463.322409881523</v>
      </c>
      <c r="G27" s="183" t="n">
        <v>125</v>
      </c>
      <c r="H27" s="372" t="n">
        <v>0</v>
      </c>
      <c r="I27" s="113" t="n">
        <f aca="false">G27+H27</f>
        <v>125</v>
      </c>
      <c r="J27" s="185" t="n">
        <f aca="false">IF(L27&gt;0,L27,0)</f>
        <v>0</v>
      </c>
      <c r="K27" s="113" t="n">
        <f aca="false">I27+J27</f>
        <v>125</v>
      </c>
      <c r="L27" s="113" t="n">
        <f aca="false">F27-(I27-X27)</f>
        <v>-20.8224098815226</v>
      </c>
      <c r="M27" s="186" t="n">
        <v>188</v>
      </c>
      <c r="N27" s="113" t="n">
        <v>0</v>
      </c>
      <c r="O27" s="113" t="n">
        <f aca="false">21.05*1.05</f>
        <v>22.1025</v>
      </c>
      <c r="P27" s="92" t="n">
        <f aca="false">M27-(N27+O27)</f>
        <v>165.8975</v>
      </c>
      <c r="Q27" s="183" t="n">
        <v>81</v>
      </c>
      <c r="R27" s="183" t="n">
        <v>73</v>
      </c>
      <c r="S27" s="113" t="n">
        <f aca="false">SUM(P27:R27)</f>
        <v>319.8975</v>
      </c>
      <c r="T27" s="114" t="n">
        <f aca="false">T26+AE27-(AF27/1.9835)+AG27</f>
        <v>12583.5109635853</v>
      </c>
      <c r="U27" s="113" t="n">
        <v>188.5</v>
      </c>
      <c r="V27" s="243" t="n">
        <v>37</v>
      </c>
      <c r="W27" s="244" t="n">
        <f aca="false">W26-V27</f>
        <v>5709.49231157046</v>
      </c>
      <c r="X27" s="6" t="n">
        <f aca="false">N27+O27+S27+U27+V27</f>
        <v>567.5</v>
      </c>
      <c r="Y27" s="113" t="n">
        <f aca="false">IF(L27&lt;0,L27*-1,0)</f>
        <v>20.8224098815226</v>
      </c>
      <c r="Z27" s="113" t="n">
        <f aca="false">X27+Y27</f>
        <v>588.322409881523</v>
      </c>
      <c r="AA27" s="365" t="n">
        <v>0</v>
      </c>
      <c r="AB27" s="187" t="n">
        <v>92</v>
      </c>
      <c r="AC27" s="169" t="n">
        <v>65</v>
      </c>
      <c r="AD27" s="120" t="n">
        <v>0</v>
      </c>
      <c r="AE27" s="89" t="n">
        <f aca="false">(I27-8-2.7)-(S27-8)</f>
        <v>-197.5975</v>
      </c>
      <c r="AF27" s="354" t="n">
        <f aca="false">23.5*(T26*1.9835-S27*1.9835)/E27</f>
        <v>8.57893066843198</v>
      </c>
      <c r="AG27" s="250" t="n">
        <v>15</v>
      </c>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1.1" hidden="false" customHeight="true" outlineLevel="0" collapsed="false">
      <c r="A28" s="120" t="n">
        <f aca="false">A27+1</f>
        <v>17</v>
      </c>
      <c r="B28" s="170" t="n">
        <v>6880.78</v>
      </c>
      <c r="C28" s="114" t="n">
        <v>218523</v>
      </c>
      <c r="D28" s="119" t="n">
        <f aca="false">C28-C27</f>
        <v>-1125</v>
      </c>
      <c r="E28" s="114" t="n">
        <f aca="false">C28-152000</f>
        <v>66523</v>
      </c>
      <c r="F28" s="182" t="n">
        <f aca="false">D28/$D$2</f>
        <v>-567.179228636249</v>
      </c>
      <c r="G28" s="183" t="n">
        <v>135</v>
      </c>
      <c r="H28" s="372" t="n">
        <v>0</v>
      </c>
      <c r="I28" s="113" t="n">
        <f aca="false">G28+H28</f>
        <v>135</v>
      </c>
      <c r="J28" s="185" t="n">
        <f aca="false">IF(L28&gt;0,L28,0)</f>
        <v>0</v>
      </c>
      <c r="K28" s="113" t="n">
        <f aca="false">I28+J28</f>
        <v>135</v>
      </c>
      <c r="L28" s="113" t="n">
        <f aca="false">F28-(I28-X28)</f>
        <v>-147.299228636249</v>
      </c>
      <c r="M28" s="186" t="n">
        <v>161</v>
      </c>
      <c r="N28" s="113" t="n">
        <v>0</v>
      </c>
      <c r="O28" s="113" t="n">
        <f aca="false">13.69*1.05</f>
        <v>14.3745</v>
      </c>
      <c r="P28" s="92" t="n">
        <f aca="false">M28-(N28+O28)</f>
        <v>146.6255</v>
      </c>
      <c r="Q28" s="183" t="n">
        <v>80</v>
      </c>
      <c r="R28" s="183" t="n">
        <v>75</v>
      </c>
      <c r="S28" s="113" t="n">
        <f aca="false">SUM(P28:R28)</f>
        <v>301.6255</v>
      </c>
      <c r="T28" s="114" t="n">
        <f aca="false">T27+AE28-(AF28/1.9835)+AG28</f>
        <v>12424.8467490295</v>
      </c>
      <c r="U28" s="113" t="n">
        <v>201.88</v>
      </c>
      <c r="V28" s="243" t="n">
        <v>37</v>
      </c>
      <c r="W28" s="244" t="n">
        <f aca="false">W27-V28</f>
        <v>5672.49231157046</v>
      </c>
      <c r="X28" s="6" t="n">
        <f aca="false">N28+O28+S28+U28+V28</f>
        <v>554.88</v>
      </c>
      <c r="Y28" s="113" t="n">
        <f aca="false">IF(L28&lt;0,L28*-1,0)</f>
        <v>147.299228636249</v>
      </c>
      <c r="Z28" s="113" t="n">
        <f aca="false">X28+Y28</f>
        <v>702.179228636249</v>
      </c>
      <c r="AA28" s="365" t="n">
        <v>0</v>
      </c>
      <c r="AB28" s="187" t="n">
        <v>93</v>
      </c>
      <c r="AC28" s="169" t="n">
        <v>61</v>
      </c>
      <c r="AD28" s="120" t="n">
        <v>0</v>
      </c>
      <c r="AE28" s="89" t="n">
        <f aca="false">(I28-8-2.7)-(S28-8)</f>
        <v>-169.3255</v>
      </c>
      <c r="AF28" s="354" t="n">
        <f aca="false">23.5*(T27*1.9835-S28*1.9835)/E28</f>
        <v>8.60584032139265</v>
      </c>
      <c r="AG28" s="250" t="n">
        <v>15</v>
      </c>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1.1" hidden="false" customHeight="true" outlineLevel="0" collapsed="false">
      <c r="A29" s="120" t="n">
        <f aca="false">A28+1</f>
        <v>18</v>
      </c>
      <c r="B29" s="170" t="n">
        <v>6880.45</v>
      </c>
      <c r="C29" s="114" t="n">
        <v>217525</v>
      </c>
      <c r="D29" s="119" t="n">
        <f aca="false">C29-C28</f>
        <v>-998</v>
      </c>
      <c r="E29" s="114" t="n">
        <f aca="false">C29-152000</f>
        <v>65525</v>
      </c>
      <c r="F29" s="182" t="n">
        <f aca="false">D29/$D$2</f>
        <v>-503.150995714646</v>
      </c>
      <c r="G29" s="183" t="n">
        <v>140</v>
      </c>
      <c r="H29" s="372" t="n">
        <v>0.02</v>
      </c>
      <c r="I29" s="113" t="n">
        <f aca="false">G29+H29</f>
        <v>140.02</v>
      </c>
      <c r="J29" s="185" t="n">
        <f aca="false">IF(L29&gt;0,L29,0)</f>
        <v>0</v>
      </c>
      <c r="K29" s="113" t="n">
        <f aca="false">I29+J29</f>
        <v>140.02</v>
      </c>
      <c r="L29" s="113" t="n">
        <f aca="false">F29-(I29-X29)</f>
        <v>-64.0009957146459</v>
      </c>
      <c r="M29" s="186" t="n">
        <v>182</v>
      </c>
      <c r="N29" s="113" t="n">
        <v>0</v>
      </c>
      <c r="O29" s="113" t="n">
        <f aca="false">16.15*1.05</f>
        <v>16.9575</v>
      </c>
      <c r="P29" s="92" t="n">
        <f aca="false">M29-(N29+O29)</f>
        <v>165.0425</v>
      </c>
      <c r="Q29" s="183" t="n">
        <v>95</v>
      </c>
      <c r="R29" s="183" t="n">
        <v>77</v>
      </c>
      <c r="S29" s="113" t="n">
        <f aca="false">SUM(P29:R29)</f>
        <v>337.0425</v>
      </c>
      <c r="T29" s="114" t="n">
        <f aca="false">T28+AE29-(AF29/1.9835)+AG29</f>
        <v>12235.7890578833</v>
      </c>
      <c r="U29" s="113" t="n">
        <v>188.17</v>
      </c>
      <c r="V29" s="243" t="n">
        <v>37</v>
      </c>
      <c r="W29" s="244" t="n">
        <f aca="false">W28-V29</f>
        <v>5635.49231157046</v>
      </c>
      <c r="X29" s="6" t="n">
        <f aca="false">N29+O29+S29+U29+V29</f>
        <v>579.17</v>
      </c>
      <c r="Y29" s="113" t="n">
        <f aca="false">IF(L29&lt;0,L29*-1,0)</f>
        <v>64.0009957146459</v>
      </c>
      <c r="Z29" s="113" t="n">
        <f aca="false">X29+Y29</f>
        <v>643.170995714646</v>
      </c>
      <c r="AA29" s="365" t="n">
        <v>0</v>
      </c>
      <c r="AB29" s="187" t="n">
        <v>93</v>
      </c>
      <c r="AC29" s="169" t="n">
        <v>62</v>
      </c>
      <c r="AD29" s="120" t="n">
        <v>0</v>
      </c>
      <c r="AE29" s="89" t="n">
        <f aca="false">(I29-8-2.7)-(S29-8)</f>
        <v>-199.7225</v>
      </c>
      <c r="AF29" s="354" t="n">
        <f aca="false">23.5*(T28*1.9835-S29*1.9835)/E29</f>
        <v>8.59885163841016</v>
      </c>
      <c r="AG29" s="250" t="n">
        <v>15</v>
      </c>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1.1" hidden="false" customHeight="true" outlineLevel="0" collapsed="false">
      <c r="A30" s="120" t="n">
        <f aca="false">A29+1</f>
        <v>19</v>
      </c>
      <c r="B30" s="170" t="n">
        <v>6880.15</v>
      </c>
      <c r="C30" s="114" t="n">
        <v>216618</v>
      </c>
      <c r="D30" s="119" t="n">
        <f aca="false">C30-C29</f>
        <v>-907</v>
      </c>
      <c r="E30" s="114" t="n">
        <f aca="false">C30-152000</f>
        <v>64618</v>
      </c>
      <c r="F30" s="182" t="n">
        <f aca="false">D30/$D$2</f>
        <v>-457.272498109403</v>
      </c>
      <c r="G30" s="183" t="n">
        <v>138</v>
      </c>
      <c r="H30" s="372" t="n">
        <v>0.23</v>
      </c>
      <c r="I30" s="113" t="n">
        <f aca="false">G30+H30</f>
        <v>138.23</v>
      </c>
      <c r="J30" s="185" t="n">
        <f aca="false">IF(L30&gt;0,L30,0)</f>
        <v>0</v>
      </c>
      <c r="K30" s="113" t="n">
        <f aca="false">I30+J30</f>
        <v>138.23</v>
      </c>
      <c r="L30" s="113" t="n">
        <f aca="false">F30-(I30-X30)</f>
        <v>-33.1224981094026</v>
      </c>
      <c r="M30" s="186" t="n">
        <v>173</v>
      </c>
      <c r="N30" s="113" t="n">
        <v>0</v>
      </c>
      <c r="O30" s="113" t="n">
        <f aca="false">16.84*1.05</f>
        <v>17.682</v>
      </c>
      <c r="P30" s="92" t="n">
        <f aca="false">M30-(N30+O30)</f>
        <v>155.318</v>
      </c>
      <c r="Q30" s="183" t="n">
        <v>115</v>
      </c>
      <c r="R30" s="183" t="n">
        <v>77</v>
      </c>
      <c r="S30" s="113" t="n">
        <f aca="false">SUM(P30:R30)</f>
        <v>347.318</v>
      </c>
      <c r="T30" s="114" t="n">
        <f aca="false">T29+AE30-(AF30/1.9835)+AG30</f>
        <v>12034.6775091839</v>
      </c>
      <c r="U30" s="113" t="n">
        <v>160.38</v>
      </c>
      <c r="V30" s="243" t="n">
        <v>37</v>
      </c>
      <c r="W30" s="244" t="n">
        <f aca="false">W29-V30</f>
        <v>5598.49231157046</v>
      </c>
      <c r="X30" s="6" t="n">
        <f aca="false">N30+O30+S30+U30+V30</f>
        <v>562.38</v>
      </c>
      <c r="Y30" s="113" t="n">
        <f aca="false">IF(L30&lt;0,L30*-1,0)</f>
        <v>33.1224981094026</v>
      </c>
      <c r="Z30" s="113" t="n">
        <f aca="false">X30+Y30</f>
        <v>595.502498109402</v>
      </c>
      <c r="AA30" s="365" t="n">
        <v>0</v>
      </c>
      <c r="AB30" s="187" t="n">
        <v>93</v>
      </c>
      <c r="AC30" s="169" t="n">
        <v>61</v>
      </c>
      <c r="AD30" s="120" t="n">
        <v>0</v>
      </c>
      <c r="AE30" s="89" t="n">
        <f aca="false">(I30-8-2.7)-(S30-8)</f>
        <v>-211.788</v>
      </c>
      <c r="AF30" s="354" t="n">
        <f aca="false">23.5*(T29*1.9835-S30*1.9835)/E30</f>
        <v>8.57575884533447</v>
      </c>
      <c r="AG30" s="250" t="n">
        <v>15</v>
      </c>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1.1" hidden="false" customHeight="true" outlineLevel="0" collapsed="false">
      <c r="A31" s="120" t="n">
        <f aca="false">A30+1</f>
        <v>20</v>
      </c>
      <c r="B31" s="170" t="n">
        <v>6879.78</v>
      </c>
      <c r="C31" s="114" t="n">
        <v>215508</v>
      </c>
      <c r="D31" s="119" t="n">
        <f aca="false">C31-C30</f>
        <v>-1110</v>
      </c>
      <c r="E31" s="114" t="n">
        <f aca="false">C31-152000</f>
        <v>63508</v>
      </c>
      <c r="F31" s="182" t="n">
        <f aca="false">D31/$D$2</f>
        <v>-559.616838921099</v>
      </c>
      <c r="G31" s="183" t="n">
        <v>140</v>
      </c>
      <c r="H31" s="372" t="n">
        <v>0.27</v>
      </c>
      <c r="I31" s="113" t="n">
        <f aca="false">G31+H31</f>
        <v>140.27</v>
      </c>
      <c r="J31" s="185" t="n">
        <f aca="false">IF(L31&gt;0,L31,0)</f>
        <v>0</v>
      </c>
      <c r="K31" s="113" t="n">
        <f aca="false">I31+J31</f>
        <v>140.27</v>
      </c>
      <c r="L31" s="113" t="n">
        <f aca="false">F31-(I31-X31)</f>
        <v>-142.336838921099</v>
      </c>
      <c r="M31" s="186" t="n">
        <v>167</v>
      </c>
      <c r="N31" s="113" t="n">
        <v>2</v>
      </c>
      <c r="O31" s="113" t="n">
        <f aca="false">19.24*1.05</f>
        <v>20.202</v>
      </c>
      <c r="P31" s="92" t="n">
        <f aca="false">M31-(N31+O31)</f>
        <v>144.798</v>
      </c>
      <c r="Q31" s="183" t="n">
        <v>132</v>
      </c>
      <c r="R31" s="183" t="n">
        <v>76</v>
      </c>
      <c r="S31" s="113" t="n">
        <f aca="false">SUM(P31:R31)</f>
        <v>352.798</v>
      </c>
      <c r="T31" s="114" t="n">
        <f aca="false">T30+AE31-(AF31/1.9835)+AG31</f>
        <v>11830.1268385209</v>
      </c>
      <c r="U31" s="113" t="n">
        <v>145.55</v>
      </c>
      <c r="V31" s="243" t="n">
        <v>37</v>
      </c>
      <c r="W31" s="244" t="n">
        <f aca="false">W30-V31</f>
        <v>5561.49231157046</v>
      </c>
      <c r="X31" s="6" t="n">
        <f aca="false">N31+O31+S31+U31+V31</f>
        <v>557.55</v>
      </c>
      <c r="Y31" s="113" t="n">
        <f aca="false">IF(L31&lt;0,L31*-1,0)</f>
        <v>142.336838921099</v>
      </c>
      <c r="Z31" s="113" t="n">
        <f aca="false">X31+Y31</f>
        <v>699.886838921099</v>
      </c>
      <c r="AA31" s="365" t="n">
        <v>0.03</v>
      </c>
      <c r="AB31" s="187" t="n">
        <v>91</v>
      </c>
      <c r="AC31" s="169" t="n">
        <v>62</v>
      </c>
      <c r="AD31" s="120" t="n">
        <v>0</v>
      </c>
      <c r="AE31" s="89" t="n">
        <f aca="false">(I31-8-2.7)-(S31-8)</f>
        <v>-215.228</v>
      </c>
      <c r="AF31" s="354" t="n">
        <f aca="false">23.5*(T30*1.9835-S31*1.9835)/E31</f>
        <v>8.57401726006105</v>
      </c>
      <c r="AG31" s="250" t="n">
        <v>15</v>
      </c>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1.1" hidden="false" customHeight="true" outlineLevel="0" collapsed="false">
      <c r="A32" s="120" t="n">
        <f aca="false">A31+1</f>
        <v>21</v>
      </c>
      <c r="B32" s="170" t="n">
        <v>6879.5</v>
      </c>
      <c r="C32" s="114" t="n">
        <v>214672</v>
      </c>
      <c r="D32" s="119" t="n">
        <f aca="false">C32-C31</f>
        <v>-836</v>
      </c>
      <c r="E32" s="114" t="n">
        <f aca="false">C32-152000</f>
        <v>62672</v>
      </c>
      <c r="F32" s="182" t="n">
        <f aca="false">D32/$D$2</f>
        <v>-421.477186791026</v>
      </c>
      <c r="G32" s="183" t="n">
        <v>134</v>
      </c>
      <c r="H32" s="372" t="n">
        <v>0.28</v>
      </c>
      <c r="I32" s="113" t="n">
        <f aca="false">G32+H32</f>
        <v>134.28</v>
      </c>
      <c r="J32" s="185" t="n">
        <f aca="false">IF(L32&gt;0,L32,0)</f>
        <v>0</v>
      </c>
      <c r="K32" s="113" t="n">
        <f aca="false">I32+J32</f>
        <v>134.28</v>
      </c>
      <c r="L32" s="113" t="n">
        <f aca="false">F32-(I32-X32)</f>
        <v>-19.6671867910259</v>
      </c>
      <c r="M32" s="186" t="n">
        <v>177</v>
      </c>
      <c r="N32" s="113" t="n">
        <v>0</v>
      </c>
      <c r="O32" s="113" t="n">
        <f aca="false">22.11*1.05</f>
        <v>23.2155</v>
      </c>
      <c r="P32" s="92" t="n">
        <f aca="false">M32-(N32+O32)</f>
        <v>153.7845</v>
      </c>
      <c r="Q32" s="183" t="n">
        <v>136</v>
      </c>
      <c r="R32" s="183" t="n">
        <v>76</v>
      </c>
      <c r="S32" s="113" t="n">
        <f aca="false">SUM(P32:R32)</f>
        <v>365.7845</v>
      </c>
      <c r="T32" s="114" t="n">
        <f aca="false">T31+AE32-(AF32/1.9835)+AG32</f>
        <v>11606.6235759961</v>
      </c>
      <c r="U32" s="113" t="n">
        <v>110.09</v>
      </c>
      <c r="V32" s="243" t="n">
        <v>37</v>
      </c>
      <c r="W32" s="244" t="n">
        <f aca="false">W31-V32</f>
        <v>5524.49231157046</v>
      </c>
      <c r="X32" s="6" t="n">
        <f aca="false">N32+O32+S32+U32+V32</f>
        <v>536.09</v>
      </c>
      <c r="Y32" s="113" t="n">
        <f aca="false">IF(L32&lt;0,L32*-1,0)</f>
        <v>19.6671867910259</v>
      </c>
      <c r="Z32" s="113" t="n">
        <f aca="false">X32+Y32</f>
        <v>555.757186791026</v>
      </c>
      <c r="AA32" s="365" t="n">
        <v>0</v>
      </c>
      <c r="AB32" s="119" t="n">
        <v>93</v>
      </c>
      <c r="AC32" s="169" t="n">
        <v>62</v>
      </c>
      <c r="AD32" s="120" t="n">
        <v>0</v>
      </c>
      <c r="AE32" s="89" t="n">
        <f aca="false">(I32-8-2.7)-(S32-8)</f>
        <v>-234.2045</v>
      </c>
      <c r="AF32" s="354" t="n">
        <f aca="false">23.5*(T31*1.9835-S32*1.9835)/E32</f>
        <v>8.52659546797168</v>
      </c>
      <c r="AG32" s="250" t="n">
        <v>15</v>
      </c>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1.1" hidden="false" customHeight="true" outlineLevel="0" collapsed="false">
      <c r="A33" s="120" t="n">
        <f aca="false">A32+1</f>
        <v>22</v>
      </c>
      <c r="B33" s="170" t="n">
        <v>6879.21</v>
      </c>
      <c r="C33" s="114" t="n">
        <v>213806</v>
      </c>
      <c r="D33" s="119" t="n">
        <f aca="false">C33-C32</f>
        <v>-866</v>
      </c>
      <c r="E33" s="114" t="n">
        <f aca="false">C33-152000</f>
        <v>61806</v>
      </c>
      <c r="F33" s="182" t="n">
        <f aca="false">D33/$D$2</f>
        <v>-436.601966221326</v>
      </c>
      <c r="G33" s="183" t="n">
        <v>137</v>
      </c>
      <c r="H33" s="372" t="n">
        <v>0.29</v>
      </c>
      <c r="I33" s="113" t="n">
        <f aca="false">G33+H33</f>
        <v>137.29</v>
      </c>
      <c r="J33" s="185" t="n">
        <f aca="false">IF(L33&gt;0,L33,0)</f>
        <v>2.1080337786741</v>
      </c>
      <c r="K33" s="113" t="n">
        <f aca="false">I33+J33</f>
        <v>139.398033778674</v>
      </c>
      <c r="L33" s="113" t="n">
        <f aca="false">F33-(I33-X33)</f>
        <v>2.1080337786741</v>
      </c>
      <c r="M33" s="186" t="n">
        <v>182</v>
      </c>
      <c r="N33" s="113" t="n">
        <v>0</v>
      </c>
      <c r="O33" s="113" t="n">
        <f aca="false">24.23*1.05</f>
        <v>25.4415</v>
      </c>
      <c r="P33" s="92" t="n">
        <f aca="false">M33-(N33+O33)</f>
        <v>156.5585</v>
      </c>
      <c r="Q33" s="183" t="n">
        <v>136</v>
      </c>
      <c r="R33" s="183" t="n">
        <v>77</v>
      </c>
      <c r="S33" s="113" t="n">
        <f aca="false">SUM(P33:R33)</f>
        <v>369.5585</v>
      </c>
      <c r="T33" s="114" t="n">
        <f aca="false">T32+AE33-(AF33/1.9835)+AG33</f>
        <v>11382.3824968082</v>
      </c>
      <c r="U33" s="113" t="n">
        <v>144</v>
      </c>
      <c r="V33" s="243" t="n">
        <v>37</v>
      </c>
      <c r="W33" s="244" t="n">
        <f aca="false">W32-V33</f>
        <v>5487.49231157046</v>
      </c>
      <c r="X33" s="6" t="n">
        <f aca="false">N33+O33+S33+U33+V33</f>
        <v>576</v>
      </c>
      <c r="Y33" s="113" t="n">
        <f aca="false">IF(L33&lt;0,L33*-1,0)</f>
        <v>0</v>
      </c>
      <c r="Z33" s="113" t="n">
        <f aca="false">X33+Y33</f>
        <v>576</v>
      </c>
      <c r="AA33" s="365" t="n">
        <v>0</v>
      </c>
      <c r="AB33" s="119" t="n">
        <v>91</v>
      </c>
      <c r="AC33" s="169" t="n">
        <v>59</v>
      </c>
      <c r="AD33" s="120" t="n">
        <v>0</v>
      </c>
      <c r="AE33" s="89" t="n">
        <f aca="false">(I33-8-2.7)-(S33-8)</f>
        <v>-234.9685</v>
      </c>
      <c r="AF33" s="354" t="n">
        <f aca="false">23.5*(T32*1.9835-S33*1.9835)/E33</f>
        <v>8.47466081915346</v>
      </c>
      <c r="AG33" s="250" t="n">
        <v>15</v>
      </c>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1.1" hidden="false" customHeight="true" outlineLevel="0" collapsed="false">
      <c r="A34" s="120" t="n">
        <f aca="false">A33+1</f>
        <v>23</v>
      </c>
      <c r="B34" s="170" t="n">
        <v>6878.87</v>
      </c>
      <c r="C34" s="114" t="n">
        <v>212795</v>
      </c>
      <c r="D34" s="119" t="n">
        <f aca="false">C34-C33</f>
        <v>-1011</v>
      </c>
      <c r="E34" s="114" t="n">
        <f aca="false">C34-152000</f>
        <v>60795</v>
      </c>
      <c r="F34" s="182" t="n">
        <f aca="false">D34/$D$2</f>
        <v>-509.705066801109</v>
      </c>
      <c r="G34" s="183" t="n">
        <v>138</v>
      </c>
      <c r="H34" s="372" t="n">
        <v>0.18</v>
      </c>
      <c r="I34" s="113" t="n">
        <f aca="false">G34+H34</f>
        <v>138.18</v>
      </c>
      <c r="J34" s="185" t="n">
        <f aca="false">IF(L34&gt;0,L34,0)</f>
        <v>0</v>
      </c>
      <c r="K34" s="113" t="n">
        <f aca="false">I34+J34</f>
        <v>138.18</v>
      </c>
      <c r="L34" s="113" t="n">
        <f aca="false">F34-(I34-X34)</f>
        <v>-73.0650668011092</v>
      </c>
      <c r="M34" s="186" t="n">
        <v>202</v>
      </c>
      <c r="N34" s="113" t="n">
        <v>0</v>
      </c>
      <c r="O34" s="113" t="n">
        <f aca="false">28.3*1.05</f>
        <v>29.715</v>
      </c>
      <c r="P34" s="92" t="n">
        <f aca="false">M34-(N34+O34)</f>
        <v>172.285</v>
      </c>
      <c r="Q34" s="183" t="n">
        <v>136</v>
      </c>
      <c r="R34" s="183" t="n">
        <v>78</v>
      </c>
      <c r="S34" s="113" t="n">
        <f aca="false">SUM(P34:R34)</f>
        <v>386.285</v>
      </c>
      <c r="T34" s="114" t="n">
        <f aca="false">T33+AE34-(AF34/1.9835)+AG34</f>
        <v>11142.3270108937</v>
      </c>
      <c r="U34" s="113" t="n">
        <v>121.82</v>
      </c>
      <c r="V34" s="243" t="n">
        <v>37</v>
      </c>
      <c r="W34" s="244" t="n">
        <f aca="false">W33-V34</f>
        <v>5450.49231157046</v>
      </c>
      <c r="X34" s="6" t="n">
        <f aca="false">N34+O34+S34+U34+V34</f>
        <v>574.82</v>
      </c>
      <c r="Y34" s="113" t="n">
        <f aca="false">IF(L34&lt;0,L34*-1,0)</f>
        <v>73.0650668011092</v>
      </c>
      <c r="Z34" s="113" t="n">
        <f aca="false">X34+Y34</f>
        <v>647.885066801109</v>
      </c>
      <c r="AA34" s="365" t="n">
        <v>0</v>
      </c>
      <c r="AB34" s="119" t="n">
        <v>86</v>
      </c>
      <c r="AC34" s="188" t="n">
        <v>67</v>
      </c>
      <c r="AD34" s="120" t="n">
        <v>0</v>
      </c>
      <c r="AE34" s="89" t="n">
        <f aca="false">(I34-8-2.7)-(S34-8)</f>
        <v>-250.805</v>
      </c>
      <c r="AF34" s="354" t="n">
        <f aca="false">23.5*(T33*1.9835-S34*1.9835)/E34</f>
        <v>8.4308388115075</v>
      </c>
      <c r="AG34" s="250" t="n">
        <v>15</v>
      </c>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1.1" hidden="false" customHeight="true" outlineLevel="0" collapsed="false">
      <c r="A35" s="120" t="n">
        <f aca="false">A34+1</f>
        <v>24</v>
      </c>
      <c r="B35" s="170" t="n">
        <v>6878.53</v>
      </c>
      <c r="C35" s="114" t="n">
        <v>211790</v>
      </c>
      <c r="D35" s="119" t="n">
        <f aca="false">C35-C34</f>
        <v>-1005</v>
      </c>
      <c r="E35" s="114" t="n">
        <f aca="false">C35-152000</f>
        <v>59790</v>
      </c>
      <c r="F35" s="182" t="n">
        <f aca="false">D35/$D$2</f>
        <v>-506.680110915049</v>
      </c>
      <c r="G35" s="183" t="n">
        <v>95</v>
      </c>
      <c r="H35" s="372" t="n">
        <v>0.08</v>
      </c>
      <c r="I35" s="113" t="n">
        <f aca="false">G35+H35</f>
        <v>95.08</v>
      </c>
      <c r="J35" s="185" t="n">
        <f aca="false">IF(L35&gt;0,L35,0)</f>
        <v>0</v>
      </c>
      <c r="K35" s="113" t="n">
        <f aca="false">I35+J35</f>
        <v>95.08</v>
      </c>
      <c r="L35" s="113" t="n">
        <f aca="false">F35-(I35-X35)</f>
        <v>-12.4801109150492</v>
      </c>
      <c r="M35" s="186" t="n">
        <v>230</v>
      </c>
      <c r="N35" s="113" t="n">
        <v>0</v>
      </c>
      <c r="O35" s="113" t="n">
        <f aca="false">30.92*1.05</f>
        <v>32.466</v>
      </c>
      <c r="P35" s="92" t="n">
        <f aca="false">M35-(N35+O35)</f>
        <v>197.534</v>
      </c>
      <c r="Q35" s="183" t="n">
        <v>136</v>
      </c>
      <c r="R35" s="183" t="n">
        <v>78</v>
      </c>
      <c r="S35" s="113" t="n">
        <f aca="false">SUM(P35:R35)</f>
        <v>411.534</v>
      </c>
      <c r="T35" s="114" t="n">
        <f aca="false">T34+AE35-(AF35/1.9835)+AG35</f>
        <v>10833.9553551694</v>
      </c>
      <c r="U35" s="113" t="n">
        <v>108.28</v>
      </c>
      <c r="V35" s="243" t="n">
        <v>37</v>
      </c>
      <c r="W35" s="244" t="n">
        <f aca="false">W34-V35</f>
        <v>5413.49231157046</v>
      </c>
      <c r="X35" s="6" t="n">
        <f aca="false">N35+O35+S35+U35+V35</f>
        <v>589.28</v>
      </c>
      <c r="Y35" s="113" t="n">
        <f aca="false">IF(L35&lt;0,L35*-1,0)</f>
        <v>12.4801109150492</v>
      </c>
      <c r="Z35" s="113" t="n">
        <f aca="false">X35+Y35</f>
        <v>601.760110915049</v>
      </c>
      <c r="AA35" s="365" t="n">
        <v>0</v>
      </c>
      <c r="AB35" s="119" t="n">
        <v>91</v>
      </c>
      <c r="AC35" s="188" t="n">
        <v>59</v>
      </c>
      <c r="AD35" s="120" t="n">
        <v>0</v>
      </c>
      <c r="AE35" s="89" t="n">
        <f aca="false">(I35-8-2.7)-(S35-8)</f>
        <v>-319.154</v>
      </c>
      <c r="AF35" s="354" t="n">
        <f aca="false">23.5*(T34*1.9835-S35*1.9835)/E35</f>
        <v>8.3657201291525</v>
      </c>
      <c r="AG35" s="250" t="n">
        <v>15</v>
      </c>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1.1" hidden="false" customHeight="true" outlineLevel="0" collapsed="false">
      <c r="A36" s="120" t="n">
        <f aca="false">A35+1</f>
        <v>25</v>
      </c>
      <c r="B36" s="170" t="n">
        <v>6878.19</v>
      </c>
      <c r="C36" s="114" t="n">
        <v>210786</v>
      </c>
      <c r="D36" s="119" t="n">
        <f aca="false">C36-C35</f>
        <v>-1004</v>
      </c>
      <c r="E36" s="114" t="n">
        <f aca="false">C36-152000</f>
        <v>58786</v>
      </c>
      <c r="F36" s="182" t="n">
        <f aca="false">D36/$D$2</f>
        <v>-506.175951600706</v>
      </c>
      <c r="G36" s="183" t="n">
        <v>80</v>
      </c>
      <c r="H36" s="372" t="n">
        <v>0.09</v>
      </c>
      <c r="I36" s="113" t="n">
        <f aca="false">G36+H36</f>
        <v>80.09</v>
      </c>
      <c r="J36" s="185" t="n">
        <f aca="false">IF(L36&gt;0,L36,0)</f>
        <v>0</v>
      </c>
      <c r="K36" s="113" t="n">
        <f aca="false">I36+J36</f>
        <v>80.09</v>
      </c>
      <c r="L36" s="113" t="n">
        <f aca="false">F36-(I36-X36)</f>
        <v>-6.07595160070576</v>
      </c>
      <c r="M36" s="186" t="n">
        <v>221</v>
      </c>
      <c r="N36" s="113" t="n">
        <v>0</v>
      </c>
      <c r="O36" s="113" t="n">
        <f aca="false">35.25*1.05</f>
        <v>37.0125</v>
      </c>
      <c r="P36" s="92" t="n">
        <f aca="false">M36-(N36+O36)</f>
        <v>183.9875</v>
      </c>
      <c r="Q36" s="183" t="n">
        <v>134</v>
      </c>
      <c r="R36" s="183" t="n">
        <v>77</v>
      </c>
      <c r="S36" s="113" t="n">
        <f aca="false">SUM(P36:R36)</f>
        <v>394.9875</v>
      </c>
      <c r="T36" s="114" t="n">
        <f aca="false">T35+AE36-(AF36/1.9835)+AG36</f>
        <v>10527.184825118</v>
      </c>
      <c r="U36" s="113" t="n">
        <v>111.19</v>
      </c>
      <c r="V36" s="243" t="n">
        <v>37</v>
      </c>
      <c r="W36" s="244" t="n">
        <f aca="false">W35-V36</f>
        <v>5376.49231157046</v>
      </c>
      <c r="X36" s="6" t="n">
        <f aca="false">N36+O36+S36+U36+V36</f>
        <v>580.19</v>
      </c>
      <c r="Y36" s="113" t="n">
        <f aca="false">IF(L36&lt;0,L36*-1,0)</f>
        <v>6.07595160070576</v>
      </c>
      <c r="Z36" s="113" t="n">
        <f aca="false">X36+Y36</f>
        <v>586.265951600706</v>
      </c>
      <c r="AA36" s="365" t="n">
        <v>0</v>
      </c>
      <c r="AB36" s="119" t="n">
        <v>90</v>
      </c>
      <c r="AC36" s="188" t="n">
        <v>60</v>
      </c>
      <c r="AD36" s="120" t="n">
        <v>0</v>
      </c>
      <c r="AE36" s="89" t="n">
        <f aca="false">(I36-8-2.7)-(S36-8)</f>
        <v>-317.5975</v>
      </c>
      <c r="AF36" s="354" t="n">
        <f aca="false">23.5*(T35*1.9835-S36*1.9835)/E36</f>
        <v>8.27720510677913</v>
      </c>
      <c r="AG36" s="250" t="n">
        <v>15</v>
      </c>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1.1" hidden="false" customHeight="true" outlineLevel="0" collapsed="false">
      <c r="A37" s="120" t="n">
        <f aca="false">A36+1</f>
        <v>26</v>
      </c>
      <c r="B37" s="170" t="n">
        <v>6877.84</v>
      </c>
      <c r="C37" s="114" t="n">
        <v>209757</v>
      </c>
      <c r="D37" s="119" t="n">
        <f aca="false">C37-C36</f>
        <v>-1029</v>
      </c>
      <c r="E37" s="114" t="n">
        <f aca="false">C37-152000</f>
        <v>57757</v>
      </c>
      <c r="F37" s="182" t="n">
        <f aca="false">D37/$D$2</f>
        <v>-518.779934459289</v>
      </c>
      <c r="G37" s="183" t="n">
        <v>74</v>
      </c>
      <c r="H37" s="372" t="n">
        <v>0.12</v>
      </c>
      <c r="I37" s="113" t="n">
        <f aca="false">G37+H37</f>
        <v>74.12</v>
      </c>
      <c r="J37" s="185" t="n">
        <f aca="false">IF(L37&gt;0,L37,0)</f>
        <v>0</v>
      </c>
      <c r="K37" s="113" t="n">
        <f aca="false">I37+J37</f>
        <v>74.12</v>
      </c>
      <c r="L37" s="113" t="n">
        <f aca="false">F37-(I37-X37)</f>
        <v>-6.65993445928916</v>
      </c>
      <c r="M37" s="186" t="n">
        <v>235</v>
      </c>
      <c r="N37" s="113" t="n">
        <v>0</v>
      </c>
      <c r="O37" s="113" t="n">
        <f aca="false">35.76*1.05</f>
        <v>37.548</v>
      </c>
      <c r="P37" s="92" t="n">
        <f aca="false">M37-(N37+O37)</f>
        <v>197.452</v>
      </c>
      <c r="Q37" s="183" t="n">
        <v>133</v>
      </c>
      <c r="R37" s="183" t="n">
        <v>77</v>
      </c>
      <c r="S37" s="113" t="n">
        <f aca="false">SUM(P37:R37)</f>
        <v>407.452</v>
      </c>
      <c r="T37" s="114" t="n">
        <f aca="false">T36+AE37-(AF37/1.9835)+AG37</f>
        <v>10202.0353376899</v>
      </c>
      <c r="U37" s="113" t="n">
        <v>103.24</v>
      </c>
      <c r="V37" s="243" t="n">
        <v>38</v>
      </c>
      <c r="W37" s="244" t="n">
        <f aca="false">W36-V37</f>
        <v>5338.49231157046</v>
      </c>
      <c r="X37" s="6" t="n">
        <f aca="false">N37+O37+S37+U37+V37</f>
        <v>586.24</v>
      </c>
      <c r="Y37" s="113" t="n">
        <f aca="false">IF(L37&lt;0,L37*-1,0)</f>
        <v>6.65993445928916</v>
      </c>
      <c r="Z37" s="113" t="n">
        <f aca="false">X37+Y37</f>
        <v>592.899934459289</v>
      </c>
      <c r="AA37" s="365" t="n">
        <v>0</v>
      </c>
      <c r="AB37" s="119" t="n">
        <v>92</v>
      </c>
      <c r="AC37" s="169" t="n">
        <v>60</v>
      </c>
      <c r="AD37" s="120" t="n">
        <v>0</v>
      </c>
      <c r="AE37" s="89" t="n">
        <f aca="false">(I37-8-2.7)-(S37-8)</f>
        <v>-336.032</v>
      </c>
      <c r="AF37" s="354" t="n">
        <f aca="false">23.5*(T36*1.9835-S37*1.9835)/E37</f>
        <v>8.16703631382532</v>
      </c>
      <c r="AG37" s="250" t="n">
        <v>15</v>
      </c>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1.1" hidden="false" customHeight="true" outlineLevel="0" collapsed="false">
      <c r="A38" s="120" t="n">
        <f aca="false">A37+1</f>
        <v>27</v>
      </c>
      <c r="B38" s="170" t="n">
        <v>6877.5</v>
      </c>
      <c r="C38" s="114" t="n">
        <v>208764</v>
      </c>
      <c r="D38" s="119" t="n">
        <f aca="false">C38-C37</f>
        <v>-993</v>
      </c>
      <c r="E38" s="114" t="n">
        <f aca="false">C38-152000</f>
        <v>56764</v>
      </c>
      <c r="F38" s="182" t="n">
        <f aca="false">D38/$D$2</f>
        <v>-500.630199142929</v>
      </c>
      <c r="G38" s="183" t="n">
        <v>75</v>
      </c>
      <c r="H38" s="372" t="n">
        <v>0.35</v>
      </c>
      <c r="I38" s="113" t="n">
        <f aca="false">G38+H38</f>
        <v>75.35</v>
      </c>
      <c r="J38" s="185" t="n">
        <f aca="false">IF(L38&gt;0,L38,0)</f>
        <v>0</v>
      </c>
      <c r="K38" s="113" t="n">
        <f aca="false">I38+J38</f>
        <v>75.35</v>
      </c>
      <c r="L38" s="113" t="n">
        <f aca="false">F38-(I38-X38)</f>
        <v>-14.5301991429291</v>
      </c>
      <c r="M38" s="186" t="n">
        <v>240</v>
      </c>
      <c r="N38" s="113" t="n">
        <v>6</v>
      </c>
      <c r="O38" s="113" t="n">
        <f aca="false">36.28*1.05</f>
        <v>38.094</v>
      </c>
      <c r="P38" s="92" t="n">
        <f aca="false">M38-(N38+O38)</f>
        <v>195.906</v>
      </c>
      <c r="Q38" s="183" t="n">
        <v>134</v>
      </c>
      <c r="R38" s="183" t="n">
        <v>77</v>
      </c>
      <c r="S38" s="113" t="n">
        <f aca="false">SUM(P38:R38)</f>
        <v>406.906</v>
      </c>
      <c r="T38" s="114" t="n">
        <f aca="false">T37+AE38-(AF38/1.9835)+AG38</f>
        <v>9878.72420522146</v>
      </c>
      <c r="U38" s="113" t="n">
        <v>72.45</v>
      </c>
      <c r="V38" s="243" t="n">
        <v>38</v>
      </c>
      <c r="W38" s="244" t="n">
        <f aca="false">W37-V38</f>
        <v>5300.49231157046</v>
      </c>
      <c r="X38" s="6" t="n">
        <f aca="false">N38+O38+S38+U38+V38</f>
        <v>561.45</v>
      </c>
      <c r="Y38" s="113" t="n">
        <f aca="false">IF(L38&lt;0,L38*-1,0)</f>
        <v>14.5301991429291</v>
      </c>
      <c r="Z38" s="113" t="n">
        <f aca="false">X38+Y38</f>
        <v>575.980199142929</v>
      </c>
      <c r="AA38" s="365" t="n">
        <v>0.11</v>
      </c>
      <c r="AB38" s="119" t="n">
        <v>88</v>
      </c>
      <c r="AC38" s="169" t="n">
        <v>56</v>
      </c>
      <c r="AD38" s="120" t="n">
        <v>0</v>
      </c>
      <c r="AE38" s="89" t="n">
        <f aca="false">(I38-8-2.7)-(S38-8)</f>
        <v>-334.256</v>
      </c>
      <c r="AF38" s="354" t="n">
        <f aca="false">23.5*(T37*1.9835-S38*1.9835)/E38</f>
        <v>8.04335525105232</v>
      </c>
      <c r="AG38" s="250" t="n">
        <v>15</v>
      </c>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1.1" hidden="false" customHeight="true" outlineLevel="0" collapsed="false">
      <c r="A39" s="120" t="n">
        <f aca="false">A38+1</f>
        <v>28</v>
      </c>
      <c r="B39" s="170" t="n">
        <v>6877.16</v>
      </c>
      <c r="C39" s="114" t="n">
        <v>207771</v>
      </c>
      <c r="D39" s="119" t="n">
        <f aca="false">C39-C38</f>
        <v>-993</v>
      </c>
      <c r="E39" s="114" t="n">
        <f aca="false">C39-152000</f>
        <v>55771</v>
      </c>
      <c r="F39" s="182" t="n">
        <f aca="false">D39/$D$2</f>
        <v>-500.630199142929</v>
      </c>
      <c r="G39" s="183" t="n">
        <v>99</v>
      </c>
      <c r="H39" s="372" t="n">
        <v>0.59</v>
      </c>
      <c r="I39" s="113" t="n">
        <f aca="false">G39+H39</f>
        <v>99.59</v>
      </c>
      <c r="J39" s="185" t="n">
        <f aca="false">IF(L39&gt;0,L39,0)</f>
        <v>10.5098008570707</v>
      </c>
      <c r="K39" s="113" t="n">
        <f aca="false">I39+J39</f>
        <v>110.099800857071</v>
      </c>
      <c r="L39" s="113" t="n">
        <f aca="false">F39-(I39-X39)</f>
        <v>10.5098008570707</v>
      </c>
      <c r="M39" s="186" t="n">
        <v>217</v>
      </c>
      <c r="N39" s="113" t="n">
        <v>0</v>
      </c>
      <c r="O39" s="113" t="n">
        <f aca="false">29.82*1.05</f>
        <v>31.311</v>
      </c>
      <c r="P39" s="92" t="n">
        <f aca="false">M39-(N39+O39)</f>
        <v>185.689</v>
      </c>
      <c r="Q39" s="183" t="n">
        <v>133</v>
      </c>
      <c r="R39" s="183" t="n">
        <v>77</v>
      </c>
      <c r="S39" s="113" t="n">
        <f aca="false">SUM(P39:R39)</f>
        <v>395.689</v>
      </c>
      <c r="T39" s="114" t="n">
        <f aca="false">T38+AE39-(AF39/1.9835)+AG39</f>
        <v>9590.92937715091</v>
      </c>
      <c r="U39" s="113" t="n">
        <v>146.73</v>
      </c>
      <c r="V39" s="243" t="n">
        <v>37</v>
      </c>
      <c r="W39" s="244" t="n">
        <f aca="false">W38-V39</f>
        <v>5263.49231157046</v>
      </c>
      <c r="X39" s="6" t="n">
        <f aca="false">N39+O39+S39+U39+V39</f>
        <v>610.73</v>
      </c>
      <c r="Y39" s="113" t="n">
        <f aca="false">IF(L39&lt;0,L39*-1,0)</f>
        <v>0</v>
      </c>
      <c r="Z39" s="113" t="n">
        <f aca="false">X39+Y39</f>
        <v>610.73</v>
      </c>
      <c r="AA39" s="365" t="n">
        <v>0.02</v>
      </c>
      <c r="AB39" s="119" t="n">
        <v>84</v>
      </c>
      <c r="AC39" s="169" t="n">
        <v>54</v>
      </c>
      <c r="AD39" s="120" t="n">
        <v>0</v>
      </c>
      <c r="AE39" s="89" t="n">
        <f aca="false">(I39-8-2.7)-(S39-8)</f>
        <v>-298.799</v>
      </c>
      <c r="AF39" s="354" t="n">
        <f aca="false">23.5*(T38*1.9835-S39*1.9835)/E39</f>
        <v>7.92572497793807</v>
      </c>
      <c r="AG39" s="250" t="n">
        <v>15</v>
      </c>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1.1" hidden="false" customHeight="true" outlineLevel="0" collapsed="false">
      <c r="A40" s="120" t="n">
        <f aca="false">A39+1</f>
        <v>29</v>
      </c>
      <c r="B40" s="170" t="n">
        <v>6876.85</v>
      </c>
      <c r="C40" s="114" t="n">
        <v>206870</v>
      </c>
      <c r="D40" s="119" t="n">
        <f aca="false">C40-C39</f>
        <v>-901</v>
      </c>
      <c r="E40" s="114" t="n">
        <f aca="false">C40-152000</f>
        <v>54870</v>
      </c>
      <c r="F40" s="182" t="n">
        <f aca="false">D40/$D$2</f>
        <v>-454.247542223343</v>
      </c>
      <c r="G40" s="183" t="n">
        <v>169</v>
      </c>
      <c r="H40" s="372" t="n">
        <v>0.63</v>
      </c>
      <c r="I40" s="113" t="n">
        <f aca="false">G40+H40</f>
        <v>169.63</v>
      </c>
      <c r="J40" s="185" t="n">
        <f aca="false">IF(L40&gt;0,L40,0)</f>
        <v>0</v>
      </c>
      <c r="K40" s="113" t="n">
        <f aca="false">I40+J40</f>
        <v>169.63</v>
      </c>
      <c r="L40" s="113" t="n">
        <f aca="false">F40-(I40-X40)</f>
        <v>-14.0875422233426</v>
      </c>
      <c r="M40" s="186" t="n">
        <v>228</v>
      </c>
      <c r="N40" s="113" t="n">
        <v>0</v>
      </c>
      <c r="O40" s="113" t="n">
        <f aca="false">32.03*1.05</f>
        <v>33.6315</v>
      </c>
      <c r="P40" s="92" t="n">
        <f aca="false">M40-(N40+O40)</f>
        <v>194.3685</v>
      </c>
      <c r="Q40" s="183" t="n">
        <v>136</v>
      </c>
      <c r="R40" s="183" t="n">
        <v>77</v>
      </c>
      <c r="S40" s="113" t="n">
        <f aca="false">SUM(P40:R40)</f>
        <v>407.3685</v>
      </c>
      <c r="T40" s="114" t="n">
        <f aca="false">T39+AE40-(AF40/1.9835)+AG40</f>
        <v>9361.55769543753</v>
      </c>
      <c r="U40" s="113" t="n">
        <v>130.79</v>
      </c>
      <c r="V40" s="243" t="n">
        <v>38</v>
      </c>
      <c r="W40" s="244" t="n">
        <f aca="false">W39-V40</f>
        <v>5225.49231157046</v>
      </c>
      <c r="X40" s="6" t="n">
        <f aca="false">N40+O40+S40+U40+V40</f>
        <v>609.79</v>
      </c>
      <c r="Y40" s="113" t="n">
        <f aca="false">IF(L40&lt;0,L40*-1,0)</f>
        <v>14.0875422233426</v>
      </c>
      <c r="Z40" s="113" t="n">
        <f aca="false">X40+Y40</f>
        <v>623.877542223343</v>
      </c>
      <c r="AA40" s="365" t="n">
        <v>0.08</v>
      </c>
      <c r="AB40" s="187" t="n">
        <v>85</v>
      </c>
      <c r="AC40" s="169" t="n">
        <v>56</v>
      </c>
      <c r="AD40" s="120" t="n">
        <v>0</v>
      </c>
      <c r="AE40" s="89" t="n">
        <f aca="false">(I40-8-2.7)-(S40-8)</f>
        <v>-240.4385</v>
      </c>
      <c r="AF40" s="354" t="n">
        <f aca="false">23.5*(T39*1.9835-S40*1.9835)/E40</f>
        <v>7.8014659284851</v>
      </c>
      <c r="AG40" s="250" t="n">
        <v>15</v>
      </c>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1.1" hidden="false" customHeight="true" outlineLevel="0" collapsed="false">
      <c r="A41" s="120" t="n">
        <v>30</v>
      </c>
      <c r="B41" s="170" t="n">
        <v>6876.66</v>
      </c>
      <c r="C41" s="114" t="n">
        <v>206321</v>
      </c>
      <c r="D41" s="119" t="n">
        <f aca="false">C41-C40</f>
        <v>-549</v>
      </c>
      <c r="E41" s="114" t="n">
        <f aca="false">C41-152000</f>
        <v>54321</v>
      </c>
      <c r="F41" s="182" t="n">
        <f aca="false">D41/$D$2</f>
        <v>-276.78346357449</v>
      </c>
      <c r="G41" s="183" t="n">
        <v>180</v>
      </c>
      <c r="H41" s="372" t="n">
        <v>0.27</v>
      </c>
      <c r="I41" s="113" t="n">
        <f aca="false">G41+H41</f>
        <v>180.27</v>
      </c>
      <c r="J41" s="185" t="n">
        <f aca="false">IF(L41&gt;0,L41,0)</f>
        <v>58.9965364255104</v>
      </c>
      <c r="K41" s="113" t="n">
        <f aca="false">I41+J41</f>
        <v>239.26653642551</v>
      </c>
      <c r="L41" s="113" t="n">
        <f aca="false">F41-(I41-X41)</f>
        <v>58.9965364255104</v>
      </c>
      <c r="M41" s="186" t="n">
        <v>197</v>
      </c>
      <c r="N41" s="113" t="n">
        <v>0</v>
      </c>
      <c r="O41" s="113" t="n">
        <f aca="false">32.32*1.05</f>
        <v>33.936</v>
      </c>
      <c r="P41" s="92" t="n">
        <f aca="false">M41-(N41+O41)</f>
        <v>163.064</v>
      </c>
      <c r="Q41" s="183" t="n">
        <v>134</v>
      </c>
      <c r="R41" s="183" t="n">
        <v>76</v>
      </c>
      <c r="S41" s="113" t="n">
        <f aca="false">SUM(P41:R41)</f>
        <v>373.064</v>
      </c>
      <c r="T41" s="114" t="n">
        <f aca="false">T40+AE41-(AF41/1.9835)+AG41</f>
        <v>9177.17515137828</v>
      </c>
      <c r="U41" s="113" t="n">
        <v>71.05</v>
      </c>
      <c r="V41" s="243" t="n">
        <v>38</v>
      </c>
      <c r="W41" s="244" t="n">
        <f aca="false">W40-V41</f>
        <v>5187.49231157046</v>
      </c>
      <c r="X41" s="6" t="n">
        <f aca="false">N41+O41+S41+U41+V41</f>
        <v>516.05</v>
      </c>
      <c r="Y41" s="113" t="n">
        <f aca="false">IF(L41&lt;0,L41*-1,0)</f>
        <v>0</v>
      </c>
      <c r="Z41" s="113" t="n">
        <f aca="false">X41+Y41</f>
        <v>516.05</v>
      </c>
      <c r="AA41" s="365" t="n">
        <v>0</v>
      </c>
      <c r="AB41" s="187" t="n">
        <v>88</v>
      </c>
      <c r="AC41" s="169" t="n">
        <v>56</v>
      </c>
      <c r="AD41" s="120" t="n">
        <v>0</v>
      </c>
      <c r="AE41" s="89" t="n">
        <f aca="false">(I41-8-2.7)-(S41-8)</f>
        <v>-195.494</v>
      </c>
      <c r="AF41" s="354" t="n">
        <f aca="false">23.5*(T40*1.9835-S41*1.9835)/E41</f>
        <v>7.71292714153197</v>
      </c>
      <c r="AG41" s="250" t="n">
        <v>15</v>
      </c>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1.25" hidden="false" customHeight="true" outlineLevel="0" collapsed="false">
      <c r="A42" s="120" t="n">
        <v>31</v>
      </c>
      <c r="B42" s="170" t="n">
        <v>6876.39</v>
      </c>
      <c r="C42" s="114" t="n">
        <v>205542</v>
      </c>
      <c r="D42" s="119" t="n">
        <f aca="false">C42-C41</f>
        <v>-779</v>
      </c>
      <c r="E42" s="114" t="n">
        <f aca="false">C42-152000</f>
        <v>53542</v>
      </c>
      <c r="F42" s="182" t="n">
        <f aca="false">D42/$D$2</f>
        <v>-392.740105873456</v>
      </c>
      <c r="G42" s="183" t="n">
        <v>131</v>
      </c>
      <c r="H42" s="372" t="n">
        <v>0.24</v>
      </c>
      <c r="I42" s="113" t="n">
        <f aca="false">G42+H42</f>
        <v>131.24</v>
      </c>
      <c r="J42" s="185" t="n">
        <f aca="false">IF(L42&gt;0,L42,0)</f>
        <v>0</v>
      </c>
      <c r="K42" s="113" t="n">
        <f aca="false">I42+J42</f>
        <v>131.24</v>
      </c>
      <c r="L42" s="113" t="n">
        <f aca="false">F42-(I42-X42)</f>
        <v>-43.190105873456</v>
      </c>
      <c r="M42" s="186" t="n">
        <v>166</v>
      </c>
      <c r="N42" s="113" t="n">
        <v>0</v>
      </c>
      <c r="O42" s="113" t="n">
        <f aca="false">29.12*1.05</f>
        <v>30.576</v>
      </c>
      <c r="P42" s="92" t="n">
        <f aca="false">M42-(N42+O42)</f>
        <v>135.424</v>
      </c>
      <c r="Q42" s="183" t="n">
        <v>132</v>
      </c>
      <c r="R42" s="183" t="n">
        <v>73</v>
      </c>
      <c r="S42" s="113" t="n">
        <f aca="false">SUM(P42:R42)</f>
        <v>340.424</v>
      </c>
      <c r="T42" s="114" t="n">
        <f aca="false">T41+AE42-(AF42/1.9835)+AG42</f>
        <v>8973.71263260689</v>
      </c>
      <c r="U42" s="113" t="n">
        <v>71.79</v>
      </c>
      <c r="V42" s="243" t="n">
        <v>38</v>
      </c>
      <c r="W42" s="244" t="n">
        <f aca="false">W41-V42</f>
        <v>5149.49231157046</v>
      </c>
      <c r="X42" s="6" t="n">
        <f aca="false">N42+O42+S42+U42+V42</f>
        <v>480.79</v>
      </c>
      <c r="Y42" s="113" t="n">
        <f aca="false">IF(L42&lt;0,L42*-1,0)</f>
        <v>43.190105873456</v>
      </c>
      <c r="Z42" s="113" t="n">
        <f aca="false">X42+Y42</f>
        <v>523.980105873456</v>
      </c>
      <c r="AA42" s="365" t="n">
        <v>0.01</v>
      </c>
      <c r="AB42" s="187" t="n">
        <v>86</v>
      </c>
      <c r="AC42" s="169" t="n">
        <v>58</v>
      </c>
      <c r="AD42" s="120" t="n">
        <v>0</v>
      </c>
      <c r="AE42" s="89" t="n">
        <f aca="false">(I42-8-5.4)-(S42-8)</f>
        <v>-214.584</v>
      </c>
      <c r="AF42" s="354" t="n">
        <f aca="false">23.5*(T41*1.9835-S42*1.9835)/E42</f>
        <v>7.69304198303822</v>
      </c>
      <c r="AG42" s="250" t="n">
        <v>15</v>
      </c>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171"/>
      <c r="B43" s="189"/>
      <c r="C43" s="173"/>
      <c r="D43" s="171"/>
      <c r="E43" s="173"/>
      <c r="F43" s="174"/>
      <c r="G43" s="171"/>
      <c r="H43" s="237"/>
      <c r="I43" s="171"/>
      <c r="J43" s="171"/>
      <c r="K43" s="171"/>
      <c r="L43" s="171"/>
      <c r="M43" s="176"/>
      <c r="N43" s="171"/>
      <c r="O43" s="171" t="n">
        <v>0</v>
      </c>
      <c r="P43" s="177"/>
      <c r="Q43" s="171"/>
      <c r="R43" s="171"/>
      <c r="S43" s="171"/>
      <c r="T43" s="173"/>
      <c r="U43" s="171"/>
      <c r="V43" s="171"/>
      <c r="W43" s="171"/>
      <c r="X43" s="171"/>
      <c r="Y43" s="171"/>
      <c r="Z43" s="171"/>
      <c r="AA43" s="370" t="n">
        <v>0</v>
      </c>
      <c r="AB43" s="179"/>
      <c r="AC43" s="180"/>
      <c r="AD43" s="181"/>
      <c r="AE43" s="232"/>
      <c r="AF43" s="375"/>
      <c r="AG43" s="232"/>
    </row>
    <row r="44" customFormat="false" ht="11.1" hidden="false" customHeight="true" outlineLevel="0" collapsed="false">
      <c r="A44" s="113" t="s">
        <v>54</v>
      </c>
      <c r="B44" s="165"/>
      <c r="C44" s="114"/>
      <c r="D44" s="114"/>
      <c r="E44" s="114"/>
      <c r="F44" s="166" t="n">
        <f aca="false">SUM(F12:F42)</f>
        <v>-15234.6861608268</v>
      </c>
      <c r="G44" s="114" t="n">
        <f aca="false">SUM(G12:G42)</f>
        <v>3944</v>
      </c>
      <c r="H44" s="185" t="n">
        <f aca="false">SUM(H12:H42)</f>
        <v>3.64</v>
      </c>
      <c r="I44" s="114" t="n">
        <f aca="false">SUM(I12:I42)</f>
        <v>3947.64</v>
      </c>
      <c r="J44" s="114" t="n">
        <f aca="false">SUM(J12:J42)</f>
        <v>107.831101588102</v>
      </c>
      <c r="K44" s="114" t="n">
        <f aca="false">SUM(K12:K42)</f>
        <v>4055.4711015881</v>
      </c>
      <c r="L44" s="114" t="n">
        <f aca="false">SUM(L12:L42)</f>
        <v>-1365.85616082682</v>
      </c>
      <c r="M44" s="167" t="n">
        <f aca="false">SUM(M12:M42)</f>
        <v>6153</v>
      </c>
      <c r="N44" s="114" t="n">
        <f aca="false">SUM(N12:N42)</f>
        <v>15.04</v>
      </c>
      <c r="O44" s="114" t="n">
        <f aca="false">SUM(O12:O42)</f>
        <v>834.792</v>
      </c>
      <c r="P44" s="168" t="n">
        <f aca="false">SUM(P12:P42)</f>
        <v>5303.168</v>
      </c>
      <c r="Q44" s="114" t="n">
        <f aca="false">SUM(Q12:Q42)</f>
        <v>2838</v>
      </c>
      <c r="R44" s="114" t="n">
        <f aca="false">SUM(R12:R42)</f>
        <v>2307</v>
      </c>
      <c r="S44" s="114" t="n">
        <f aca="false">SUM(S12:S42)</f>
        <v>10448.168</v>
      </c>
      <c r="T44" s="114"/>
      <c r="U44" s="114" t="n">
        <f aca="false">SUM(U12:U42)</f>
        <v>5346.47</v>
      </c>
      <c r="V44" s="114" t="n">
        <f aca="false">SUM(V12:V42)</f>
        <v>1172</v>
      </c>
      <c r="W44" s="114"/>
      <c r="X44" s="114" t="n">
        <f aca="false">SUM(X12:X42)</f>
        <v>17816.47</v>
      </c>
      <c r="Y44" s="114" t="n">
        <f aca="false">SUM(Y12:Y42)</f>
        <v>1473.68726241492</v>
      </c>
      <c r="Z44" s="114" t="n">
        <f aca="false">SUM(Z12:Z42)</f>
        <v>19290.1572624149</v>
      </c>
      <c r="AA44" s="365" t="n">
        <f aca="false">SUM(AA12:AA42)</f>
        <v>0.25</v>
      </c>
      <c r="AB44" s="119" t="n">
        <f aca="false">AVERAGE(AB12:AB42)</f>
        <v>90.9677419354839</v>
      </c>
      <c r="AC44" s="169" t="n">
        <f aca="false">AVERAGE(AC12:AC42)</f>
        <v>57.3548387096774</v>
      </c>
      <c r="AD44" s="120" t="s">
        <v>84</v>
      </c>
      <c r="AE44" s="367"/>
      <c r="AF44" s="376" t="n">
        <f aca="false">SUM(AF12:AF42)</f>
        <v>260.435493541789</v>
      </c>
      <c r="AG44" s="377" t="n">
        <f aca="false">SUM(AG12:AG42)</f>
        <v>465</v>
      </c>
    </row>
    <row r="45" customFormat="false" ht="11.1" hidden="false" customHeight="true" outlineLevel="0" collapsed="false">
      <c r="A45" s="113" t="s">
        <v>56</v>
      </c>
      <c r="B45" s="165"/>
      <c r="C45" s="114"/>
      <c r="D45" s="114" t="n">
        <f aca="false">SUM(D12:D42)</f>
        <v>-30218</v>
      </c>
      <c r="E45" s="114"/>
      <c r="F45" s="166" t="n">
        <f aca="false">F44*$D$2</f>
        <v>-30218</v>
      </c>
      <c r="G45" s="114" t="n">
        <f aca="false">G44*$D$2</f>
        <v>7822.924</v>
      </c>
      <c r="H45" s="185" t="n">
        <f aca="false">H44*$D$2</f>
        <v>7.21994</v>
      </c>
      <c r="I45" s="114" t="n">
        <f aca="false">I44*$D$2</f>
        <v>7830.14394</v>
      </c>
      <c r="J45" s="114" t="n">
        <f aca="false">J44*$D$2</f>
        <v>213.88299</v>
      </c>
      <c r="K45" s="114" t="n">
        <f aca="false">K44*$D$2</f>
        <v>8044.02693</v>
      </c>
      <c r="L45" s="114" t="n">
        <f aca="false">L44*$D$2</f>
        <v>-2709.175695</v>
      </c>
      <c r="M45" s="167" t="n">
        <f aca="false">M44*$D$2</f>
        <v>12204.4755</v>
      </c>
      <c r="N45" s="114" t="n">
        <f aca="false">N44*$D$2</f>
        <v>29.83184</v>
      </c>
      <c r="O45" s="114" t="n">
        <f aca="false">O44*$D$2</f>
        <v>1655.809932</v>
      </c>
      <c r="P45" s="168" t="n">
        <f aca="false">P44*$D$2</f>
        <v>10518.833728</v>
      </c>
      <c r="Q45" s="114" t="n">
        <f aca="false">Q44*$D$2</f>
        <v>5629.173</v>
      </c>
      <c r="R45" s="114" t="n">
        <f aca="false">R44*$D$2</f>
        <v>4575.9345</v>
      </c>
      <c r="S45" s="114" t="n">
        <f aca="false">S44*$D$2</f>
        <v>20723.941228</v>
      </c>
      <c r="T45" s="114"/>
      <c r="U45" s="114" t="n">
        <f aca="false">U44*$D$2</f>
        <v>10604.723245</v>
      </c>
      <c r="V45" s="114" t="n">
        <f aca="false">V44*$D$2</f>
        <v>2324.662</v>
      </c>
      <c r="W45" s="114"/>
      <c r="X45" s="114" t="n">
        <f aca="false">X44*$D$2</f>
        <v>35338.968245</v>
      </c>
      <c r="Y45" s="114" t="n">
        <f aca="false">Y44*$D$2</f>
        <v>2923.058685</v>
      </c>
      <c r="Z45" s="114" t="n">
        <f aca="false">Z44*$D$2</f>
        <v>38262.02693</v>
      </c>
      <c r="AA45" s="365"/>
      <c r="AB45" s="119" t="n">
        <f aca="false">MAX(AB12:AB42)</f>
        <v>97</v>
      </c>
      <c r="AC45" s="169" t="n">
        <f aca="false">MAX(AC12:AC42)</f>
        <v>67</v>
      </c>
      <c r="AD45" s="120" t="s">
        <v>57</v>
      </c>
      <c r="AE45" s="367"/>
      <c r="AF45" s="354" t="n">
        <f aca="false">AF44*$D$2</f>
        <v>516.573801440139</v>
      </c>
      <c r="AG45" s="377" t="n">
        <f aca="false">AG44*$D$2</f>
        <v>922.3275</v>
      </c>
    </row>
    <row r="46" customFormat="false" ht="3" hidden="false" customHeight="true" outlineLevel="0" collapsed="false">
      <c r="A46" s="171"/>
      <c r="B46" s="189"/>
      <c r="C46" s="173"/>
      <c r="D46" s="173"/>
      <c r="E46" s="173"/>
      <c r="F46" s="190"/>
      <c r="G46" s="173"/>
      <c r="H46" s="237"/>
      <c r="I46" s="173"/>
      <c r="J46" s="173"/>
      <c r="K46" s="173"/>
      <c r="L46" s="173"/>
      <c r="M46" s="191"/>
      <c r="N46" s="173"/>
      <c r="O46" s="173"/>
      <c r="P46" s="192"/>
      <c r="Q46" s="173"/>
      <c r="R46" s="173"/>
      <c r="S46" s="173"/>
      <c r="T46" s="173"/>
      <c r="U46" s="173"/>
      <c r="V46" s="173"/>
      <c r="W46" s="171"/>
      <c r="X46" s="173"/>
      <c r="Y46" s="173"/>
      <c r="Z46" s="173"/>
      <c r="AA46" s="193"/>
      <c r="AB46" s="173"/>
      <c r="AC46" s="190"/>
      <c r="AD46" s="173"/>
      <c r="AE46" s="237"/>
      <c r="AF46" s="375"/>
      <c r="AG46" s="232"/>
    </row>
    <row r="47" customFormat="false" ht="11.1" hidden="false" customHeight="true" outlineLevel="0" collapsed="false">
      <c r="A47" s="113" t="s">
        <v>58</v>
      </c>
      <c r="B47" s="165"/>
      <c r="C47" s="114"/>
      <c r="D47" s="114"/>
      <c r="E47" s="114"/>
      <c r="F47" s="166" t="n">
        <f aca="false">F9+F44</f>
        <v>16413.9147970759</v>
      </c>
      <c r="G47" s="114" t="n">
        <f aca="false">G9+G44</f>
        <v>70332</v>
      </c>
      <c r="H47" s="185" t="n">
        <f aca="false">H9+H44</f>
        <v>1045.07</v>
      </c>
      <c r="I47" s="114" t="n">
        <f aca="false">I9+I44</f>
        <v>71377.07</v>
      </c>
      <c r="J47" s="114" t="n">
        <f aca="false">J9+J44</f>
        <v>5611.94984875221</v>
      </c>
      <c r="K47" s="114" t="n">
        <f aca="false">K9+K44</f>
        <v>76989.0198487522</v>
      </c>
      <c r="L47" s="114" t="n">
        <f aca="false">L9+L44</f>
        <v>1623.94479707588</v>
      </c>
      <c r="M47" s="167" t="n">
        <f aca="false">M9+M44</f>
        <v>21182.38</v>
      </c>
      <c r="N47" s="114" t="n">
        <f aca="false">N9+N44</f>
        <v>35.19</v>
      </c>
      <c r="O47" s="114" t="n">
        <f aca="false">O9+O44</f>
        <v>3705.025025</v>
      </c>
      <c r="P47" s="168" t="n">
        <f aca="false">P9+P44</f>
        <v>17441.812475</v>
      </c>
      <c r="Q47" s="114" t="n">
        <f aca="false">Q9+Q44</f>
        <v>15257.8</v>
      </c>
      <c r="R47" s="114" t="n">
        <f aca="false">R9+R44</f>
        <v>6077.8</v>
      </c>
      <c r="S47" s="114" t="n">
        <f aca="false">S9+S44</f>
        <v>38709.412475</v>
      </c>
      <c r="T47" s="313" t="n">
        <f aca="false">T42</f>
        <v>8973.71263260689</v>
      </c>
      <c r="U47" s="114" t="n">
        <f aca="false">U9+U44</f>
        <v>11047.1</v>
      </c>
      <c r="V47" s="114" t="n">
        <f aca="false">V9+V44</f>
        <v>3092</v>
      </c>
      <c r="W47" s="313" t="n">
        <f aca="false">W42</f>
        <v>5149.49231157046</v>
      </c>
      <c r="X47" s="114" t="n">
        <f aca="false">X9+X44</f>
        <v>56587.1</v>
      </c>
      <c r="Y47" s="114" t="n">
        <f aca="false">Y9+Y44</f>
        <v>3988.00505167633</v>
      </c>
      <c r="Z47" s="114" t="n">
        <f aca="false">Z9+Z44</f>
        <v>60575.1050516763</v>
      </c>
      <c r="AA47" s="365"/>
      <c r="AB47" s="119" t="n">
        <f aca="false">MIN(AB12:AB42)</f>
        <v>84</v>
      </c>
      <c r="AC47" s="169" t="n">
        <f aca="false">MIN(AC12:AC42)</f>
        <v>51</v>
      </c>
      <c r="AD47" s="120" t="s">
        <v>59</v>
      </c>
      <c r="AE47" s="367"/>
      <c r="AF47" s="378" t="n">
        <f aca="false">AF9+AF44</f>
        <v>1073.24162456178</v>
      </c>
      <c r="AG47" s="377" t="n">
        <f aca="false">AG9+AG44</f>
        <v>530.93</v>
      </c>
    </row>
    <row r="48" customFormat="false" ht="11.1" hidden="false" customHeight="true" outlineLevel="0" collapsed="false">
      <c r="A48" s="113" t="s">
        <v>60</v>
      </c>
      <c r="B48" s="165"/>
      <c r="C48" s="114"/>
      <c r="D48" s="114"/>
      <c r="E48" s="114"/>
      <c r="F48" s="166" t="n">
        <f aca="false">F47*$D$2</f>
        <v>32557</v>
      </c>
      <c r="G48" s="114" t="n">
        <f aca="false">G47*$D$2</f>
        <v>139503.522</v>
      </c>
      <c r="H48" s="185" t="n">
        <f aca="false">H47*$D$2</f>
        <v>2072.896345</v>
      </c>
      <c r="I48" s="114" t="n">
        <f aca="false">I47*$D$2</f>
        <v>141576.418345</v>
      </c>
      <c r="J48" s="114" t="n">
        <f aca="false">J47*$D$2</f>
        <v>11131.302525</v>
      </c>
      <c r="K48" s="114" t="n">
        <f aca="false">K47*$D$2</f>
        <v>152707.72087</v>
      </c>
      <c r="L48" s="114" t="n">
        <f aca="false">L47*$D$2</f>
        <v>3221.094505</v>
      </c>
      <c r="M48" s="167" t="n">
        <f aca="false">M47*$D$2</f>
        <v>42015.25073</v>
      </c>
      <c r="N48" s="114" t="n">
        <f aca="false">N47*$D$2</f>
        <v>69.799365</v>
      </c>
      <c r="O48" s="114" t="n">
        <f aca="false">O47*$D$2</f>
        <v>7348.9171370875</v>
      </c>
      <c r="P48" s="168" t="n">
        <f aca="false">P47*$D$2</f>
        <v>34595.8350441625</v>
      </c>
      <c r="Q48" s="114" t="n">
        <f aca="false">Q47*$D$2</f>
        <v>30263.8463</v>
      </c>
      <c r="R48" s="114" t="n">
        <f aca="false">R47*$D$2</f>
        <v>12055.3163</v>
      </c>
      <c r="S48" s="114" t="n">
        <f aca="false">S47*$D$2</f>
        <v>76780.1196441625</v>
      </c>
      <c r="T48" s="114" t="n">
        <f aca="false">T47*$D$2</f>
        <v>17799.3590067758</v>
      </c>
      <c r="U48" s="114" t="n">
        <f aca="false">U47*$D$2</f>
        <v>21911.92285</v>
      </c>
      <c r="V48" s="114" t="n">
        <f aca="false">V47*$D$2</f>
        <v>6132.982</v>
      </c>
      <c r="W48" s="114" t="n">
        <f aca="false">W47*$D$2</f>
        <v>10214.018</v>
      </c>
      <c r="X48" s="114" t="n">
        <f aca="false">X47*$D$2</f>
        <v>112240.51285</v>
      </c>
      <c r="Y48" s="114" t="n">
        <f aca="false">Y47*$D$2</f>
        <v>7910.20802</v>
      </c>
      <c r="Z48" s="114" t="n">
        <f aca="false">Z47*$D$2</f>
        <v>120150.72087</v>
      </c>
      <c r="AA48" s="365"/>
      <c r="AB48" s="119"/>
      <c r="AC48" s="169"/>
      <c r="AD48" s="120"/>
      <c r="AE48" s="367"/>
      <c r="AF48" s="379" t="n">
        <f aca="false">AF47*$D$2</f>
        <v>2128.77476231829</v>
      </c>
      <c r="AG48" s="377" t="n">
        <f aca="false">AG47*$D$2</f>
        <v>1053.099655</v>
      </c>
    </row>
    <row r="49" customFormat="false" ht="3" hidden="false" customHeight="true" outlineLevel="0" collapsed="false">
      <c r="A49" s="171"/>
      <c r="B49" s="189"/>
      <c r="C49" s="173"/>
      <c r="D49" s="173"/>
      <c r="E49" s="173"/>
      <c r="F49" s="190"/>
      <c r="G49" s="173"/>
      <c r="H49" s="237"/>
      <c r="I49" s="173"/>
      <c r="J49" s="173"/>
      <c r="K49" s="173"/>
      <c r="L49" s="173"/>
      <c r="M49" s="191"/>
      <c r="N49" s="173"/>
      <c r="O49" s="173"/>
      <c r="P49" s="192"/>
      <c r="Q49" s="173"/>
      <c r="R49" s="173"/>
      <c r="S49" s="173"/>
      <c r="T49" s="173"/>
      <c r="U49" s="173"/>
      <c r="V49" s="173"/>
      <c r="W49" s="173"/>
      <c r="X49" s="173"/>
      <c r="Y49" s="173"/>
      <c r="Z49" s="173"/>
      <c r="AA49" s="370"/>
      <c r="AB49" s="173"/>
      <c r="AC49" s="190"/>
      <c r="AD49" s="173"/>
      <c r="AE49" s="237"/>
      <c r="AF49" s="375"/>
      <c r="AG49" s="232"/>
    </row>
    <row r="50" customFormat="false" ht="11.1" hidden="false" customHeight="true" outlineLevel="0" collapsed="false">
      <c r="A50" s="113" t="s">
        <v>61</v>
      </c>
      <c r="B50" s="165"/>
      <c r="C50" s="114"/>
      <c r="D50" s="114"/>
      <c r="E50" s="114"/>
      <c r="F50" s="166" t="n">
        <f aca="false">F10+F44</f>
        <v>24691.2024199647</v>
      </c>
      <c r="G50" s="114" t="n">
        <f aca="false">G10+G44</f>
        <v>77886</v>
      </c>
      <c r="H50" s="185" t="n">
        <f aca="false">H10+H44</f>
        <v>1327.81</v>
      </c>
      <c r="I50" s="114" t="n">
        <f aca="false">I10+I44</f>
        <v>79213.81</v>
      </c>
      <c r="J50" s="114" t="n">
        <f aca="false">J10+J44</f>
        <v>10090.7036198639</v>
      </c>
      <c r="K50" s="114" t="n">
        <f aca="false">K10+K44</f>
        <v>89304.5136198639</v>
      </c>
      <c r="L50" s="114" t="n">
        <f aca="false">L10+L44</f>
        <v>5468.18241996471</v>
      </c>
      <c r="M50" s="167" t="n">
        <f aca="false">M10+M44</f>
        <v>22139.2</v>
      </c>
      <c r="N50" s="114" t="n">
        <f aca="false">N10+N44</f>
        <v>35.19</v>
      </c>
      <c r="O50" s="114" t="n">
        <f aca="false">O10+O44</f>
        <v>3705.025025</v>
      </c>
      <c r="P50" s="168" t="n">
        <f aca="false">P10+P44</f>
        <v>18398.984975</v>
      </c>
      <c r="Q50" s="114" t="n">
        <f aca="false">Q10+Q44</f>
        <v>15319.8</v>
      </c>
      <c r="R50" s="114" t="n">
        <f aca="false">R10+R44</f>
        <v>6128.8</v>
      </c>
      <c r="S50" s="114" t="n">
        <f aca="false">S10+S44</f>
        <v>39847.584975</v>
      </c>
      <c r="T50" s="114"/>
      <c r="U50" s="114" t="n">
        <f aca="false">U10+U44</f>
        <v>11047.1</v>
      </c>
      <c r="V50" s="114" t="n">
        <f aca="false">V10+V44</f>
        <v>5355.89</v>
      </c>
      <c r="W50" s="114" t="n">
        <f aca="false">W42</f>
        <v>5149.49231157046</v>
      </c>
      <c r="X50" s="114" t="n">
        <f aca="false">X10+X44</f>
        <v>59990.79</v>
      </c>
      <c r="Y50" s="114" t="n">
        <f aca="false">Y10+Y44</f>
        <v>4622.52119989917</v>
      </c>
      <c r="Z50" s="114" t="n">
        <f aca="false">Z10+Z44</f>
        <v>64613.3111998992</v>
      </c>
      <c r="AA50" s="365" t="n">
        <f aca="false">AA10+AA44</f>
        <v>8.33</v>
      </c>
      <c r="AB50" s="119"/>
      <c r="AC50" s="169"/>
      <c r="AD50" s="120"/>
      <c r="AE50" s="367"/>
      <c r="AF50" s="378" t="n">
        <f aca="false">AF10+AF44</f>
        <v>1073.24162456178</v>
      </c>
      <c r="AG50" s="377"/>
    </row>
    <row r="51" customFormat="false" ht="11.1" hidden="false" customHeight="true" outlineLevel="0" collapsed="false">
      <c r="A51" s="113" t="s">
        <v>62</v>
      </c>
      <c r="B51" s="165"/>
      <c r="C51" s="114"/>
      <c r="D51" s="114" t="n">
        <f aca="false">D10+D45</f>
        <v>48975</v>
      </c>
      <c r="E51" s="114" t="n">
        <f aca="false">E42</f>
        <v>53542</v>
      </c>
      <c r="F51" s="166" t="n">
        <f aca="false">F50*$D$2</f>
        <v>48975</v>
      </c>
      <c r="G51" s="114" t="n">
        <f aca="false">G50*$D$2</f>
        <v>154486.881</v>
      </c>
      <c r="H51" s="185" t="n">
        <f aca="false">H50*$D$2</f>
        <v>2633.711135</v>
      </c>
      <c r="I51" s="114" t="n">
        <f aca="false">I50*$D$2</f>
        <v>157120.592135</v>
      </c>
      <c r="J51" s="114" t="n">
        <f aca="false">J50*$D$2</f>
        <v>20014.91063</v>
      </c>
      <c r="K51" s="114" t="n">
        <f aca="false">K50*$D$2</f>
        <v>177135.502765</v>
      </c>
      <c r="L51" s="114" t="n">
        <f aca="false">L50*$D$2</f>
        <v>10846.13983</v>
      </c>
      <c r="M51" s="167" t="n">
        <f aca="false">M50*$D$2</f>
        <v>43913.1032</v>
      </c>
      <c r="N51" s="114" t="n">
        <f aca="false">N50*$D$2</f>
        <v>69.799365</v>
      </c>
      <c r="O51" s="114" t="n">
        <f aca="false">O50*$D$2</f>
        <v>7348.9171370875</v>
      </c>
      <c r="P51" s="168" t="n">
        <f aca="false">P50*$D$2</f>
        <v>36494.3866979125</v>
      </c>
      <c r="Q51" s="114" t="n">
        <f aca="false">Q50*$D$2</f>
        <v>30386.8233</v>
      </c>
      <c r="R51" s="114" t="n">
        <f aca="false">R50*$D$2</f>
        <v>12156.4748</v>
      </c>
      <c r="S51" s="114" t="n">
        <f aca="false">S50*$D$2</f>
        <v>79037.6847979125</v>
      </c>
      <c r="T51" s="114"/>
      <c r="U51" s="114" t="n">
        <f aca="false">U50*$D$2</f>
        <v>21911.92285</v>
      </c>
      <c r="V51" s="114" t="n">
        <f aca="false">V50*$D$2</f>
        <v>10623.407815</v>
      </c>
      <c r="W51" s="114" t="n">
        <f aca="false">W42*$D$2</f>
        <v>10214.018</v>
      </c>
      <c r="X51" s="114" t="n">
        <f aca="false">X50*$D$2</f>
        <v>118991.731965</v>
      </c>
      <c r="Y51" s="114" t="n">
        <f aca="false">Y50*$D$2</f>
        <v>9168.7708</v>
      </c>
      <c r="Z51" s="114" t="n">
        <f aca="false">Z50*$D$2</f>
        <v>128160.502765</v>
      </c>
      <c r="AA51" s="365"/>
      <c r="AB51" s="119"/>
      <c r="AC51" s="169"/>
      <c r="AD51" s="120"/>
      <c r="AE51" s="367"/>
      <c r="AF51" s="379" t="n">
        <f aca="false">AF50*$D$2</f>
        <v>2128.77476231829</v>
      </c>
      <c r="AG51" s="377"/>
    </row>
    <row r="52" customFormat="false" ht="3" hidden="false" customHeight="true" outlineLevel="0" collapsed="false">
      <c r="A52" s="171"/>
      <c r="B52" s="189"/>
      <c r="C52" s="173"/>
      <c r="D52" s="171"/>
      <c r="E52" s="173"/>
      <c r="F52" s="174"/>
      <c r="G52" s="171"/>
      <c r="H52" s="237"/>
      <c r="I52" s="171"/>
      <c r="J52" s="171"/>
      <c r="K52" s="171"/>
      <c r="L52" s="171"/>
      <c r="M52" s="176"/>
      <c r="N52" s="171"/>
      <c r="O52" s="171"/>
      <c r="P52" s="177"/>
      <c r="Q52" s="171"/>
      <c r="R52" s="171"/>
      <c r="S52" s="171"/>
      <c r="T52" s="173"/>
      <c r="U52" s="171"/>
      <c r="V52" s="171"/>
      <c r="W52" s="173"/>
      <c r="X52" s="171"/>
      <c r="Y52" s="171"/>
      <c r="Z52" s="171"/>
      <c r="AA52" s="189"/>
      <c r="AB52" s="171"/>
      <c r="AC52" s="174"/>
      <c r="AD52" s="171"/>
      <c r="AE52" s="237"/>
      <c r="AF52" s="380"/>
      <c r="AG52" s="232"/>
    </row>
    <row r="53" customFormat="false" ht="11.1" hidden="false" customHeight="true" outlineLevel="0" collapsed="false">
      <c r="A53" s="113"/>
      <c r="B53" s="102"/>
      <c r="C53" s="7"/>
      <c r="D53" s="6"/>
      <c r="E53" s="344"/>
      <c r="F53" s="0"/>
      <c r="G53" s="0"/>
      <c r="H53" s="89"/>
      <c r="I53" s="6"/>
      <c r="J53" s="6"/>
      <c r="K53" s="346"/>
      <c r="L53" s="114"/>
      <c r="M53" s="6"/>
      <c r="N53" s="6"/>
      <c r="O53" s="6"/>
      <c r="P53" s="6"/>
      <c r="Q53" s="6"/>
      <c r="R53" s="6"/>
      <c r="S53" s="6"/>
      <c r="T53" s="347"/>
      <c r="U53" s="6"/>
      <c r="V53" s="6"/>
      <c r="W53" s="344"/>
      <c r="X53" s="344"/>
      <c r="Y53" s="113"/>
      <c r="Z53" s="113"/>
      <c r="AA53" s="117"/>
      <c r="AB53" s="119"/>
      <c r="AC53" s="119"/>
      <c r="AD53" s="120"/>
      <c r="AE53" s="220"/>
    </row>
    <row r="54" customFormat="false" ht="11.1" hidden="false" customHeight="true" outlineLevel="0" collapsed="false">
      <c r="A54" s="113"/>
      <c r="B54" s="102"/>
      <c r="C54" s="7"/>
      <c r="D54" s="103"/>
      <c r="E54" s="319"/>
      <c r="F54" s="348"/>
      <c r="G54" s="0"/>
      <c r="H54" s="89"/>
      <c r="I54" s="8"/>
      <c r="J54" s="6"/>
      <c r="K54" s="104"/>
      <c r="L54" s="185"/>
      <c r="M54" s="6"/>
      <c r="N54" s="6"/>
      <c r="O54" s="6"/>
      <c r="P54" s="91"/>
      <c r="Q54" s="349"/>
      <c r="R54" s="91"/>
      <c r="S54" s="350"/>
      <c r="T54" s="114"/>
      <c r="U54" s="347"/>
      <c r="V54" s="6"/>
      <c r="W54" s="7"/>
      <c r="X54" s="7"/>
      <c r="Y54" s="113"/>
      <c r="Z54" s="117"/>
      <c r="AA54" s="119"/>
      <c r="AB54" s="119"/>
      <c r="AC54" s="120"/>
      <c r="AD54" s="201"/>
      <c r="AE54" s="220"/>
    </row>
    <row r="55" customFormat="false" ht="11.1" hidden="false" customHeight="true" outlineLevel="0" collapsed="false">
      <c r="A55" s="187"/>
      <c r="B55" s="114"/>
      <c r="E55" s="319"/>
      <c r="F55" s="320"/>
      <c r="G55" s="0"/>
      <c r="H55" s="89"/>
      <c r="I55" s="103"/>
      <c r="J55" s="103"/>
      <c r="K55" s="351"/>
      <c r="L55" s="313"/>
      <c r="M55" s="89"/>
      <c r="N55" s="89"/>
      <c r="O55" s="319"/>
      <c r="P55" s="94"/>
      <c r="Q55" s="349"/>
      <c r="R55" s="91"/>
      <c r="S55" s="67"/>
      <c r="T55" s="114"/>
      <c r="U55" s="114"/>
      <c r="V55" s="7"/>
      <c r="W55" s="349"/>
      <c r="X55" s="349"/>
      <c r="Y55" s="187"/>
      <c r="Z55" s="117"/>
      <c r="AA55" s="119"/>
      <c r="AB55" s="119"/>
      <c r="AC55" s="120"/>
      <c r="AD55" s="219"/>
      <c r="AE55" s="220"/>
    </row>
    <row r="56" customFormat="false" ht="11.1" hidden="false" customHeight="true" outlineLevel="0" collapsed="false">
      <c r="A56" s="187"/>
      <c r="B56" s="187"/>
      <c r="C56" s="114"/>
      <c r="D56" s="114"/>
      <c r="E56" s="319"/>
      <c r="F56" s="0"/>
      <c r="G56" s="0"/>
      <c r="H56" s="185"/>
      <c r="I56" s="0"/>
      <c r="J56" s="103"/>
      <c r="K56" s="351"/>
      <c r="L56" s="119"/>
      <c r="M56" s="89"/>
      <c r="N56" s="89"/>
      <c r="O56" s="119"/>
      <c r="P56" s="94"/>
      <c r="Q56" s="94"/>
      <c r="R56" s="94"/>
      <c r="S56" s="67"/>
      <c r="T56" s="119"/>
      <c r="U56" s="114"/>
      <c r="V56" s="7"/>
      <c r="W56" s="114"/>
      <c r="X56" s="114"/>
      <c r="Y56" s="187"/>
      <c r="Z56" s="236"/>
      <c r="AA56" s="119"/>
      <c r="AB56" s="119"/>
      <c r="AC56" s="120"/>
      <c r="AD56" s="219"/>
      <c r="AE56" s="220"/>
    </row>
    <row r="57" customFormat="false" ht="11.1" hidden="false" customHeight="true" outlineLevel="0" collapsed="false">
      <c r="A57" s="187"/>
      <c r="B57" s="187"/>
      <c r="C57" s="114"/>
      <c r="D57" s="187"/>
      <c r="E57" s="114"/>
      <c r="F57" s="187"/>
      <c r="G57" s="198"/>
      <c r="H57" s="185"/>
      <c r="I57" s="187"/>
      <c r="J57" s="187"/>
      <c r="K57" s="187"/>
      <c r="L57" s="187"/>
      <c r="M57" s="185"/>
      <c r="N57" s="185"/>
      <c r="O57" s="185"/>
      <c r="P57" s="187"/>
      <c r="Q57" s="187"/>
      <c r="R57" s="187"/>
      <c r="S57" s="114"/>
      <c r="T57" s="187"/>
      <c r="U57" s="187"/>
      <c r="V57" s="114"/>
      <c r="W57" s="187"/>
      <c r="X57" s="187"/>
      <c r="Y57" s="187"/>
      <c r="Z57" s="117"/>
      <c r="AA57" s="119"/>
      <c r="AB57" s="119"/>
      <c r="AC57" s="120"/>
      <c r="AD57" s="219"/>
      <c r="AE57" s="220"/>
    </row>
  </sheetData>
  <mergeCells count="2">
    <mergeCell ref="K2:V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4" activePane="bottomRight" state="frozen"/>
      <selection pane="topLeft" activeCell="A1" activeCellId="0" sqref="A1"/>
      <selection pane="topRight" activeCell="B1" activeCellId="0" sqref="B1"/>
      <selection pane="bottomLeft" activeCell="A14" activeCellId="0" sqref="A14"/>
      <selection pane="bottomRight" activeCell="AI6" activeCellId="0" sqref="AI6"/>
    </sheetView>
  </sheetViews>
  <sheetFormatPr defaultColWidth="9.328125" defaultRowHeight="11.1" zeroHeight="false" outlineLevelRow="0" outlineLevelCol="0"/>
  <cols>
    <col collapsed="false" customWidth="true" hidden="false" outlineLevel="0" max="1" min="1" style="106" width="4.66"/>
    <col collapsed="false" customWidth="true" hidden="false" outlineLevel="0" max="2" min="2" style="106" width="6.99"/>
    <col collapsed="false" customWidth="true" hidden="false" outlineLevel="0" max="3" min="3" style="107" width="6.32"/>
    <col collapsed="false" customWidth="true" hidden="false" outlineLevel="0" max="4" min="4" style="106" width="6.99"/>
    <col collapsed="false" customWidth="true" hidden="false" outlineLevel="0" max="5" min="5" style="107" width="7.66"/>
    <col collapsed="false" customWidth="true" hidden="false" outlineLevel="0" max="6" min="6" style="106" width="7.16"/>
    <col collapsed="false" customWidth="true" hidden="false" outlineLevel="0" max="7" min="7" style="106" width="6.82"/>
    <col collapsed="false" customWidth="true" hidden="false" outlineLevel="0" max="8" min="8" style="381" width="5.66"/>
    <col collapsed="false" customWidth="true" hidden="false" outlineLevel="0" max="9" min="9" style="106" width="7.16"/>
    <col collapsed="false" customWidth="true" hidden="false" outlineLevel="0" max="10" min="10" style="106" width="6.66"/>
    <col collapsed="false" customWidth="true" hidden="false" outlineLevel="0" max="12" min="11"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06" width="4.32"/>
    <col collapsed="false" customWidth="true" hidden="false" outlineLevel="0" max="18" min="17" style="106" width="4.82"/>
    <col collapsed="false" customWidth="true" hidden="false" outlineLevel="0" max="19" min="19" style="106" width="5.49"/>
    <col collapsed="false" customWidth="true" hidden="false" outlineLevel="0" max="20" min="20" style="107" width="5.49"/>
    <col collapsed="false" customWidth="true" hidden="false" outlineLevel="0" max="21" min="21" style="106" width="5.82"/>
    <col collapsed="false" customWidth="true" hidden="false" outlineLevel="0" max="22" min="22" style="106" width="5.66"/>
    <col collapsed="false" customWidth="true" hidden="false" outlineLevel="0" max="23" min="23" style="107" width="5.66"/>
    <col collapsed="false" customWidth="true" hidden="false" outlineLevel="0" max="24" min="24" style="106" width="5.66"/>
    <col collapsed="false" customWidth="true" hidden="false" outlineLevel="0" max="26" min="25" style="106" width="6.16"/>
    <col collapsed="false" customWidth="true" hidden="false" outlineLevel="0" max="27" min="27" style="110" width="7.16"/>
    <col collapsed="false" customWidth="true" hidden="false" outlineLevel="0" max="28" min="28" style="108" width="7.32"/>
    <col collapsed="false" customWidth="true" hidden="false" outlineLevel="0" max="29" min="29" style="111" width="7.82"/>
    <col collapsed="false" customWidth="true" hidden="false" outlineLevel="0" max="30" min="30" style="112" width="5.32"/>
    <col collapsed="false" customWidth="true" hidden="false" outlineLevel="0" max="32" min="31" style="106" width="3.82"/>
    <col collapsed="false" customWidth="true" hidden="false" outlineLevel="0" max="33" min="33" style="110" width="5.99"/>
    <col collapsed="false" customWidth="true" hidden="false" outlineLevel="0" max="34" min="34" style="239" width="6.66"/>
    <col collapsed="false" customWidth="true" hidden="false" outlineLevel="0" max="35" min="35" style="106" width="6.82"/>
    <col collapsed="false" customWidth="true" hidden="false" outlineLevel="0" max="36" min="36" style="382" width="6.32"/>
    <col collapsed="false" customWidth="false" hidden="false" outlineLevel="0" max="257" min="37" style="106" width="9.32"/>
  </cols>
  <sheetData>
    <row r="1" customFormat="false" ht="14.1" hidden="false" customHeight="true" outlineLevel="0" collapsed="false">
      <c r="A1" s="113"/>
      <c r="B1" s="113"/>
      <c r="C1" s="114"/>
      <c r="D1" s="113"/>
      <c r="E1" s="114"/>
      <c r="F1" s="113"/>
      <c r="G1" s="113"/>
      <c r="H1" s="115"/>
      <c r="I1" s="113"/>
      <c r="J1" s="113"/>
      <c r="K1" s="116" t="s">
        <v>0</v>
      </c>
      <c r="L1" s="113"/>
      <c r="M1" s="113"/>
      <c r="N1" s="113"/>
      <c r="O1" s="113"/>
      <c r="P1" s="117"/>
      <c r="Q1" s="117"/>
      <c r="R1" s="117"/>
      <c r="S1" s="113"/>
      <c r="T1" s="113"/>
      <c r="U1" s="114"/>
      <c r="V1" s="113"/>
      <c r="W1" s="113"/>
      <c r="X1" s="113"/>
      <c r="Y1" s="114"/>
      <c r="Z1" s="113"/>
      <c r="AA1" s="113"/>
      <c r="AB1" s="113"/>
      <c r="AC1" s="117"/>
      <c r="AD1" s="118"/>
      <c r="AE1" s="119"/>
      <c r="AF1" s="120"/>
      <c r="AG1" s="201"/>
      <c r="AH1" s="207"/>
      <c r="AI1" s="110"/>
      <c r="AJ1" s="379"/>
    </row>
    <row r="2" customFormat="false" ht="14.1" hidden="false" customHeight="true" outlineLevel="0" collapsed="false">
      <c r="A2" s="113" t="s">
        <v>1</v>
      </c>
      <c r="B2" s="113"/>
      <c r="C2" s="114"/>
      <c r="D2" s="121" t="n">
        <v>1.9835</v>
      </c>
      <c r="E2" s="114"/>
      <c r="F2" s="113"/>
      <c r="G2" s="113"/>
      <c r="H2" s="115"/>
      <c r="I2" s="113"/>
      <c r="J2" s="113"/>
      <c r="K2" s="122" t="s">
        <v>96</v>
      </c>
      <c r="L2" s="122"/>
      <c r="M2" s="122"/>
      <c r="N2" s="122"/>
      <c r="O2" s="122"/>
      <c r="P2" s="122"/>
      <c r="Q2" s="122"/>
      <c r="R2" s="122"/>
      <c r="S2" s="122"/>
      <c r="T2" s="122"/>
      <c r="U2" s="122"/>
      <c r="V2" s="155" t="s">
        <v>71</v>
      </c>
      <c r="W2" s="155"/>
      <c r="X2" s="113"/>
      <c r="Y2" s="114"/>
      <c r="Z2" s="113"/>
      <c r="AA2" s="113"/>
      <c r="AB2" s="113"/>
      <c r="AC2" s="117"/>
      <c r="AD2" s="118"/>
      <c r="AE2" s="119"/>
      <c r="AF2" s="120"/>
      <c r="AG2" s="201"/>
      <c r="AH2" s="207"/>
      <c r="AI2" s="110"/>
      <c r="AJ2" s="379"/>
    </row>
    <row r="3" customFormat="false" ht="14.1" hidden="false" customHeight="true" outlineLevel="0" collapsed="false">
      <c r="A3" s="123"/>
      <c r="B3" s="123"/>
      <c r="C3" s="124"/>
      <c r="D3" s="125"/>
      <c r="E3" s="124"/>
      <c r="F3" s="123"/>
      <c r="G3" s="123"/>
      <c r="H3" s="126"/>
      <c r="I3" s="123"/>
      <c r="J3" s="123"/>
      <c r="K3" s="123"/>
      <c r="L3" s="123"/>
      <c r="M3" s="123"/>
      <c r="N3" s="123"/>
      <c r="O3" s="123"/>
      <c r="P3" s="127"/>
      <c r="Q3" s="127"/>
      <c r="R3" s="127"/>
      <c r="S3" s="123"/>
      <c r="T3" s="123"/>
      <c r="U3" s="124"/>
      <c r="V3" s="123"/>
      <c r="W3" s="123"/>
      <c r="X3" s="123"/>
      <c r="Y3" s="124"/>
      <c r="Z3" s="123"/>
      <c r="AA3" s="123"/>
      <c r="AB3" s="123"/>
      <c r="AC3" s="127"/>
      <c r="AD3" s="128"/>
      <c r="AE3" s="129"/>
      <c r="AF3" s="130"/>
      <c r="AG3" s="203"/>
      <c r="AH3" s="383"/>
      <c r="AI3" s="384"/>
      <c r="AJ3" s="385"/>
    </row>
    <row r="4" customFormat="false" ht="14.1" hidden="false" customHeight="true" outlineLevel="0" collapsed="false">
      <c r="A4" s="113"/>
      <c r="B4" s="132"/>
      <c r="C4" s="133"/>
      <c r="D4" s="204" t="s">
        <v>3</v>
      </c>
      <c r="E4" s="133"/>
      <c r="F4" s="135"/>
      <c r="G4" s="113"/>
      <c r="H4" s="115"/>
      <c r="I4" s="113"/>
      <c r="J4" s="113"/>
      <c r="K4" s="113"/>
      <c r="L4" s="113"/>
      <c r="M4" s="113"/>
      <c r="N4" s="113"/>
      <c r="O4" s="113"/>
      <c r="P4" s="117"/>
      <c r="Q4" s="117"/>
      <c r="R4" s="117"/>
      <c r="S4" s="136" t="s">
        <v>4</v>
      </c>
      <c r="T4" s="113"/>
      <c r="U4" s="114"/>
      <c r="V4" s="113"/>
      <c r="W4" s="113"/>
      <c r="X4" s="113"/>
      <c r="Y4" s="114"/>
      <c r="Z4" s="113"/>
      <c r="AA4" s="113"/>
      <c r="AB4" s="113"/>
      <c r="AC4" s="117"/>
      <c r="AD4" s="137"/>
      <c r="AE4" s="138" t="s">
        <v>5</v>
      </c>
      <c r="AF4" s="139"/>
      <c r="AG4" s="201"/>
      <c r="AH4" s="207"/>
      <c r="AI4" s="386" t="s">
        <v>93</v>
      </c>
      <c r="AJ4" s="379"/>
    </row>
    <row r="5" customFormat="false" ht="11.1" hidden="false" customHeight="true" outlineLevel="0" collapsed="false">
      <c r="A5" s="140" t="s">
        <v>6</v>
      </c>
      <c r="B5" s="141" t="s">
        <v>7</v>
      </c>
      <c r="C5" s="142" t="s">
        <v>7</v>
      </c>
      <c r="D5" s="140" t="s">
        <v>8</v>
      </c>
      <c r="E5" s="142" t="s">
        <v>9</v>
      </c>
      <c r="F5" s="143" t="s">
        <v>10</v>
      </c>
      <c r="G5" s="140" t="s">
        <v>11</v>
      </c>
      <c r="H5" s="144" t="s">
        <v>12</v>
      </c>
      <c r="I5" s="140" t="s">
        <v>97</v>
      </c>
      <c r="J5" s="140" t="s">
        <v>14</v>
      </c>
      <c r="K5" s="140" t="s">
        <v>15</v>
      </c>
      <c r="L5" s="140" t="s">
        <v>14</v>
      </c>
      <c r="M5" s="145" t="s">
        <v>16</v>
      </c>
      <c r="N5" s="145"/>
      <c r="O5" s="145"/>
      <c r="P5" s="145"/>
      <c r="Q5" s="145"/>
      <c r="R5" s="145"/>
      <c r="S5" s="140" t="s">
        <v>17</v>
      </c>
      <c r="T5" s="140" t="s">
        <v>18</v>
      </c>
      <c r="U5" s="140" t="s">
        <v>15</v>
      </c>
      <c r="V5" s="158" t="s">
        <v>19</v>
      </c>
      <c r="W5" s="158" t="s">
        <v>19</v>
      </c>
      <c r="X5" s="140" t="s">
        <v>20</v>
      </c>
      <c r="Y5" s="140" t="s">
        <v>21</v>
      </c>
      <c r="Z5" s="142" t="s">
        <v>98</v>
      </c>
      <c r="AA5" s="140" t="s">
        <v>97</v>
      </c>
      <c r="AB5" s="140" t="s">
        <v>14</v>
      </c>
      <c r="AC5" s="140" t="s">
        <v>15</v>
      </c>
      <c r="AD5" s="146" t="s">
        <v>23</v>
      </c>
      <c r="AE5" s="147" t="s">
        <v>24</v>
      </c>
      <c r="AF5" s="148" t="s">
        <v>25</v>
      </c>
      <c r="AG5" s="147" t="s">
        <v>64</v>
      </c>
      <c r="AH5" s="207" t="s">
        <v>19</v>
      </c>
      <c r="AI5" s="302" t="s">
        <v>19</v>
      </c>
      <c r="AJ5" s="279" t="s">
        <v>99</v>
      </c>
    </row>
    <row r="6" customFormat="false" ht="11.1" hidden="false" customHeight="true" outlineLevel="0" collapsed="false">
      <c r="A6" s="150" t="s">
        <v>100</v>
      </c>
      <c r="B6" s="141" t="s">
        <v>28</v>
      </c>
      <c r="C6" s="142" t="s">
        <v>8</v>
      </c>
      <c r="D6" s="140" t="s">
        <v>29</v>
      </c>
      <c r="E6" s="142" t="s">
        <v>30</v>
      </c>
      <c r="F6" s="143" t="s">
        <v>31</v>
      </c>
      <c r="G6" s="140" t="s">
        <v>32</v>
      </c>
      <c r="H6" s="144" t="s">
        <v>101</v>
      </c>
      <c r="I6" s="140" t="s">
        <v>34</v>
      </c>
      <c r="J6" s="140" t="s">
        <v>34</v>
      </c>
      <c r="K6" s="140" t="s">
        <v>34</v>
      </c>
      <c r="L6" s="140" t="s">
        <v>35</v>
      </c>
      <c r="M6" s="151" t="s">
        <v>36</v>
      </c>
      <c r="N6" s="140" t="s">
        <v>37</v>
      </c>
      <c r="O6" s="140" t="s">
        <v>38</v>
      </c>
      <c r="P6" s="387" t="s">
        <v>102</v>
      </c>
      <c r="Q6" s="387" t="s">
        <v>103</v>
      </c>
      <c r="R6" s="224" t="s">
        <v>103</v>
      </c>
      <c r="S6" s="140" t="s">
        <v>40</v>
      </c>
      <c r="T6" s="140" t="s">
        <v>41</v>
      </c>
      <c r="U6" s="140" t="s">
        <v>19</v>
      </c>
      <c r="V6" s="158" t="s">
        <v>80</v>
      </c>
      <c r="W6" s="158" t="s">
        <v>104</v>
      </c>
      <c r="X6" s="140" t="s">
        <v>43</v>
      </c>
      <c r="Y6" s="140" t="s">
        <v>44</v>
      </c>
      <c r="Z6" s="142" t="s">
        <v>105</v>
      </c>
      <c r="AA6" s="140" t="s">
        <v>46</v>
      </c>
      <c r="AB6" s="140" t="s">
        <v>46</v>
      </c>
      <c r="AC6" s="140" t="s">
        <v>46</v>
      </c>
      <c r="AD6" s="153"/>
      <c r="AE6" s="147" t="s">
        <v>47</v>
      </c>
      <c r="AF6" s="148" t="s">
        <v>47</v>
      </c>
      <c r="AG6" s="154" t="s">
        <v>42</v>
      </c>
      <c r="AH6" s="207" t="s">
        <v>42</v>
      </c>
      <c r="AI6" s="302" t="s">
        <v>42</v>
      </c>
      <c r="AJ6" s="279" t="s">
        <v>90</v>
      </c>
    </row>
    <row r="7" customFormat="false" ht="11.1" hidden="false" customHeight="true" outlineLevel="0" collapsed="false">
      <c r="A7" s="155"/>
      <c r="B7" s="156"/>
      <c r="C7" s="157"/>
      <c r="D7" s="155"/>
      <c r="E7" s="158" t="s">
        <v>48</v>
      </c>
      <c r="F7" s="159"/>
      <c r="G7" s="155"/>
      <c r="H7" s="160"/>
      <c r="I7" s="155"/>
      <c r="J7" s="155"/>
      <c r="K7" s="155"/>
      <c r="L7" s="155"/>
      <c r="M7" s="161"/>
      <c r="N7" s="155" t="n">
        <v>360</v>
      </c>
      <c r="O7" s="388" t="n">
        <v>12583</v>
      </c>
      <c r="P7" s="303"/>
      <c r="Q7" s="303"/>
      <c r="R7" s="389" t="s">
        <v>104</v>
      </c>
      <c r="S7" s="155"/>
      <c r="T7" s="155"/>
      <c r="U7" s="155"/>
      <c r="V7" s="158" t="s">
        <v>81</v>
      </c>
      <c r="W7" s="158" t="n">
        <v>6577</v>
      </c>
      <c r="X7" s="390" t="n">
        <v>30060</v>
      </c>
      <c r="Y7" s="155"/>
      <c r="Z7" s="157"/>
      <c r="AA7" s="155"/>
      <c r="AB7" s="155"/>
      <c r="AC7" s="155"/>
      <c r="AD7" s="163"/>
      <c r="AE7" s="154" t="s">
        <v>50</v>
      </c>
      <c r="AF7" s="164"/>
      <c r="AG7" s="120"/>
      <c r="AH7" s="207" t="s">
        <v>51</v>
      </c>
      <c r="AI7" s="305" t="s">
        <v>83</v>
      </c>
      <c r="AJ7" s="279" t="s">
        <v>106</v>
      </c>
    </row>
    <row r="8" customFormat="false" ht="11.1" hidden="false" customHeight="true" outlineLevel="0" collapsed="false">
      <c r="A8" s="155"/>
      <c r="B8" s="156"/>
      <c r="C8" s="157"/>
      <c r="D8" s="155"/>
      <c r="E8" s="157"/>
      <c r="F8" s="159"/>
      <c r="G8" s="155"/>
      <c r="H8" s="160"/>
      <c r="I8" s="155"/>
      <c r="J8" s="155"/>
      <c r="K8" s="155"/>
      <c r="L8" s="155"/>
      <c r="M8" s="161"/>
      <c r="N8" s="155"/>
      <c r="O8" s="155"/>
      <c r="P8" s="303"/>
      <c r="Q8" s="303"/>
      <c r="R8" s="227"/>
      <c r="S8" s="155"/>
      <c r="T8" s="155"/>
      <c r="U8" s="155"/>
      <c r="V8" s="390"/>
      <c r="W8" s="390"/>
      <c r="X8" s="155"/>
      <c r="Y8" s="155"/>
      <c r="Z8" s="157"/>
      <c r="AA8" s="155"/>
      <c r="AB8" s="155"/>
      <c r="AC8" s="155"/>
      <c r="AD8" s="163"/>
      <c r="AE8" s="120"/>
      <c r="AF8" s="164"/>
      <c r="AG8" s="120"/>
      <c r="AH8" s="391"/>
      <c r="AI8" s="392"/>
      <c r="AJ8" s="379"/>
    </row>
    <row r="9" customFormat="false" ht="11.1" hidden="false" customHeight="true" outlineLevel="0" collapsed="false">
      <c r="A9" s="113" t="s">
        <v>52</v>
      </c>
      <c r="B9" s="165"/>
      <c r="C9" s="114"/>
      <c r="D9" s="114"/>
      <c r="E9" s="114"/>
      <c r="F9" s="166" t="n">
        <f aca="false">JUL!F47</f>
        <v>16413.9147970759</v>
      </c>
      <c r="G9" s="114" t="n">
        <f aca="false">JUL!G47</f>
        <v>70332</v>
      </c>
      <c r="H9" s="114" t="n">
        <f aca="false">JUL!H47</f>
        <v>1045.07</v>
      </c>
      <c r="I9" s="114" t="n">
        <f aca="false">JUL!I47</f>
        <v>71377.07</v>
      </c>
      <c r="J9" s="114" t="n">
        <f aca="false">JUL!J47</f>
        <v>5611.94984875221</v>
      </c>
      <c r="K9" s="114" t="n">
        <f aca="false">JUL!K47</f>
        <v>76989.0198487522</v>
      </c>
      <c r="L9" s="114" t="n">
        <f aca="false">JUL!L47</f>
        <v>1623.94479707588</v>
      </c>
      <c r="M9" s="167" t="n">
        <f aca="false">JUL!M47</f>
        <v>21182.38</v>
      </c>
      <c r="N9" s="114" t="n">
        <f aca="false">JUL!N47</f>
        <v>35.19</v>
      </c>
      <c r="O9" s="114" t="n">
        <f aca="false">JUL!O47</f>
        <v>3705.025025</v>
      </c>
      <c r="P9" s="117"/>
      <c r="Q9" s="117"/>
      <c r="R9" s="229"/>
      <c r="S9" s="114" t="n">
        <f aca="false">JUL!Q47</f>
        <v>15257.8</v>
      </c>
      <c r="T9" s="114" t="n">
        <f aca="false">JUL!R47</f>
        <v>6077.8</v>
      </c>
      <c r="U9" s="114" t="n">
        <f aca="false">JUL!S47</f>
        <v>38709.412475</v>
      </c>
      <c r="V9" s="114" t="n">
        <f aca="false">JUL!T47</f>
        <v>8973.71263260689</v>
      </c>
      <c r="W9" s="114"/>
      <c r="X9" s="114" t="n">
        <f aca="false">JUL!U47</f>
        <v>11047.1</v>
      </c>
      <c r="Y9" s="114" t="n">
        <f aca="false">JUL!V47</f>
        <v>3092</v>
      </c>
      <c r="Z9" s="114"/>
      <c r="AA9" s="114" t="n">
        <f aca="false">JUL!X47</f>
        <v>56587.1</v>
      </c>
      <c r="AB9" s="114" t="n">
        <f aca="false">JUL!Y47</f>
        <v>3988.00505167633</v>
      </c>
      <c r="AC9" s="114" t="n">
        <f aca="false">JUL!Z47</f>
        <v>60575.1050516763</v>
      </c>
      <c r="AD9" s="163"/>
      <c r="AE9" s="119"/>
      <c r="AF9" s="169"/>
      <c r="AG9" s="120"/>
      <c r="AH9" s="391"/>
      <c r="AI9" s="367" t="n">
        <f aca="false">JUL!AF47</f>
        <v>1073.24162456178</v>
      </c>
      <c r="AJ9" s="379" t="n">
        <f aca="false">JUL!AG47</f>
        <v>530.93</v>
      </c>
    </row>
    <row r="10" s="107" customFormat="true" ht="11.1" hidden="false" customHeight="true" outlineLevel="0" collapsed="false">
      <c r="A10" s="114" t="s">
        <v>53</v>
      </c>
      <c r="B10" s="170" t="n">
        <f aca="false">JUL!B42</f>
        <v>6876.39</v>
      </c>
      <c r="C10" s="114" t="n">
        <f aca="false">JUL!C42</f>
        <v>205542</v>
      </c>
      <c r="D10" s="114" t="n">
        <f aca="false">JUL!D51</f>
        <v>48975</v>
      </c>
      <c r="E10" s="114" t="n">
        <f aca="false">JUL!E51</f>
        <v>53542</v>
      </c>
      <c r="F10" s="166" t="n">
        <f aca="false">JUL!F50</f>
        <v>24691.2024199647</v>
      </c>
      <c r="G10" s="114" t="n">
        <f aca="false">JUL!G50</f>
        <v>77886</v>
      </c>
      <c r="H10" s="119" t="n">
        <f aca="false">JUL!H50</f>
        <v>1327.81</v>
      </c>
      <c r="I10" s="114" t="n">
        <f aca="false">JUL!I50</f>
        <v>79213.81</v>
      </c>
      <c r="J10" s="114" t="n">
        <f aca="false">JUL!J50</f>
        <v>10090.7036198639</v>
      </c>
      <c r="K10" s="114" t="n">
        <f aca="false">JUL!K50</f>
        <v>89304.5136198639</v>
      </c>
      <c r="L10" s="114" t="n">
        <f aca="false">JUL!L50</f>
        <v>5468.18241996471</v>
      </c>
      <c r="M10" s="167" t="n">
        <f aca="false">JUL!M50</f>
        <v>22139.2</v>
      </c>
      <c r="N10" s="114" t="n">
        <f aca="false">JUL!N50</f>
        <v>35.19</v>
      </c>
      <c r="O10" s="114" t="n">
        <f aca="false">JUL!O50</f>
        <v>3705.025025</v>
      </c>
      <c r="P10" s="117"/>
      <c r="Q10" s="117"/>
      <c r="R10" s="229"/>
      <c r="S10" s="114" t="n">
        <f aca="false">JUL!Q50</f>
        <v>15319.8</v>
      </c>
      <c r="T10" s="114" t="n">
        <f aca="false">JUL!R50</f>
        <v>6128.8</v>
      </c>
      <c r="U10" s="114" t="n">
        <f aca="false">JUL!S50</f>
        <v>39847.584975</v>
      </c>
      <c r="V10" s="114"/>
      <c r="W10" s="114"/>
      <c r="X10" s="114" t="n">
        <f aca="false">JUL!U50</f>
        <v>11047.1</v>
      </c>
      <c r="Y10" s="114" t="n">
        <f aca="false">JUL!V50</f>
        <v>5355.89</v>
      </c>
      <c r="Z10" s="114" t="n">
        <f aca="false">JUL!W50</f>
        <v>5149.49231157046</v>
      </c>
      <c r="AA10" s="114" t="n">
        <f aca="false">JUL!X50</f>
        <v>59990.79</v>
      </c>
      <c r="AB10" s="114" t="n">
        <f aca="false">JUL!Y50</f>
        <v>4622.52119989917</v>
      </c>
      <c r="AC10" s="114" t="n">
        <f aca="false">JUL!Z50</f>
        <v>64613.3111998992</v>
      </c>
      <c r="AD10" s="163" t="n">
        <f aca="false">JUL!AA50</f>
        <v>8.33</v>
      </c>
      <c r="AE10" s="119"/>
      <c r="AF10" s="169"/>
      <c r="AG10" s="120"/>
      <c r="AH10" s="393"/>
      <c r="AI10" s="367" t="n">
        <f aca="false">JUL!AF50</f>
        <v>1073.24162456178</v>
      </c>
      <c r="AJ10" s="379"/>
    </row>
    <row r="11" customFormat="false" ht="3" hidden="false" customHeight="true" outlineLevel="0" collapsed="false">
      <c r="A11" s="171"/>
      <c r="B11" s="172"/>
      <c r="C11" s="173"/>
      <c r="D11" s="171"/>
      <c r="E11" s="173"/>
      <c r="F11" s="174"/>
      <c r="G11" s="171"/>
      <c r="H11" s="175"/>
      <c r="I11" s="171"/>
      <c r="J11" s="171"/>
      <c r="K11" s="171"/>
      <c r="L11" s="171"/>
      <c r="M11" s="176"/>
      <c r="N11" s="171"/>
      <c r="O11" s="171"/>
      <c r="P11" s="308"/>
      <c r="Q11" s="308"/>
      <c r="R11" s="231"/>
      <c r="S11" s="171"/>
      <c r="T11" s="171"/>
      <c r="U11" s="171"/>
      <c r="V11" s="173"/>
      <c r="W11" s="173"/>
      <c r="X11" s="171"/>
      <c r="Y11" s="171"/>
      <c r="Z11" s="173"/>
      <c r="AA11" s="171"/>
      <c r="AB11" s="171"/>
      <c r="AC11" s="171"/>
      <c r="AD11" s="178"/>
      <c r="AE11" s="179"/>
      <c r="AF11" s="180"/>
      <c r="AG11" s="181"/>
      <c r="AH11" s="181"/>
      <c r="AI11" s="309"/>
      <c r="AJ11" s="375"/>
    </row>
    <row r="12" customFormat="false" ht="11.1" hidden="false" customHeight="true" outlineLevel="0" collapsed="false">
      <c r="A12" s="120" t="n">
        <v>1</v>
      </c>
      <c r="B12" s="170" t="n">
        <v>6876.12</v>
      </c>
      <c r="C12" s="114" t="n">
        <v>204762</v>
      </c>
      <c r="D12" s="119" t="n">
        <f aca="false">C12-C10</f>
        <v>-780</v>
      </c>
      <c r="E12" s="114" t="n">
        <f aca="false">C12-152000</f>
        <v>52762</v>
      </c>
      <c r="F12" s="182" t="n">
        <f aca="false">D12/$D$2</f>
        <v>-393.244265187799</v>
      </c>
      <c r="G12" s="183" t="n">
        <v>127</v>
      </c>
      <c r="H12" s="184" t="n">
        <v>0.21</v>
      </c>
      <c r="I12" s="113" t="n">
        <f aca="false">G12+H12</f>
        <v>127.21</v>
      </c>
      <c r="J12" s="185" t="n">
        <f aca="false">IF(L12&gt;0,L12,0)</f>
        <v>0</v>
      </c>
      <c r="K12" s="113" t="n">
        <f aca="false">I12+J12</f>
        <v>127.21</v>
      </c>
      <c r="L12" s="113" t="n">
        <f aca="false">F12-(I12-AA12)</f>
        <v>-42.3042651877993</v>
      </c>
      <c r="M12" s="394" t="n">
        <v>187</v>
      </c>
      <c r="N12" s="200" t="n">
        <v>0</v>
      </c>
      <c r="O12" s="113" t="n">
        <f aca="false">35.08*1.05</f>
        <v>36.834</v>
      </c>
      <c r="P12" s="117"/>
      <c r="Q12" s="253"/>
      <c r="R12" s="234"/>
      <c r="S12" s="183" t="n">
        <v>131</v>
      </c>
      <c r="T12" s="183" t="n">
        <v>75</v>
      </c>
      <c r="U12" s="113" t="n">
        <f aca="false">M12-N12-O12-P12-Q12+S12+T12</f>
        <v>356.166</v>
      </c>
      <c r="V12" s="114" t="n">
        <f aca="false">V9+AH12-(AI12/1.9835)+AJ12-1508.95</f>
        <v>7246.96840915315</v>
      </c>
      <c r="W12" s="114"/>
      <c r="X12" s="113" t="n">
        <v>62.15</v>
      </c>
      <c r="Y12" s="183" t="n">
        <v>23</v>
      </c>
      <c r="Z12" s="114" t="n">
        <f aca="false">Z10-Y12</f>
        <v>5126.49231157046</v>
      </c>
      <c r="AA12" s="6" t="n">
        <f aca="false">M12+S12+T12+X12+Y12</f>
        <v>478.15</v>
      </c>
      <c r="AB12" s="113" t="n">
        <f aca="false">IF(L12&lt;0,L12*-1,0)</f>
        <v>42.3042651877993</v>
      </c>
      <c r="AC12" s="113" t="n">
        <f aca="false">AA12+AB12</f>
        <v>520.454265187799</v>
      </c>
      <c r="AD12" s="163" t="n">
        <v>0</v>
      </c>
      <c r="AE12" s="119" t="n">
        <v>88</v>
      </c>
      <c r="AF12" s="169" t="n">
        <v>57</v>
      </c>
      <c r="AG12" s="120" t="n">
        <v>0</v>
      </c>
      <c r="AH12" s="391" t="n">
        <f aca="false">(I12-8)-(U12-8)</f>
        <v>-228.956</v>
      </c>
      <c r="AI12" s="10" t="n">
        <f aca="false">23.5*(V9*1.9835-U12*1.9835)/E12</f>
        <v>7.6131162204945</v>
      </c>
      <c r="AJ12" s="395" t="n">
        <v>15</v>
      </c>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1.1" hidden="false" customHeight="true" outlineLevel="0" collapsed="false">
      <c r="A13" s="120" t="n">
        <f aca="false">A12+1</f>
        <v>2</v>
      </c>
      <c r="B13" s="170" t="n">
        <v>6875.85</v>
      </c>
      <c r="C13" s="114" t="n">
        <v>203987</v>
      </c>
      <c r="D13" s="119" t="n">
        <f aca="false">C13-C12</f>
        <v>-775</v>
      </c>
      <c r="E13" s="114" t="n">
        <f aca="false">C13-152000</f>
        <v>51987</v>
      </c>
      <c r="F13" s="182" t="n">
        <f aca="false">D13/$D$2</f>
        <v>-390.723468616083</v>
      </c>
      <c r="G13" s="183" t="n">
        <v>120</v>
      </c>
      <c r="H13" s="184" t="n">
        <v>0.2</v>
      </c>
      <c r="I13" s="113" t="n">
        <f aca="false">G13+H13</f>
        <v>120.2</v>
      </c>
      <c r="J13" s="185" t="n">
        <f aca="false">IF(L13&gt;0,L13,0)</f>
        <v>0</v>
      </c>
      <c r="K13" s="113" t="n">
        <f aca="false">I13+J13</f>
        <v>120.2</v>
      </c>
      <c r="L13" s="113" t="n">
        <f aca="false">F13-(I13-AA13)</f>
        <v>-48.1134686160827</v>
      </c>
      <c r="M13" s="394" t="n">
        <v>183</v>
      </c>
      <c r="N13" s="200" t="n">
        <v>0</v>
      </c>
      <c r="O13" s="113" t="n">
        <f aca="false">41.56*1.05</f>
        <v>43.638</v>
      </c>
      <c r="P13" s="117" t="n">
        <v>2.49</v>
      </c>
      <c r="Q13" s="253" t="n">
        <v>4.2</v>
      </c>
      <c r="R13" s="234" t="n">
        <v>0.97</v>
      </c>
      <c r="S13" s="183" t="n">
        <v>130</v>
      </c>
      <c r="T13" s="183" t="n">
        <v>69</v>
      </c>
      <c r="U13" s="113" t="n">
        <f aca="false">M13-N13-O13-P13-Q13-R13+S13+T13</f>
        <v>330.702</v>
      </c>
      <c r="V13" s="114" t="n">
        <f aca="false">V12+AH13-(AI13/1.9835)+AJ13</f>
        <v>7041.65000715621</v>
      </c>
      <c r="W13" s="114"/>
      <c r="X13" s="113" t="n">
        <v>59.81</v>
      </c>
      <c r="Y13" s="183" t="n">
        <v>21</v>
      </c>
      <c r="Z13" s="114" t="n">
        <f aca="false">Z12-Y13</f>
        <v>5105.49231157046</v>
      </c>
      <c r="AA13" s="6" t="n">
        <f aca="false">M13+S13+T13+X13+Y13</f>
        <v>462.81</v>
      </c>
      <c r="AB13" s="113" t="n">
        <f aca="false">IF(L13&lt;0,L13*-1,0)</f>
        <v>48.1134686160827</v>
      </c>
      <c r="AC13" s="113" t="n">
        <f aca="false">AA13+AB13</f>
        <v>510.923468616083</v>
      </c>
      <c r="AD13" s="163" t="n">
        <v>0</v>
      </c>
      <c r="AE13" s="119" t="n">
        <v>85</v>
      </c>
      <c r="AF13" s="169" t="n">
        <v>56</v>
      </c>
      <c r="AG13" s="120" t="n">
        <v>0</v>
      </c>
      <c r="AH13" s="391" t="n">
        <f aca="false">(I13-P13-Q13)-(U13)</f>
        <v>-217.192</v>
      </c>
      <c r="AI13" s="10" t="n">
        <f aca="false">23.5*(V12*1.9835-U13*1.9835)/E13</f>
        <v>6.20121836093733</v>
      </c>
      <c r="AJ13" s="395" t="n">
        <v>15</v>
      </c>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1.1" hidden="false" customHeight="true" outlineLevel="0" collapsed="false">
      <c r="A14" s="120" t="n">
        <f aca="false">A13+1</f>
        <v>3</v>
      </c>
      <c r="B14" s="170" t="n">
        <v>6875.6</v>
      </c>
      <c r="C14" s="114" t="n">
        <v>203273</v>
      </c>
      <c r="D14" s="119" t="n">
        <f aca="false">C14-C13</f>
        <v>-714</v>
      </c>
      <c r="E14" s="114" t="n">
        <f aca="false">C14-152000</f>
        <v>51273</v>
      </c>
      <c r="F14" s="182" t="n">
        <f aca="false">D14/$D$2</f>
        <v>-359.969750441139</v>
      </c>
      <c r="G14" s="183" t="n">
        <v>126</v>
      </c>
      <c r="H14" s="184" t="n">
        <v>0.22</v>
      </c>
      <c r="I14" s="113" t="n">
        <f aca="false">G14+H14</f>
        <v>126.22</v>
      </c>
      <c r="J14" s="185" t="n">
        <f aca="false">IF(L14&gt;0,L14,0)</f>
        <v>0</v>
      </c>
      <c r="K14" s="113" t="n">
        <f aca="false">I14+J14</f>
        <v>126.22</v>
      </c>
      <c r="L14" s="113" t="n">
        <f aca="false">F14-(I14-AA14)</f>
        <v>-23.6097504411394</v>
      </c>
      <c r="M14" s="394" t="n">
        <v>176</v>
      </c>
      <c r="N14" s="200" t="n">
        <v>0</v>
      </c>
      <c r="O14" s="113" t="n">
        <f aca="false">37.89*1.05</f>
        <v>39.7845</v>
      </c>
      <c r="P14" s="117" t="n">
        <v>2.28</v>
      </c>
      <c r="Q14" s="253" t="n">
        <v>4.05</v>
      </c>
      <c r="R14" s="234" t="n">
        <v>0</v>
      </c>
      <c r="S14" s="183" t="n">
        <v>130</v>
      </c>
      <c r="T14" s="183" t="n">
        <v>75</v>
      </c>
      <c r="U14" s="113" t="n">
        <f aca="false">M14-N14-O14-P14-Q14-R14+S14+T14</f>
        <v>334.8855</v>
      </c>
      <c r="V14" s="114" t="n">
        <f aca="false">V13+AH14-(AI14/1.9835)+AJ14</f>
        <v>6838.58058977439</v>
      </c>
      <c r="W14" s="114"/>
      <c r="X14" s="113" t="n">
        <v>67.58</v>
      </c>
      <c r="Y14" s="183" t="n">
        <v>14</v>
      </c>
      <c r="Z14" s="114" t="n">
        <f aca="false">Z13-Y14</f>
        <v>5091.49231157046</v>
      </c>
      <c r="AA14" s="6" t="n">
        <f aca="false">M14+S14+T14+X14+Y14</f>
        <v>462.58</v>
      </c>
      <c r="AB14" s="113" t="n">
        <f aca="false">IF(L14&lt;0,L14*-1,0)</f>
        <v>23.6097504411394</v>
      </c>
      <c r="AC14" s="113" t="n">
        <f aca="false">AA14+AB14</f>
        <v>486.189750441139</v>
      </c>
      <c r="AD14" s="163" t="n">
        <v>0</v>
      </c>
      <c r="AE14" s="119" t="n">
        <v>82</v>
      </c>
      <c r="AF14" s="169" t="n">
        <v>56</v>
      </c>
      <c r="AG14" s="120" t="n">
        <v>0</v>
      </c>
      <c r="AH14" s="391" t="n">
        <f aca="false">(I14-P14-Q14)-(U14)</f>
        <v>-214.9955</v>
      </c>
      <c r="AI14" s="10" t="n">
        <f aca="false">23.5*(V13*1.9835-U14*1.9835)/E14</f>
        <v>6.09711512684438</v>
      </c>
      <c r="AJ14" s="395" t="n">
        <v>15</v>
      </c>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1.1" hidden="false" customHeight="true" outlineLevel="0" collapsed="false">
      <c r="A15" s="120" t="n">
        <f aca="false">A14+1</f>
        <v>4</v>
      </c>
      <c r="B15" s="170" t="n">
        <v>6875.33</v>
      </c>
      <c r="C15" s="114" t="n">
        <v>202502</v>
      </c>
      <c r="D15" s="119" t="n">
        <f aca="false">C15-C14</f>
        <v>-771</v>
      </c>
      <c r="E15" s="114" t="n">
        <f aca="false">C15-152000</f>
        <v>50502</v>
      </c>
      <c r="F15" s="182" t="n">
        <f aca="false">D15/$D$2</f>
        <v>-388.706831358709</v>
      </c>
      <c r="G15" s="183" t="n">
        <v>116</v>
      </c>
      <c r="H15" s="184" t="n">
        <v>0.14</v>
      </c>
      <c r="I15" s="113" t="n">
        <f aca="false">G15+H15</f>
        <v>116.14</v>
      </c>
      <c r="J15" s="185" t="n">
        <f aca="false">IF(L15&gt;0,L15,0)</f>
        <v>0</v>
      </c>
      <c r="K15" s="113" t="n">
        <f aca="false">I15+J15</f>
        <v>116.14</v>
      </c>
      <c r="L15" s="113" t="n">
        <f aca="false">F15-(I15-AA15)</f>
        <v>-13.5868313587093</v>
      </c>
      <c r="M15" s="394" t="n">
        <v>163</v>
      </c>
      <c r="N15" s="200" t="n">
        <v>0</v>
      </c>
      <c r="O15" s="113" t="n">
        <f aca="false">31.21*1.05</f>
        <v>32.7705</v>
      </c>
      <c r="P15" s="117" t="n">
        <v>2.16</v>
      </c>
      <c r="Q15" s="253" t="n">
        <v>4.2</v>
      </c>
      <c r="R15" s="234" t="n">
        <v>1.64</v>
      </c>
      <c r="S15" s="183" t="n">
        <v>130</v>
      </c>
      <c r="T15" s="183" t="n">
        <v>65</v>
      </c>
      <c r="U15" s="113" t="n">
        <f aca="false">M15-N15-O15-P15-Q15-R15+S15+T15</f>
        <v>317.2295</v>
      </c>
      <c r="V15" s="114" t="n">
        <f aca="false">V14+AH15-(AI15/1.9835)+AJ15</f>
        <v>6643.09652182441</v>
      </c>
      <c r="W15" s="114"/>
      <c r="X15" s="113" t="n">
        <v>117.26</v>
      </c>
      <c r="Y15" s="183" t="n">
        <v>16</v>
      </c>
      <c r="Z15" s="114" t="n">
        <f aca="false">Z14-Y15</f>
        <v>5075.49231157046</v>
      </c>
      <c r="AA15" s="6" t="n">
        <f aca="false">M15+S15+T15+X15+Y15</f>
        <v>491.26</v>
      </c>
      <c r="AB15" s="113" t="n">
        <f aca="false">IF(L15&lt;0,L15*-1,0)</f>
        <v>13.5868313587093</v>
      </c>
      <c r="AC15" s="113" t="n">
        <f aca="false">AA15+AB15</f>
        <v>504.846831358709</v>
      </c>
      <c r="AD15" s="163" t="n">
        <v>0</v>
      </c>
      <c r="AE15" s="119" t="n">
        <v>86</v>
      </c>
      <c r="AF15" s="169" t="n">
        <v>54</v>
      </c>
      <c r="AG15" s="120" t="n">
        <v>0</v>
      </c>
      <c r="AH15" s="391" t="n">
        <f aca="false">(I15-P15-Q15)-(U15)</f>
        <v>-207.4495</v>
      </c>
      <c r="AI15" s="10" t="n">
        <f aca="false">23.5*(V14*1.9835-U15*1.9835)/E15</f>
        <v>6.0190655287778</v>
      </c>
      <c r="AJ15" s="395" t="n">
        <v>15</v>
      </c>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1.1" hidden="false" customHeight="true" outlineLevel="0" collapsed="false">
      <c r="A16" s="120" t="n">
        <f aca="false">A15+1</f>
        <v>5</v>
      </c>
      <c r="B16" s="170" t="n">
        <v>6875.04</v>
      </c>
      <c r="C16" s="114" t="n">
        <v>201675</v>
      </c>
      <c r="D16" s="119" t="n">
        <f aca="false">C16-C15</f>
        <v>-827</v>
      </c>
      <c r="E16" s="114" t="n">
        <f aca="false">C16-152000</f>
        <v>49675</v>
      </c>
      <c r="F16" s="182" t="n">
        <f aca="false">D16/$D$2</f>
        <v>-416.939752961936</v>
      </c>
      <c r="G16" s="183" t="n">
        <v>103</v>
      </c>
      <c r="H16" s="184" t="n">
        <v>0.07</v>
      </c>
      <c r="I16" s="113" t="n">
        <f aca="false">G16+H16</f>
        <v>103.07</v>
      </c>
      <c r="J16" s="185" t="n">
        <f aca="false">IF(L16&gt;0,L16,0)</f>
        <v>0</v>
      </c>
      <c r="K16" s="113" t="n">
        <f aca="false">I16+J16</f>
        <v>103.07</v>
      </c>
      <c r="L16" s="113" t="n">
        <f aca="false">F16-(I16-AA16)</f>
        <v>-37.1597529619359</v>
      </c>
      <c r="M16" s="394" t="n">
        <v>169</v>
      </c>
      <c r="N16" s="200" t="n">
        <v>0</v>
      </c>
      <c r="O16" s="113" t="n">
        <f aca="false">35.69*1.05</f>
        <v>37.4745</v>
      </c>
      <c r="P16" s="117" t="n">
        <v>2.41</v>
      </c>
      <c r="Q16" s="253" t="n">
        <v>4.2</v>
      </c>
      <c r="R16" s="234" t="n">
        <v>1.9</v>
      </c>
      <c r="S16" s="183" t="n">
        <v>128</v>
      </c>
      <c r="T16" s="183" t="n">
        <v>75</v>
      </c>
      <c r="U16" s="113" t="n">
        <f aca="false">M16-N16-O16-P16-Q16-R16+S16+T16</f>
        <v>326.0155</v>
      </c>
      <c r="V16" s="114" t="n">
        <f aca="false">V15+AH16-(AI16/1.9835)+AJ16</f>
        <v>6416.15256879949</v>
      </c>
      <c r="W16" s="114"/>
      <c r="X16" s="113" t="n">
        <v>87.85</v>
      </c>
      <c r="Y16" s="183" t="n">
        <v>23</v>
      </c>
      <c r="Z16" s="114" t="n">
        <f aca="false">Z15-Y16</f>
        <v>5052.49231157046</v>
      </c>
      <c r="AA16" s="6" t="n">
        <f aca="false">M16+S16+T16+X16+Y16</f>
        <v>482.85</v>
      </c>
      <c r="AB16" s="113" t="n">
        <f aca="false">IF(L16&lt;0,L16*-1,0)</f>
        <v>37.1597529619359</v>
      </c>
      <c r="AC16" s="113" t="n">
        <f aca="false">AA16+AB16</f>
        <v>520.009752961936</v>
      </c>
      <c r="AD16" s="163" t="n">
        <v>0</v>
      </c>
      <c r="AE16" s="119" t="n">
        <v>90</v>
      </c>
      <c r="AF16" s="169" t="n">
        <v>54</v>
      </c>
      <c r="AG16" s="120" t="n">
        <v>0</v>
      </c>
      <c r="AH16" s="391" t="n">
        <f aca="false">(I16-P16-Q16)-(U16)</f>
        <v>-229.5555</v>
      </c>
      <c r="AI16" s="10" t="n">
        <f aca="false">23.5*(V15*1.9835-U16*1.9835)/E16</f>
        <v>5.92759657492773</v>
      </c>
      <c r="AJ16" s="395" t="n">
        <v>5.6</v>
      </c>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1.1" hidden="false" customHeight="true" outlineLevel="0" collapsed="false">
      <c r="A17" s="120" t="n">
        <f aca="false">A16+1</f>
        <v>6</v>
      </c>
      <c r="B17" s="170" t="n">
        <v>6874.71</v>
      </c>
      <c r="C17" s="114" t="n">
        <v>200742</v>
      </c>
      <c r="D17" s="119" t="n">
        <f aca="false">C17-C16</f>
        <v>-933</v>
      </c>
      <c r="E17" s="114" t="n">
        <f aca="false">C17-152000</f>
        <v>48742</v>
      </c>
      <c r="F17" s="182" t="n">
        <f aca="false">D17/$D$2</f>
        <v>-470.380640282329</v>
      </c>
      <c r="G17" s="183" t="n">
        <v>83</v>
      </c>
      <c r="H17" s="184" t="n">
        <v>0.01</v>
      </c>
      <c r="I17" s="113" t="n">
        <f aca="false">G17+H17</f>
        <v>83.01</v>
      </c>
      <c r="J17" s="185" t="n">
        <f aca="false">IF(L17&gt;0,L17,0)</f>
        <v>0</v>
      </c>
      <c r="K17" s="113" t="n">
        <f aca="false">I17+J17</f>
        <v>83.01</v>
      </c>
      <c r="L17" s="113" t="n">
        <f aca="false">F17-(I17-AA17)</f>
        <v>-38.1606402823292</v>
      </c>
      <c r="M17" s="394" t="n">
        <v>214</v>
      </c>
      <c r="N17" s="200" t="n">
        <v>1.5</v>
      </c>
      <c r="O17" s="113" t="n">
        <f aca="false">44.68*1.05</f>
        <v>46.914</v>
      </c>
      <c r="P17" s="117" t="n">
        <v>2.92</v>
      </c>
      <c r="Q17" s="253" t="n">
        <v>4.2</v>
      </c>
      <c r="R17" s="234" t="n">
        <v>2.15</v>
      </c>
      <c r="S17" s="183" t="n">
        <v>128</v>
      </c>
      <c r="T17" s="183" t="n">
        <v>75</v>
      </c>
      <c r="U17" s="113" t="n">
        <f aca="false">M17-N17-O17-P17-Q17-R17+S17+T17</f>
        <v>359.316</v>
      </c>
      <c r="V17" s="114" t="n">
        <f aca="false">V16+AH17-(AI17/1.9835)</f>
        <v>6129.80638375648</v>
      </c>
      <c r="W17" s="114"/>
      <c r="X17" s="113" t="n">
        <v>75.23</v>
      </c>
      <c r="Y17" s="183" t="n">
        <v>23</v>
      </c>
      <c r="Z17" s="114" t="n">
        <f aca="false">Z16-Y17</f>
        <v>5029.49231157046</v>
      </c>
      <c r="AA17" s="6" t="n">
        <f aca="false">M17+S17+T17+X17+Y17</f>
        <v>515.23</v>
      </c>
      <c r="AB17" s="113" t="n">
        <f aca="false">IF(L17&lt;0,L17*-1,0)</f>
        <v>38.1606402823292</v>
      </c>
      <c r="AC17" s="113" t="n">
        <f aca="false">AA17+AB17</f>
        <v>553.390640282329</v>
      </c>
      <c r="AD17" s="163" t="n">
        <v>0</v>
      </c>
      <c r="AE17" s="119" t="n">
        <v>90</v>
      </c>
      <c r="AF17" s="169" t="n">
        <v>58</v>
      </c>
      <c r="AG17" s="120" t="n">
        <v>0</v>
      </c>
      <c r="AH17" s="391" t="n">
        <f aca="false">(I17-P17-Q17)-(U17)</f>
        <v>-283.426</v>
      </c>
      <c r="AI17" s="10" t="n">
        <f aca="false">23.5*(V16*1.9835-U17*1.9835)/E17</f>
        <v>5.7921870328264</v>
      </c>
      <c r="AJ17" s="395"/>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1.1" hidden="false" customHeight="true" outlineLevel="0" collapsed="false">
      <c r="A18" s="120" t="n">
        <f aca="false">A17+1</f>
        <v>7</v>
      </c>
      <c r="B18" s="170" t="n">
        <v>6874.42</v>
      </c>
      <c r="C18" s="114" t="n">
        <v>199924</v>
      </c>
      <c r="D18" s="119" t="n">
        <f aca="false">C18-C17</f>
        <v>-818</v>
      </c>
      <c r="E18" s="114" t="n">
        <f aca="false">C18-152000</f>
        <v>47924</v>
      </c>
      <c r="F18" s="182" t="n">
        <f aca="false">D18/$D$2</f>
        <v>-412.402319132846</v>
      </c>
      <c r="G18" s="183" t="n">
        <v>74</v>
      </c>
      <c r="H18" s="184" t="n">
        <v>0</v>
      </c>
      <c r="I18" s="113" t="n">
        <f aca="false">G18+H18</f>
        <v>74</v>
      </c>
      <c r="J18" s="185" t="n">
        <f aca="false">IF(L18&gt;0,L18,0)</f>
        <v>14.8876808671541</v>
      </c>
      <c r="K18" s="113" t="n">
        <f aca="false">I18+J18</f>
        <v>88.8876808671541</v>
      </c>
      <c r="L18" s="113" t="n">
        <f aca="false">F18-(I18-AA18)</f>
        <v>14.8876808671541</v>
      </c>
      <c r="M18" s="394" t="n">
        <v>201</v>
      </c>
      <c r="N18" s="200" t="n">
        <v>0</v>
      </c>
      <c r="O18" s="113" t="n">
        <f aca="false">43.66*1.05</f>
        <v>45.843</v>
      </c>
      <c r="P18" s="117" t="n">
        <v>2.74</v>
      </c>
      <c r="Q18" s="253" t="n">
        <v>4.2</v>
      </c>
      <c r="R18" s="234" t="n">
        <v>1.74</v>
      </c>
      <c r="S18" s="183" t="n">
        <v>127</v>
      </c>
      <c r="T18" s="183" t="n">
        <v>74</v>
      </c>
      <c r="U18" s="113" t="n">
        <f aca="false">M18-N18-O18-P18-Q18-R18+S18+T18</f>
        <v>347.477</v>
      </c>
      <c r="V18" s="114" t="n">
        <f aca="false">V17+AH18-(AI18/1.9835)</f>
        <v>5846.55396224495</v>
      </c>
      <c r="W18" s="114"/>
      <c r="X18" s="113" t="n">
        <v>77.29</v>
      </c>
      <c r="Y18" s="183" t="n">
        <v>22</v>
      </c>
      <c r="Z18" s="114" t="n">
        <f aca="false">Z17-Y18</f>
        <v>5007.49231157046</v>
      </c>
      <c r="AA18" s="6" t="n">
        <f aca="false">M18+S18+T18+X18+Y18</f>
        <v>501.29</v>
      </c>
      <c r="AB18" s="113" t="n">
        <f aca="false">IF(L18&lt;0,L18*-1,0)</f>
        <v>0</v>
      </c>
      <c r="AC18" s="113" t="n">
        <f aca="false">AA18+AB18</f>
        <v>501.29</v>
      </c>
      <c r="AD18" s="163" t="n">
        <v>0.05</v>
      </c>
      <c r="AE18" s="119" t="n">
        <v>90</v>
      </c>
      <c r="AF18" s="169" t="n">
        <v>60</v>
      </c>
      <c r="AG18" s="120" t="n">
        <v>0</v>
      </c>
      <c r="AH18" s="391" t="n">
        <f aca="false">(I18-P18-Q18)-(U18)</f>
        <v>-280.417</v>
      </c>
      <c r="AI18" s="10" t="n">
        <f aca="false">23.5*(V17*1.9835-U18*1.9835)/E18</f>
        <v>5.6240585681079</v>
      </c>
      <c r="AJ18" s="395"/>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1.1" hidden="false" customHeight="true" outlineLevel="0" collapsed="false">
      <c r="A19" s="120" t="n">
        <f aca="false">A18+1</f>
        <v>8</v>
      </c>
      <c r="B19" s="170" t="n">
        <v>6874.12</v>
      </c>
      <c r="C19" s="114" t="n">
        <v>199078</v>
      </c>
      <c r="D19" s="119" t="n">
        <f aca="false">C19-C18</f>
        <v>-846</v>
      </c>
      <c r="E19" s="114" t="n">
        <f aca="false">C19-152000</f>
        <v>47078</v>
      </c>
      <c r="F19" s="182" t="n">
        <f aca="false">D19/$D$2</f>
        <v>-426.518779934459</v>
      </c>
      <c r="G19" s="183" t="n">
        <v>83</v>
      </c>
      <c r="H19" s="184" t="n">
        <v>0</v>
      </c>
      <c r="I19" s="113" t="n">
        <f aca="false">G19+H19</f>
        <v>83</v>
      </c>
      <c r="J19" s="185" t="n">
        <f aca="false">IF(L19&gt;0,L19,0)</f>
        <v>0</v>
      </c>
      <c r="K19" s="113" t="n">
        <f aca="false">I19+J19</f>
        <v>83</v>
      </c>
      <c r="L19" s="113" t="n">
        <f aca="false">F19-(I19-AA19)</f>
        <v>-38.3887799344593</v>
      </c>
      <c r="M19" s="394" t="n">
        <v>186</v>
      </c>
      <c r="N19" s="200" t="n">
        <v>0</v>
      </c>
      <c r="O19" s="113" t="n">
        <f aca="false">38.08*1.05</f>
        <v>39.984</v>
      </c>
      <c r="P19" s="117" t="n">
        <v>3.1</v>
      </c>
      <c r="Q19" s="253" t="n">
        <v>4.2</v>
      </c>
      <c r="R19" s="234" t="n">
        <v>1.91</v>
      </c>
      <c r="S19" s="183" t="n">
        <v>125</v>
      </c>
      <c r="T19" s="183" t="n">
        <v>74</v>
      </c>
      <c r="U19" s="113" t="n">
        <f aca="false">M19-N19-O19-P19-Q19-R19+S19+T19</f>
        <v>335.806</v>
      </c>
      <c r="V19" s="114" t="n">
        <f aca="false">V18+AH19-(AI19/1.9835)</f>
        <v>5583.69715343589</v>
      </c>
      <c r="W19" s="114"/>
      <c r="X19" s="113" t="n">
        <v>65.13</v>
      </c>
      <c r="Y19" s="183" t="n">
        <v>21</v>
      </c>
      <c r="Z19" s="114" t="n">
        <f aca="false">Z18-Y19</f>
        <v>4986.49231157046</v>
      </c>
      <c r="AA19" s="6" t="n">
        <f aca="false">M19+S19+T19+X19+Y19</f>
        <v>471.13</v>
      </c>
      <c r="AB19" s="113" t="n">
        <f aca="false">IF(L19&lt;0,L19*-1,0)</f>
        <v>38.3887799344593</v>
      </c>
      <c r="AC19" s="113" t="n">
        <f aca="false">AA19+AB19</f>
        <v>509.518779934459</v>
      </c>
      <c r="AD19" s="163" t="n">
        <v>0</v>
      </c>
      <c r="AE19" s="119" t="n">
        <v>89</v>
      </c>
      <c r="AF19" s="169" t="n">
        <v>52</v>
      </c>
      <c r="AG19" s="120" t="n">
        <v>0</v>
      </c>
      <c r="AH19" s="391" t="n">
        <f aca="false">(I19-P19-Q19)-(U19)</f>
        <v>-260.106</v>
      </c>
      <c r="AI19" s="10" t="n">
        <f aca="false">23.5*(V18*1.9835-U19*1.9835)/E19</f>
        <v>5.45622927276333</v>
      </c>
      <c r="AJ19" s="395"/>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1.1" hidden="false" customHeight="true" outlineLevel="0" collapsed="false">
      <c r="A20" s="120" t="n">
        <f aca="false">A19+1</f>
        <v>9</v>
      </c>
      <c r="B20" s="170" t="n">
        <v>6873.78</v>
      </c>
      <c r="C20" s="114" t="n">
        <v>198126</v>
      </c>
      <c r="D20" s="119" t="n">
        <f aca="false">C20-C19</f>
        <v>-952</v>
      </c>
      <c r="E20" s="114" t="n">
        <f aca="false">C20-152000</f>
        <v>46126</v>
      </c>
      <c r="F20" s="182" t="n">
        <f aca="false">D20/$D$2</f>
        <v>-479.959667254853</v>
      </c>
      <c r="G20" s="183" t="n">
        <v>88</v>
      </c>
      <c r="H20" s="184" t="n">
        <v>0</v>
      </c>
      <c r="I20" s="113" t="n">
        <f aca="false">G20+H20</f>
        <v>88</v>
      </c>
      <c r="J20" s="185" t="n">
        <f aca="false">IF(L20&gt;0,L20,0)</f>
        <v>0</v>
      </c>
      <c r="K20" s="113" t="n">
        <f aca="false">I20+J20</f>
        <v>88</v>
      </c>
      <c r="L20" s="113" t="n">
        <f aca="false">F20-(I20-AA20)</f>
        <v>-108.269667254853</v>
      </c>
      <c r="M20" s="394" t="n">
        <v>177</v>
      </c>
      <c r="N20" s="200" t="n">
        <v>0</v>
      </c>
      <c r="O20" s="113" t="n">
        <f aca="false">31.36*1.05</f>
        <v>32.928</v>
      </c>
      <c r="P20" s="117" t="n">
        <v>2.71</v>
      </c>
      <c r="Q20" s="253" t="n">
        <v>4.2</v>
      </c>
      <c r="R20" s="234" t="n">
        <v>1.96</v>
      </c>
      <c r="S20" s="183" t="n">
        <v>124</v>
      </c>
      <c r="T20" s="183" t="n">
        <v>70</v>
      </c>
      <c r="U20" s="113" t="n">
        <f aca="false">M20-N20-O20-P20-Q20-R20+S20+T20</f>
        <v>329.202</v>
      </c>
      <c r="V20" s="114" t="n">
        <f aca="false">V19+AH20-(AI20/1.9835)</f>
        <v>5332.90812451282</v>
      </c>
      <c r="W20" s="114"/>
      <c r="X20" s="113" t="n">
        <v>67.69</v>
      </c>
      <c r="Y20" s="183" t="n">
        <v>21</v>
      </c>
      <c r="Z20" s="114" t="n">
        <f aca="false">Z19-Y20</f>
        <v>4965.49231157046</v>
      </c>
      <c r="AA20" s="6" t="n">
        <f aca="false">M20+S20+T20+X20+Y20</f>
        <v>459.69</v>
      </c>
      <c r="AB20" s="113" t="n">
        <f aca="false">IF(L20&lt;0,L20*-1,0)</f>
        <v>108.269667254853</v>
      </c>
      <c r="AC20" s="113" t="n">
        <f aca="false">AA20+AB20</f>
        <v>567.959667254853</v>
      </c>
      <c r="AD20" s="163" t="n">
        <v>0</v>
      </c>
      <c r="AE20" s="187" t="n">
        <v>89</v>
      </c>
      <c r="AF20" s="169" t="n">
        <v>59</v>
      </c>
      <c r="AG20" s="120" t="n">
        <v>0</v>
      </c>
      <c r="AH20" s="391" t="n">
        <f aca="false">(I20-P20-Q20)-(U20)</f>
        <v>-248.112</v>
      </c>
      <c r="AI20" s="10" t="n">
        <f aca="false">23.5*(V19*1.9835-U20*1.9835)/E20</f>
        <v>5.30988686891866</v>
      </c>
      <c r="AJ20" s="395"/>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1.1" hidden="false" customHeight="true" outlineLevel="0" collapsed="false">
      <c r="A21" s="120" t="n">
        <f aca="false">A20+1</f>
        <v>10</v>
      </c>
      <c r="B21" s="170" t="n">
        <v>6873.49</v>
      </c>
      <c r="C21" s="114" t="n">
        <v>197319</v>
      </c>
      <c r="D21" s="119" t="n">
        <f aca="false">C21-C20</f>
        <v>-807</v>
      </c>
      <c r="E21" s="114" t="n">
        <f aca="false">C21-152000</f>
        <v>45319</v>
      </c>
      <c r="F21" s="182" t="n">
        <f aca="false">D21/$D$2</f>
        <v>-406.856566675069</v>
      </c>
      <c r="G21" s="183" t="n">
        <v>77</v>
      </c>
      <c r="H21" s="184" t="n">
        <v>0</v>
      </c>
      <c r="I21" s="113" t="n">
        <f aca="false">G21+H21</f>
        <v>77</v>
      </c>
      <c r="J21" s="185" t="n">
        <v>0</v>
      </c>
      <c r="K21" s="113" t="n">
        <f aca="false">I21+J21</f>
        <v>77</v>
      </c>
      <c r="L21" s="113" t="n">
        <f aca="false">F21-(I21-AA21)</f>
        <v>-22.9265666750693</v>
      </c>
      <c r="M21" s="394" t="n">
        <v>180</v>
      </c>
      <c r="N21" s="200" t="n">
        <v>6</v>
      </c>
      <c r="O21" s="113" t="n">
        <f aca="false">32.17*1.05</f>
        <v>33.7785</v>
      </c>
      <c r="P21" s="117" t="n">
        <v>2.81</v>
      </c>
      <c r="Q21" s="253" t="n">
        <v>4.2</v>
      </c>
      <c r="R21" s="234" t="n">
        <v>2.94</v>
      </c>
      <c r="S21" s="183" t="n">
        <v>123</v>
      </c>
      <c r="T21" s="183" t="n">
        <v>69</v>
      </c>
      <c r="U21" s="113" t="n">
        <f aca="false">M21-N21-O21-P21-Q21-R21+S21+T21</f>
        <v>322.2715</v>
      </c>
      <c r="V21" s="114" t="n">
        <f aca="false">V20+AH21-(AI21/1.9835)</f>
        <v>5078.02837740507</v>
      </c>
      <c r="W21" s="114"/>
      <c r="X21" s="113" t="n">
        <v>67.93</v>
      </c>
      <c r="Y21" s="183" t="n">
        <v>21</v>
      </c>
      <c r="Z21" s="114" t="n">
        <f aca="false">Z20-Y21</f>
        <v>4944.49231157046</v>
      </c>
      <c r="AA21" s="6" t="n">
        <f aca="false">M21+S21+T21+X21+Y21</f>
        <v>460.93</v>
      </c>
      <c r="AB21" s="113" t="n">
        <f aca="false">IF(L21&lt;0,L21*-1,0)</f>
        <v>22.9265666750693</v>
      </c>
      <c r="AC21" s="113" t="n">
        <f aca="false">AA21+AB21</f>
        <v>483.856566675069</v>
      </c>
      <c r="AD21" s="163" t="n">
        <v>0</v>
      </c>
      <c r="AE21" s="119" t="n">
        <v>91</v>
      </c>
      <c r="AF21" s="169" t="n">
        <v>59</v>
      </c>
      <c r="AG21" s="120" t="n">
        <v>0</v>
      </c>
      <c r="AH21" s="391" t="n">
        <f aca="false">(I21-P21-Q21)-(U21)</f>
        <v>-252.2815</v>
      </c>
      <c r="AI21" s="10" t="n">
        <f aca="false">23.5*(V20*1.9835-U21*1.9835)/E21</f>
        <v>5.15362313821902</v>
      </c>
      <c r="AJ21" s="395"/>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1.1" hidden="false" customHeight="true" outlineLevel="0" collapsed="false">
      <c r="A22" s="120" t="n">
        <v>11</v>
      </c>
      <c r="B22" s="170" t="n">
        <v>6873.19</v>
      </c>
      <c r="C22" s="114" t="n">
        <v>196482</v>
      </c>
      <c r="D22" s="119" t="n">
        <f aca="false">C22-C21</f>
        <v>-837</v>
      </c>
      <c r="E22" s="114" t="n">
        <f aca="false">C22-152000</f>
        <v>44482</v>
      </c>
      <c r="F22" s="182" t="n">
        <f aca="false">D22/$D$2</f>
        <v>-421.981346105369</v>
      </c>
      <c r="G22" s="183" t="n">
        <v>78</v>
      </c>
      <c r="H22" s="184" t="n">
        <v>0</v>
      </c>
      <c r="I22" s="113" t="n">
        <f aca="false">G22+H22</f>
        <v>78</v>
      </c>
      <c r="J22" s="185" t="n">
        <f aca="false">IF(L22&gt;0,L22,0)</f>
        <v>0</v>
      </c>
      <c r="K22" s="113" t="n">
        <f aca="false">I22+J22</f>
        <v>78</v>
      </c>
      <c r="L22" s="113" t="n">
        <f aca="false">F22-(I22-AA22)</f>
        <v>-53.3213461053694</v>
      </c>
      <c r="M22" s="394" t="n">
        <v>185</v>
      </c>
      <c r="N22" s="200" t="n">
        <v>0</v>
      </c>
      <c r="O22" s="113" t="n">
        <f aca="false">35.67*1.05</f>
        <v>37.4535</v>
      </c>
      <c r="P22" s="117" t="n">
        <v>2.81</v>
      </c>
      <c r="Q22" s="253" t="n">
        <v>4.2</v>
      </c>
      <c r="R22" s="234" t="n">
        <v>3.183</v>
      </c>
      <c r="S22" s="183" t="n">
        <v>122</v>
      </c>
      <c r="T22" s="183" t="n">
        <v>69</v>
      </c>
      <c r="U22" s="113" t="n">
        <f aca="false">M22-N22-O22-P22-Q22-R22+S22+T22</f>
        <v>328.3535</v>
      </c>
      <c r="V22" s="114" t="n">
        <f aca="false">V21+AH22-(AI22/1.9835)</f>
        <v>4818.15560714701</v>
      </c>
      <c r="W22" s="114"/>
      <c r="X22" s="113" t="n">
        <v>49.66</v>
      </c>
      <c r="Y22" s="183" t="n">
        <v>21</v>
      </c>
      <c r="Z22" s="114" t="n">
        <f aca="false">Z21-Y22</f>
        <v>4923.49231157046</v>
      </c>
      <c r="AA22" s="6" t="n">
        <f aca="false">M22+S22+T22+X22+Y22</f>
        <v>446.66</v>
      </c>
      <c r="AB22" s="113" t="n">
        <f aca="false">IF(L22&lt;0,L22*-1,0)</f>
        <v>53.3213461053694</v>
      </c>
      <c r="AC22" s="113" t="n">
        <f aca="false">AA22+AB22</f>
        <v>499.981346105369</v>
      </c>
      <c r="AD22" s="163" t="n">
        <v>0</v>
      </c>
      <c r="AE22" s="119" t="n">
        <v>92</v>
      </c>
      <c r="AF22" s="169" t="n">
        <v>59</v>
      </c>
      <c r="AG22" s="120" t="n">
        <v>0</v>
      </c>
      <c r="AH22" s="391" t="n">
        <f aca="false">(I22-P22-Q22)-(U22)</f>
        <v>-257.3635</v>
      </c>
      <c r="AI22" s="10" t="n">
        <f aca="false">23.5*(V21*1.9835-U22*1.9835)/E22</f>
        <v>4.97713755686175</v>
      </c>
      <c r="AJ22" s="395"/>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1.1" hidden="false" customHeight="true" outlineLevel="0" collapsed="false">
      <c r="A23" s="120" t="n">
        <v>12</v>
      </c>
      <c r="B23" s="170" t="n">
        <v>6872.86</v>
      </c>
      <c r="C23" s="114" t="n">
        <v>195567</v>
      </c>
      <c r="D23" s="119" t="n">
        <f aca="false">C23-C22</f>
        <v>-915</v>
      </c>
      <c r="E23" s="114" t="n">
        <f aca="false">C23-152000</f>
        <v>43567</v>
      </c>
      <c r="F23" s="182" t="n">
        <f aca="false">D23/$D$2</f>
        <v>-461.305772624149</v>
      </c>
      <c r="G23" s="183" t="n">
        <v>79</v>
      </c>
      <c r="H23" s="184" t="n">
        <v>0</v>
      </c>
      <c r="I23" s="113" t="n">
        <f aca="false">G23+H23</f>
        <v>79</v>
      </c>
      <c r="J23" s="185" t="n">
        <f aca="false">IF(L23&gt;0,L23,0)</f>
        <v>0</v>
      </c>
      <c r="K23" s="113" t="n">
        <f aca="false">I23+J23</f>
        <v>79</v>
      </c>
      <c r="L23" s="113" t="n">
        <f aca="false">F23-(I23-AA23)</f>
        <v>-74.9557726241492</v>
      </c>
      <c r="M23" s="394" t="n">
        <v>182</v>
      </c>
      <c r="N23" s="200" t="n">
        <v>0</v>
      </c>
      <c r="O23" s="113" t="n">
        <f aca="false">29.23*1.05</f>
        <v>30.6915</v>
      </c>
      <c r="P23" s="117" t="n">
        <v>2.75</v>
      </c>
      <c r="Q23" s="253" t="n">
        <v>4.2</v>
      </c>
      <c r="R23" s="234" t="n">
        <v>3.01</v>
      </c>
      <c r="S23" s="183" t="n">
        <v>121</v>
      </c>
      <c r="T23" s="183" t="n">
        <v>69</v>
      </c>
      <c r="U23" s="113" t="n">
        <f aca="false">M23-N23-O23-P23-Q23-R23+S23+T23</f>
        <v>331.3485</v>
      </c>
      <c r="V23" s="114" t="n">
        <f aca="false">V22+AH23-(AI23/1.9835)</f>
        <v>4556.43692749227</v>
      </c>
      <c r="W23" s="114"/>
      <c r="X23" s="113" t="n">
        <v>72.35</v>
      </c>
      <c r="Y23" s="183" t="n">
        <v>21</v>
      </c>
      <c r="Z23" s="114" t="n">
        <f aca="false">Z22-Y23</f>
        <v>4902.49231157046</v>
      </c>
      <c r="AA23" s="6" t="n">
        <f aca="false">M23+S23+T23+X23+Y23</f>
        <v>465.35</v>
      </c>
      <c r="AB23" s="113" t="n">
        <f aca="false">IF(L23&lt;0,L23*-1,0)</f>
        <v>74.9557726241492</v>
      </c>
      <c r="AC23" s="113" t="n">
        <f aca="false">AA23+AB23</f>
        <v>540.305772624149</v>
      </c>
      <c r="AD23" s="163" t="n">
        <v>0</v>
      </c>
      <c r="AE23" s="119" t="n">
        <v>89</v>
      </c>
      <c r="AF23" s="169" t="n">
        <v>58</v>
      </c>
      <c r="AG23" s="120" t="n">
        <v>0</v>
      </c>
      <c r="AH23" s="391" t="n">
        <f aca="false">(I23-P23-Q23)-(U23)</f>
        <v>-259.2985</v>
      </c>
      <c r="AI23" s="10" t="n">
        <f aca="false">23.5*(V22*1.9835-U23*1.9835)/E23</f>
        <v>4.80042634517211</v>
      </c>
      <c r="AJ23" s="395"/>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1.1" hidden="false" customHeight="true" outlineLevel="0" collapsed="false">
      <c r="A24" s="120" t="n">
        <v>13</v>
      </c>
      <c r="B24" s="170" t="n">
        <v>6872.57</v>
      </c>
      <c r="C24" s="114" t="n">
        <v>194769</v>
      </c>
      <c r="D24" s="119" t="n">
        <f aca="false">C24-C23</f>
        <v>-798</v>
      </c>
      <c r="E24" s="114" t="n">
        <f aca="false">C24-152000</f>
        <v>42769</v>
      </c>
      <c r="F24" s="182" t="n">
        <f aca="false">D24/$D$2</f>
        <v>-402.319132845979</v>
      </c>
      <c r="G24" s="183" t="n">
        <v>99</v>
      </c>
      <c r="H24" s="184" t="n">
        <v>0</v>
      </c>
      <c r="I24" s="113" t="n">
        <f aca="false">G24+H24</f>
        <v>99</v>
      </c>
      <c r="J24" s="185" t="n">
        <f aca="false">IF(L24&gt;0,L24,0)</f>
        <v>0</v>
      </c>
      <c r="K24" s="113" t="n">
        <f aca="false">I24+J24</f>
        <v>99</v>
      </c>
      <c r="L24" s="113" t="n">
        <f aca="false">F24-(I24-AA24)</f>
        <v>-35.2091328459793</v>
      </c>
      <c r="M24" s="394" t="n">
        <v>194</v>
      </c>
      <c r="N24" s="200" t="n">
        <v>0</v>
      </c>
      <c r="O24" s="113" t="n">
        <f aca="false">34.44*1.05</f>
        <v>36.162</v>
      </c>
      <c r="P24" s="117" t="n">
        <v>3.21</v>
      </c>
      <c r="Q24" s="253" t="n">
        <v>4.2</v>
      </c>
      <c r="R24" s="234" t="n">
        <v>4.61</v>
      </c>
      <c r="S24" s="183" t="n">
        <v>120</v>
      </c>
      <c r="T24" s="183" t="n">
        <v>68</v>
      </c>
      <c r="U24" s="113" t="n">
        <f aca="false">M24-N24-O24-P24-Q24-R24+S24+T24</f>
        <v>333.818</v>
      </c>
      <c r="V24" s="114" t="n">
        <f aca="false">V23+AH24-(AI24/1.9835)</f>
        <v>4311.88875295473</v>
      </c>
      <c r="W24" s="114"/>
      <c r="X24" s="113" t="n">
        <v>63.11</v>
      </c>
      <c r="Y24" s="183" t="n">
        <v>21</v>
      </c>
      <c r="Z24" s="114" t="n">
        <f aca="false">Z23-Y24</f>
        <v>4881.49231157046</v>
      </c>
      <c r="AA24" s="6" t="n">
        <f aca="false">M24+S24+T24+X24+Y24</f>
        <v>466.11</v>
      </c>
      <c r="AB24" s="113" t="n">
        <f aca="false">IF(L24&lt;0,L24*-1,0)</f>
        <v>35.2091328459793</v>
      </c>
      <c r="AC24" s="113" t="n">
        <f aca="false">AA24+AB24</f>
        <v>501.319132845979</v>
      </c>
      <c r="AD24" s="163" t="n">
        <v>0.16</v>
      </c>
      <c r="AE24" s="119" t="n">
        <v>88</v>
      </c>
      <c r="AF24" s="169" t="n">
        <v>60</v>
      </c>
      <c r="AG24" s="120" t="n">
        <v>0</v>
      </c>
      <c r="AH24" s="391" t="n">
        <f aca="false">(I24-P24-Q24)-(U24)</f>
        <v>-242.228</v>
      </c>
      <c r="AI24" s="10" t="n">
        <f aca="false">23.5*(V23*1.9835-U24*1.9835)/E24</f>
        <v>4.60206619521153</v>
      </c>
      <c r="AJ24" s="395"/>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1.1" hidden="false" customHeight="true" outlineLevel="0" collapsed="false">
      <c r="A25" s="120" t="n">
        <v>14</v>
      </c>
      <c r="B25" s="170" t="n">
        <v>6872.47</v>
      </c>
      <c r="C25" s="114" t="n">
        <v>194494</v>
      </c>
      <c r="D25" s="119" t="n">
        <f aca="false">C25-C24</f>
        <v>-275</v>
      </c>
      <c r="E25" s="114" t="n">
        <f aca="false">C25-152000</f>
        <v>42494</v>
      </c>
      <c r="F25" s="182" t="n">
        <f aca="false">D25/$D$2</f>
        <v>-138.643811444416</v>
      </c>
      <c r="G25" s="183" t="n">
        <v>242</v>
      </c>
      <c r="H25" s="184" t="n">
        <v>0</v>
      </c>
      <c r="I25" s="113" t="n">
        <f aca="false">G25+H25</f>
        <v>242</v>
      </c>
      <c r="J25" s="185" t="n">
        <f aca="false">IF(L25&gt;0,L25,0)</f>
        <v>84.4861885555836</v>
      </c>
      <c r="K25" s="113" t="n">
        <f aca="false">I25+J25</f>
        <v>326.486188555584</v>
      </c>
      <c r="L25" s="113" t="n">
        <f aca="false">F25-(I25-AA25)</f>
        <v>84.4861885555836</v>
      </c>
      <c r="M25" s="394" t="n">
        <v>196</v>
      </c>
      <c r="N25" s="200" t="n">
        <v>0</v>
      </c>
      <c r="O25" s="113" t="n">
        <f aca="false">26.56*1.05</f>
        <v>27.888</v>
      </c>
      <c r="P25" s="117" t="n">
        <v>2.43</v>
      </c>
      <c r="Q25" s="253" t="n">
        <v>4.2</v>
      </c>
      <c r="R25" s="234" t="n">
        <v>5.78</v>
      </c>
      <c r="S25" s="183" t="n">
        <v>119</v>
      </c>
      <c r="T25" s="183" t="n">
        <v>65</v>
      </c>
      <c r="U25" s="113" t="n">
        <f aca="false">M25-N25-O25-P25-Q25-R25+S25+T25</f>
        <v>339.702</v>
      </c>
      <c r="V25" s="114" t="n">
        <f aca="false">V24+AH25-(AI25/1.9835)</f>
        <v>4205.36005721664</v>
      </c>
      <c r="W25" s="114"/>
      <c r="X25" s="113" t="n">
        <v>64.13</v>
      </c>
      <c r="Y25" s="183" t="n">
        <v>21</v>
      </c>
      <c r="Z25" s="114" t="n">
        <f aca="false">Z24-Y25</f>
        <v>4860.49231157046</v>
      </c>
      <c r="AA25" s="6" t="n">
        <f aca="false">M25+S25+T25+X25+Y25</f>
        <v>465.13</v>
      </c>
      <c r="AB25" s="113" t="n">
        <f aca="false">IF(L25&lt;0,L25*-1,0)</f>
        <v>0</v>
      </c>
      <c r="AC25" s="113" t="n">
        <f aca="false">AA25+AB25</f>
        <v>465.13</v>
      </c>
      <c r="AD25" s="163" t="n">
        <v>0</v>
      </c>
      <c r="AE25" s="119" t="n">
        <v>88</v>
      </c>
      <c r="AF25" s="169" t="n">
        <v>57</v>
      </c>
      <c r="AG25" s="120" t="n">
        <v>0</v>
      </c>
      <c r="AH25" s="391" t="n">
        <f aca="false">(I25-P25-Q25)-(U25)</f>
        <v>-104.332</v>
      </c>
      <c r="AI25" s="10" t="n">
        <f aca="false">23.5*(V24*1.9835-U25*1.9835)/E25</f>
        <v>4.35714599650337</v>
      </c>
      <c r="AJ25" s="395"/>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1.1" hidden="false" customHeight="true" outlineLevel="0" collapsed="false">
      <c r="A26" s="120" t="n">
        <v>15</v>
      </c>
      <c r="B26" s="170" t="n">
        <v>6872.31</v>
      </c>
      <c r="C26" s="114" t="n">
        <v>194054</v>
      </c>
      <c r="D26" s="119" t="n">
        <f aca="false">C26-C25</f>
        <v>-440</v>
      </c>
      <c r="E26" s="114" t="n">
        <f aca="false">C26-152000</f>
        <v>42054</v>
      </c>
      <c r="F26" s="182" t="n">
        <f aca="false">D26/$D$2</f>
        <v>-221.830098311066</v>
      </c>
      <c r="G26" s="183" t="n">
        <v>209</v>
      </c>
      <c r="H26" s="184" t="n">
        <v>0</v>
      </c>
      <c r="I26" s="113" t="n">
        <f aca="false">G26+H26</f>
        <v>209</v>
      </c>
      <c r="J26" s="185" t="n">
        <f aca="false">IF(L26&gt;0,L26,0)</f>
        <v>20.4199016889337</v>
      </c>
      <c r="K26" s="113" t="n">
        <f aca="false">I26+J26</f>
        <v>229.419901688934</v>
      </c>
      <c r="L26" s="113" t="n">
        <f aca="false">F26-(I26-AA26)</f>
        <v>20.4199016889337</v>
      </c>
      <c r="M26" s="394" t="n">
        <v>165</v>
      </c>
      <c r="N26" s="200" t="n">
        <v>0</v>
      </c>
      <c r="O26" s="113" t="n">
        <f aca="false">21.59*1.05</f>
        <v>22.6695</v>
      </c>
      <c r="P26" s="117" t="n">
        <v>2.31</v>
      </c>
      <c r="Q26" s="253" t="n">
        <v>4.2</v>
      </c>
      <c r="R26" s="234" t="n">
        <v>4.74</v>
      </c>
      <c r="S26" s="183" t="n">
        <v>119</v>
      </c>
      <c r="T26" s="183" t="n">
        <v>66</v>
      </c>
      <c r="U26" s="113" t="n">
        <f aca="false">M26-N26-O26-P26-Q26-R26+S26+T26</f>
        <v>316.0805</v>
      </c>
      <c r="V26" s="114" t="n">
        <f aca="false">V25+AH26-(AI26/1.9835)</f>
        <v>4089.59620700989</v>
      </c>
      <c r="W26" s="114"/>
      <c r="X26" s="113" t="n">
        <v>80.25</v>
      </c>
      <c r="Y26" s="183" t="n">
        <v>21</v>
      </c>
      <c r="Z26" s="114" t="n">
        <f aca="false">Z25-Y26</f>
        <v>4839.49231157046</v>
      </c>
      <c r="AA26" s="6" t="n">
        <f aca="false">M26+S26+T26+X26+Y26</f>
        <v>451.25</v>
      </c>
      <c r="AB26" s="113" t="n">
        <f aca="false">IF(L26&lt;0,L26*-1,0)</f>
        <v>0</v>
      </c>
      <c r="AC26" s="113" t="n">
        <f aca="false">AA26+AB26</f>
        <v>451.25</v>
      </c>
      <c r="AD26" s="163" t="n">
        <v>0.01</v>
      </c>
      <c r="AE26" s="119" t="n">
        <v>87</v>
      </c>
      <c r="AF26" s="169" t="n">
        <v>54</v>
      </c>
      <c r="AG26" s="120" t="n">
        <v>0</v>
      </c>
      <c r="AH26" s="391" t="n">
        <f aca="false">(I26-P26-Q26)-(U26)</f>
        <v>-113.5905</v>
      </c>
      <c r="AI26" s="10" t="n">
        <f aca="false">23.5*(V25*1.9835-U26*1.9835)/E26</f>
        <v>4.31084013508516</v>
      </c>
      <c r="AJ26" s="395"/>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1.1" hidden="false" customHeight="true" outlineLevel="0" collapsed="false">
      <c r="A27" s="120" t="n">
        <v>16</v>
      </c>
      <c r="B27" s="170" t="n">
        <v>6872.04</v>
      </c>
      <c r="C27" s="114" t="n">
        <v>193311</v>
      </c>
      <c r="D27" s="119" t="n">
        <f aca="false">C27-C26</f>
        <v>-743</v>
      </c>
      <c r="E27" s="114" t="n">
        <f aca="false">C27-152000</f>
        <v>41311</v>
      </c>
      <c r="F27" s="182" t="n">
        <f aca="false">D27/$D$2</f>
        <v>-374.590370557096</v>
      </c>
      <c r="G27" s="183" t="n">
        <v>171</v>
      </c>
      <c r="H27" s="184" t="n">
        <v>0</v>
      </c>
      <c r="I27" s="113" t="n">
        <f aca="false">G27+H27</f>
        <v>171</v>
      </c>
      <c r="J27" s="185" t="n">
        <f aca="false">IF(L27&gt;0,L27,0)</f>
        <v>0</v>
      </c>
      <c r="K27" s="113" t="n">
        <f aca="false">I27+J27</f>
        <v>171</v>
      </c>
      <c r="L27" s="113" t="n">
        <f aca="false">F27-(I27-AA27)</f>
        <v>-116.680370557096</v>
      </c>
      <c r="M27" s="394" t="n">
        <v>152</v>
      </c>
      <c r="N27" s="200" t="n">
        <v>0</v>
      </c>
      <c r="O27" s="113" t="n">
        <f aca="false">16.89*1.05</f>
        <v>17.7345</v>
      </c>
      <c r="P27" s="117" t="n">
        <v>1.91</v>
      </c>
      <c r="Q27" s="253" t="n">
        <v>4.2</v>
      </c>
      <c r="R27" s="234" t="n">
        <v>3.13</v>
      </c>
      <c r="S27" s="183" t="n">
        <v>119</v>
      </c>
      <c r="T27" s="183" t="n">
        <v>67</v>
      </c>
      <c r="U27" s="113" t="n">
        <f aca="false">M27-N27-O27-P27-Q27-R27+S27+T27</f>
        <v>311.0255</v>
      </c>
      <c r="V27" s="114" t="n">
        <f aca="false">V26+AH27-(AI27/1.9835)</f>
        <v>3941.31124532621</v>
      </c>
      <c r="W27" s="114"/>
      <c r="X27" s="113" t="n">
        <v>69.91</v>
      </c>
      <c r="Y27" s="183" t="n">
        <v>21</v>
      </c>
      <c r="Z27" s="114" t="n">
        <f aca="false">Z26-Y27</f>
        <v>4818.49231157046</v>
      </c>
      <c r="AA27" s="6" t="n">
        <f aca="false">M27+S27+T27+X27+Y27</f>
        <v>428.91</v>
      </c>
      <c r="AB27" s="113" t="n">
        <f aca="false">IF(L27&lt;0,L27*-1,0)</f>
        <v>116.680370557096</v>
      </c>
      <c r="AC27" s="113" t="n">
        <f aca="false">AA27+AB27</f>
        <v>545.590370557096</v>
      </c>
      <c r="AD27" s="163" t="n">
        <v>0.01</v>
      </c>
      <c r="AE27" s="119" t="n">
        <v>77</v>
      </c>
      <c r="AF27" s="169" t="n">
        <v>50</v>
      </c>
      <c r="AG27" s="120" t="n">
        <v>0</v>
      </c>
      <c r="AH27" s="391" t="n">
        <f aca="false">(I27-P27-Q27)-(U27)</f>
        <v>-146.1355</v>
      </c>
      <c r="AI27" s="10" t="n">
        <f aca="false">23.5*(V26*1.9835-U27*1.9835)/E27</f>
        <v>4.26345724959023</v>
      </c>
      <c r="AJ27" s="395"/>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1.1" hidden="false" customHeight="true" outlineLevel="0" collapsed="false">
      <c r="A28" s="120" t="n">
        <v>17</v>
      </c>
      <c r="B28" s="170" t="n">
        <v>6871.78</v>
      </c>
      <c r="C28" s="114" t="n">
        <v>192603</v>
      </c>
      <c r="D28" s="119" t="n">
        <f aca="false">C28-C27</f>
        <v>-708</v>
      </c>
      <c r="E28" s="114" t="n">
        <f aca="false">C28-152000</f>
        <v>40603</v>
      </c>
      <c r="F28" s="182" t="n">
        <f aca="false">D28/$D$2</f>
        <v>-356.944794555079</v>
      </c>
      <c r="G28" s="183" t="n">
        <v>182</v>
      </c>
      <c r="H28" s="184" t="n">
        <v>0</v>
      </c>
      <c r="I28" s="113" t="n">
        <f aca="false">G28+H28</f>
        <v>182</v>
      </c>
      <c r="J28" s="185" t="n">
        <f aca="false">IF(L28&gt;0,L28,0)</f>
        <v>0</v>
      </c>
      <c r="K28" s="113" t="n">
        <f aca="false">I28+J28</f>
        <v>182</v>
      </c>
      <c r="L28" s="113" t="n">
        <f aca="false">F28-(I28-AA28)</f>
        <v>-126.464794555079</v>
      </c>
      <c r="M28" s="394" t="n">
        <v>139</v>
      </c>
      <c r="N28" s="200" t="n">
        <v>0</v>
      </c>
      <c r="O28" s="113" t="n">
        <f aca="false">16.23*1.05</f>
        <v>17.0415</v>
      </c>
      <c r="P28" s="117" t="n">
        <v>1.88</v>
      </c>
      <c r="Q28" s="253" t="n">
        <v>4.2</v>
      </c>
      <c r="R28" s="234" t="n">
        <v>2.11</v>
      </c>
      <c r="S28" s="183" t="n">
        <v>120</v>
      </c>
      <c r="T28" s="183" t="n">
        <v>68</v>
      </c>
      <c r="U28" s="113" t="n">
        <f aca="false">M28-N28-O28-P28-Q28-R28+S28+T28</f>
        <v>301.7685</v>
      </c>
      <c r="V28" s="114" t="n">
        <f aca="false">V27+AH28-(AI28/1.9835)</f>
        <v>3813.35626909255</v>
      </c>
      <c r="W28" s="114"/>
      <c r="X28" s="113" t="n">
        <v>64.48</v>
      </c>
      <c r="Y28" s="183" t="n">
        <v>21</v>
      </c>
      <c r="Z28" s="114" t="n">
        <f aca="false">Z27-Y28</f>
        <v>4797.49231157046</v>
      </c>
      <c r="AA28" s="6" t="n">
        <f aca="false">M28+S28+T28+X28+Y28</f>
        <v>412.48</v>
      </c>
      <c r="AB28" s="113" t="n">
        <f aca="false">IF(L28&lt;0,L28*-1,0)</f>
        <v>126.464794555079</v>
      </c>
      <c r="AC28" s="113" t="n">
        <f aca="false">AA28+AB28</f>
        <v>538.944794555079</v>
      </c>
      <c r="AD28" s="163" t="n">
        <v>0.29</v>
      </c>
      <c r="AE28" s="119" t="n">
        <v>74</v>
      </c>
      <c r="AF28" s="169" t="n">
        <v>53</v>
      </c>
      <c r="AG28" s="120" t="n">
        <v>0</v>
      </c>
      <c r="AH28" s="391" t="n">
        <f aca="false">(I28-P28-Q28)-(U28)</f>
        <v>-125.8485</v>
      </c>
      <c r="AI28" s="10" t="n">
        <f aca="false">23.5*(V27*1.9835-U28*1.9835)/E28</f>
        <v>4.17819560945821</v>
      </c>
      <c r="AJ28" s="395"/>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1.1" hidden="false" customHeight="true" outlineLevel="0" collapsed="false">
      <c r="A29" s="120" t="n">
        <v>18</v>
      </c>
      <c r="B29" s="170" t="n">
        <v>6871.5</v>
      </c>
      <c r="C29" s="114" t="n">
        <v>191842</v>
      </c>
      <c r="D29" s="119" t="n">
        <f aca="false">C29-C28</f>
        <v>-761</v>
      </c>
      <c r="E29" s="114" t="n">
        <f aca="false">C29-152000</f>
        <v>39842</v>
      </c>
      <c r="F29" s="182" t="n">
        <f aca="false">D29/$D$2</f>
        <v>-383.665238215276</v>
      </c>
      <c r="G29" s="183" t="n">
        <v>166</v>
      </c>
      <c r="H29" s="184" t="n">
        <v>0</v>
      </c>
      <c r="I29" s="113" t="n">
        <f aca="false">G29+H29</f>
        <v>166</v>
      </c>
      <c r="J29" s="185" t="n">
        <f aca="false">IF(L29&gt;0,L29,0)</f>
        <v>0</v>
      </c>
      <c r="K29" s="113" t="n">
        <f aca="false">I29+J29</f>
        <v>166</v>
      </c>
      <c r="L29" s="113" t="n">
        <f aca="false">F29-(I29-AA29)</f>
        <v>-121.165238215276</v>
      </c>
      <c r="M29" s="394" t="n">
        <v>131</v>
      </c>
      <c r="N29" s="200" t="n">
        <v>0</v>
      </c>
      <c r="O29" s="113" t="n">
        <f aca="false">14.61*1.05</f>
        <v>15.3405</v>
      </c>
      <c r="P29" s="117" t="n">
        <v>1.94</v>
      </c>
      <c r="Q29" s="253" t="n">
        <v>4.2</v>
      </c>
      <c r="R29" s="234" t="n">
        <v>1.83</v>
      </c>
      <c r="S29" s="183" t="n">
        <v>118</v>
      </c>
      <c r="T29" s="183" t="n">
        <v>67</v>
      </c>
      <c r="U29" s="113" t="n">
        <f aca="false">M29-N29-O29-P29-Q29-R29+S29+T29</f>
        <v>292.6895</v>
      </c>
      <c r="V29" s="114" t="n">
        <f aca="false">V28+AH29-(AI29/1.9835)</f>
        <v>3678.45017481833</v>
      </c>
      <c r="W29" s="114"/>
      <c r="X29" s="113" t="n">
        <v>91.5</v>
      </c>
      <c r="Y29" s="183" t="n">
        <v>21</v>
      </c>
      <c r="Z29" s="114" t="n">
        <f aca="false">Z28-Y29</f>
        <v>4776.49231157046</v>
      </c>
      <c r="AA29" s="6" t="n">
        <f aca="false">M29+S29+T29+X29+Y29</f>
        <v>428.5</v>
      </c>
      <c r="AB29" s="113" t="n">
        <f aca="false">IF(L29&lt;0,L29*-1,0)</f>
        <v>121.165238215276</v>
      </c>
      <c r="AC29" s="113" t="n">
        <f aca="false">AA29+AB29</f>
        <v>549.665238215276</v>
      </c>
      <c r="AD29" s="163" t="n">
        <v>0</v>
      </c>
      <c r="AE29" s="119" t="n">
        <v>85</v>
      </c>
      <c r="AF29" s="169" t="n">
        <v>55</v>
      </c>
      <c r="AG29" s="120" t="n">
        <v>0</v>
      </c>
      <c r="AH29" s="391" t="n">
        <f aca="false">(I29-P29-Q29)-(U29)</f>
        <v>-132.8295</v>
      </c>
      <c r="AI29" s="10" t="n">
        <f aca="false">23.5*(V28*1.9835-U29*1.9835)/E29</f>
        <v>4.11892474292541</v>
      </c>
      <c r="AJ29" s="395"/>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1.1" hidden="false" customHeight="true" outlineLevel="0" collapsed="false">
      <c r="A30" s="120" t="n">
        <v>19</v>
      </c>
      <c r="B30" s="170" t="n">
        <v>6871.23</v>
      </c>
      <c r="C30" s="114" t="n">
        <v>191109</v>
      </c>
      <c r="D30" s="119" t="n">
        <f aca="false">C30-C29</f>
        <v>-733</v>
      </c>
      <c r="E30" s="114" t="n">
        <f aca="false">C30-152000</f>
        <v>39109</v>
      </c>
      <c r="F30" s="182" t="n">
        <f aca="false">D30/$D$2</f>
        <v>-369.548777413663</v>
      </c>
      <c r="G30" s="183" t="n">
        <v>159</v>
      </c>
      <c r="H30" s="184" t="n">
        <v>0</v>
      </c>
      <c r="I30" s="113" t="n">
        <f aca="false">G30+H30</f>
        <v>159</v>
      </c>
      <c r="J30" s="185" t="n">
        <f aca="false">IF(L30&gt;0,L30,0)</f>
        <v>0</v>
      </c>
      <c r="K30" s="113" t="n">
        <f aca="false">I30+J30</f>
        <v>159</v>
      </c>
      <c r="L30" s="113" t="n">
        <f aca="false">F30-(I30-AA30)</f>
        <v>-90.6687774136627</v>
      </c>
      <c r="M30" s="394" t="n">
        <v>152</v>
      </c>
      <c r="N30" s="200" t="n">
        <v>0</v>
      </c>
      <c r="O30" s="113" t="n">
        <f aca="false">15.41*1.05</f>
        <v>16.1805</v>
      </c>
      <c r="P30" s="117" t="n">
        <v>1.92</v>
      </c>
      <c r="Q30" s="253" t="n">
        <v>4.2</v>
      </c>
      <c r="R30" s="234" t="n">
        <v>1.6</v>
      </c>
      <c r="S30" s="183" t="n">
        <v>116</v>
      </c>
      <c r="T30" s="183" t="n">
        <v>70</v>
      </c>
      <c r="U30" s="113" t="n">
        <f aca="false">M30-N30-O30-P30-Q30-R30+S30+T30</f>
        <v>314.0995</v>
      </c>
      <c r="V30" s="114" t="n">
        <f aca="false">V29+AH30-(AI30/1.9835)</f>
        <v>3515.20908794936</v>
      </c>
      <c r="W30" s="114"/>
      <c r="X30" s="113" t="n">
        <v>78.88</v>
      </c>
      <c r="Y30" s="183" t="n">
        <v>21</v>
      </c>
      <c r="Z30" s="114" t="n">
        <f aca="false">Z29-Y30</f>
        <v>4755.49231157046</v>
      </c>
      <c r="AA30" s="6" t="n">
        <f aca="false">M30+S30+T30+X30+Y30</f>
        <v>437.88</v>
      </c>
      <c r="AB30" s="113" t="n">
        <f aca="false">IF(L30&lt;0,L30*-1,0)</f>
        <v>90.6687774136627</v>
      </c>
      <c r="AC30" s="113" t="n">
        <f aca="false">AA30+AB30</f>
        <v>528.548777413663</v>
      </c>
      <c r="AD30" s="163" t="n">
        <v>0</v>
      </c>
      <c r="AE30" s="119" t="n">
        <v>88</v>
      </c>
      <c r="AF30" s="169" t="n">
        <v>53</v>
      </c>
      <c r="AG30" s="120" t="n">
        <v>0</v>
      </c>
      <c r="AH30" s="391" t="n">
        <f aca="false">(I30-P30-Q30)-(U30)</f>
        <v>-161.2195</v>
      </c>
      <c r="AI30" s="10" t="n">
        <f aca="false">23.5*(V29*1.9835-U30*1.9835)/E30</f>
        <v>4.00981755458591</v>
      </c>
      <c r="AJ30" s="395"/>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1.1" hidden="false" customHeight="true" outlineLevel="0" collapsed="false">
      <c r="A31" s="120" t="n">
        <v>20</v>
      </c>
      <c r="B31" s="170" t="n">
        <v>6870.97</v>
      </c>
      <c r="C31" s="114" t="n">
        <v>190404</v>
      </c>
      <c r="D31" s="119" t="n">
        <f aca="false">C31-C30</f>
        <v>-705</v>
      </c>
      <c r="E31" s="114" t="n">
        <f aca="false">C31-152000</f>
        <v>38404</v>
      </c>
      <c r="F31" s="182" t="n">
        <f aca="false">D31/$D$2</f>
        <v>-355.432316612049</v>
      </c>
      <c r="G31" s="183" t="n">
        <v>137</v>
      </c>
      <c r="H31" s="184" t="n">
        <v>0</v>
      </c>
      <c r="I31" s="113" t="n">
        <f aca="false">G31+H31</f>
        <v>137</v>
      </c>
      <c r="J31" s="185" t="n">
        <f aca="false">IF(L31&gt;0,L31,0)</f>
        <v>0</v>
      </c>
      <c r="K31" s="113" t="n">
        <f aca="false">I31+J31</f>
        <v>137</v>
      </c>
      <c r="L31" s="113" t="n">
        <f aca="false">F31-(I31-AA31)</f>
        <v>-12.8923166120494</v>
      </c>
      <c r="M31" s="394" t="n">
        <v>170</v>
      </c>
      <c r="N31" s="200" t="n">
        <v>14.62</v>
      </c>
      <c r="O31" s="113" t="n">
        <f aca="false">16.72*1.05</f>
        <v>17.556</v>
      </c>
      <c r="P31" s="117" t="n">
        <v>2.07</v>
      </c>
      <c r="Q31" s="253" t="n">
        <v>4.2</v>
      </c>
      <c r="R31" s="234" t="n">
        <v>1.96</v>
      </c>
      <c r="S31" s="183" t="n">
        <v>116</v>
      </c>
      <c r="T31" s="183" t="n">
        <v>72</v>
      </c>
      <c r="U31" s="113" t="n">
        <f aca="false">M31-N31-O31-P31-Q31-R31+S31+T31</f>
        <v>317.594</v>
      </c>
      <c r="V31" s="114" t="n">
        <f aca="false">V30+AH31-(AI31/1.9835)</f>
        <v>3326.38841795231</v>
      </c>
      <c r="W31" s="114"/>
      <c r="X31" s="113" t="n">
        <v>100.54</v>
      </c>
      <c r="Y31" s="183" t="n">
        <v>21</v>
      </c>
      <c r="Z31" s="114" t="n">
        <f aca="false">Z30-Y31</f>
        <v>4734.49231157046</v>
      </c>
      <c r="AA31" s="6" t="n">
        <f aca="false">M31+S31+T31+X31+Y31</f>
        <v>479.54</v>
      </c>
      <c r="AB31" s="113" t="n">
        <f aca="false">IF(L31&lt;0,L31*-1,0)</f>
        <v>12.8923166120494</v>
      </c>
      <c r="AC31" s="113" t="n">
        <f aca="false">AA31+AB31</f>
        <v>492.432316612049</v>
      </c>
      <c r="AD31" s="163" t="n">
        <v>0</v>
      </c>
      <c r="AE31" s="119" t="n">
        <v>85</v>
      </c>
      <c r="AF31" s="169" t="n">
        <v>57</v>
      </c>
      <c r="AG31" s="120" t="n">
        <v>0</v>
      </c>
      <c r="AH31" s="391" t="n">
        <f aca="false">(I31-P31-Q31)-(U31)</f>
        <v>-186.864</v>
      </c>
      <c r="AI31" s="10" t="n">
        <f aca="false">23.5*(V30*1.9835-U31*1.9835)/E31</f>
        <v>3.88105493915394</v>
      </c>
      <c r="AJ31" s="395"/>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1.1" hidden="false" customHeight="true" outlineLevel="0" collapsed="false">
      <c r="A32" s="120" t="n">
        <v>21</v>
      </c>
      <c r="B32" s="170" t="n">
        <v>6870.71</v>
      </c>
      <c r="C32" s="114" t="n">
        <v>189707</v>
      </c>
      <c r="D32" s="119" t="n">
        <f aca="false">C32-C31</f>
        <v>-697</v>
      </c>
      <c r="E32" s="114" t="n">
        <f aca="false">C32-152000</f>
        <v>37707</v>
      </c>
      <c r="F32" s="182" t="n">
        <f aca="false">D32/$D$2</f>
        <v>-351.399042097303</v>
      </c>
      <c r="G32" s="183" t="n">
        <v>131</v>
      </c>
      <c r="H32" s="184" t="n">
        <v>0</v>
      </c>
      <c r="I32" s="113" t="n">
        <f aca="false">G32+H32</f>
        <v>131</v>
      </c>
      <c r="J32" s="185" t="n">
        <f aca="false">IF(L32&gt;0,L32,0)</f>
        <v>0</v>
      </c>
      <c r="K32" s="113" t="n">
        <f aca="false">I32+J32</f>
        <v>131</v>
      </c>
      <c r="L32" s="113" t="n">
        <f aca="false">F32-(I32-AA32)</f>
        <v>-13.9590420973028</v>
      </c>
      <c r="M32" s="394" t="n">
        <v>179</v>
      </c>
      <c r="N32" s="200" t="n">
        <v>0</v>
      </c>
      <c r="O32" s="113" t="n">
        <f aca="false">19.65*1.05</f>
        <v>20.6325</v>
      </c>
      <c r="P32" s="117" t="n">
        <v>2.25</v>
      </c>
      <c r="Q32" s="253" t="n">
        <v>4.2</v>
      </c>
      <c r="R32" s="234" t="n">
        <v>4.02</v>
      </c>
      <c r="S32" s="183" t="n">
        <v>117</v>
      </c>
      <c r="T32" s="183" t="n">
        <v>71</v>
      </c>
      <c r="U32" s="113" t="n">
        <f aca="false">M32-N32-O32-P32-Q32-R32+S32+T32</f>
        <v>335.8975</v>
      </c>
      <c r="V32" s="114" t="n">
        <f aca="false">V31+AH32-(AI32/1.9835)</f>
        <v>3113.17716489394</v>
      </c>
      <c r="W32" s="114"/>
      <c r="X32" s="113" t="n">
        <v>79.44</v>
      </c>
      <c r="Y32" s="183" t="n">
        <v>22</v>
      </c>
      <c r="Z32" s="114" t="n">
        <f aca="false">Z31-Y32</f>
        <v>4712.49231157046</v>
      </c>
      <c r="AA32" s="6" t="n">
        <f aca="false">M32+S32+T32+X32+Y32</f>
        <v>468.44</v>
      </c>
      <c r="AB32" s="113" t="n">
        <f aca="false">IF(L32&lt;0,L32*-1,0)</f>
        <v>13.9590420973028</v>
      </c>
      <c r="AC32" s="113" t="n">
        <f aca="false">AA32+AB32</f>
        <v>482.399042097303</v>
      </c>
      <c r="AD32" s="163" t="n">
        <v>0</v>
      </c>
      <c r="AE32" s="119" t="n">
        <v>85</v>
      </c>
      <c r="AF32" s="169" t="n">
        <v>55</v>
      </c>
      <c r="AG32" s="120" t="n">
        <v>0</v>
      </c>
      <c r="AH32" s="391" t="n">
        <f aca="false">(I32-P32-Q32)-(U32)</f>
        <v>-211.3475</v>
      </c>
      <c r="AI32" s="10" t="n">
        <f aca="false">23.5*(V31*1.9835-U32*1.9835)/E32</f>
        <v>3.69675419127278</v>
      </c>
      <c r="AJ32" s="395"/>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1.1" hidden="false" customHeight="true" outlineLevel="0" collapsed="false">
      <c r="A33" s="120" t="n">
        <v>22</v>
      </c>
      <c r="B33" s="170" t="n">
        <v>6870.43</v>
      </c>
      <c r="C33" s="114" t="n">
        <v>188956</v>
      </c>
      <c r="D33" s="119" t="n">
        <f aca="false">C33-C32</f>
        <v>-751</v>
      </c>
      <c r="E33" s="114" t="n">
        <f aca="false">C33-152000</f>
        <v>36956</v>
      </c>
      <c r="F33" s="182" t="n">
        <f aca="false">D33/$D$2</f>
        <v>-378.623645071843</v>
      </c>
      <c r="G33" s="183" t="n">
        <v>137</v>
      </c>
      <c r="H33" s="184" t="n">
        <v>0</v>
      </c>
      <c r="I33" s="113" t="n">
        <f aca="false">G33+H33</f>
        <v>137</v>
      </c>
      <c r="J33" s="185" t="n">
        <f aca="false">IF(L33&gt;0,L33,0)</f>
        <v>0</v>
      </c>
      <c r="K33" s="113" t="n">
        <f aca="false">I33+J33</f>
        <v>137</v>
      </c>
      <c r="L33" s="113" t="n">
        <f aca="false">F33-(I33-AA33)</f>
        <v>-55.1936450718427</v>
      </c>
      <c r="M33" s="394" t="n">
        <v>163</v>
      </c>
      <c r="N33" s="200" t="n">
        <v>0</v>
      </c>
      <c r="O33" s="113" t="n">
        <f aca="false">28.24*1.05</f>
        <v>29.652</v>
      </c>
      <c r="P33" s="117" t="n">
        <v>1.98</v>
      </c>
      <c r="Q33" s="253" t="n">
        <v>4.2</v>
      </c>
      <c r="R33" s="234" t="n">
        <v>4.92</v>
      </c>
      <c r="S33" s="183" t="n">
        <v>120</v>
      </c>
      <c r="T33" s="183" t="n">
        <v>71</v>
      </c>
      <c r="U33" s="113" t="n">
        <f aca="false">M33-N33-O33-P33-Q33-R33+S33+T33</f>
        <v>313.248</v>
      </c>
      <c r="V33" s="114" t="n">
        <f aca="false">V32+AH33-(AI33/1.9835)</f>
        <v>2928.96871421273</v>
      </c>
      <c r="W33" s="114"/>
      <c r="X33" s="113" t="n">
        <v>80.43</v>
      </c>
      <c r="Y33" s="183" t="n">
        <v>26</v>
      </c>
      <c r="Z33" s="114" t="n">
        <f aca="false">Z32-Y33</f>
        <v>4686.49231157046</v>
      </c>
      <c r="AA33" s="6" t="n">
        <f aca="false">M33+S33+T33+X33+Y33</f>
        <v>460.43</v>
      </c>
      <c r="AB33" s="113" t="n">
        <f aca="false">IF(L33&lt;0,L33*-1,0)</f>
        <v>55.1936450718427</v>
      </c>
      <c r="AC33" s="113" t="n">
        <f aca="false">AA33+AB33</f>
        <v>515.623645071843</v>
      </c>
      <c r="AD33" s="163" t="n">
        <v>0.05</v>
      </c>
      <c r="AE33" s="119" t="n">
        <v>86</v>
      </c>
      <c r="AF33" s="169" t="n">
        <v>59</v>
      </c>
      <c r="AG33" s="120" t="n">
        <v>0</v>
      </c>
      <c r="AH33" s="391" t="n">
        <f aca="false">(I33-P33-Q33)-(U33)</f>
        <v>-182.428</v>
      </c>
      <c r="AI33" s="10" t="n">
        <f aca="false">23.5*(V32*1.9835-U33*1.9835)/E33</f>
        <v>3.53152392619136</v>
      </c>
      <c r="AJ33" s="395"/>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1.1" hidden="false" customHeight="true" outlineLevel="0" collapsed="false">
      <c r="A34" s="120" t="n">
        <v>23</v>
      </c>
      <c r="B34" s="170" t="n">
        <v>6870.16</v>
      </c>
      <c r="C34" s="114" t="n">
        <v>188232</v>
      </c>
      <c r="D34" s="119" t="n">
        <f aca="false">C34-C33</f>
        <v>-724</v>
      </c>
      <c r="E34" s="114" t="n">
        <f aca="false">C34-152000</f>
        <v>36232</v>
      </c>
      <c r="F34" s="182" t="n">
        <f aca="false">D34/$D$2</f>
        <v>-365.011343584573</v>
      </c>
      <c r="G34" s="183" t="n">
        <v>123</v>
      </c>
      <c r="H34" s="184" t="n">
        <v>0</v>
      </c>
      <c r="I34" s="113" t="n">
        <f aca="false">G34+H34</f>
        <v>123</v>
      </c>
      <c r="J34" s="185" t="n">
        <f aca="false">IF(L34&gt;0,L34,0)</f>
        <v>0</v>
      </c>
      <c r="K34" s="113" t="n">
        <f aca="false">I34+J34</f>
        <v>123</v>
      </c>
      <c r="L34" s="113" t="n">
        <f aca="false">F34-(I34-AA34)</f>
        <v>-26.8313435845727</v>
      </c>
      <c r="M34" s="394" t="n">
        <v>160</v>
      </c>
      <c r="N34" s="200" t="n">
        <v>0</v>
      </c>
      <c r="O34" s="113" t="n">
        <f aca="false">30.37*1.05</f>
        <v>31.8885</v>
      </c>
      <c r="P34" s="117" t="n">
        <v>2.04</v>
      </c>
      <c r="Q34" s="253" t="n">
        <v>4.2</v>
      </c>
      <c r="R34" s="234" t="n">
        <v>5.28</v>
      </c>
      <c r="S34" s="183" t="n">
        <v>123</v>
      </c>
      <c r="T34" s="183" t="n">
        <v>72</v>
      </c>
      <c r="U34" s="113" t="n">
        <f aca="false">M34-N34-O34-P34-Q34-R34+S34+T34</f>
        <v>311.5915</v>
      </c>
      <c r="V34" s="114" t="n">
        <f aca="false">V33+AH34-(AI34/1.9835)</f>
        <v>2732.43958878399</v>
      </c>
      <c r="W34" s="114"/>
      <c r="X34" s="113" t="n">
        <v>80.18</v>
      </c>
      <c r="Y34" s="183" t="n">
        <v>26</v>
      </c>
      <c r="Z34" s="114" t="n">
        <f aca="false">Z33-Y34</f>
        <v>4660.49231157046</v>
      </c>
      <c r="AA34" s="6" t="n">
        <f aca="false">M34+S34+T34+X34+Y34</f>
        <v>461.18</v>
      </c>
      <c r="AB34" s="113" t="n">
        <f aca="false">IF(L34&lt;0,L34*-1,0)</f>
        <v>26.8313435845727</v>
      </c>
      <c r="AC34" s="113" t="n">
        <f aca="false">AA34+AB34</f>
        <v>488.011343584573</v>
      </c>
      <c r="AD34" s="163" t="n">
        <v>0.11</v>
      </c>
      <c r="AE34" s="119" t="n">
        <v>84</v>
      </c>
      <c r="AF34" s="169" t="n">
        <v>57</v>
      </c>
      <c r="AG34" s="120" t="n">
        <v>0</v>
      </c>
      <c r="AH34" s="391" t="n">
        <f aca="false">(I34-P34-Q34)-(U34)</f>
        <v>-194.8315</v>
      </c>
      <c r="AI34" s="10" t="n">
        <f aca="false">23.5*(V33*1.9835-U34*1.9835)/E34</f>
        <v>3.36724003789985</v>
      </c>
      <c r="AJ34" s="395"/>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1.1" hidden="false" customHeight="true" outlineLevel="0" collapsed="false">
      <c r="A35" s="120" t="n">
        <v>24</v>
      </c>
      <c r="B35" s="170" t="n">
        <v>6869.94</v>
      </c>
      <c r="C35" s="114" t="n">
        <v>187644</v>
      </c>
      <c r="D35" s="119" t="n">
        <f aca="false">C35-C34</f>
        <v>-588</v>
      </c>
      <c r="E35" s="114" t="n">
        <f aca="false">C35-152000</f>
        <v>35644</v>
      </c>
      <c r="F35" s="182" t="n">
        <f aca="false">D35/$D$2</f>
        <v>-296.445676833879</v>
      </c>
      <c r="G35" s="183" t="n">
        <v>169</v>
      </c>
      <c r="H35" s="184" t="n">
        <v>0</v>
      </c>
      <c r="I35" s="113" t="n">
        <f aca="false">G35+H35</f>
        <v>169</v>
      </c>
      <c r="J35" s="185" t="n">
        <f aca="false">IF(L35&gt;0,L35,0)</f>
        <v>0</v>
      </c>
      <c r="K35" s="113" t="n">
        <f aca="false">I35+J35</f>
        <v>169</v>
      </c>
      <c r="L35" s="113" t="n">
        <f aca="false">F35-(I35-AA35)</f>
        <v>-35.9356768338795</v>
      </c>
      <c r="M35" s="394" t="n">
        <v>147</v>
      </c>
      <c r="N35" s="200" t="n">
        <v>0</v>
      </c>
      <c r="O35" s="113" t="n">
        <f aca="false">25.64*1.05</f>
        <v>26.922</v>
      </c>
      <c r="P35" s="117" t="n">
        <v>1.95</v>
      </c>
      <c r="Q35" s="253" t="n">
        <v>4.2</v>
      </c>
      <c r="R35" s="234" t="n">
        <v>4.07</v>
      </c>
      <c r="S35" s="183" t="n">
        <v>123</v>
      </c>
      <c r="T35" s="183" t="n">
        <v>72</v>
      </c>
      <c r="U35" s="113" t="n">
        <f aca="false">M35-N35-O35-P35-Q35-R35+S35+T35</f>
        <v>304.858</v>
      </c>
      <c r="V35" s="114" t="n">
        <f aca="false">V34+AH35-(AI35/1.9835)</f>
        <v>2588.83109031759</v>
      </c>
      <c r="W35" s="114"/>
      <c r="X35" s="113" t="n">
        <v>62.51</v>
      </c>
      <c r="Y35" s="183" t="n">
        <v>25</v>
      </c>
      <c r="Z35" s="114" t="n">
        <f aca="false">Z34-Y35</f>
        <v>4635.49231157046</v>
      </c>
      <c r="AA35" s="6" t="n">
        <f aca="false">M35+S35+T35+X35+Y35</f>
        <v>429.51</v>
      </c>
      <c r="AB35" s="113" t="n">
        <f aca="false">IF(L35&lt;0,L35*-1,0)</f>
        <v>35.9356768338795</v>
      </c>
      <c r="AC35" s="113" t="n">
        <f aca="false">AA35+AB35</f>
        <v>465.44567683388</v>
      </c>
      <c r="AD35" s="163" t="n">
        <v>0</v>
      </c>
      <c r="AE35" s="119" t="n">
        <v>81</v>
      </c>
      <c r="AF35" s="169" t="n">
        <v>54</v>
      </c>
      <c r="AG35" s="120" t="n">
        <v>0</v>
      </c>
      <c r="AH35" s="391" t="n">
        <f aca="false">(I35-P35-Q35)-(U35)</f>
        <v>-142.008</v>
      </c>
      <c r="AI35" s="10" t="n">
        <f aca="false">23.5*(V34*1.9835-U35*1.9835)/E35</f>
        <v>3.17458870810786</v>
      </c>
      <c r="AJ35" s="395"/>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1.1" hidden="false" customHeight="true" outlineLevel="0" collapsed="false">
      <c r="A36" s="120" t="n">
        <v>25</v>
      </c>
      <c r="B36" s="170" t="n">
        <v>6869.74</v>
      </c>
      <c r="C36" s="114" t="n">
        <v>187115</v>
      </c>
      <c r="D36" s="119" t="n">
        <f aca="false">C36-C35</f>
        <v>-529</v>
      </c>
      <c r="E36" s="114" t="n">
        <f aca="false">C36-152000</f>
        <v>35115</v>
      </c>
      <c r="F36" s="182" t="n">
        <f aca="false">D36/$D$2</f>
        <v>-266.700277287623</v>
      </c>
      <c r="G36" s="183" t="n">
        <v>193</v>
      </c>
      <c r="H36" s="184" t="n">
        <v>0</v>
      </c>
      <c r="I36" s="113" t="n">
        <f aca="false">G36+H36</f>
        <v>193</v>
      </c>
      <c r="J36" s="185" t="n">
        <f aca="false">IF(L36&gt;0,L36,0)</f>
        <v>0</v>
      </c>
      <c r="K36" s="113" t="n">
        <f aca="false">I36+J36</f>
        <v>193</v>
      </c>
      <c r="L36" s="113" t="n">
        <f aca="false">F36-(I36-AA36)</f>
        <v>-30.2602772876229</v>
      </c>
      <c r="M36" s="394" t="n">
        <v>130</v>
      </c>
      <c r="N36" s="200" t="n">
        <v>0</v>
      </c>
      <c r="O36" s="113" t="n">
        <f aca="false">19*1.05</f>
        <v>19.95</v>
      </c>
      <c r="P36" s="117" t="n">
        <v>1.82</v>
      </c>
      <c r="Q36" s="253" t="n">
        <v>4.2</v>
      </c>
      <c r="R36" s="234" t="n">
        <v>3.89</v>
      </c>
      <c r="S36" s="183" t="n">
        <v>126</v>
      </c>
      <c r="T36" s="183" t="n">
        <v>72</v>
      </c>
      <c r="U36" s="113" t="n">
        <f aca="false">M36-N36-O36-P36-Q36-R36+S36+T36</f>
        <v>298.14</v>
      </c>
      <c r="V36" s="114" t="n">
        <f aca="false">V35+AH36-(AI36/1.9835)</f>
        <v>2476.13809186614</v>
      </c>
      <c r="W36" s="114"/>
      <c r="X36" s="113" t="n">
        <v>75.44</v>
      </c>
      <c r="Y36" s="183" t="n">
        <v>26</v>
      </c>
      <c r="Z36" s="114" t="n">
        <f aca="false">Z35-Y36</f>
        <v>4609.49231157046</v>
      </c>
      <c r="AA36" s="6" t="n">
        <f aca="false">M36+S36+T36+X36+Y36</f>
        <v>429.44</v>
      </c>
      <c r="AB36" s="113" t="n">
        <f aca="false">IF(L36&lt;0,L36*-1,0)</f>
        <v>30.2602772876229</v>
      </c>
      <c r="AC36" s="113" t="n">
        <f aca="false">AA36+AB36</f>
        <v>459.700277287623</v>
      </c>
      <c r="AD36" s="163" t="n">
        <v>0</v>
      </c>
      <c r="AE36" s="119" t="n">
        <v>84</v>
      </c>
      <c r="AF36" s="169" t="n">
        <v>54</v>
      </c>
      <c r="AG36" s="120" t="n">
        <v>0</v>
      </c>
      <c r="AH36" s="391" t="n">
        <f aca="false">(I36-P36-Q36)-(U36)</f>
        <v>-111.16</v>
      </c>
      <c r="AI36" s="10" t="n">
        <f aca="false">23.5*(V35*1.9835-U36*1.9835)/E36</f>
        <v>3.04070242843959</v>
      </c>
      <c r="AJ36" s="395"/>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1.1" hidden="false" customHeight="true" outlineLevel="0" collapsed="false">
      <c r="A37" s="120" t="n">
        <v>26</v>
      </c>
      <c r="B37" s="170" t="n">
        <v>6869.46</v>
      </c>
      <c r="C37" s="114" t="n">
        <v>186375</v>
      </c>
      <c r="D37" s="119" t="n">
        <f aca="false">C37-C36</f>
        <v>-740</v>
      </c>
      <c r="E37" s="114" t="n">
        <f aca="false">C37-152000</f>
        <v>34375</v>
      </c>
      <c r="F37" s="182" t="n">
        <f aca="false">D37/$D$2</f>
        <v>-373.077892614066</v>
      </c>
      <c r="G37" s="183" t="n">
        <v>177</v>
      </c>
      <c r="H37" s="184" t="n">
        <v>0</v>
      </c>
      <c r="I37" s="113" t="n">
        <f aca="false">G37+H37</f>
        <v>177</v>
      </c>
      <c r="J37" s="185" t="n">
        <f aca="false">IF(L37&gt;0,L37,0)</f>
        <v>0</v>
      </c>
      <c r="K37" s="113" t="n">
        <f aca="false">I37+J37</f>
        <v>177</v>
      </c>
      <c r="L37" s="113" t="n">
        <f aca="false">F37-(I37-AA37)</f>
        <v>-97.097892614066</v>
      </c>
      <c r="M37" s="394" t="n">
        <v>152</v>
      </c>
      <c r="N37" s="200" t="n">
        <v>0</v>
      </c>
      <c r="O37" s="113" t="n">
        <f aca="false">16.25*1.05</f>
        <v>17.0625</v>
      </c>
      <c r="P37" s="117" t="n">
        <v>1.71</v>
      </c>
      <c r="Q37" s="253" t="n">
        <v>4.2</v>
      </c>
      <c r="R37" s="234" t="n">
        <v>3.28</v>
      </c>
      <c r="S37" s="183" t="n">
        <v>126</v>
      </c>
      <c r="T37" s="183" t="n">
        <v>70</v>
      </c>
      <c r="U37" s="113" t="n">
        <f aca="false">M37-N37-O37-P37-Q37-R37+S37+T37</f>
        <v>321.7475</v>
      </c>
      <c r="V37" s="114" t="n">
        <f aca="false">V36+AH37-(AI37/1.9835)</f>
        <v>2324.00777211607</v>
      </c>
      <c r="W37" s="114"/>
      <c r="X37" s="113" t="n">
        <v>78.98</v>
      </c>
      <c r="Y37" s="183" t="n">
        <v>26</v>
      </c>
      <c r="Z37" s="114" t="n">
        <f aca="false">Z36-Y37</f>
        <v>4583.49231157046</v>
      </c>
      <c r="AA37" s="6" t="n">
        <f aca="false">M37+S37+T37+X37+Y37</f>
        <v>452.98</v>
      </c>
      <c r="AB37" s="113" t="n">
        <f aca="false">IF(L37&lt;0,L37*-1,0)</f>
        <v>97.097892614066</v>
      </c>
      <c r="AC37" s="113" t="n">
        <f aca="false">AA37+AB37</f>
        <v>550.077892614066</v>
      </c>
      <c r="AD37" s="163" t="n">
        <v>0</v>
      </c>
      <c r="AE37" s="119" t="n">
        <v>83</v>
      </c>
      <c r="AF37" s="169" t="n">
        <v>51</v>
      </c>
      <c r="AG37" s="120" t="n">
        <v>0</v>
      </c>
      <c r="AH37" s="391" t="n">
        <f aca="false">(I37-P37-Q37)-(U37)</f>
        <v>-150.6575</v>
      </c>
      <c r="AI37" s="10" t="n">
        <f aca="false">23.5*(V36*1.9835-U37*1.9835)/E37</f>
        <v>2.92133797427528</v>
      </c>
      <c r="AJ37" s="395"/>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1.1" hidden="false" customHeight="true" outlineLevel="0" collapsed="false">
      <c r="A38" s="120" t="n">
        <v>27</v>
      </c>
      <c r="B38" s="170" t="n">
        <v>6869.19</v>
      </c>
      <c r="C38" s="114" t="n">
        <v>185634</v>
      </c>
      <c r="D38" s="119" t="n">
        <f aca="false">C38-C37</f>
        <v>-741</v>
      </c>
      <c r="E38" s="114" t="n">
        <f aca="false">C38-152000</f>
        <v>33634</v>
      </c>
      <c r="F38" s="182" t="n">
        <f aca="false">D38/$D$2</f>
        <v>-373.582051928409</v>
      </c>
      <c r="G38" s="183" t="n">
        <v>158</v>
      </c>
      <c r="H38" s="184" t="n">
        <v>0</v>
      </c>
      <c r="I38" s="113" t="n">
        <f aca="false">G38+H38</f>
        <v>158</v>
      </c>
      <c r="J38" s="185" t="n">
        <f aca="false">IF(L38&gt;0,L38,0)</f>
        <v>0</v>
      </c>
      <c r="K38" s="113" t="n">
        <f aca="false">I38+J38</f>
        <v>158</v>
      </c>
      <c r="L38" s="113" t="n">
        <f aca="false">F38-(I38-AA38)</f>
        <v>-72.9520519284094</v>
      </c>
      <c r="M38" s="394" t="n">
        <v>163</v>
      </c>
      <c r="N38" s="200" t="n">
        <v>0.5</v>
      </c>
      <c r="O38" s="113" t="n">
        <f aca="false">23.37*1.05</f>
        <v>24.5385</v>
      </c>
      <c r="P38" s="117" t="n">
        <v>2.11</v>
      </c>
      <c r="Q38" s="253" t="n">
        <v>4.2</v>
      </c>
      <c r="R38" s="234" t="n">
        <v>4.19</v>
      </c>
      <c r="S38" s="183" t="n">
        <v>127</v>
      </c>
      <c r="T38" s="183" t="n">
        <v>68</v>
      </c>
      <c r="U38" s="113" t="n">
        <f aca="false">M38-N38-O38-P38-Q38-R38+S38+T38</f>
        <v>322.4615</v>
      </c>
      <c r="V38" s="114" t="n">
        <f aca="false">V37+AH38-(AI38/1.9835)</f>
        <v>2151.83779624657</v>
      </c>
      <c r="W38" s="114"/>
      <c r="X38" s="113" t="n">
        <v>74.63</v>
      </c>
      <c r="Y38" s="183" t="n">
        <v>26</v>
      </c>
      <c r="Z38" s="114" t="n">
        <f aca="false">Z37-Y38</f>
        <v>4557.49231157046</v>
      </c>
      <c r="AA38" s="6" t="n">
        <f aca="false">M38+S38+T38+X38+Y38</f>
        <v>458.63</v>
      </c>
      <c r="AB38" s="113" t="n">
        <f aca="false">IF(L38&lt;0,L38*-1,0)</f>
        <v>72.9520519284094</v>
      </c>
      <c r="AC38" s="113" t="n">
        <f aca="false">AA38+AB38</f>
        <v>531.582051928409</v>
      </c>
      <c r="AD38" s="163" t="n">
        <v>0</v>
      </c>
      <c r="AE38" s="119" t="n">
        <v>78</v>
      </c>
      <c r="AF38" s="169" t="n">
        <v>59</v>
      </c>
      <c r="AG38" s="120" t="n">
        <v>0</v>
      </c>
      <c r="AH38" s="391" t="n">
        <f aca="false">(I38-P38-Q38)-(U38)</f>
        <v>-170.7715</v>
      </c>
      <c r="AI38" s="10" t="n">
        <f aca="false">23.5*(V37*1.9835-U38*1.9835)/E38</f>
        <v>2.77387688715116</v>
      </c>
      <c r="AJ38" s="395"/>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1.1" hidden="false" customHeight="true" outlineLevel="0" collapsed="false">
      <c r="A39" s="396" t="n">
        <v>28</v>
      </c>
      <c r="B39" s="312" t="n">
        <v>6868.96</v>
      </c>
      <c r="C39" s="313" t="n">
        <v>185054</v>
      </c>
      <c r="D39" s="373" t="n">
        <f aca="false">C39-C38</f>
        <v>-580</v>
      </c>
      <c r="E39" s="313" t="n">
        <f aca="false">C39-152000</f>
        <v>33054</v>
      </c>
      <c r="F39" s="397" t="n">
        <f aca="false">D39/$D$2</f>
        <v>-292.412402319133</v>
      </c>
      <c r="G39" s="183" t="n">
        <v>227</v>
      </c>
      <c r="H39" s="184" t="n">
        <v>0</v>
      </c>
      <c r="I39" s="183" t="n">
        <f aca="false">G39+H39</f>
        <v>227</v>
      </c>
      <c r="J39" s="372" t="n">
        <f aca="false">IF(L39&gt;0,L39,0)</f>
        <v>0</v>
      </c>
      <c r="K39" s="183" t="n">
        <f aca="false">I39+J39</f>
        <v>227</v>
      </c>
      <c r="L39" s="183" t="n">
        <f aca="false">F39-(I39-AA39)</f>
        <v>-94.1424023191329</v>
      </c>
      <c r="M39" s="186" t="n">
        <v>151</v>
      </c>
      <c r="N39" s="233" t="n">
        <v>0</v>
      </c>
      <c r="O39" s="183" t="n">
        <f aca="false">19.24*1.05</f>
        <v>20.202</v>
      </c>
      <c r="P39" s="311" t="n">
        <v>2.04</v>
      </c>
      <c r="Q39" s="253" t="n">
        <v>4.2</v>
      </c>
      <c r="R39" s="234" t="n">
        <v>3.34</v>
      </c>
      <c r="S39" s="183" t="n">
        <v>126</v>
      </c>
      <c r="T39" s="183" t="n">
        <v>67</v>
      </c>
      <c r="U39" s="113" t="n">
        <f aca="false">M39-N39-O39-P39-Q39-R39+S39+T39</f>
        <v>314.218</v>
      </c>
      <c r="V39" s="114" t="n">
        <f aca="false">V38+AH39-(AI39/1.9835)</f>
        <v>2057.07332607014</v>
      </c>
      <c r="W39" s="114"/>
      <c r="X39" s="183" t="n">
        <v>55.27</v>
      </c>
      <c r="Y39" s="183" t="n">
        <v>26</v>
      </c>
      <c r="Z39" s="114" t="n">
        <f aca="false">Z38-Y39</f>
        <v>4531.49231157046</v>
      </c>
      <c r="AA39" s="6" t="n">
        <f aca="false">M39+S39+T39+X39+Y39</f>
        <v>425.27</v>
      </c>
      <c r="AB39" s="183" t="n">
        <f aca="false">IF(L39&lt;0,L39*-1,0)</f>
        <v>94.1424023191329</v>
      </c>
      <c r="AC39" s="183" t="n">
        <f aca="false">AA39+AB39</f>
        <v>519.412402319133</v>
      </c>
      <c r="AD39" s="235" t="n">
        <v>0.03</v>
      </c>
      <c r="AE39" s="373" t="n">
        <v>80</v>
      </c>
      <c r="AF39" s="374" t="n">
        <v>60</v>
      </c>
      <c r="AG39" s="396" t="n">
        <v>0</v>
      </c>
      <c r="AH39" s="391" t="n">
        <f aca="false">(I39-P39-Q39)-(U39)</f>
        <v>-93.458</v>
      </c>
      <c r="AI39" s="10" t="n">
        <f aca="false">23.5*(V38*1.9835-U39*1.9835)/E39</f>
        <v>2.59138359495354</v>
      </c>
      <c r="AJ39" s="395"/>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1.1" hidden="false" customHeight="true" outlineLevel="0" collapsed="false">
      <c r="A40" s="396" t="n">
        <v>29</v>
      </c>
      <c r="B40" s="312" t="n">
        <v>6868.77</v>
      </c>
      <c r="C40" s="313" t="n">
        <v>184558</v>
      </c>
      <c r="D40" s="373" t="n">
        <f aca="false">C40-C39</f>
        <v>-496</v>
      </c>
      <c r="E40" s="313" t="n">
        <f aca="false">C40-152000</f>
        <v>32558</v>
      </c>
      <c r="F40" s="397" t="n">
        <f aca="false">D40/$D$2</f>
        <v>-250.063019914293</v>
      </c>
      <c r="G40" s="183" t="n">
        <v>295</v>
      </c>
      <c r="H40" s="184" t="n">
        <v>0</v>
      </c>
      <c r="I40" s="183" t="n">
        <f aca="false">G40+H40</f>
        <v>295</v>
      </c>
      <c r="J40" s="372" t="n">
        <f aca="false">IF(L40&gt;0,L40,0)</f>
        <v>0</v>
      </c>
      <c r="K40" s="183" t="n">
        <f aca="false">I40+J40</f>
        <v>295</v>
      </c>
      <c r="L40" s="183" t="n">
        <f aca="false">F40-(I40-AA40)</f>
        <v>-88.4230199142929</v>
      </c>
      <c r="M40" s="186" t="n">
        <v>166</v>
      </c>
      <c r="N40" s="233" t="n">
        <v>0</v>
      </c>
      <c r="O40" s="183" t="n">
        <f aca="false">13.99*1.05</f>
        <v>14.6895</v>
      </c>
      <c r="P40" s="311" t="n">
        <v>1.88</v>
      </c>
      <c r="Q40" s="253" t="n">
        <v>4.2</v>
      </c>
      <c r="R40" s="234" t="n">
        <v>2.9</v>
      </c>
      <c r="S40" s="183" t="n">
        <v>125</v>
      </c>
      <c r="T40" s="183" t="n">
        <v>67</v>
      </c>
      <c r="U40" s="113" t="n">
        <f aca="false">M40-N40-O40-P40-Q40-R40+S40+T40</f>
        <v>334.3305</v>
      </c>
      <c r="V40" s="114" t="n">
        <f aca="false">V39+AH40-(AI40/1.9835)</f>
        <v>2010.41936957979</v>
      </c>
      <c r="W40" s="114"/>
      <c r="X40" s="183" t="n">
        <v>76.64</v>
      </c>
      <c r="Y40" s="183" t="n">
        <v>22</v>
      </c>
      <c r="Z40" s="114" t="n">
        <f aca="false">Z39-Y40</f>
        <v>4509.49231157046</v>
      </c>
      <c r="AA40" s="6" t="n">
        <f aca="false">M40+S40+T40+X40+Y40</f>
        <v>456.64</v>
      </c>
      <c r="AB40" s="183" t="n">
        <f aca="false">IF(L40&lt;0,L40*-1,0)</f>
        <v>88.4230199142929</v>
      </c>
      <c r="AC40" s="183" t="n">
        <f aca="false">AA40+AB40</f>
        <v>545.063019914293</v>
      </c>
      <c r="AD40" s="235" t="n">
        <v>0</v>
      </c>
      <c r="AE40" s="373" t="n">
        <v>82</v>
      </c>
      <c r="AF40" s="374" t="n">
        <v>53</v>
      </c>
      <c r="AG40" s="396" t="n">
        <v>0</v>
      </c>
      <c r="AH40" s="391" t="n">
        <f aca="false">(I40-P40-Q40)-(U40)</f>
        <v>-45.4105</v>
      </c>
      <c r="AI40" s="10" t="n">
        <f aca="false">23.5*(V39*1.9835-U40*1.9835)/E40</f>
        <v>2.46639594859905</v>
      </c>
      <c r="AJ40" s="395"/>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1.1" hidden="false" customHeight="true" outlineLevel="0" collapsed="false">
      <c r="A41" s="396" t="n">
        <v>30</v>
      </c>
      <c r="B41" s="312" t="n">
        <v>6868.57</v>
      </c>
      <c r="C41" s="313" t="n">
        <v>184037</v>
      </c>
      <c r="D41" s="373" t="n">
        <f aca="false">C41-C40</f>
        <v>-521</v>
      </c>
      <c r="E41" s="313" t="n">
        <f aca="false">C41-152000</f>
        <v>32037</v>
      </c>
      <c r="F41" s="397" t="n">
        <f aca="false">D41/$D$2</f>
        <v>-262.667002772876</v>
      </c>
      <c r="G41" s="183" t="n">
        <v>265</v>
      </c>
      <c r="H41" s="184" t="n">
        <v>0</v>
      </c>
      <c r="I41" s="183" t="n">
        <f aca="false">G41+H41</f>
        <v>265</v>
      </c>
      <c r="J41" s="372" t="n">
        <f aca="false">IF(L41&gt;0,L41,0)</f>
        <v>0</v>
      </c>
      <c r="K41" s="183" t="n">
        <f aca="false">I41+J41</f>
        <v>265</v>
      </c>
      <c r="L41" s="183" t="n">
        <f aca="false">F41-(I41-AA41)</f>
        <v>-86.6570027728762</v>
      </c>
      <c r="M41" s="186" t="n">
        <v>176</v>
      </c>
      <c r="N41" s="233" t="n">
        <v>0</v>
      </c>
      <c r="O41" s="183" t="n">
        <f aca="false">19.4*1.05</f>
        <v>20.37</v>
      </c>
      <c r="P41" s="311" t="n">
        <v>1.92</v>
      </c>
      <c r="Q41" s="253" t="n">
        <v>4.2</v>
      </c>
      <c r="R41" s="234" t="n">
        <v>2.79</v>
      </c>
      <c r="S41" s="183" t="n">
        <v>124</v>
      </c>
      <c r="T41" s="183" t="n">
        <v>67</v>
      </c>
      <c r="U41" s="113" t="n">
        <f aca="false">M41-N41-O41-P41-Q41-R41+S41+T41</f>
        <v>337.72</v>
      </c>
      <c r="V41" s="114" t="n">
        <f aca="false">V40+AH41-(AI41/1.9835)</f>
        <v>1930.35239966422</v>
      </c>
      <c r="W41" s="114"/>
      <c r="X41" s="183" t="n">
        <v>56.01</v>
      </c>
      <c r="Y41" s="183" t="n">
        <v>18</v>
      </c>
      <c r="Z41" s="114" t="n">
        <f aca="false">Z40-Y41</f>
        <v>4491.49231157046</v>
      </c>
      <c r="AA41" s="6" t="n">
        <f aca="false">M41+S41+T41+X41+Y41</f>
        <v>441.01</v>
      </c>
      <c r="AB41" s="183" t="n">
        <f aca="false">IF(L41&lt;0,L41*-1,0)</f>
        <v>86.6570027728762</v>
      </c>
      <c r="AC41" s="183" t="n">
        <f aca="false">AA41+AB41</f>
        <v>527.667002772876</v>
      </c>
      <c r="AD41" s="235" t="n">
        <v>0.13</v>
      </c>
      <c r="AE41" s="373" t="n">
        <v>77</v>
      </c>
      <c r="AF41" s="374" t="n">
        <v>53</v>
      </c>
      <c r="AG41" s="396" t="n">
        <v>0</v>
      </c>
      <c r="AH41" s="391" t="n">
        <f aca="false">(I41-P41-Q41)-(U41)</f>
        <v>-78.84</v>
      </c>
      <c r="AI41" s="10" t="n">
        <f aca="false">23.5*(V40*1.9835-U41*1.9835)/E41</f>
        <v>2.43369482753366</v>
      </c>
      <c r="AJ41" s="395"/>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1.25" hidden="false" customHeight="true" outlineLevel="0" collapsed="false">
      <c r="A42" s="396" t="n">
        <v>31</v>
      </c>
      <c r="B42" s="312" t="n">
        <v>6868.42</v>
      </c>
      <c r="C42" s="313" t="n">
        <v>183645</v>
      </c>
      <c r="D42" s="373" t="n">
        <f aca="false">C42-C41</f>
        <v>-392</v>
      </c>
      <c r="E42" s="313" t="n">
        <f aca="false">C42-152000</f>
        <v>31645</v>
      </c>
      <c r="F42" s="397" t="n">
        <f aca="false">D42/$D$2</f>
        <v>-197.630451222586</v>
      </c>
      <c r="G42" s="183" t="n">
        <v>287</v>
      </c>
      <c r="H42" s="184" t="n">
        <v>0</v>
      </c>
      <c r="I42" s="183" t="n">
        <f aca="false">G42+H42</f>
        <v>287</v>
      </c>
      <c r="J42" s="372" t="n">
        <f aca="false">IF(L42&gt;0,L42,0)</f>
        <v>0</v>
      </c>
      <c r="K42" s="183" t="n">
        <f aca="false">I42+J42</f>
        <v>287</v>
      </c>
      <c r="L42" s="183" t="n">
        <f aca="false">F42-(I42-AA42)</f>
        <v>-73.6304512225864</v>
      </c>
      <c r="M42" s="186" t="n">
        <v>161</v>
      </c>
      <c r="N42" s="233" t="n">
        <v>0</v>
      </c>
      <c r="O42" s="183" t="n">
        <f aca="false">22.74*1.05</f>
        <v>23.877</v>
      </c>
      <c r="P42" s="311" t="n">
        <v>2.06</v>
      </c>
      <c r="Q42" s="253" t="n">
        <v>4.2</v>
      </c>
      <c r="R42" s="234" t="n">
        <v>2.73</v>
      </c>
      <c r="S42" s="183" t="n">
        <v>118</v>
      </c>
      <c r="T42" s="183" t="n">
        <v>67</v>
      </c>
      <c r="U42" s="113" t="n">
        <f aca="false">M42-N42-O42-P42-Q42-R42+S42+T42</f>
        <v>313.133</v>
      </c>
      <c r="V42" s="114" t="n">
        <f aca="false">V41+AH42-(AI42/1.9835)</f>
        <v>1896.7584309206</v>
      </c>
      <c r="W42" s="114"/>
      <c r="X42" s="183" t="n">
        <v>46</v>
      </c>
      <c r="Y42" s="183" t="n">
        <v>19</v>
      </c>
      <c r="Z42" s="114" t="n">
        <f aca="false">Z41-Y42</f>
        <v>4472.49231157046</v>
      </c>
      <c r="AA42" s="6" t="n">
        <f aca="false">M42+S42+T42+X42+Y42</f>
        <v>411</v>
      </c>
      <c r="AB42" s="183" t="n">
        <f aca="false">IF(L42&lt;0,L42*-1,0)</f>
        <v>73.6304512225864</v>
      </c>
      <c r="AC42" s="183" t="n">
        <f aca="false">AA42+AB42</f>
        <v>484.630451222586</v>
      </c>
      <c r="AD42" s="235" t="n">
        <v>0</v>
      </c>
      <c r="AE42" s="373" t="n">
        <v>81</v>
      </c>
      <c r="AF42" s="374" t="n">
        <v>51</v>
      </c>
      <c r="AG42" s="396" t="n">
        <v>0</v>
      </c>
      <c r="AH42" s="391" t="n">
        <f aca="false">(I42-P42-Q42)-(U42)</f>
        <v>-32.393</v>
      </c>
      <c r="AI42" s="10" t="n">
        <f aca="false">23.5*(V41*1.9835-U42*1.9835)/E42</f>
        <v>2.38212150298621</v>
      </c>
      <c r="AJ42" s="395"/>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171"/>
      <c r="B43" s="189"/>
      <c r="C43" s="173"/>
      <c r="D43" s="171"/>
      <c r="E43" s="173"/>
      <c r="F43" s="174"/>
      <c r="G43" s="171"/>
      <c r="H43" s="175"/>
      <c r="I43" s="171"/>
      <c r="J43" s="171"/>
      <c r="K43" s="171"/>
      <c r="L43" s="171"/>
      <c r="M43" s="176"/>
      <c r="N43" s="171"/>
      <c r="O43" s="171"/>
      <c r="P43" s="308"/>
      <c r="Q43" s="308"/>
      <c r="R43" s="231"/>
      <c r="S43" s="171"/>
      <c r="T43" s="171"/>
      <c r="U43" s="171" t="n">
        <f aca="false">M43-N43-O43-P43-Q43+S43+T43</f>
        <v>0</v>
      </c>
      <c r="V43" s="173"/>
      <c r="W43" s="173"/>
      <c r="X43" s="171"/>
      <c r="Y43" s="171"/>
      <c r="Z43" s="171"/>
      <c r="AA43" s="171" t="n">
        <f aca="false">N43+O43+U43+X43+Y43</f>
        <v>0</v>
      </c>
      <c r="AB43" s="171"/>
      <c r="AC43" s="171"/>
      <c r="AD43" s="178"/>
      <c r="AE43" s="179"/>
      <c r="AF43" s="180"/>
      <c r="AG43" s="181"/>
      <c r="AH43" s="181"/>
      <c r="AI43" s="309"/>
      <c r="AJ43" s="375"/>
    </row>
    <row r="44" customFormat="false" ht="11.1" hidden="false" customHeight="true" outlineLevel="0" collapsed="false">
      <c r="A44" s="113" t="s">
        <v>54</v>
      </c>
      <c r="B44" s="165"/>
      <c r="C44" s="114"/>
      <c r="D44" s="114"/>
      <c r="E44" s="114"/>
      <c r="F44" s="166" t="n">
        <f aca="false">SUM(F12:F42)</f>
        <v>-11039.576506176</v>
      </c>
      <c r="G44" s="114" t="n">
        <f aca="false">SUM(G12:G42)</f>
        <v>4681</v>
      </c>
      <c r="H44" s="114" t="n">
        <f aca="false">SUM(H12:H42)</f>
        <v>0.85</v>
      </c>
      <c r="I44" s="114" t="n">
        <f aca="false">SUM(I12:I42)</f>
        <v>4681.85</v>
      </c>
      <c r="J44" s="114" t="n">
        <f aca="false">SUM(J12:J42)</f>
        <v>119.793771111671</v>
      </c>
      <c r="K44" s="114" t="n">
        <f aca="false">SUM(K12:K42)</f>
        <v>4801.64377111167</v>
      </c>
      <c r="L44" s="114" t="n">
        <f aca="false">SUM(L12:L42)</f>
        <v>-1559.16650617595</v>
      </c>
      <c r="M44" s="167" t="n">
        <f aca="false">SUM(M12:M43)</f>
        <v>5250</v>
      </c>
      <c r="N44" s="114" t="n">
        <f aca="false">SUM(N12:N42)</f>
        <v>22.62</v>
      </c>
      <c r="O44" s="114" t="n">
        <f aca="false">SUM(O12:O42)</f>
        <v>878.451</v>
      </c>
      <c r="P44" s="119" t="n">
        <f aca="false">SUM(P12:P42)</f>
        <v>68.61</v>
      </c>
      <c r="Q44" s="119" t="n">
        <f aca="false">SUM(Q12:Q42)</f>
        <v>125.85</v>
      </c>
      <c r="R44" s="398" t="n">
        <f aca="false">SUM(R12:R42)</f>
        <v>88.573</v>
      </c>
      <c r="S44" s="114" t="n">
        <f aca="false">SUM(S12:S42)</f>
        <v>3821</v>
      </c>
      <c r="T44" s="114" t="n">
        <f aca="false">SUM(T12:T42)</f>
        <v>2166</v>
      </c>
      <c r="U44" s="114" t="n">
        <f aca="false">SUM(U12:U43)</f>
        <v>10052.896</v>
      </c>
      <c r="V44" s="114"/>
      <c r="W44" s="114"/>
      <c r="X44" s="114" t="n">
        <f aca="false">SUM(X12:X42)</f>
        <v>2248.26</v>
      </c>
      <c r="Y44" s="114" t="n">
        <f aca="false">SUM(Y12:Y42)</f>
        <v>677</v>
      </c>
      <c r="Z44" s="114"/>
      <c r="AA44" s="114" t="n">
        <f aca="false">SUM(AA12:AA43)</f>
        <v>14162.26</v>
      </c>
      <c r="AB44" s="114" t="n">
        <f aca="false">SUM(AB12:AB42)</f>
        <v>1678.96027728762</v>
      </c>
      <c r="AC44" s="114" t="n">
        <f aca="false">SUM(AC12:AC42)</f>
        <v>15841.2202772876</v>
      </c>
      <c r="AD44" s="163" t="n">
        <f aca="false">SUM(AD12:AD42)</f>
        <v>0.84</v>
      </c>
      <c r="AE44" s="119" t="n">
        <f aca="false">AVERAGE(AE12:AE42)</f>
        <v>84.9677419354839</v>
      </c>
      <c r="AF44" s="169" t="n">
        <f aca="false">AVERAGE(AF12:AF42)</f>
        <v>55.7096774193548</v>
      </c>
      <c r="AG44" s="120" t="s">
        <v>84</v>
      </c>
      <c r="AH44" s="391"/>
      <c r="AI44" s="392" t="n">
        <f aca="false">SUM(AI12:AI42)</f>
        <v>135.072783044775</v>
      </c>
      <c r="AJ44" s="379" t="n">
        <f aca="false">SUM(AJ12:AJ42)</f>
        <v>65.6</v>
      </c>
    </row>
    <row r="45" customFormat="false" ht="11.1" hidden="false" customHeight="true" outlineLevel="0" collapsed="false">
      <c r="A45" s="113" t="s">
        <v>56</v>
      </c>
      <c r="B45" s="165"/>
      <c r="C45" s="114"/>
      <c r="D45" s="114" t="n">
        <f aca="false">SUM(D12:D42)</f>
        <v>-21897</v>
      </c>
      <c r="E45" s="114"/>
      <c r="F45" s="166" t="n">
        <f aca="false">F44*$D$2</f>
        <v>-21897</v>
      </c>
      <c r="G45" s="114" t="n">
        <f aca="false">G44*$D$2</f>
        <v>9284.7635</v>
      </c>
      <c r="H45" s="114" t="n">
        <f aca="false">H44*$D$2</f>
        <v>1.685975</v>
      </c>
      <c r="I45" s="114" t="n">
        <f aca="false">I44*$D$2</f>
        <v>9286.449475</v>
      </c>
      <c r="J45" s="114" t="n">
        <f aca="false">J44*$D$2</f>
        <v>237.610945</v>
      </c>
      <c r="K45" s="114" t="n">
        <f aca="false">K44*$D$2</f>
        <v>9524.06042</v>
      </c>
      <c r="L45" s="114" t="n">
        <f aca="false">L44*$D$2</f>
        <v>-3092.606765</v>
      </c>
      <c r="M45" s="167" t="n">
        <f aca="false">M44*$D$2</f>
        <v>10413.375</v>
      </c>
      <c r="N45" s="114" t="n">
        <f aca="false">N44*$D$2</f>
        <v>44.86677</v>
      </c>
      <c r="O45" s="114" t="n">
        <f aca="false">O44*$D$2</f>
        <v>1742.4075585</v>
      </c>
      <c r="P45" s="119" t="n">
        <f aca="false">P44*$D$2</f>
        <v>136.087935</v>
      </c>
      <c r="Q45" s="119" t="n">
        <f aca="false">Q44*$D$2</f>
        <v>249.623475</v>
      </c>
      <c r="R45" s="398" t="n">
        <f aca="false">R44*$D$2</f>
        <v>175.6845455</v>
      </c>
      <c r="S45" s="114" t="n">
        <f aca="false">S44*$D$2</f>
        <v>7578.9535</v>
      </c>
      <c r="T45" s="114" t="n">
        <f aca="false">T44*$D$2</f>
        <v>4296.261</v>
      </c>
      <c r="U45" s="114" t="n">
        <f aca="false">U44*$D$2</f>
        <v>19939.919216</v>
      </c>
      <c r="V45" s="114"/>
      <c r="W45" s="114"/>
      <c r="X45" s="114" t="n">
        <f aca="false">X44*$D$2</f>
        <v>4459.42371</v>
      </c>
      <c r="Y45" s="114" t="n">
        <f aca="false">Y44*$D$2</f>
        <v>1342.8295</v>
      </c>
      <c r="Z45" s="114"/>
      <c r="AA45" s="114" t="n">
        <f aca="false">AA44*$D$2</f>
        <v>28090.84271</v>
      </c>
      <c r="AB45" s="114" t="n">
        <f aca="false">AB44*$D$2</f>
        <v>3330.21771</v>
      </c>
      <c r="AC45" s="114" t="n">
        <f aca="false">AC44*$D$2</f>
        <v>31421.06042</v>
      </c>
      <c r="AD45" s="163"/>
      <c r="AE45" s="119" t="n">
        <f aca="false">MAX(AE12:AE42)</f>
        <v>92</v>
      </c>
      <c r="AF45" s="169" t="n">
        <f aca="false">MAX(AF12:AF42)</f>
        <v>60</v>
      </c>
      <c r="AG45" s="120" t="s">
        <v>57</v>
      </c>
      <c r="AH45" s="391"/>
      <c r="AI45" s="392" t="n">
        <f aca="false">AI44*$D$2</f>
        <v>267.916865169311</v>
      </c>
      <c r="AJ45" s="379" t="n">
        <f aca="false">AJ44*$D$2</f>
        <v>130.1176</v>
      </c>
    </row>
    <row r="46" customFormat="false" ht="3" hidden="false" customHeight="true" outlineLevel="0" collapsed="false">
      <c r="A46" s="171"/>
      <c r="B46" s="189"/>
      <c r="C46" s="173"/>
      <c r="D46" s="173"/>
      <c r="E46" s="173"/>
      <c r="F46" s="190"/>
      <c r="G46" s="173"/>
      <c r="H46" s="173"/>
      <c r="I46" s="173"/>
      <c r="J46" s="173"/>
      <c r="K46" s="173"/>
      <c r="L46" s="173"/>
      <c r="M46" s="191"/>
      <c r="N46" s="173"/>
      <c r="O46" s="173"/>
      <c r="P46" s="179"/>
      <c r="Q46" s="179"/>
      <c r="R46" s="399"/>
      <c r="S46" s="173"/>
      <c r="T46" s="173"/>
      <c r="U46" s="173"/>
      <c r="V46" s="173"/>
      <c r="W46" s="173"/>
      <c r="X46" s="173"/>
      <c r="Y46" s="173"/>
      <c r="Z46" s="171"/>
      <c r="AA46" s="173"/>
      <c r="AB46" s="173"/>
      <c r="AC46" s="173"/>
      <c r="AD46" s="193"/>
      <c r="AE46" s="173"/>
      <c r="AF46" s="190"/>
      <c r="AG46" s="173"/>
      <c r="AH46" s="400"/>
      <c r="AI46" s="308"/>
      <c r="AJ46" s="375"/>
    </row>
    <row r="47" customFormat="false" ht="11.1" hidden="false" customHeight="true" outlineLevel="0" collapsed="false">
      <c r="A47" s="113" t="s">
        <v>58</v>
      </c>
      <c r="B47" s="165"/>
      <c r="C47" s="114"/>
      <c r="D47" s="114"/>
      <c r="E47" s="114"/>
      <c r="F47" s="166" t="n">
        <f aca="false">F9+F44</f>
        <v>5374.33829089992</v>
      </c>
      <c r="G47" s="114" t="n">
        <f aca="false">G9+G44</f>
        <v>75013</v>
      </c>
      <c r="H47" s="114" t="n">
        <f aca="false">H9+H44</f>
        <v>1045.92</v>
      </c>
      <c r="I47" s="114" t="n">
        <f aca="false">I9+I44</f>
        <v>76058.92</v>
      </c>
      <c r="J47" s="114" t="n">
        <f aca="false">J9+J44</f>
        <v>5731.74361986388</v>
      </c>
      <c r="K47" s="114" t="n">
        <f aca="false">K9+K44</f>
        <v>81790.6636198639</v>
      </c>
      <c r="L47" s="114" t="n">
        <f aca="false">L9+L44</f>
        <v>64.778290899925</v>
      </c>
      <c r="M47" s="167" t="n">
        <f aca="false">M9+M44</f>
        <v>26432.38</v>
      </c>
      <c r="N47" s="114" t="n">
        <f aca="false">N9+N44</f>
        <v>57.81</v>
      </c>
      <c r="O47" s="114" t="n">
        <f aca="false">O9+O44</f>
        <v>4583.476025</v>
      </c>
      <c r="P47" s="119"/>
      <c r="Q47" s="119"/>
      <c r="R47" s="398"/>
      <c r="S47" s="114" t="n">
        <f aca="false">S9+S44</f>
        <v>19078.8</v>
      </c>
      <c r="T47" s="114" t="n">
        <f aca="false">T9+T44</f>
        <v>8243.8</v>
      </c>
      <c r="U47" s="114" t="n">
        <f aca="false">U9+U44</f>
        <v>48762.308475</v>
      </c>
      <c r="V47" s="313" t="n">
        <f aca="false">V42</f>
        <v>1896.7584309206</v>
      </c>
      <c r="W47" s="313" t="n">
        <f aca="false">W42</f>
        <v>0</v>
      </c>
      <c r="X47" s="114" t="n">
        <f aca="false">X9+X44</f>
        <v>13295.36</v>
      </c>
      <c r="Y47" s="114" t="n">
        <f aca="false">Y9+Y44</f>
        <v>3769</v>
      </c>
      <c r="Z47" s="313" t="n">
        <f aca="false">Z42</f>
        <v>4472.49231157046</v>
      </c>
      <c r="AA47" s="114" t="n">
        <f aca="false">AA9+AA44</f>
        <v>70749.36</v>
      </c>
      <c r="AB47" s="114" t="n">
        <f aca="false">AB9+AB44</f>
        <v>5666.96532896395</v>
      </c>
      <c r="AC47" s="114" t="n">
        <f aca="false">AC9+AC44</f>
        <v>76416.325328964</v>
      </c>
      <c r="AD47" s="163"/>
      <c r="AE47" s="119" t="n">
        <f aca="false">MIN(AE12:AE42)</f>
        <v>74</v>
      </c>
      <c r="AF47" s="169" t="n">
        <f aca="false">MIN(AF12:AF42)</f>
        <v>50</v>
      </c>
      <c r="AG47" s="120" t="s">
        <v>59</v>
      </c>
      <c r="AH47" s="391"/>
      <c r="AI47" s="367" t="n">
        <f aca="false">AI9+AI44</f>
        <v>1208.31440760655</v>
      </c>
      <c r="AJ47" s="379" t="n">
        <f aca="false">AJ9+AJ44</f>
        <v>596.53</v>
      </c>
    </row>
    <row r="48" customFormat="false" ht="11.1" hidden="false" customHeight="true" outlineLevel="0" collapsed="false">
      <c r="A48" s="113" t="s">
        <v>60</v>
      </c>
      <c r="B48" s="165"/>
      <c r="C48" s="114"/>
      <c r="D48" s="114"/>
      <c r="E48" s="114"/>
      <c r="F48" s="166" t="n">
        <f aca="false">F47*$D$2</f>
        <v>10660</v>
      </c>
      <c r="G48" s="114" t="n">
        <f aca="false">G47*$D$2</f>
        <v>148788.2855</v>
      </c>
      <c r="H48" s="114" t="n">
        <f aca="false">H47*$D$2</f>
        <v>2074.58232</v>
      </c>
      <c r="I48" s="114" t="n">
        <f aca="false">I47*$D$2</f>
        <v>150862.86782</v>
      </c>
      <c r="J48" s="114" t="n">
        <f aca="false">J47*$D$2</f>
        <v>11368.91347</v>
      </c>
      <c r="K48" s="114" t="n">
        <f aca="false">K47*$D$2</f>
        <v>162231.78129</v>
      </c>
      <c r="L48" s="114" t="n">
        <f aca="false">L47*$D$2</f>
        <v>128.487740000001</v>
      </c>
      <c r="M48" s="167" t="n">
        <f aca="false">M47*$D$2</f>
        <v>52428.62573</v>
      </c>
      <c r="N48" s="114" t="n">
        <f aca="false">N47*$D$2</f>
        <v>114.666135</v>
      </c>
      <c r="O48" s="114" t="n">
        <f aca="false">O47*$D$2</f>
        <v>9091.3246955875</v>
      </c>
      <c r="P48" s="119"/>
      <c r="Q48" s="119"/>
      <c r="R48" s="398"/>
      <c r="S48" s="114" t="n">
        <f aca="false">S47*$D$2</f>
        <v>37842.7998</v>
      </c>
      <c r="T48" s="114" t="n">
        <f aca="false">T47*$D$2</f>
        <v>16351.5773</v>
      </c>
      <c r="U48" s="114" t="n">
        <f aca="false">U47*$D$2</f>
        <v>96720.0388601625</v>
      </c>
      <c r="V48" s="114" t="n">
        <f aca="false">V47*$D$2</f>
        <v>3762.220347731</v>
      </c>
      <c r="W48" s="114" t="n">
        <f aca="false">W47*$D$2</f>
        <v>0</v>
      </c>
      <c r="X48" s="114" t="n">
        <f aca="false">X47*$D$2</f>
        <v>26371.34656</v>
      </c>
      <c r="Y48" s="114" t="n">
        <f aca="false">Y47*$D$2</f>
        <v>7475.8115</v>
      </c>
      <c r="Z48" s="114" t="n">
        <f aca="false">Z47*$D$2</f>
        <v>8871.1885</v>
      </c>
      <c r="AA48" s="114" t="n">
        <f aca="false">AA47*$D$2</f>
        <v>140331.35556</v>
      </c>
      <c r="AB48" s="114" t="n">
        <f aca="false">AB47*$D$2</f>
        <v>11240.42573</v>
      </c>
      <c r="AC48" s="114" t="n">
        <f aca="false">AC47*$D$2</f>
        <v>151571.78129</v>
      </c>
      <c r="AD48" s="163"/>
      <c r="AE48" s="119"/>
      <c r="AF48" s="169"/>
      <c r="AG48" s="120"/>
      <c r="AH48" s="391"/>
      <c r="AI48" s="367" t="n">
        <f aca="false">AI47*$D$2</f>
        <v>2396.6916274876</v>
      </c>
      <c r="AJ48" s="379" t="n">
        <f aca="false">AJ47*$D$2</f>
        <v>1183.217255</v>
      </c>
    </row>
    <row r="49" customFormat="false" ht="3" hidden="false" customHeight="true" outlineLevel="0" collapsed="false">
      <c r="A49" s="171"/>
      <c r="B49" s="189"/>
      <c r="C49" s="173"/>
      <c r="D49" s="173"/>
      <c r="E49" s="173"/>
      <c r="F49" s="190"/>
      <c r="G49" s="173"/>
      <c r="H49" s="179"/>
      <c r="I49" s="173"/>
      <c r="J49" s="173"/>
      <c r="K49" s="173"/>
      <c r="L49" s="173"/>
      <c r="M49" s="191"/>
      <c r="N49" s="173"/>
      <c r="O49" s="173"/>
      <c r="P49" s="179"/>
      <c r="Q49" s="179"/>
      <c r="R49" s="399"/>
      <c r="S49" s="173"/>
      <c r="T49" s="173"/>
      <c r="U49" s="173"/>
      <c r="V49" s="173"/>
      <c r="W49" s="173"/>
      <c r="X49" s="173"/>
      <c r="Y49" s="173"/>
      <c r="Z49" s="173"/>
      <c r="AA49" s="173"/>
      <c r="AB49" s="173"/>
      <c r="AC49" s="173"/>
      <c r="AD49" s="178"/>
      <c r="AE49" s="194"/>
      <c r="AF49" s="195"/>
      <c r="AG49" s="194"/>
      <c r="AH49" s="401"/>
      <c r="AI49" s="237"/>
      <c r="AJ49" s="375"/>
    </row>
    <row r="50" customFormat="false" ht="11.1" hidden="false" customHeight="true" outlineLevel="0" collapsed="false">
      <c r="A50" s="113" t="s">
        <v>61</v>
      </c>
      <c r="B50" s="165"/>
      <c r="C50" s="114"/>
      <c r="D50" s="114"/>
      <c r="E50" s="114"/>
      <c r="F50" s="166" t="n">
        <f aca="false">F10+F44</f>
        <v>13651.6259137888</v>
      </c>
      <c r="G50" s="114" t="n">
        <f aca="false">G10+G44</f>
        <v>82567</v>
      </c>
      <c r="H50" s="119" t="n">
        <f aca="false">H10+H44</f>
        <v>1328.66</v>
      </c>
      <c r="I50" s="114" t="n">
        <f aca="false">I10+I44</f>
        <v>83895.66</v>
      </c>
      <c r="J50" s="114" t="n">
        <f aca="false">J10+J44</f>
        <v>10210.4973909755</v>
      </c>
      <c r="K50" s="114" t="n">
        <f aca="false">K10+K44</f>
        <v>94106.1573909755</v>
      </c>
      <c r="L50" s="114" t="n">
        <f aca="false">L10+L44</f>
        <v>3909.01591378876</v>
      </c>
      <c r="M50" s="167" t="n">
        <f aca="false">M10+M44</f>
        <v>27389.2</v>
      </c>
      <c r="N50" s="114" t="n">
        <f aca="false">N10+N44</f>
        <v>57.81</v>
      </c>
      <c r="O50" s="114" t="n">
        <f aca="false">O10+O44</f>
        <v>4583.476025</v>
      </c>
      <c r="P50" s="119" t="n">
        <f aca="false">P10+P44</f>
        <v>68.61</v>
      </c>
      <c r="Q50" s="119" t="n">
        <f aca="false">Q10+Q44</f>
        <v>125.85</v>
      </c>
      <c r="R50" s="398" t="n">
        <f aca="false">R10+R44</f>
        <v>88.573</v>
      </c>
      <c r="S50" s="114" t="n">
        <f aca="false">S10+S44</f>
        <v>19140.8</v>
      </c>
      <c r="T50" s="114" t="n">
        <f aca="false">T10+T44</f>
        <v>8294.8</v>
      </c>
      <c r="U50" s="114" t="n">
        <f aca="false">U10+U44</f>
        <v>49900.480975</v>
      </c>
      <c r="V50" s="114"/>
      <c r="W50" s="114" t="n">
        <f aca="false">W47</f>
        <v>0</v>
      </c>
      <c r="X50" s="114" t="n">
        <f aca="false">X10+X44</f>
        <v>13295.36</v>
      </c>
      <c r="Y50" s="114" t="n">
        <f aca="false">Y10+Y44</f>
        <v>6032.89</v>
      </c>
      <c r="Z50" s="114" t="n">
        <f aca="false">Z42</f>
        <v>4472.49231157046</v>
      </c>
      <c r="AA50" s="114" t="n">
        <f aca="false">AA10+AA44</f>
        <v>74153.05</v>
      </c>
      <c r="AB50" s="114" t="n">
        <f aca="false">AB10+AB44</f>
        <v>6301.48147718679</v>
      </c>
      <c r="AC50" s="114" t="n">
        <f aca="false">AC10+AC44</f>
        <v>80454.5314771868</v>
      </c>
      <c r="AD50" s="163" t="n">
        <f aca="false">AD10+AD44</f>
        <v>9.17</v>
      </c>
      <c r="AE50" s="119"/>
      <c r="AF50" s="169"/>
      <c r="AG50" s="120"/>
      <c r="AH50" s="391"/>
      <c r="AI50" s="367" t="n">
        <f aca="false">AI10+AI44</f>
        <v>1208.31440760655</v>
      </c>
      <c r="AJ50" s="379"/>
    </row>
    <row r="51" customFormat="false" ht="11.1" hidden="false" customHeight="true" outlineLevel="0" collapsed="false">
      <c r="A51" s="113" t="s">
        <v>62</v>
      </c>
      <c r="B51" s="165"/>
      <c r="C51" s="114"/>
      <c r="D51" s="114" t="n">
        <f aca="false">D10+D45</f>
        <v>27078</v>
      </c>
      <c r="E51" s="114" t="n">
        <f aca="false">E42</f>
        <v>31645</v>
      </c>
      <c r="F51" s="166" t="n">
        <f aca="false">F50*$D$2</f>
        <v>27078</v>
      </c>
      <c r="G51" s="114" t="n">
        <f aca="false">G50*$D$2</f>
        <v>163771.6445</v>
      </c>
      <c r="H51" s="119" t="n">
        <f aca="false">H50*$D$2</f>
        <v>2635.39711</v>
      </c>
      <c r="I51" s="114" t="n">
        <f aca="false">I50*$D$2</f>
        <v>166407.04161</v>
      </c>
      <c r="J51" s="114" t="n">
        <f aca="false">J50*$D$2</f>
        <v>20252.521575</v>
      </c>
      <c r="K51" s="114" t="n">
        <f aca="false">K50*$D$2</f>
        <v>186659.563185</v>
      </c>
      <c r="L51" s="114" t="n">
        <f aca="false">L50*$D$2</f>
        <v>7753.533065</v>
      </c>
      <c r="M51" s="167" t="n">
        <f aca="false">M50*$D$2</f>
        <v>54326.4782</v>
      </c>
      <c r="N51" s="114" t="n">
        <f aca="false">N50*$D$2</f>
        <v>114.666135</v>
      </c>
      <c r="O51" s="114" t="n">
        <f aca="false">O50*$D$2</f>
        <v>9091.3246955875</v>
      </c>
      <c r="P51" s="119" t="n">
        <f aca="false">P50*$D$2</f>
        <v>136.087935</v>
      </c>
      <c r="Q51" s="119" t="n">
        <f aca="false">Q50*$D$2</f>
        <v>249.623475</v>
      </c>
      <c r="R51" s="402" t="n">
        <f aca="false">R50*$D$2</f>
        <v>175.6845455</v>
      </c>
      <c r="S51" s="114" t="n">
        <f aca="false">S50*$D$2</f>
        <v>37965.7768</v>
      </c>
      <c r="T51" s="114" t="n">
        <f aca="false">T50*$D$2</f>
        <v>16452.7358</v>
      </c>
      <c r="U51" s="114" t="n">
        <f aca="false">U50*$D$2</f>
        <v>98977.6040139125</v>
      </c>
      <c r="V51" s="114"/>
      <c r="W51" s="114" t="n">
        <f aca="false">W50*$D$2</f>
        <v>0</v>
      </c>
      <c r="X51" s="114" t="n">
        <f aca="false">X50*$D$2</f>
        <v>26371.34656</v>
      </c>
      <c r="Y51" s="114" t="n">
        <f aca="false">Y50*$D$2</f>
        <v>11966.237315</v>
      </c>
      <c r="Z51" s="114" t="n">
        <f aca="false">Z50*$D$2</f>
        <v>8871.1885</v>
      </c>
      <c r="AA51" s="114" t="n">
        <f aca="false">AA50*$D$2</f>
        <v>147082.574675</v>
      </c>
      <c r="AB51" s="114" t="n">
        <f aca="false">AB50*$D$2</f>
        <v>12498.98851</v>
      </c>
      <c r="AC51" s="114" t="n">
        <f aca="false">AC50*$D$2</f>
        <v>159581.563185</v>
      </c>
      <c r="AD51" s="163"/>
      <c r="AE51" s="119"/>
      <c r="AF51" s="169"/>
      <c r="AG51" s="120"/>
      <c r="AH51" s="391"/>
      <c r="AI51" s="367" t="n">
        <f aca="false">AI50*$D$2</f>
        <v>2396.6916274876</v>
      </c>
      <c r="AJ51" s="379"/>
    </row>
    <row r="52" customFormat="false" ht="3" hidden="false" customHeight="true" outlineLevel="0" collapsed="false">
      <c r="A52" s="171"/>
      <c r="B52" s="189"/>
      <c r="C52" s="173"/>
      <c r="D52" s="171"/>
      <c r="E52" s="173"/>
      <c r="F52" s="174"/>
      <c r="G52" s="171"/>
      <c r="H52" s="175"/>
      <c r="I52" s="171"/>
      <c r="J52" s="171"/>
      <c r="K52" s="315"/>
      <c r="L52" s="171"/>
      <c r="M52" s="176"/>
      <c r="N52" s="171"/>
      <c r="O52" s="171"/>
      <c r="P52" s="308"/>
      <c r="Q52" s="231"/>
      <c r="R52" s="308"/>
      <c r="S52" s="171"/>
      <c r="T52" s="171"/>
      <c r="U52" s="171"/>
      <c r="V52" s="173"/>
      <c r="W52" s="173"/>
      <c r="X52" s="171"/>
      <c r="Y52" s="171"/>
      <c r="Z52" s="173"/>
      <c r="AA52" s="171"/>
      <c r="AB52" s="171"/>
      <c r="AC52" s="171"/>
      <c r="AD52" s="189"/>
      <c r="AE52" s="171"/>
      <c r="AF52" s="174"/>
      <c r="AG52" s="171"/>
      <c r="AH52" s="403"/>
      <c r="AI52" s="308"/>
      <c r="AJ52" s="375"/>
    </row>
    <row r="53" customFormat="false" ht="11.1" hidden="false" customHeight="true" outlineLevel="0" collapsed="false">
      <c r="A53" s="404"/>
      <c r="B53" s="102"/>
      <c r="C53" s="7"/>
      <c r="D53" s="6"/>
      <c r="E53" s="344"/>
      <c r="F53" s="0"/>
      <c r="G53" s="0"/>
      <c r="H53" s="11"/>
      <c r="I53" s="6"/>
      <c r="J53" s="6"/>
      <c r="K53" s="346"/>
      <c r="L53" s="114"/>
      <c r="M53" s="6"/>
      <c r="N53" s="6"/>
      <c r="O53" s="6"/>
      <c r="P53" s="10"/>
      <c r="Q53" s="10"/>
      <c r="R53" s="10"/>
      <c r="S53" s="6"/>
      <c r="T53" s="6"/>
      <c r="U53" s="6"/>
      <c r="V53" s="347"/>
      <c r="W53" s="347"/>
      <c r="X53" s="6"/>
      <c r="Y53" s="6"/>
      <c r="Z53" s="344"/>
      <c r="AA53" s="344"/>
      <c r="AB53" s="113"/>
      <c r="AC53" s="113"/>
      <c r="AD53" s="117"/>
      <c r="AE53" s="119"/>
      <c r="AF53" s="119"/>
      <c r="AG53" s="120"/>
      <c r="AH53" s="207"/>
      <c r="AI53" s="405"/>
      <c r="AJ53" s="379"/>
    </row>
    <row r="54" customFormat="false" ht="11.1" hidden="false" customHeight="true" outlineLevel="0" collapsed="false">
      <c r="A54" s="113"/>
      <c r="B54" s="406" t="s">
        <v>107</v>
      </c>
      <c r="C54" s="7"/>
      <c r="D54" s="103"/>
      <c r="E54" s="319"/>
      <c r="F54" s="348"/>
      <c r="G54" s="0"/>
      <c r="H54" s="11"/>
      <c r="I54" s="8"/>
      <c r="J54" s="6"/>
      <c r="K54" s="104"/>
      <c r="L54" s="185"/>
      <c r="M54" s="6"/>
      <c r="N54" s="6" t="n">
        <f aca="false">N7-N48</f>
        <v>245.333865</v>
      </c>
      <c r="O54" s="6" t="n">
        <f aca="false">O7-O48</f>
        <v>3491.6753044125</v>
      </c>
      <c r="P54" s="10"/>
      <c r="Q54" s="253"/>
      <c r="R54" s="253"/>
      <c r="S54" s="349"/>
      <c r="T54" s="91"/>
      <c r="U54" s="350"/>
      <c r="V54" s="114"/>
      <c r="W54" s="157"/>
      <c r="X54" s="407" t="n">
        <f aca="false">X7-X48</f>
        <v>3688.65344</v>
      </c>
      <c r="Y54" s="6"/>
      <c r="Z54" s="7"/>
      <c r="AA54" s="7"/>
      <c r="AB54" s="113"/>
      <c r="AC54" s="117"/>
      <c r="AD54" s="119"/>
      <c r="AE54" s="119"/>
      <c r="AF54" s="119"/>
      <c r="AG54" s="408" t="s">
        <v>108</v>
      </c>
      <c r="AH54" s="207"/>
      <c r="AI54" s="405"/>
      <c r="AJ54" s="379"/>
    </row>
    <row r="55" customFormat="false" ht="11.1" hidden="false" customHeight="true" outlineLevel="0" collapsed="false">
      <c r="A55" s="187"/>
      <c r="B55" s="114"/>
      <c r="E55" s="319"/>
      <c r="F55" s="320"/>
      <c r="G55" s="0"/>
      <c r="H55" s="11"/>
      <c r="I55" s="103"/>
      <c r="J55" s="103"/>
      <c r="K55" s="351"/>
      <c r="L55" s="313"/>
      <c r="M55" s="89"/>
      <c r="N55" s="89"/>
      <c r="O55" s="319"/>
      <c r="P55" s="409"/>
      <c r="Q55" s="253"/>
      <c r="R55" s="253"/>
      <c r="S55" s="349"/>
      <c r="T55" s="91"/>
      <c r="U55" s="67"/>
      <c r="V55" s="114"/>
      <c r="W55" s="114"/>
      <c r="X55" s="114"/>
      <c r="Y55" s="7"/>
      <c r="Z55" s="349"/>
      <c r="AA55" s="349"/>
      <c r="AB55" s="187"/>
      <c r="AC55" s="117"/>
      <c r="AD55" s="119"/>
      <c r="AE55" s="119"/>
      <c r="AF55" s="120"/>
      <c r="AG55" s="219" t="s">
        <v>109</v>
      </c>
      <c r="AH55" s="410"/>
      <c r="AI55" s="110"/>
      <c r="AJ55" s="379"/>
    </row>
    <row r="56" customFormat="false" ht="11.1" hidden="false" customHeight="true" outlineLevel="0" collapsed="false">
      <c r="A56" s="187"/>
      <c r="B56" s="187"/>
      <c r="C56" s="114"/>
      <c r="D56" s="114"/>
      <c r="E56" s="319"/>
      <c r="F56" s="0"/>
      <c r="G56" s="0"/>
      <c r="H56" s="114"/>
      <c r="I56" s="0"/>
      <c r="J56" s="103"/>
      <c r="K56" s="351"/>
      <c r="L56" s="119"/>
      <c r="M56" s="89"/>
      <c r="N56" s="89"/>
      <c r="O56" s="119"/>
      <c r="P56" s="117"/>
      <c r="Q56" s="253"/>
      <c r="R56" s="253"/>
      <c r="S56" s="94"/>
      <c r="T56" s="94"/>
      <c r="U56" s="67"/>
      <c r="V56" s="119"/>
      <c r="W56" s="119"/>
      <c r="X56" s="114"/>
      <c r="Y56" s="7"/>
      <c r="Z56" s="114"/>
      <c r="AA56" s="114"/>
      <c r="AB56" s="187"/>
      <c r="AC56" s="236"/>
      <c r="AD56" s="119"/>
      <c r="AE56" s="119"/>
      <c r="AF56" s="120"/>
      <c r="AG56" s="219" t="s">
        <v>110</v>
      </c>
      <c r="AH56" s="410"/>
      <c r="AI56" s="110"/>
      <c r="AJ56" s="379"/>
    </row>
    <row r="57" customFormat="false" ht="11.1" hidden="false" customHeight="true" outlineLevel="0" collapsed="false">
      <c r="A57" s="187"/>
      <c r="B57" s="187"/>
      <c r="C57" s="114"/>
      <c r="D57" s="187"/>
      <c r="E57" s="114"/>
      <c r="F57" s="187"/>
      <c r="G57" s="198"/>
      <c r="H57" s="115"/>
      <c r="I57" s="187"/>
      <c r="J57" s="187"/>
      <c r="K57" s="187"/>
      <c r="L57" s="187"/>
      <c r="M57" s="185"/>
      <c r="N57" s="185"/>
      <c r="O57" s="185"/>
      <c r="P57" s="117"/>
      <c r="Q57" s="117"/>
      <c r="R57" s="117"/>
      <c r="S57" s="187"/>
      <c r="T57" s="187"/>
      <c r="U57" s="0"/>
      <c r="V57" s="114"/>
      <c r="W57" s="114"/>
      <c r="Y57" s="114"/>
      <c r="Z57" s="187"/>
      <c r="AA57" s="187"/>
      <c r="AB57" s="187"/>
      <c r="AC57" s="117"/>
      <c r="AD57" s="118"/>
      <c r="AE57" s="119"/>
      <c r="AF57" s="120"/>
      <c r="AG57" s="219" t="s">
        <v>111</v>
      </c>
      <c r="AH57" s="410"/>
      <c r="AI57" s="110"/>
      <c r="AJ57" s="379"/>
    </row>
    <row r="58" customFormat="false" ht="11.1" hidden="false" customHeight="true" outlineLevel="0" collapsed="false">
      <c r="P58" s="110"/>
      <c r="Q58" s="110"/>
      <c r="R58" s="110"/>
      <c r="S58" s="411"/>
      <c r="T58" s="106"/>
      <c r="U58" s="114"/>
      <c r="V58" s="114"/>
      <c r="W58" s="114"/>
      <c r="Y58" s="107"/>
      <c r="AA58" s="106"/>
      <c r="AB58" s="106"/>
      <c r="AC58" s="110"/>
      <c r="AD58" s="108"/>
      <c r="AE58" s="111"/>
      <c r="AF58" s="112"/>
      <c r="AG58" s="412" t="s">
        <v>112</v>
      </c>
      <c r="AH58" s="413"/>
      <c r="AI58" s="110"/>
      <c r="AJ58" s="379"/>
    </row>
    <row r="59" customFormat="false" ht="11.1" hidden="false" customHeight="true" outlineLevel="0" collapsed="false">
      <c r="P59" s="110"/>
      <c r="Q59" s="110"/>
      <c r="R59" s="110"/>
      <c r="S59" s="411"/>
      <c r="T59" s="106"/>
      <c r="U59" s="114"/>
      <c r="V59" s="114"/>
      <c r="W59" s="114"/>
      <c r="Y59" s="107"/>
      <c r="AA59" s="106"/>
      <c r="AB59" s="106"/>
      <c r="AC59" s="110"/>
      <c r="AD59" s="108"/>
      <c r="AE59" s="111"/>
      <c r="AF59" s="112"/>
      <c r="AG59" s="106"/>
      <c r="AH59" s="413"/>
      <c r="AI59" s="110"/>
      <c r="AJ59" s="379"/>
    </row>
    <row r="60" customFormat="false" ht="11.1" hidden="false" customHeight="true" outlineLevel="0" collapsed="false">
      <c r="T60" s="114"/>
      <c r="U60" s="114"/>
    </row>
  </sheetData>
  <mergeCells count="3">
    <mergeCell ref="K2:U2"/>
    <mergeCell ref="V2:W2"/>
    <mergeCell ref="M5:R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4" activePane="bottomRight" state="frozen"/>
      <selection pane="topLeft" activeCell="A1" activeCellId="0" sqref="A1"/>
      <selection pane="topRight" activeCell="B1" activeCellId="0" sqref="B1"/>
      <selection pane="bottomLeft" activeCell="A14" activeCellId="0" sqref="A14"/>
      <selection pane="bottomRight" activeCell="W40" activeCellId="0" sqref="W40"/>
    </sheetView>
  </sheetViews>
  <sheetFormatPr defaultColWidth="9.328125" defaultRowHeight="11.1" zeroHeight="false" outlineLevelRow="0" outlineLevelCol="0"/>
  <cols>
    <col collapsed="false" customWidth="true" hidden="false" outlineLevel="0" max="1" min="1" style="106" width="4.66"/>
    <col collapsed="false" customWidth="true" hidden="false" outlineLevel="0" max="2" min="2" style="106" width="6.99"/>
    <col collapsed="false" customWidth="true" hidden="false" outlineLevel="0" max="3" min="3" style="107" width="6.32"/>
    <col collapsed="false" customWidth="true" hidden="false" outlineLevel="0" max="4" min="4" style="106" width="6.99"/>
    <col collapsed="false" customWidth="true" hidden="false" outlineLevel="0" max="5" min="5" style="107" width="7.66"/>
    <col collapsed="false" customWidth="true" hidden="false" outlineLevel="0" max="6" min="6" style="106" width="7.16"/>
    <col collapsed="false" customWidth="true" hidden="false" outlineLevel="0" max="7" min="7" style="106" width="6.82"/>
    <col collapsed="false" customWidth="true" hidden="false" outlineLevel="0" max="8" min="8" style="381" width="5.66"/>
    <col collapsed="false" customWidth="true" hidden="false" outlineLevel="0" max="9" min="9" style="106" width="7.16"/>
    <col collapsed="false" customWidth="true" hidden="false" outlineLevel="0" max="10" min="10" style="106" width="6.66"/>
    <col collapsed="false" customWidth="true" hidden="false" outlineLevel="0" max="12" min="11"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10" width="4.32"/>
    <col collapsed="false" customWidth="true" hidden="false" outlineLevel="0" max="18" min="17" style="110" width="4.82"/>
    <col collapsed="false" customWidth="true" hidden="false" outlineLevel="0" max="19" min="19" style="106" width="5.49"/>
    <col collapsed="false" customWidth="true" hidden="false" outlineLevel="0" max="20" min="20" style="107" width="5.49"/>
    <col collapsed="false" customWidth="true" hidden="false" outlineLevel="0" max="21" min="21" style="106" width="6.49"/>
    <col collapsed="false" customWidth="true" hidden="false" outlineLevel="0" max="22" min="22" style="106" width="5.82"/>
    <col collapsed="false" customWidth="true" hidden="false" outlineLevel="0" max="23" min="23" style="107" width="5.66"/>
    <col collapsed="false" customWidth="true" hidden="false" outlineLevel="0" max="24" min="24" style="106" width="5.66"/>
    <col collapsed="false" customWidth="true" hidden="false" outlineLevel="0" max="26" min="25" style="106" width="6.16"/>
    <col collapsed="false" customWidth="true" hidden="false" outlineLevel="0" max="27" min="27" style="110" width="7.16"/>
    <col collapsed="false" customWidth="true" hidden="false" outlineLevel="0" max="28" min="28" style="108" width="7.32"/>
    <col collapsed="false" customWidth="true" hidden="false" outlineLevel="0" max="29" min="29" style="111" width="7.82"/>
    <col collapsed="false" customWidth="true" hidden="false" outlineLevel="0" max="30" min="30" style="112" width="5.32"/>
    <col collapsed="false" customWidth="true" hidden="false" outlineLevel="0" max="31" min="31" style="106" width="3.82"/>
    <col collapsed="false" customWidth="true" hidden="false" outlineLevel="0" max="32" min="32" style="110" width="3.82"/>
    <col collapsed="false" customWidth="true" hidden="false" outlineLevel="0" max="33" min="33" style="106" width="5.99"/>
    <col collapsed="false" customWidth="true" hidden="false" outlineLevel="0" max="34" min="34" style="109" width="6.66"/>
    <col collapsed="false" customWidth="true" hidden="false" outlineLevel="0" max="35" min="35" style="109" width="6.82"/>
    <col collapsed="false" customWidth="true" hidden="false" outlineLevel="0" max="36" min="36" style="106" width="6.32"/>
    <col collapsed="false" customWidth="false" hidden="false" outlineLevel="0" max="257" min="37" style="106" width="9.32"/>
  </cols>
  <sheetData>
    <row r="1" customFormat="false" ht="14.1" hidden="false" customHeight="true" outlineLevel="0" collapsed="false">
      <c r="A1" s="113"/>
      <c r="B1" s="113"/>
      <c r="C1" s="114"/>
      <c r="D1" s="113"/>
      <c r="E1" s="114"/>
      <c r="F1" s="113"/>
      <c r="G1" s="113"/>
      <c r="H1" s="115"/>
      <c r="I1" s="113"/>
      <c r="J1" s="113"/>
      <c r="K1" s="116" t="s">
        <v>0</v>
      </c>
      <c r="L1" s="113"/>
      <c r="M1" s="113"/>
      <c r="N1" s="113"/>
      <c r="O1" s="113"/>
      <c r="P1" s="117"/>
      <c r="Q1" s="117"/>
      <c r="R1" s="117"/>
      <c r="S1" s="113"/>
      <c r="T1" s="113"/>
      <c r="U1" s="114"/>
      <c r="V1" s="113"/>
      <c r="W1" s="113"/>
      <c r="X1" s="113"/>
      <c r="Y1" s="114"/>
      <c r="Z1" s="113"/>
      <c r="AA1" s="113"/>
      <c r="AB1" s="113"/>
      <c r="AC1" s="117"/>
      <c r="AD1" s="118"/>
      <c r="AE1" s="119"/>
      <c r="AF1" s="120"/>
      <c r="AG1" s="201"/>
      <c r="AH1" s="220"/>
      <c r="AI1" s="239"/>
    </row>
    <row r="2" customFormat="false" ht="14.1" hidden="false" customHeight="true" outlineLevel="0" collapsed="false">
      <c r="A2" s="113" t="s">
        <v>1</v>
      </c>
      <c r="B2" s="113"/>
      <c r="C2" s="114"/>
      <c r="D2" s="121" t="n">
        <v>1.9835</v>
      </c>
      <c r="E2" s="114"/>
      <c r="F2" s="113"/>
      <c r="G2" s="113"/>
      <c r="H2" s="115"/>
      <c r="I2" s="113"/>
      <c r="J2" s="113"/>
      <c r="K2" s="122" t="s">
        <v>113</v>
      </c>
      <c r="L2" s="122"/>
      <c r="M2" s="122"/>
      <c r="N2" s="122"/>
      <c r="O2" s="122"/>
      <c r="P2" s="122"/>
      <c r="Q2" s="122"/>
      <c r="R2" s="122"/>
      <c r="S2" s="122"/>
      <c r="T2" s="122"/>
      <c r="U2" s="122"/>
      <c r="V2" s="122"/>
      <c r="W2" s="122"/>
      <c r="X2" s="113"/>
      <c r="Y2" s="114"/>
      <c r="Z2" s="113"/>
      <c r="AA2" s="113"/>
      <c r="AB2" s="113"/>
      <c r="AC2" s="117"/>
      <c r="AD2" s="118"/>
      <c r="AE2" s="119"/>
      <c r="AF2" s="120"/>
      <c r="AG2" s="201"/>
      <c r="AH2" s="220"/>
      <c r="AI2" s="239"/>
    </row>
    <row r="3" customFormat="false" ht="14.1" hidden="false" customHeight="true" outlineLevel="0" collapsed="false">
      <c r="A3" s="123"/>
      <c r="B3" s="123"/>
      <c r="C3" s="124"/>
      <c r="D3" s="125"/>
      <c r="E3" s="124"/>
      <c r="F3" s="123"/>
      <c r="G3" s="123"/>
      <c r="H3" s="126"/>
      <c r="I3" s="123"/>
      <c r="J3" s="123"/>
      <c r="K3" s="123"/>
      <c r="L3" s="123"/>
      <c r="M3" s="123"/>
      <c r="N3" s="123"/>
      <c r="O3" s="123"/>
      <c r="P3" s="127"/>
      <c r="Q3" s="127"/>
      <c r="R3" s="127"/>
      <c r="S3" s="123"/>
      <c r="T3" s="123"/>
      <c r="U3" s="124"/>
      <c r="V3" s="123"/>
      <c r="W3" s="123"/>
      <c r="X3" s="123"/>
      <c r="Y3" s="124"/>
      <c r="Z3" s="123"/>
      <c r="AA3" s="123"/>
      <c r="AB3" s="123"/>
      <c r="AC3" s="127"/>
      <c r="AD3" s="128"/>
      <c r="AE3" s="129"/>
      <c r="AF3" s="130"/>
      <c r="AG3" s="203"/>
      <c r="AH3" s="221"/>
      <c r="AI3" s="414"/>
      <c r="AJ3" s="415"/>
    </row>
    <row r="4" customFormat="false" ht="14.1" hidden="false" customHeight="true" outlineLevel="0" collapsed="false">
      <c r="A4" s="113"/>
      <c r="B4" s="132"/>
      <c r="C4" s="133"/>
      <c r="D4" s="204" t="s">
        <v>3</v>
      </c>
      <c r="E4" s="133"/>
      <c r="F4" s="135"/>
      <c r="G4" s="113"/>
      <c r="H4" s="115"/>
      <c r="I4" s="113"/>
      <c r="J4" s="113"/>
      <c r="K4" s="113"/>
      <c r="L4" s="113"/>
      <c r="M4" s="113"/>
      <c r="N4" s="113"/>
      <c r="O4" s="113"/>
      <c r="P4" s="117"/>
      <c r="Q4" s="117"/>
      <c r="R4" s="117"/>
      <c r="S4" s="136" t="s">
        <v>4</v>
      </c>
      <c r="T4" s="113"/>
      <c r="U4" s="114"/>
      <c r="V4" s="113"/>
      <c r="W4" s="113"/>
      <c r="X4" s="113"/>
      <c r="Y4" s="114"/>
      <c r="Z4" s="113"/>
      <c r="AA4" s="113"/>
      <c r="AB4" s="113"/>
      <c r="AC4" s="117"/>
      <c r="AD4" s="137"/>
      <c r="AE4" s="138" t="s">
        <v>5</v>
      </c>
      <c r="AF4" s="139"/>
      <c r="AG4" s="201"/>
      <c r="AH4" s="220"/>
      <c r="AI4" s="416" t="s">
        <v>93</v>
      </c>
    </row>
    <row r="5" customFormat="false" ht="11.1" hidden="false" customHeight="true" outlineLevel="0" collapsed="false">
      <c r="A5" s="140" t="s">
        <v>6</v>
      </c>
      <c r="B5" s="141" t="s">
        <v>7</v>
      </c>
      <c r="C5" s="142" t="s">
        <v>7</v>
      </c>
      <c r="D5" s="140" t="s">
        <v>8</v>
      </c>
      <c r="E5" s="142" t="s">
        <v>9</v>
      </c>
      <c r="F5" s="143" t="s">
        <v>10</v>
      </c>
      <c r="G5" s="140" t="s">
        <v>11</v>
      </c>
      <c r="H5" s="144" t="s">
        <v>12</v>
      </c>
      <c r="I5" s="140" t="s">
        <v>97</v>
      </c>
      <c r="J5" s="140" t="s">
        <v>14</v>
      </c>
      <c r="K5" s="140" t="s">
        <v>15</v>
      </c>
      <c r="L5" s="140" t="s">
        <v>14</v>
      </c>
      <c r="M5" s="145" t="s">
        <v>16</v>
      </c>
      <c r="N5" s="145"/>
      <c r="O5" s="145"/>
      <c r="P5" s="145"/>
      <c r="Q5" s="145"/>
      <c r="R5" s="145"/>
      <c r="S5" s="140" t="s">
        <v>17</v>
      </c>
      <c r="T5" s="140" t="s">
        <v>18</v>
      </c>
      <c r="U5" s="140" t="s">
        <v>15</v>
      </c>
      <c r="V5" s="142" t="s">
        <v>19</v>
      </c>
      <c r="W5" s="142" t="s">
        <v>65</v>
      </c>
      <c r="X5" s="140" t="s">
        <v>20</v>
      </c>
      <c r="Y5" s="140" t="s">
        <v>21</v>
      </c>
      <c r="Z5" s="142" t="s">
        <v>98</v>
      </c>
      <c r="AA5" s="140" t="s">
        <v>97</v>
      </c>
      <c r="AB5" s="140" t="s">
        <v>14</v>
      </c>
      <c r="AC5" s="140" t="s">
        <v>15</v>
      </c>
      <c r="AD5" s="146" t="s">
        <v>23</v>
      </c>
      <c r="AE5" s="147" t="s">
        <v>24</v>
      </c>
      <c r="AF5" s="148" t="s">
        <v>25</v>
      </c>
      <c r="AG5" s="147" t="s">
        <v>64</v>
      </c>
      <c r="AH5" s="417" t="s">
        <v>19</v>
      </c>
      <c r="AI5" s="418" t="s">
        <v>19</v>
      </c>
      <c r="AJ5" s="207" t="s">
        <v>99</v>
      </c>
    </row>
    <row r="6" customFormat="false" ht="11.1" hidden="false" customHeight="true" outlineLevel="0" collapsed="false">
      <c r="A6" s="150" t="s">
        <v>114</v>
      </c>
      <c r="B6" s="141" t="s">
        <v>28</v>
      </c>
      <c r="C6" s="142" t="s">
        <v>8</v>
      </c>
      <c r="D6" s="140" t="s">
        <v>29</v>
      </c>
      <c r="E6" s="142" t="s">
        <v>30</v>
      </c>
      <c r="F6" s="143" t="s">
        <v>31</v>
      </c>
      <c r="G6" s="140" t="s">
        <v>32</v>
      </c>
      <c r="H6" s="144" t="s">
        <v>101</v>
      </c>
      <c r="I6" s="140" t="s">
        <v>34</v>
      </c>
      <c r="J6" s="140" t="s">
        <v>34</v>
      </c>
      <c r="K6" s="140" t="s">
        <v>34</v>
      </c>
      <c r="L6" s="140" t="s">
        <v>35</v>
      </c>
      <c r="M6" s="151" t="s">
        <v>36</v>
      </c>
      <c r="N6" s="140" t="s">
        <v>37</v>
      </c>
      <c r="O6" s="140" t="s">
        <v>38</v>
      </c>
      <c r="P6" s="387" t="s">
        <v>102</v>
      </c>
      <c r="Q6" s="387" t="s">
        <v>103</v>
      </c>
      <c r="R6" s="224" t="s">
        <v>103</v>
      </c>
      <c r="S6" s="140" t="s">
        <v>40</v>
      </c>
      <c r="T6" s="140" t="s">
        <v>41</v>
      </c>
      <c r="U6" s="140" t="s">
        <v>19</v>
      </c>
      <c r="V6" s="142" t="s">
        <v>80</v>
      </c>
      <c r="W6" s="142" t="s">
        <v>104</v>
      </c>
      <c r="X6" s="140" t="s">
        <v>43</v>
      </c>
      <c r="Y6" s="140" t="s">
        <v>44</v>
      </c>
      <c r="Z6" s="142" t="s">
        <v>105</v>
      </c>
      <c r="AA6" s="140" t="s">
        <v>46</v>
      </c>
      <c r="AB6" s="140" t="s">
        <v>46</v>
      </c>
      <c r="AC6" s="140" t="s">
        <v>46</v>
      </c>
      <c r="AD6" s="153"/>
      <c r="AE6" s="147" t="s">
        <v>47</v>
      </c>
      <c r="AF6" s="148" t="s">
        <v>47</v>
      </c>
      <c r="AG6" s="154" t="s">
        <v>42</v>
      </c>
      <c r="AH6" s="417" t="s">
        <v>42</v>
      </c>
      <c r="AI6" s="418" t="s">
        <v>42</v>
      </c>
      <c r="AJ6" s="207" t="s">
        <v>90</v>
      </c>
    </row>
    <row r="7" customFormat="false" ht="11.1" hidden="false" customHeight="true" outlineLevel="0" collapsed="false">
      <c r="A7" s="155"/>
      <c r="B7" s="156"/>
      <c r="C7" s="419"/>
      <c r="D7" s="155"/>
      <c r="E7" s="158" t="s">
        <v>48</v>
      </c>
      <c r="F7" s="159"/>
      <c r="G7" s="155"/>
      <c r="H7" s="160"/>
      <c r="I7" s="155"/>
      <c r="J7" s="155"/>
      <c r="K7" s="155"/>
      <c r="L7" s="155"/>
      <c r="M7" s="161"/>
      <c r="N7" s="155" t="n">
        <v>360</v>
      </c>
      <c r="O7" s="157" t="n">
        <v>12583</v>
      </c>
      <c r="P7" s="303"/>
      <c r="Q7" s="303"/>
      <c r="R7" s="389" t="s">
        <v>104</v>
      </c>
      <c r="S7" s="155"/>
      <c r="T7" s="155"/>
      <c r="U7" s="155"/>
      <c r="V7" s="158" t="s">
        <v>81</v>
      </c>
      <c r="W7" s="388" t="n">
        <v>6577</v>
      </c>
      <c r="X7" s="157" t="n">
        <v>30060</v>
      </c>
      <c r="Y7" s="155"/>
      <c r="Z7" s="157"/>
      <c r="AA7" s="155"/>
      <c r="AB7" s="155"/>
      <c r="AC7" s="155"/>
      <c r="AD7" s="163"/>
      <c r="AE7" s="154" t="s">
        <v>115</v>
      </c>
      <c r="AF7" s="164"/>
      <c r="AG7" s="120"/>
      <c r="AH7" s="420" t="s">
        <v>51</v>
      </c>
      <c r="AI7" s="421" t="s">
        <v>83</v>
      </c>
      <c r="AJ7" s="211" t="s">
        <v>106</v>
      </c>
    </row>
    <row r="8" customFormat="false" ht="11.1" hidden="false" customHeight="true" outlineLevel="0" collapsed="false">
      <c r="A8" s="155"/>
      <c r="B8" s="156"/>
      <c r="C8" s="419"/>
      <c r="D8" s="155"/>
      <c r="E8" s="157"/>
      <c r="F8" s="159"/>
      <c r="G8" s="155"/>
      <c r="H8" s="160"/>
      <c r="I8" s="155"/>
      <c r="J8" s="155"/>
      <c r="K8" s="155"/>
      <c r="L8" s="155"/>
      <c r="M8" s="161"/>
      <c r="N8" s="155"/>
      <c r="O8" s="155"/>
      <c r="P8" s="303"/>
      <c r="Q8" s="303"/>
      <c r="R8" s="227"/>
      <c r="S8" s="155"/>
      <c r="T8" s="155"/>
      <c r="U8" s="155"/>
      <c r="V8" s="157"/>
      <c r="W8" s="157" t="n">
        <f aca="false">W7/1.9835</f>
        <v>3315.8558104361</v>
      </c>
      <c r="X8" s="155"/>
      <c r="Y8" s="155"/>
      <c r="Z8" s="157"/>
      <c r="AA8" s="155"/>
      <c r="AB8" s="155"/>
      <c r="AC8" s="155"/>
      <c r="AD8" s="163"/>
      <c r="AE8" s="154"/>
      <c r="AF8" s="164"/>
      <c r="AG8" s="120"/>
      <c r="AH8" s="420"/>
      <c r="AI8" s="377"/>
      <c r="AJ8" s="391"/>
    </row>
    <row r="9" customFormat="false" ht="11.1" hidden="false" customHeight="true" outlineLevel="0" collapsed="false">
      <c r="A9" s="113" t="s">
        <v>52</v>
      </c>
      <c r="B9" s="165"/>
      <c r="C9" s="422"/>
      <c r="D9" s="114"/>
      <c r="E9" s="114"/>
      <c r="F9" s="166" t="n">
        <f aca="false">AUG!F47</f>
        <v>5374.33829089992</v>
      </c>
      <c r="G9" s="114" t="n">
        <f aca="false">AUG!G47</f>
        <v>75013</v>
      </c>
      <c r="H9" s="114" t="n">
        <f aca="false">AUG!H47</f>
        <v>1045.92</v>
      </c>
      <c r="I9" s="114" t="n">
        <f aca="false">AUG!I47</f>
        <v>76058.92</v>
      </c>
      <c r="J9" s="114" t="n">
        <f aca="false">AUG!J47</f>
        <v>5731.74361986388</v>
      </c>
      <c r="K9" s="114" t="n">
        <f aca="false">AUG!K47</f>
        <v>81790.6636198639</v>
      </c>
      <c r="L9" s="114" t="n">
        <f aca="false">AUG!L47</f>
        <v>64.778290899925</v>
      </c>
      <c r="M9" s="167" t="n">
        <f aca="false">AUG!M47</f>
        <v>26432.38</v>
      </c>
      <c r="N9" s="114" t="n">
        <f aca="false">AUG!N47</f>
        <v>57.81</v>
      </c>
      <c r="O9" s="114" t="n">
        <f aca="false">AUG!O47</f>
        <v>4583.476025</v>
      </c>
      <c r="P9" s="117"/>
      <c r="Q9" s="117"/>
      <c r="R9" s="229"/>
      <c r="S9" s="114" t="n">
        <f aca="false">AUG!S47</f>
        <v>19078.8</v>
      </c>
      <c r="T9" s="114" t="n">
        <f aca="false">AUG!T47</f>
        <v>8243.8</v>
      </c>
      <c r="U9" s="114" t="n">
        <f aca="false">AUG!U47</f>
        <v>48762.308475</v>
      </c>
      <c r="V9" s="114" t="n">
        <f aca="false">AUG!V47</f>
        <v>1896.7584309206</v>
      </c>
      <c r="W9" s="114"/>
      <c r="X9" s="114" t="n">
        <f aca="false">AUG!X47</f>
        <v>13295.36</v>
      </c>
      <c r="Y9" s="114" t="n">
        <f aca="false">AUG!Y47</f>
        <v>3769</v>
      </c>
      <c r="Z9" s="114"/>
      <c r="AA9" s="114" t="n">
        <f aca="false">AUG!AA47</f>
        <v>70749.36</v>
      </c>
      <c r="AB9" s="114" t="n">
        <f aca="false">AUG!AB47</f>
        <v>5666.96532896395</v>
      </c>
      <c r="AC9" s="114" t="n">
        <f aca="false">AUG!AC47</f>
        <v>76416.325328964</v>
      </c>
      <c r="AD9" s="163"/>
      <c r="AE9" s="119"/>
      <c r="AF9" s="169"/>
      <c r="AG9" s="120"/>
      <c r="AH9" s="367"/>
      <c r="AI9" s="377" t="n">
        <f aca="false">AUG!AI47</f>
        <v>1208.31440760655</v>
      </c>
      <c r="AJ9" s="306" t="n">
        <f aca="false">AUG!AJ47</f>
        <v>596.53</v>
      </c>
    </row>
    <row r="10" s="107" customFormat="true" ht="11.1" hidden="false" customHeight="true" outlineLevel="0" collapsed="false">
      <c r="A10" s="114" t="s">
        <v>53</v>
      </c>
      <c r="B10" s="170" t="n">
        <f aca="false">AUG!B42</f>
        <v>6868.42</v>
      </c>
      <c r="C10" s="114" t="n">
        <f aca="false">AUG!C42</f>
        <v>183645</v>
      </c>
      <c r="D10" s="114" t="n">
        <f aca="false">AUG!D51</f>
        <v>27078</v>
      </c>
      <c r="E10" s="114" t="n">
        <f aca="false">AUG!E51</f>
        <v>31645</v>
      </c>
      <c r="F10" s="166" t="n">
        <f aca="false">AUG!F50</f>
        <v>13651.6259137888</v>
      </c>
      <c r="G10" s="114" t="n">
        <f aca="false">AUG!G50</f>
        <v>82567</v>
      </c>
      <c r="H10" s="114" t="n">
        <f aca="false">AUG!H50</f>
        <v>1328.66</v>
      </c>
      <c r="I10" s="114" t="n">
        <f aca="false">AUG!I50</f>
        <v>83895.66</v>
      </c>
      <c r="J10" s="114" t="n">
        <f aca="false">AUG!J50</f>
        <v>10210.4973909755</v>
      </c>
      <c r="K10" s="114" t="n">
        <f aca="false">AUG!K50</f>
        <v>94106.1573909755</v>
      </c>
      <c r="L10" s="114" t="n">
        <f aca="false">AUG!L50</f>
        <v>3909.01591378876</v>
      </c>
      <c r="M10" s="167" t="n">
        <f aca="false">AUG!M50</f>
        <v>27389.2</v>
      </c>
      <c r="N10" s="114" t="n">
        <f aca="false">AUG!N50</f>
        <v>57.81</v>
      </c>
      <c r="O10" s="114" t="n">
        <f aca="false">AUG!O50</f>
        <v>4583.476025</v>
      </c>
      <c r="P10" s="119" t="n">
        <f aca="false">AUG!P50</f>
        <v>68.61</v>
      </c>
      <c r="Q10" s="119" t="n">
        <f aca="false">AUG!Q50</f>
        <v>125.85</v>
      </c>
      <c r="R10" s="398" t="n">
        <f aca="false">AUG!R50</f>
        <v>88.573</v>
      </c>
      <c r="S10" s="114" t="n">
        <f aca="false">AUG!S50</f>
        <v>19140.8</v>
      </c>
      <c r="T10" s="114" t="n">
        <f aca="false">AUG!T50</f>
        <v>8294.8</v>
      </c>
      <c r="U10" s="114" t="n">
        <f aca="false">AUG!U50</f>
        <v>49900.480975</v>
      </c>
      <c r="V10" s="114"/>
      <c r="W10" s="114"/>
      <c r="X10" s="114" t="n">
        <f aca="false">AUG!X50</f>
        <v>13295.36</v>
      </c>
      <c r="Y10" s="114" t="n">
        <f aca="false">AUG!Y50</f>
        <v>6032.89</v>
      </c>
      <c r="Z10" s="114" t="n">
        <f aca="false">AUG!Z50</f>
        <v>4472.49231157046</v>
      </c>
      <c r="AA10" s="114" t="n">
        <f aca="false">AUG!AA50</f>
        <v>74153.05</v>
      </c>
      <c r="AB10" s="114" t="n">
        <f aca="false">AUG!AB50</f>
        <v>6301.48147718679</v>
      </c>
      <c r="AC10" s="114" t="n">
        <f aca="false">AUG!AC50</f>
        <v>80454.5314771868</v>
      </c>
      <c r="AD10" s="163" t="n">
        <f aca="false">AUG!AD50</f>
        <v>9.17</v>
      </c>
      <c r="AE10" s="119"/>
      <c r="AF10" s="169"/>
      <c r="AG10" s="120"/>
      <c r="AH10" s="367"/>
      <c r="AI10" s="377" t="n">
        <f aca="false">AUG!AI50</f>
        <v>1208.31440760655</v>
      </c>
      <c r="AJ10" s="215"/>
    </row>
    <row r="11" customFormat="false" ht="3" hidden="false" customHeight="true" outlineLevel="0" collapsed="false">
      <c r="A11" s="171"/>
      <c r="B11" s="172"/>
      <c r="C11" s="173"/>
      <c r="D11" s="171"/>
      <c r="E11" s="173"/>
      <c r="F11" s="174"/>
      <c r="G11" s="171"/>
      <c r="H11" s="175"/>
      <c r="I11" s="171"/>
      <c r="J11" s="171"/>
      <c r="K11" s="171"/>
      <c r="L11" s="171"/>
      <c r="M11" s="176"/>
      <c r="N11" s="171"/>
      <c r="O11" s="171"/>
      <c r="P11" s="308"/>
      <c r="Q11" s="308"/>
      <c r="R11" s="231"/>
      <c r="S11" s="171"/>
      <c r="T11" s="171"/>
      <c r="U11" s="171"/>
      <c r="V11" s="173"/>
      <c r="W11" s="173"/>
      <c r="X11" s="171"/>
      <c r="Y11" s="171"/>
      <c r="Z11" s="173"/>
      <c r="AA11" s="171"/>
      <c r="AB11" s="171"/>
      <c r="AC11" s="171"/>
      <c r="AD11" s="178"/>
      <c r="AE11" s="179" t="n">
        <v>0</v>
      </c>
      <c r="AF11" s="180"/>
      <c r="AG11" s="181"/>
      <c r="AH11" s="232"/>
      <c r="AI11" s="232" t="s">
        <v>116</v>
      </c>
      <c r="AJ11" s="309" t="s">
        <v>116</v>
      </c>
    </row>
    <row r="12" customFormat="false" ht="11.1" hidden="false" customHeight="true" outlineLevel="0" collapsed="false">
      <c r="A12" s="120" t="n">
        <v>1</v>
      </c>
      <c r="B12" s="170" t="n">
        <v>6868.19</v>
      </c>
      <c r="C12" s="114" t="n">
        <v>183046</v>
      </c>
      <c r="D12" s="119" t="n">
        <f aca="false">C12-C10</f>
        <v>-599</v>
      </c>
      <c r="E12" s="114" t="n">
        <f aca="false">C12-151978</f>
        <v>31068</v>
      </c>
      <c r="F12" s="182" t="n">
        <f aca="false">D12/$D$2</f>
        <v>-301.991429291656</v>
      </c>
      <c r="G12" s="183" t="n">
        <v>218</v>
      </c>
      <c r="H12" s="184" t="n">
        <v>0</v>
      </c>
      <c r="I12" s="113" t="n">
        <f aca="false">G12+H12</f>
        <v>218</v>
      </c>
      <c r="J12" s="185" t="n">
        <f aca="false">IF(L12&gt;0,L12,0)</f>
        <v>0</v>
      </c>
      <c r="K12" s="113" t="n">
        <f aca="false">I12+J12</f>
        <v>218</v>
      </c>
      <c r="L12" s="113" t="n">
        <f aca="false">F12-(I12-AA12)</f>
        <v>-107.701429291656</v>
      </c>
      <c r="M12" s="186" t="n">
        <v>163</v>
      </c>
      <c r="N12" s="91" t="n">
        <v>0</v>
      </c>
      <c r="O12" s="113" t="n">
        <f aca="false">19.06*1.05</f>
        <v>20.013</v>
      </c>
      <c r="P12" s="117" t="n">
        <v>2.42</v>
      </c>
      <c r="Q12" s="253" t="n">
        <v>4.2</v>
      </c>
      <c r="R12" s="234" t="n">
        <v>2.93</v>
      </c>
      <c r="S12" s="183" t="n">
        <v>114</v>
      </c>
      <c r="T12" s="183" t="n">
        <v>66</v>
      </c>
      <c r="U12" s="113" t="n">
        <f aca="false">M12-N12-O12-P12-Q12-R12+S12+T12</f>
        <v>313.437</v>
      </c>
      <c r="V12" s="114" t="n">
        <f aca="false">V9+AH12-(AI12/1.9835)</f>
        <v>1793.50379819153</v>
      </c>
      <c r="W12" s="114"/>
      <c r="X12" s="113" t="n">
        <v>51.29</v>
      </c>
      <c r="Y12" s="183" t="n">
        <v>18</v>
      </c>
      <c r="Z12" s="114" t="n">
        <f aca="false">Z10-Y12</f>
        <v>4454.49231157046</v>
      </c>
      <c r="AA12" s="6" t="n">
        <f aca="false">M12+S12+T12+X12+Y12</f>
        <v>412.29</v>
      </c>
      <c r="AB12" s="113" t="n">
        <f aca="false">IF(L12&lt;0,L12*-1,0)</f>
        <v>107.701429291656</v>
      </c>
      <c r="AC12" s="113" t="n">
        <f aca="false">AA12+AB12</f>
        <v>519.991429291656</v>
      </c>
      <c r="AD12" s="163" t="n">
        <v>0</v>
      </c>
      <c r="AE12" s="119" t="n">
        <v>88</v>
      </c>
      <c r="AF12" s="169" t="n">
        <v>49</v>
      </c>
      <c r="AG12" s="120" t="n">
        <v>0</v>
      </c>
      <c r="AH12" s="367" t="n">
        <f aca="false">(I12-P12-Q12)-(U12)</f>
        <v>-102.057</v>
      </c>
      <c r="AI12" s="377" t="n">
        <f aca="false">23.5*(V9*1.9835-U12*1.9835)/E12</f>
        <v>2.37550451810314</v>
      </c>
      <c r="AJ12" s="215"/>
    </row>
    <row r="13" customFormat="false" ht="11.1" hidden="false" customHeight="true" outlineLevel="0" collapsed="false">
      <c r="A13" s="120" t="n">
        <v>2</v>
      </c>
      <c r="B13" s="170" t="n">
        <v>6867.96</v>
      </c>
      <c r="C13" s="114" t="n">
        <v>182447</v>
      </c>
      <c r="D13" s="119" t="n">
        <f aca="false">C13-C12</f>
        <v>-599</v>
      </c>
      <c r="E13" s="114" t="n">
        <f aca="false">C13-151978</f>
        <v>30469</v>
      </c>
      <c r="F13" s="182" t="n">
        <f aca="false">D13/$D$2</f>
        <v>-301.991429291656</v>
      </c>
      <c r="G13" s="183" t="n">
        <v>184</v>
      </c>
      <c r="H13" s="184" t="n">
        <v>0</v>
      </c>
      <c r="I13" s="113" t="n">
        <f aca="false">G13+H13</f>
        <v>184</v>
      </c>
      <c r="J13" s="185" t="n">
        <f aca="false">IF(L13&gt;0,L13,0)</f>
        <v>0</v>
      </c>
      <c r="K13" s="113" t="n">
        <f aca="false">I13+J13</f>
        <v>184</v>
      </c>
      <c r="L13" s="113" t="n">
        <f aca="false">F13-(I13-AA13)</f>
        <v>-36.0614292916562</v>
      </c>
      <c r="M13" s="186" t="n">
        <v>188</v>
      </c>
      <c r="N13" s="91" t="n">
        <v>0</v>
      </c>
      <c r="O13" s="113" t="n">
        <f aca="false">27.77*1.05</f>
        <v>29.1585</v>
      </c>
      <c r="P13" s="117" t="n">
        <v>2.77</v>
      </c>
      <c r="Q13" s="253" t="n">
        <v>4.2</v>
      </c>
      <c r="R13" s="234" t="n">
        <v>2.82</v>
      </c>
      <c r="S13" s="183" t="n">
        <v>110</v>
      </c>
      <c r="T13" s="183" t="n">
        <v>66</v>
      </c>
      <c r="U13" s="113" t="n">
        <f aca="false">M13-N13-O13-P13-Q13-R13+S13+T13</f>
        <v>325.0515</v>
      </c>
      <c r="V13" s="114" t="n">
        <f aca="false">V12+AH13-(AI13/1.9835)</f>
        <v>1644.34971658375</v>
      </c>
      <c r="W13" s="114"/>
      <c r="X13" s="113" t="n">
        <v>69.93</v>
      </c>
      <c r="Y13" s="183" t="n">
        <v>16</v>
      </c>
      <c r="Z13" s="114" t="n">
        <f aca="false">Z12-Y13</f>
        <v>4438.49231157046</v>
      </c>
      <c r="AA13" s="6" t="n">
        <f aca="false">M13+S13+T13+X13+Y13</f>
        <v>449.93</v>
      </c>
      <c r="AB13" s="113" t="n">
        <f aca="false">IF(L13&lt;0,L13*-1,0)</f>
        <v>36.0614292916562</v>
      </c>
      <c r="AC13" s="113" t="n">
        <f aca="false">AA13+AB13</f>
        <v>485.991429291656</v>
      </c>
      <c r="AD13" s="163" t="n">
        <v>0</v>
      </c>
      <c r="AE13" s="119" t="n">
        <v>85</v>
      </c>
      <c r="AF13" s="169" t="n">
        <v>52</v>
      </c>
      <c r="AG13" s="120" t="n">
        <v>0</v>
      </c>
      <c r="AH13" s="367" t="n">
        <f aca="false">(I13-P13-Q13)-(U13)</f>
        <v>-148.0215</v>
      </c>
      <c r="AI13" s="377" t="n">
        <f aca="false">23.5*(V12*1.9835-U13*1.9835)/E13</f>
        <v>2.24647561903502</v>
      </c>
      <c r="AJ13" s="215"/>
    </row>
    <row r="14" customFormat="false" ht="11.1" hidden="false" customHeight="true" outlineLevel="0" collapsed="false">
      <c r="A14" s="120" t="n">
        <v>3</v>
      </c>
      <c r="B14" s="170" t="n">
        <v>6867.79</v>
      </c>
      <c r="C14" s="114" t="n">
        <v>182010</v>
      </c>
      <c r="D14" s="119" t="n">
        <f aca="false">C14-C13</f>
        <v>-437</v>
      </c>
      <c r="E14" s="114" t="n">
        <f aca="false">C14-151978</f>
        <v>30032</v>
      </c>
      <c r="F14" s="182" t="n">
        <f aca="false">D14/$D$2</f>
        <v>-220.317620368036</v>
      </c>
      <c r="G14" s="183" t="n">
        <v>171</v>
      </c>
      <c r="H14" s="184" t="n">
        <v>0</v>
      </c>
      <c r="I14" s="113" t="n">
        <f aca="false">G14+H14</f>
        <v>171</v>
      </c>
      <c r="J14" s="185" t="n">
        <f aca="false">IF(L14&gt;0,L14,0)</f>
        <v>43.9223796319637</v>
      </c>
      <c r="K14" s="113" t="n">
        <f aca="false">I14+J14</f>
        <v>214.922379631964</v>
      </c>
      <c r="L14" s="113" t="n">
        <f aca="false">F14-(I14-AA14)</f>
        <v>43.9223796319637</v>
      </c>
      <c r="M14" s="186" t="n">
        <v>197</v>
      </c>
      <c r="N14" s="91" t="n">
        <v>0</v>
      </c>
      <c r="O14" s="113" t="n">
        <f aca="false">31.55*1.05</f>
        <v>33.1275</v>
      </c>
      <c r="P14" s="117" t="n">
        <v>2.38</v>
      </c>
      <c r="Q14" s="253" t="n">
        <v>4.2</v>
      </c>
      <c r="R14" s="234" t="n">
        <v>3.6</v>
      </c>
      <c r="S14" s="183" t="n">
        <v>108</v>
      </c>
      <c r="T14" s="183" t="n">
        <v>66</v>
      </c>
      <c r="U14" s="113" t="n">
        <f aca="false">M14-N14-O14-P14-Q14-R14+S14+T14</f>
        <v>327.6925</v>
      </c>
      <c r="V14" s="114" t="n">
        <f aca="false">V13+AH14-(AI14/1.9835)</f>
        <v>1480.04693406544</v>
      </c>
      <c r="W14" s="114"/>
      <c r="X14" s="113" t="n">
        <v>45.24</v>
      </c>
      <c r="Y14" s="183" t="n">
        <v>19</v>
      </c>
      <c r="Z14" s="114" t="n">
        <f aca="false">Z13-Y14</f>
        <v>4419.49231157046</v>
      </c>
      <c r="AA14" s="6" t="n">
        <f aca="false">M14+S14+T14+X14+Y14</f>
        <v>435.24</v>
      </c>
      <c r="AB14" s="113" t="n">
        <f aca="false">IF(L14&lt;0,L14*-1,0)</f>
        <v>0</v>
      </c>
      <c r="AC14" s="113" t="n">
        <f aca="false">AA14+AB14</f>
        <v>435.24</v>
      </c>
      <c r="AD14" s="163" t="n">
        <v>0</v>
      </c>
      <c r="AE14" s="119" t="n">
        <v>79</v>
      </c>
      <c r="AF14" s="169" t="n">
        <v>57</v>
      </c>
      <c r="AG14" s="120" t="n">
        <v>0</v>
      </c>
      <c r="AH14" s="367" t="n">
        <f aca="false">(I14-P14-Q14)-(U14)</f>
        <v>-163.2725</v>
      </c>
      <c r="AI14" s="377" t="n">
        <f aca="false">23.5*(V13*1.9835-U14*1.9835)/E14</f>
        <v>2.0435653750568</v>
      </c>
      <c r="AJ14" s="215"/>
    </row>
    <row r="15" customFormat="false" ht="11.1" hidden="false" customHeight="true" outlineLevel="0" collapsed="false">
      <c r="A15" s="120" t="n">
        <v>4</v>
      </c>
      <c r="B15" s="170" t="n">
        <v>6867.54</v>
      </c>
      <c r="C15" s="114" t="n">
        <v>181367</v>
      </c>
      <c r="D15" s="119" t="n">
        <f aca="false">C15-C14</f>
        <v>-643</v>
      </c>
      <c r="E15" s="114" t="n">
        <f aca="false">C15-151978</f>
        <v>29389</v>
      </c>
      <c r="F15" s="182" t="n">
        <f aca="false">D15/$D$2</f>
        <v>-324.174439122763</v>
      </c>
      <c r="G15" s="183" t="n">
        <v>158</v>
      </c>
      <c r="H15" s="184" t="n">
        <v>0</v>
      </c>
      <c r="I15" s="113" t="n">
        <f aca="false">G15+H15</f>
        <v>158</v>
      </c>
      <c r="J15" s="185" t="n">
        <f aca="false">IF(L15&gt;0,L15,0)</f>
        <v>0</v>
      </c>
      <c r="K15" s="113" t="n">
        <f aca="false">I15+J15</f>
        <v>158</v>
      </c>
      <c r="L15" s="113" t="n">
        <f aca="false">F15-(I15-AA15)</f>
        <v>-36.0044391227628</v>
      </c>
      <c r="M15" s="186" t="n">
        <v>196</v>
      </c>
      <c r="N15" s="91" t="n">
        <v>0</v>
      </c>
      <c r="O15" s="113" t="n">
        <f aca="false">35.13*1.05</f>
        <v>36.8865</v>
      </c>
      <c r="P15" s="117" t="n">
        <v>2.39</v>
      </c>
      <c r="Q15" s="253" t="n">
        <v>4.2</v>
      </c>
      <c r="R15" s="234" t="n">
        <v>4.56</v>
      </c>
      <c r="S15" s="183" t="n">
        <v>107</v>
      </c>
      <c r="T15" s="183" t="n">
        <v>66</v>
      </c>
      <c r="U15" s="113" t="n">
        <f aca="false">M15-N15-O15-P15-Q15-R15+S15+T15</f>
        <v>320.9635</v>
      </c>
      <c r="V15" s="114" t="n">
        <f aca="false">V14+AH15-(AI15/1.9835)</f>
        <v>1309.56660903905</v>
      </c>
      <c r="W15" s="114"/>
      <c r="X15" s="113" t="n">
        <v>58.17</v>
      </c>
      <c r="Y15" s="183" t="n">
        <v>19</v>
      </c>
      <c r="Z15" s="114" t="n">
        <f aca="false">Z14-Y15</f>
        <v>4400.49231157046</v>
      </c>
      <c r="AA15" s="6" t="n">
        <f aca="false">M15+S15+T15+X15+Y15</f>
        <v>446.17</v>
      </c>
      <c r="AB15" s="113" t="n">
        <f aca="false">IF(L15&lt;0,L15*-1,0)</f>
        <v>36.0044391227628</v>
      </c>
      <c r="AC15" s="113" t="n">
        <f aca="false">AA15+AB15</f>
        <v>482.174439122763</v>
      </c>
      <c r="AD15" s="163" t="n">
        <v>0</v>
      </c>
      <c r="AE15" s="119" t="n">
        <v>78</v>
      </c>
      <c r="AF15" s="169" t="n">
        <v>54</v>
      </c>
      <c r="AG15" s="120" t="n">
        <v>0</v>
      </c>
      <c r="AH15" s="367" t="n">
        <f aca="false">(I15-P15-Q15)-(U15)</f>
        <v>-169.5535</v>
      </c>
      <c r="AI15" s="377" t="n">
        <f aca="false">23.5*(V14*1.9835-U15*1.9835)/E15</f>
        <v>1.83835743984201</v>
      </c>
      <c r="AJ15" s="215"/>
    </row>
    <row r="16" customFormat="false" ht="11.1" hidden="false" customHeight="true" outlineLevel="0" collapsed="false">
      <c r="A16" s="120" t="n">
        <v>5</v>
      </c>
      <c r="B16" s="170" t="n">
        <v>6867.26</v>
      </c>
      <c r="C16" s="114" t="n">
        <v>180647</v>
      </c>
      <c r="D16" s="119" t="n">
        <f aca="false">C16-C15</f>
        <v>-720</v>
      </c>
      <c r="E16" s="114" t="n">
        <f aca="false">C16-151978</f>
        <v>28669</v>
      </c>
      <c r="F16" s="182" t="n">
        <f aca="false">D16/$D$2</f>
        <v>-362.994706327199</v>
      </c>
      <c r="G16" s="183" t="n">
        <v>168</v>
      </c>
      <c r="H16" s="184" t="n">
        <v>0</v>
      </c>
      <c r="I16" s="113" t="n">
        <f aca="false">G16+H16</f>
        <v>168</v>
      </c>
      <c r="J16" s="185" t="n">
        <f aca="false">IF(L16&gt;0,L16,0)</f>
        <v>0</v>
      </c>
      <c r="K16" s="113" t="n">
        <f aca="false">I16+J16</f>
        <v>168</v>
      </c>
      <c r="L16" s="113" t="n">
        <f aca="false">F16-(I16-AA16)</f>
        <v>-113.194706327199</v>
      </c>
      <c r="M16" s="186" t="n">
        <v>186</v>
      </c>
      <c r="N16" s="91" t="n">
        <v>0</v>
      </c>
      <c r="O16" s="113" t="n">
        <f aca="false">33.86*1.05</f>
        <v>35.553</v>
      </c>
      <c r="P16" s="117" t="n">
        <v>2.83</v>
      </c>
      <c r="Q16" s="253" t="n">
        <v>4.2</v>
      </c>
      <c r="R16" s="234" t="n">
        <v>5.25</v>
      </c>
      <c r="S16" s="183" t="n">
        <v>106</v>
      </c>
      <c r="T16" s="183" t="n">
        <v>66</v>
      </c>
      <c r="U16" s="113" t="n">
        <f aca="false">M16-N16-O16-P16-Q16-R16+S16+T16</f>
        <v>310.167</v>
      </c>
      <c r="V16" s="114" t="n">
        <f aca="false">V15+AH16-(AI16/1.9835)</f>
        <v>1159.55040045792</v>
      </c>
      <c r="W16" s="114"/>
      <c r="X16" s="113" t="n">
        <v>40.8</v>
      </c>
      <c r="Y16" s="183" t="n">
        <v>19</v>
      </c>
      <c r="Z16" s="114" t="n">
        <f aca="false">Z15-Y16</f>
        <v>4381.49231157046</v>
      </c>
      <c r="AA16" s="6" t="n">
        <f aca="false">M16+S16+T16+X16+Y16</f>
        <v>417.8</v>
      </c>
      <c r="AB16" s="113" t="n">
        <f aca="false">IF(L16&lt;0,L16*-1,0)</f>
        <v>113.194706327199</v>
      </c>
      <c r="AC16" s="113" t="n">
        <f aca="false">AA16+AB16</f>
        <v>530.994706327199</v>
      </c>
      <c r="AD16" s="163" t="n">
        <v>0</v>
      </c>
      <c r="AE16" s="119" t="n">
        <v>77</v>
      </c>
      <c r="AF16" s="169" t="n">
        <v>52</v>
      </c>
      <c r="AG16" s="120" t="n">
        <v>0</v>
      </c>
      <c r="AH16" s="367" t="n">
        <f aca="false">(I16-P16-Q16)-(U16)</f>
        <v>-149.197</v>
      </c>
      <c r="AI16" s="377" t="n">
        <f aca="false">23.5*(V15*1.9835-U16*1.9835)/E16</f>
        <v>1.62490022067148</v>
      </c>
      <c r="AJ16" s="215"/>
    </row>
    <row r="17" customFormat="false" ht="11.1" hidden="false" customHeight="true" outlineLevel="0" collapsed="false">
      <c r="A17" s="120" t="n">
        <v>6</v>
      </c>
      <c r="B17" s="170" t="n">
        <v>6867.02</v>
      </c>
      <c r="C17" s="114" t="n">
        <v>180030</v>
      </c>
      <c r="D17" s="119" t="n">
        <f aca="false">C17-C16</f>
        <v>-617</v>
      </c>
      <c r="E17" s="114" t="n">
        <f aca="false">C17-151978</f>
        <v>28052</v>
      </c>
      <c r="F17" s="182" t="n">
        <f aca="false">D17/$D$2</f>
        <v>-311.066296949836</v>
      </c>
      <c r="G17" s="183" t="n">
        <v>185</v>
      </c>
      <c r="H17" s="184" t="n">
        <v>0</v>
      </c>
      <c r="I17" s="113" t="n">
        <f aca="false">G17+H17</f>
        <v>185</v>
      </c>
      <c r="J17" s="185" t="n">
        <f aca="false">IF(L17&gt;0,L17,0)</f>
        <v>0</v>
      </c>
      <c r="K17" s="113" t="n">
        <f aca="false">I17+J17</f>
        <v>185</v>
      </c>
      <c r="L17" s="113" t="n">
        <f aca="false">F17-(I17-AA17)</f>
        <v>-55.8162969498362</v>
      </c>
      <c r="M17" s="186" t="n">
        <v>188</v>
      </c>
      <c r="N17" s="91" t="n">
        <v>0</v>
      </c>
      <c r="O17" s="113" t="n">
        <f aca="false">31.34*1.05</f>
        <v>32.907</v>
      </c>
      <c r="P17" s="117" t="n">
        <v>2.52</v>
      </c>
      <c r="Q17" s="253" t="n">
        <v>4.2</v>
      </c>
      <c r="R17" s="234" t="n">
        <v>5.16</v>
      </c>
      <c r="S17" s="183" t="n">
        <v>105</v>
      </c>
      <c r="T17" s="183" t="n">
        <v>67</v>
      </c>
      <c r="U17" s="113" t="n">
        <f aca="false">M17-N17-O17-P17-Q17-R17+S17+T17</f>
        <v>315.213</v>
      </c>
      <c r="V17" s="114" t="n">
        <f aca="false">V16+AH17-(AI17/1.9835)</f>
        <v>1021.91007374643</v>
      </c>
      <c r="W17" s="114"/>
      <c r="X17" s="113" t="n">
        <v>60.25</v>
      </c>
      <c r="Y17" s="183" t="n">
        <v>20</v>
      </c>
      <c r="Z17" s="114" t="n">
        <f aca="false">Z16-Y17</f>
        <v>4361.49231157046</v>
      </c>
      <c r="AA17" s="6" t="n">
        <f aca="false">M17+S17+T17+X17+Y17</f>
        <v>440.25</v>
      </c>
      <c r="AB17" s="113" t="n">
        <f aca="false">IF(L17&lt;0,L17*-1,0)</f>
        <v>55.8162969498362</v>
      </c>
      <c r="AC17" s="113" t="n">
        <f aca="false">AA17+AB17</f>
        <v>496.066296949836</v>
      </c>
      <c r="AD17" s="163" t="n">
        <v>0.03</v>
      </c>
      <c r="AE17" s="119" t="n">
        <v>70</v>
      </c>
      <c r="AF17" s="169" t="n">
        <v>49</v>
      </c>
      <c r="AG17" s="120" t="n">
        <v>0</v>
      </c>
      <c r="AH17" s="367" t="n">
        <f aca="false">(I17-P17-Q17)-(U17)</f>
        <v>-136.933</v>
      </c>
      <c r="AI17" s="377" t="n">
        <f aca="false">23.5*(V16*1.9835-U17*1.9835)/E17</f>
        <v>1.40298253224351</v>
      </c>
      <c r="AJ17" s="215"/>
    </row>
    <row r="18" customFormat="false" ht="11.1" hidden="false" customHeight="true" outlineLevel="0" collapsed="false">
      <c r="A18" s="120" t="n">
        <v>7</v>
      </c>
      <c r="B18" s="170" t="n">
        <v>6866.86</v>
      </c>
      <c r="C18" s="114" t="n">
        <v>179624</v>
      </c>
      <c r="D18" s="119" t="n">
        <f aca="false">C18-C17</f>
        <v>-406</v>
      </c>
      <c r="E18" s="114" t="n">
        <f aca="false">C18-151978</f>
        <v>27646</v>
      </c>
      <c r="F18" s="182" t="n">
        <f aca="false">D18/$D$2</f>
        <v>-204.688681623393</v>
      </c>
      <c r="G18" s="183" t="n">
        <v>242</v>
      </c>
      <c r="H18" s="184" t="n">
        <v>0</v>
      </c>
      <c r="I18" s="113" t="n">
        <f aca="false">G18+H18</f>
        <v>242</v>
      </c>
      <c r="J18" s="185" t="n">
        <f aca="false">IF(L18&gt;0,L18,0)</f>
        <v>3.55131837660701</v>
      </c>
      <c r="K18" s="113" t="n">
        <f aca="false">I18+J18</f>
        <v>245.551318376607</v>
      </c>
      <c r="L18" s="113" t="n">
        <f aca="false">F18-(I18-AA18)</f>
        <v>3.55131837660701</v>
      </c>
      <c r="M18" s="186" t="n">
        <v>160</v>
      </c>
      <c r="N18" s="91" t="n">
        <v>0</v>
      </c>
      <c r="O18" s="113" t="n">
        <f aca="false">20.13*1.05</f>
        <v>21.1365</v>
      </c>
      <c r="P18" s="117" t="n">
        <v>2.56</v>
      </c>
      <c r="Q18" s="253" t="n">
        <v>4.2</v>
      </c>
      <c r="R18" s="234" t="n">
        <v>5.58</v>
      </c>
      <c r="S18" s="183" t="n">
        <v>106</v>
      </c>
      <c r="T18" s="183" t="n">
        <v>68</v>
      </c>
      <c r="U18" s="113" t="n">
        <f aca="false">M18-N18-O18-P18-Q18-R18+S18+T18</f>
        <v>300.5235</v>
      </c>
      <c r="V18" s="114" t="n">
        <f aca="false">V17+AH18-(AI18/1.9835)</f>
        <v>956.013371674413</v>
      </c>
      <c r="W18" s="114"/>
      <c r="X18" s="113" t="n">
        <v>97.24</v>
      </c>
      <c r="Y18" s="183" t="n">
        <v>19</v>
      </c>
      <c r="Z18" s="114" t="n">
        <f aca="false">Z17-Y18</f>
        <v>4342.49231157046</v>
      </c>
      <c r="AA18" s="6" t="n">
        <f aca="false">M18+S18+T18+X18+Y18</f>
        <v>450.24</v>
      </c>
      <c r="AB18" s="113" t="n">
        <f aca="false">IF(L18&lt;0,L18*-1,0)</f>
        <v>0</v>
      </c>
      <c r="AC18" s="113" t="n">
        <f aca="false">AA18+AB18</f>
        <v>450.24</v>
      </c>
      <c r="AD18" s="163" t="n">
        <v>0</v>
      </c>
      <c r="AE18" s="119" t="n">
        <v>75</v>
      </c>
      <c r="AF18" s="169" t="n">
        <v>45</v>
      </c>
      <c r="AG18" s="120" t="n">
        <v>0</v>
      </c>
      <c r="AH18" s="367" t="n">
        <f aca="false">(I18-P18-Q18)-(U18)</f>
        <v>-65.2835</v>
      </c>
      <c r="AI18" s="377" t="n">
        <f aca="false">23.5*(V17*1.9835-U18*1.9835)/E18</f>
        <v>1.21628630984996</v>
      </c>
      <c r="AJ18" s="215"/>
    </row>
    <row r="19" customFormat="false" ht="11.1" hidden="false" customHeight="true" outlineLevel="0" collapsed="false">
      <c r="A19" s="120" t="n">
        <v>8</v>
      </c>
      <c r="B19" s="170" t="n">
        <v>6866.63</v>
      </c>
      <c r="C19" s="114" t="n">
        <v>179041</v>
      </c>
      <c r="D19" s="119" t="n">
        <f aca="false">C19-C18</f>
        <v>-583</v>
      </c>
      <c r="E19" s="114" t="n">
        <f aca="false">C19-151978</f>
        <v>27063</v>
      </c>
      <c r="F19" s="182" t="n">
        <f aca="false">D19/$D$2</f>
        <v>-293.924880262163</v>
      </c>
      <c r="G19" s="183" t="n">
        <v>203</v>
      </c>
      <c r="H19" s="184" t="n">
        <v>0</v>
      </c>
      <c r="I19" s="113" t="n">
        <f aca="false">G19+H19</f>
        <v>203</v>
      </c>
      <c r="J19" s="185" t="n">
        <f aca="false">IF(L19&gt;0,L19,0)</f>
        <v>0</v>
      </c>
      <c r="K19" s="113" t="n">
        <f aca="false">I19+J19</f>
        <v>203</v>
      </c>
      <c r="L19" s="113" t="n">
        <f aca="false">F19-(I19-AA19)</f>
        <v>-88.5848802621628</v>
      </c>
      <c r="M19" s="186" t="n">
        <v>170</v>
      </c>
      <c r="N19" s="91" t="n">
        <v>0</v>
      </c>
      <c r="O19" s="113" t="n">
        <f aca="false">23.23*1.05</f>
        <v>24.3915</v>
      </c>
      <c r="P19" s="117" t="n">
        <v>2.73</v>
      </c>
      <c r="Q19" s="253" t="n">
        <v>4.2</v>
      </c>
      <c r="R19" s="234" t="n">
        <v>6.07</v>
      </c>
      <c r="S19" s="183" t="n">
        <v>104</v>
      </c>
      <c r="T19" s="183" t="n">
        <v>67</v>
      </c>
      <c r="U19" s="113" t="n">
        <f aca="false">M19-N19-O19-P19-Q19-R19+S19+T19</f>
        <v>303.6085</v>
      </c>
      <c r="V19" s="114" t="n">
        <f aca="false">V18+AH19-(AI19/1.9835)</f>
        <v>847.908359665975</v>
      </c>
      <c r="W19" s="114"/>
      <c r="X19" s="113" t="n">
        <v>48.34</v>
      </c>
      <c r="Y19" s="183" t="n">
        <v>19</v>
      </c>
      <c r="Z19" s="114" t="n">
        <f aca="false">Z18-Y19</f>
        <v>4323.49231157046</v>
      </c>
      <c r="AA19" s="6" t="n">
        <f aca="false">M19+S19+T19+X19+Y19</f>
        <v>408.34</v>
      </c>
      <c r="AB19" s="113" t="n">
        <f aca="false">IF(L19&lt;0,L19*-1,0)</f>
        <v>88.5848802621628</v>
      </c>
      <c r="AC19" s="113" t="n">
        <f aca="false">AA19+AB19</f>
        <v>496.924880262163</v>
      </c>
      <c r="AD19" s="163" t="n">
        <v>0</v>
      </c>
      <c r="AE19" s="119" t="n">
        <v>76</v>
      </c>
      <c r="AF19" s="169" t="n">
        <v>48</v>
      </c>
      <c r="AG19" s="120" t="n">
        <v>0</v>
      </c>
      <c r="AH19" s="367" t="n">
        <f aca="false">(I19-P19-Q19)-(U19)</f>
        <v>-107.5385</v>
      </c>
      <c r="AI19" s="377" t="n">
        <f aca="false">23.5*(V18*1.9835-U19*1.9835)/E19</f>
        <v>1.12367656873612</v>
      </c>
      <c r="AJ19" s="215"/>
    </row>
    <row r="20" customFormat="false" ht="11.1" hidden="false" customHeight="true" outlineLevel="0" collapsed="false">
      <c r="A20" s="120" t="n">
        <v>9</v>
      </c>
      <c r="B20" s="170" t="n">
        <v>6866.76</v>
      </c>
      <c r="C20" s="114" t="n">
        <v>179371</v>
      </c>
      <c r="D20" s="119" t="n">
        <f aca="false">C20-C19</f>
        <v>330</v>
      </c>
      <c r="E20" s="114" t="n">
        <f aca="false">C20-151978</f>
        <v>27393</v>
      </c>
      <c r="F20" s="182" t="n">
        <f aca="false">D20/$D$2</f>
        <v>166.3725737333</v>
      </c>
      <c r="G20" s="183" t="n">
        <v>254</v>
      </c>
      <c r="H20" s="184" t="n">
        <v>0.8</v>
      </c>
      <c r="I20" s="113" t="n">
        <f aca="false">G20+H20</f>
        <v>254.8</v>
      </c>
      <c r="J20" s="185" t="n">
        <f aca="false">IF(L20&gt;0,L20,0)</f>
        <v>158.5325737333</v>
      </c>
      <c r="K20" s="113" t="n">
        <f aca="false">I20+J20</f>
        <v>413.3325737333</v>
      </c>
      <c r="L20" s="113" t="n">
        <f aca="false">F20-(I20-AA20)</f>
        <v>158.5325737333</v>
      </c>
      <c r="M20" s="186" t="n">
        <v>99</v>
      </c>
      <c r="N20" s="113" t="n">
        <v>0</v>
      </c>
      <c r="O20" s="113" t="n">
        <f aca="false">11.14*1.05</f>
        <v>11.697</v>
      </c>
      <c r="P20" s="117" t="n">
        <v>2.22</v>
      </c>
      <c r="Q20" s="253" t="n">
        <v>4.2</v>
      </c>
      <c r="R20" s="234" t="n">
        <v>6.62</v>
      </c>
      <c r="S20" s="183" t="n">
        <v>70</v>
      </c>
      <c r="T20" s="183" t="n">
        <v>48</v>
      </c>
      <c r="U20" s="113" t="n">
        <f aca="false">M20-N20-O20-P20-Q20-R20+S20+T20</f>
        <v>192.263</v>
      </c>
      <c r="V20" s="114" t="n">
        <f aca="false">V19-(AI20/1.9835)</f>
        <v>847.18095315876</v>
      </c>
      <c r="W20" s="114"/>
      <c r="X20" s="113" t="n">
        <v>9.96</v>
      </c>
      <c r="Y20" s="183" t="n">
        <v>20</v>
      </c>
      <c r="Z20" s="114" t="n">
        <f aca="false">Z19-Y20</f>
        <v>4303.49231157046</v>
      </c>
      <c r="AA20" s="6" t="n">
        <f aca="false">M20+S20+T20+X20+Y20</f>
        <v>246.96</v>
      </c>
      <c r="AB20" s="113" t="n">
        <f aca="false">IF(L20&lt;0,L20*-1,0)</f>
        <v>0</v>
      </c>
      <c r="AC20" s="113" t="n">
        <f aca="false">AA20+AB20</f>
        <v>246.96</v>
      </c>
      <c r="AD20" s="163" t="n">
        <v>1.54</v>
      </c>
      <c r="AE20" s="119" t="n">
        <v>64</v>
      </c>
      <c r="AF20" s="169" t="n">
        <v>46</v>
      </c>
      <c r="AG20" s="120" t="n">
        <v>0</v>
      </c>
      <c r="AH20" s="367" t="n">
        <v>0</v>
      </c>
      <c r="AI20" s="377" t="n">
        <f aca="false">23.5*(V19*1.9835)/E20</f>
        <v>1.44281080706167</v>
      </c>
      <c r="AJ20" s="215"/>
    </row>
    <row r="21" customFormat="false" ht="11.1" hidden="false" customHeight="true" outlineLevel="0" collapsed="false">
      <c r="A21" s="120" t="n">
        <v>10</v>
      </c>
      <c r="B21" s="170" t="n">
        <v>6867.46</v>
      </c>
      <c r="C21" s="114" t="n">
        <v>181162</v>
      </c>
      <c r="D21" s="119" t="n">
        <f aca="false">C21-C20</f>
        <v>1791</v>
      </c>
      <c r="E21" s="114" t="n">
        <f aca="false">C21-151978</f>
        <v>29184</v>
      </c>
      <c r="F21" s="182" t="n">
        <f aca="false">D21/$D$2</f>
        <v>902.949331988908</v>
      </c>
      <c r="G21" s="183" t="n">
        <v>1210</v>
      </c>
      <c r="H21" s="184" t="n">
        <v>0.04</v>
      </c>
      <c r="I21" s="113" t="n">
        <f aca="false">G21+H21</f>
        <v>1210.04</v>
      </c>
      <c r="J21" s="185" t="n">
        <f aca="false">IF(L21&gt;0,L21,0)</f>
        <v>26.9093319889085</v>
      </c>
      <c r="K21" s="113" t="n">
        <f aca="false">I21+J21</f>
        <v>1236.94933198891</v>
      </c>
      <c r="L21" s="113" t="n">
        <f aca="false">F21-(I21-AA21)</f>
        <v>26.9093319889085</v>
      </c>
      <c r="M21" s="186" t="n">
        <v>50</v>
      </c>
      <c r="N21" s="113" t="n">
        <v>0.5</v>
      </c>
      <c r="O21" s="113" t="n">
        <v>0</v>
      </c>
      <c r="P21" s="117" t="n">
        <v>2.29</v>
      </c>
      <c r="Q21" s="253" t="n">
        <v>4.2</v>
      </c>
      <c r="R21" s="234" t="n">
        <v>4.21</v>
      </c>
      <c r="S21" s="183" t="n">
        <v>223</v>
      </c>
      <c r="T21" s="183" t="n">
        <v>41</v>
      </c>
      <c r="U21" s="113" t="n">
        <f aca="false">M21-N21-O21-P21-Q21-R21+S21+T21</f>
        <v>302.8</v>
      </c>
      <c r="V21" s="114" t="n">
        <f aca="false">V20-(AI21/1.9835)</f>
        <v>846.498772772273</v>
      </c>
      <c r="W21" s="114"/>
      <c r="X21" s="113" t="n">
        <v>0</v>
      </c>
      <c r="Y21" s="183" t="n">
        <v>20</v>
      </c>
      <c r="Z21" s="114" t="n">
        <f aca="false">Z20-Y21</f>
        <v>4283.49231157046</v>
      </c>
      <c r="AA21" s="6" t="n">
        <f aca="false">M21+S21+T21+X21+Y21</f>
        <v>334</v>
      </c>
      <c r="AB21" s="113" t="n">
        <f aca="false">IF(L21&lt;0,L21*-1,0)</f>
        <v>0</v>
      </c>
      <c r="AC21" s="113" t="n">
        <f aca="false">AA21+AB21</f>
        <v>334</v>
      </c>
      <c r="AD21" s="163" t="n">
        <v>0</v>
      </c>
      <c r="AE21" s="119" t="n">
        <v>63</v>
      </c>
      <c r="AF21" s="169" t="n">
        <v>45</v>
      </c>
      <c r="AG21" s="120" t="n">
        <v>117.93</v>
      </c>
      <c r="AH21" s="367" t="n">
        <v>0</v>
      </c>
      <c r="AI21" s="377" t="n">
        <f aca="false">23.5*(V20*1.9835)/E21</f>
        <v>1.35310479659657</v>
      </c>
      <c r="AJ21" s="215"/>
    </row>
    <row r="22" customFormat="false" ht="11.1" hidden="false" customHeight="true" outlineLevel="0" collapsed="false">
      <c r="A22" s="120" t="n">
        <v>11</v>
      </c>
      <c r="B22" s="170" t="n">
        <v>6867.74</v>
      </c>
      <c r="C22" s="114" t="n">
        <v>181881</v>
      </c>
      <c r="D22" s="119" t="n">
        <f aca="false">C22-C21</f>
        <v>719</v>
      </c>
      <c r="E22" s="114" t="n">
        <f aca="false">C22-151978</f>
        <v>29903</v>
      </c>
      <c r="F22" s="182" t="n">
        <f aca="false">D22/$D$2</f>
        <v>362.490547012856</v>
      </c>
      <c r="G22" s="183" t="n">
        <v>800</v>
      </c>
      <c r="H22" s="184" t="n">
        <v>0</v>
      </c>
      <c r="I22" s="113" t="n">
        <f aca="false">G22+H22</f>
        <v>800</v>
      </c>
      <c r="J22" s="185" t="n">
        <f aca="false">IF(L22&gt;0,L22,0)</f>
        <v>0</v>
      </c>
      <c r="K22" s="113" t="n">
        <f aca="false">I22+J22</f>
        <v>800</v>
      </c>
      <c r="L22" s="113" t="n">
        <f aca="false">F22-(I22-AA22)</f>
        <v>-60.509452987144</v>
      </c>
      <c r="M22" s="186" t="n">
        <v>85</v>
      </c>
      <c r="N22" s="113" t="n">
        <v>0</v>
      </c>
      <c r="O22" s="113" t="n">
        <v>0</v>
      </c>
      <c r="P22" s="117" t="n">
        <v>2.38</v>
      </c>
      <c r="Q22" s="253" t="n">
        <v>4.2</v>
      </c>
      <c r="R22" s="234" t="n">
        <v>3.39</v>
      </c>
      <c r="S22" s="183" t="n">
        <v>222</v>
      </c>
      <c r="T22" s="183" t="n">
        <v>50</v>
      </c>
      <c r="U22" s="113" t="n">
        <f aca="false">M22-N22-O22-P22-Q22-R22+S22+T22</f>
        <v>347.03</v>
      </c>
      <c r="V22" s="114" t="n">
        <f aca="false">V21-(AI22/1.9835)</f>
        <v>845.833531118922</v>
      </c>
      <c r="W22" s="114"/>
      <c r="X22" s="113" t="n">
        <v>0</v>
      </c>
      <c r="Y22" s="183" t="n">
        <v>20</v>
      </c>
      <c r="Z22" s="114" t="n">
        <f aca="false">Z21-Y22</f>
        <v>4263.49231157046</v>
      </c>
      <c r="AA22" s="6" t="n">
        <f aca="false">M22+S22+T22+X22+Y22</f>
        <v>377</v>
      </c>
      <c r="AB22" s="113" t="n">
        <f aca="false">IF(L22&lt;0,L22*-1,0)</f>
        <v>60.509452987144</v>
      </c>
      <c r="AC22" s="113" t="n">
        <f aca="false">AA22+AB22</f>
        <v>437.509452987144</v>
      </c>
      <c r="AD22" s="163" t="n">
        <v>0</v>
      </c>
      <c r="AE22" s="119" t="n">
        <v>64</v>
      </c>
      <c r="AF22" s="169" t="n">
        <v>38</v>
      </c>
      <c r="AG22" s="120" t="n">
        <v>143.7</v>
      </c>
      <c r="AH22" s="367" t="n">
        <v>0</v>
      </c>
      <c r="AI22" s="377" t="n">
        <f aca="false">23.5*(V21*1.9835)/E22</f>
        <v>1.31950681942128</v>
      </c>
      <c r="AJ22" s="215"/>
    </row>
    <row r="23" customFormat="false" ht="11.1" hidden="false" customHeight="true" outlineLevel="0" collapsed="false">
      <c r="A23" s="120" t="n">
        <v>12</v>
      </c>
      <c r="B23" s="170" t="n">
        <v>6867.96</v>
      </c>
      <c r="C23" s="114" t="n">
        <v>182447</v>
      </c>
      <c r="D23" s="119" t="n">
        <f aca="false">C23-C22</f>
        <v>566</v>
      </c>
      <c r="E23" s="114" t="n">
        <f aca="false">C23-151978</f>
        <v>30469</v>
      </c>
      <c r="F23" s="182" t="n">
        <f aca="false">D23/$D$2</f>
        <v>285.354171918326</v>
      </c>
      <c r="G23" s="183" t="n">
        <v>594</v>
      </c>
      <c r="H23" s="184" t="n">
        <v>0</v>
      </c>
      <c r="I23" s="113" t="n">
        <f aca="false">G23+H23</f>
        <v>594</v>
      </c>
      <c r="J23" s="185" t="n">
        <f aca="false">IF(L23&gt;0,L23,0)</f>
        <v>0</v>
      </c>
      <c r="K23" s="113" t="n">
        <f aca="false">I23+J23</f>
        <v>594</v>
      </c>
      <c r="L23" s="113" t="n">
        <f aca="false">F23-(I23-AA23)</f>
        <v>-130.645828081674</v>
      </c>
      <c r="M23" s="186" t="n">
        <v>83</v>
      </c>
      <c r="N23" s="113" t="n">
        <v>0</v>
      </c>
      <c r="O23" s="113" t="n">
        <v>0</v>
      </c>
      <c r="P23" s="117" t="n">
        <v>2.2</v>
      </c>
      <c r="Q23" s="253" t="n">
        <v>4.2</v>
      </c>
      <c r="R23" s="234" t="n">
        <v>3.46</v>
      </c>
      <c r="S23" s="183" t="n">
        <v>22</v>
      </c>
      <c r="T23" s="183" t="n">
        <v>53</v>
      </c>
      <c r="U23" s="113" t="n">
        <f aca="false">M23-N23-O23-P23-Q23-R23+S23+T23</f>
        <v>148.14</v>
      </c>
      <c r="V23" s="114" t="n">
        <f aca="false">V22-(AI23/1.9835)</f>
        <v>845.181160250784</v>
      </c>
      <c r="W23" s="114"/>
      <c r="X23" s="113" t="n">
        <v>0</v>
      </c>
      <c r="Y23" s="183" t="n">
        <v>20</v>
      </c>
      <c r="Z23" s="114" t="n">
        <f aca="false">Z22-Y23</f>
        <v>4243.49231157046</v>
      </c>
      <c r="AA23" s="6" t="n">
        <f aca="false">M23+S23+T23+X23+Y23</f>
        <v>178</v>
      </c>
      <c r="AB23" s="113" t="n">
        <f aca="false">IF(L23&lt;0,L23*-1,0)</f>
        <v>130.645828081674</v>
      </c>
      <c r="AC23" s="113" t="n">
        <f aca="false">AA23+AB23</f>
        <v>308.645828081674</v>
      </c>
      <c r="AD23" s="163" t="n">
        <v>0</v>
      </c>
      <c r="AE23" s="119" t="n">
        <v>71</v>
      </c>
      <c r="AF23" s="169" t="n">
        <v>41</v>
      </c>
      <c r="AG23" s="120" t="n">
        <v>0</v>
      </c>
      <c r="AH23" s="367" t="n">
        <v>0</v>
      </c>
      <c r="AI23" s="377" t="n">
        <f aca="false">23.5*(V22*1.9835)/E23</f>
        <v>1.29397761695159</v>
      </c>
      <c r="AJ23" s="215"/>
    </row>
    <row r="24" customFormat="false" ht="11.1" hidden="false" customHeight="true" outlineLevel="0" collapsed="false">
      <c r="A24" s="120" t="n">
        <v>13</v>
      </c>
      <c r="B24" s="170" t="n">
        <v>6868.24</v>
      </c>
      <c r="C24" s="114" t="n">
        <v>183176</v>
      </c>
      <c r="D24" s="119" t="n">
        <f aca="false">C24-C23</f>
        <v>729</v>
      </c>
      <c r="E24" s="114" t="n">
        <f aca="false">C24-151978</f>
        <v>31198</v>
      </c>
      <c r="F24" s="182" t="n">
        <f aca="false">D24/$D$2</f>
        <v>367.532140156289</v>
      </c>
      <c r="G24" s="183" t="n">
        <v>523</v>
      </c>
      <c r="H24" s="184" t="n">
        <v>0</v>
      </c>
      <c r="I24" s="113" t="n">
        <f aca="false">G24+H24</f>
        <v>523</v>
      </c>
      <c r="J24" s="185" t="n">
        <f aca="false">IF(L24&gt;0,L24,0)</f>
        <v>0</v>
      </c>
      <c r="K24" s="113" t="n">
        <f aca="false">I24+J24</f>
        <v>523</v>
      </c>
      <c r="L24" s="113" t="n">
        <f aca="false">F24-(I24-AA24)</f>
        <v>-10.4678598437106</v>
      </c>
      <c r="M24" s="186" t="n">
        <v>72</v>
      </c>
      <c r="N24" s="113" t="n">
        <v>0</v>
      </c>
      <c r="O24" s="113" t="n">
        <v>0</v>
      </c>
      <c r="P24" s="117" t="n">
        <v>1.86</v>
      </c>
      <c r="Q24" s="253" t="n">
        <v>4.2</v>
      </c>
      <c r="R24" s="234" t="n">
        <v>2.95</v>
      </c>
      <c r="S24" s="183" t="n">
        <v>0</v>
      </c>
      <c r="T24" s="183" t="n">
        <v>53</v>
      </c>
      <c r="U24" s="113" t="n">
        <f aca="false">M24-N24-O24-P24-Q24-R24+S24+T24</f>
        <v>115.99</v>
      </c>
      <c r="V24" s="114" t="n">
        <f aca="false">V23-(AI24/1.9835)</f>
        <v>844.544524656647</v>
      </c>
      <c r="W24" s="114"/>
      <c r="X24" s="113" t="n">
        <v>0</v>
      </c>
      <c r="Y24" s="183" t="n">
        <v>20</v>
      </c>
      <c r="Z24" s="114" t="n">
        <f aca="false">Z23-Y24</f>
        <v>4223.49231157046</v>
      </c>
      <c r="AA24" s="6" t="n">
        <f aca="false">M24+S24+T24+X24+Y24</f>
        <v>145</v>
      </c>
      <c r="AB24" s="113" t="n">
        <f aca="false">IF(L24&lt;0,L24*-1,0)</f>
        <v>10.4678598437106</v>
      </c>
      <c r="AC24" s="113" t="n">
        <f aca="false">AA24+AB24</f>
        <v>155.467859843711</v>
      </c>
      <c r="AD24" s="163" t="n">
        <v>0</v>
      </c>
      <c r="AE24" s="119" t="n">
        <v>69</v>
      </c>
      <c r="AF24" s="169" t="n">
        <v>44</v>
      </c>
      <c r="AG24" s="120" t="n">
        <v>0</v>
      </c>
      <c r="AH24" s="367" t="n">
        <v>0</v>
      </c>
      <c r="AI24" s="377" t="n">
        <f aca="false">23.5*(V23*1.9835)/E24</f>
        <v>1.2627667009712</v>
      </c>
      <c r="AJ24" s="215"/>
    </row>
    <row r="25" customFormat="false" ht="11.1" hidden="false" customHeight="true" outlineLevel="0" collapsed="false">
      <c r="A25" s="120" t="n">
        <v>14</v>
      </c>
      <c r="B25" s="170" t="n">
        <v>6868.37</v>
      </c>
      <c r="C25" s="114" t="n">
        <v>183515</v>
      </c>
      <c r="D25" s="119" t="n">
        <f aca="false">C25-C24</f>
        <v>339</v>
      </c>
      <c r="E25" s="114" t="n">
        <f aca="false">C25-151978</f>
        <v>31537</v>
      </c>
      <c r="F25" s="182" t="n">
        <f aca="false">D25/$D$2</f>
        <v>170.91000756239</v>
      </c>
      <c r="G25" s="183" t="n">
        <v>449</v>
      </c>
      <c r="H25" s="184" t="n">
        <v>0</v>
      </c>
      <c r="I25" s="113" t="n">
        <f aca="false">G25+H25</f>
        <v>449</v>
      </c>
      <c r="J25" s="185" t="n">
        <f aca="false">IF(L25&gt;0,L25,0)</f>
        <v>0</v>
      </c>
      <c r="K25" s="113" t="n">
        <f aca="false">I25+J25</f>
        <v>449</v>
      </c>
      <c r="L25" s="113" t="n">
        <f aca="false">F25-(I25-AA25)</f>
        <v>-114.08999243761</v>
      </c>
      <c r="M25" s="186" t="n">
        <v>87</v>
      </c>
      <c r="N25" s="113" t="n">
        <v>0</v>
      </c>
      <c r="O25" s="113" t="n">
        <f aca="false">10.06*1.05</f>
        <v>10.563</v>
      </c>
      <c r="P25" s="117" t="n">
        <v>2.14</v>
      </c>
      <c r="Q25" s="253" t="n">
        <v>4.2</v>
      </c>
      <c r="R25" s="234" t="n">
        <v>3.25</v>
      </c>
      <c r="S25" s="183" t="n">
        <v>0</v>
      </c>
      <c r="T25" s="183" t="n">
        <v>57</v>
      </c>
      <c r="U25" s="113" t="n">
        <f aca="false">M25-N25-O25-P25-Q25-R25+S25+T25</f>
        <v>123.847</v>
      </c>
      <c r="V25" s="114" t="n">
        <f aca="false">V24-(AI25/1.9835)</f>
        <v>843.915206829034</v>
      </c>
      <c r="W25" s="114"/>
      <c r="X25" s="113" t="n">
        <v>0</v>
      </c>
      <c r="Y25" s="183" t="n">
        <v>20</v>
      </c>
      <c r="Z25" s="114" t="n">
        <f aca="false">Z24-Y25</f>
        <v>4203.49231157046</v>
      </c>
      <c r="AA25" s="6" t="n">
        <f aca="false">M25+S25+T25+X25+Y25</f>
        <v>164</v>
      </c>
      <c r="AB25" s="113" t="n">
        <f aca="false">IF(L25&lt;0,L25*-1,0)</f>
        <v>114.08999243761</v>
      </c>
      <c r="AC25" s="113" t="n">
        <f aca="false">AA25+AB25</f>
        <v>278.08999243761</v>
      </c>
      <c r="AD25" s="163" t="n">
        <v>0</v>
      </c>
      <c r="AE25" s="119" t="n">
        <v>70</v>
      </c>
      <c r="AF25" s="169" t="n">
        <v>38</v>
      </c>
      <c r="AG25" s="120" t="n">
        <v>0</v>
      </c>
      <c r="AH25" s="367" t="n">
        <v>0</v>
      </c>
      <c r="AI25" s="377" t="n">
        <f aca="false">23.5*(V24*1.9835)/E25</f>
        <v>1.24825191107039</v>
      </c>
      <c r="AJ25" s="215"/>
    </row>
    <row r="26" customFormat="false" ht="11.1" hidden="false" customHeight="true" outlineLevel="0" collapsed="false">
      <c r="A26" s="120" t="n">
        <v>15</v>
      </c>
      <c r="B26" s="170" t="n">
        <v>6868.43</v>
      </c>
      <c r="C26" s="114" t="n">
        <v>183671</v>
      </c>
      <c r="D26" s="119" t="n">
        <f aca="false">C26-C25</f>
        <v>156</v>
      </c>
      <c r="E26" s="114" t="n">
        <f aca="false">C26-151978</f>
        <v>31693</v>
      </c>
      <c r="F26" s="182" t="n">
        <f aca="false">D26/$D$2</f>
        <v>78.6488530375599</v>
      </c>
      <c r="G26" s="183" t="n">
        <v>372</v>
      </c>
      <c r="H26" s="184" t="n">
        <v>0</v>
      </c>
      <c r="I26" s="113" t="n">
        <f aca="false">G26+H26</f>
        <v>372</v>
      </c>
      <c r="J26" s="185" t="n">
        <f aca="false">IF(L26&gt;0,L26,0)</f>
        <v>0</v>
      </c>
      <c r="K26" s="113" t="n">
        <f aca="false">I26+J26</f>
        <v>372</v>
      </c>
      <c r="L26" s="113" t="n">
        <f aca="false">F26-(I26-AA26)</f>
        <v>-82.4511469624401</v>
      </c>
      <c r="M26" s="186" t="n">
        <v>107</v>
      </c>
      <c r="N26" s="113" t="n">
        <v>0</v>
      </c>
      <c r="O26" s="113" t="n">
        <f aca="false">22.03*1.05</f>
        <v>23.1315</v>
      </c>
      <c r="P26" s="117" t="n">
        <v>2.02</v>
      </c>
      <c r="Q26" s="253" t="n">
        <v>4.2</v>
      </c>
      <c r="R26" s="234" t="n">
        <v>2.37</v>
      </c>
      <c r="S26" s="183" t="n">
        <v>0</v>
      </c>
      <c r="T26" s="183" t="n">
        <v>57</v>
      </c>
      <c r="U26" s="113" t="n">
        <f aca="false">M26-N26-O26-P26-Q26-R26+S26+T26</f>
        <v>132.2785</v>
      </c>
      <c r="V26" s="114" t="n">
        <f aca="false">V25-(AI26/1.9835)</f>
        <v>843.289453275868</v>
      </c>
      <c r="W26" s="114"/>
      <c r="X26" s="113" t="n">
        <v>26.9</v>
      </c>
      <c r="Y26" s="183" t="n">
        <v>20</v>
      </c>
      <c r="Z26" s="114" t="n">
        <f aca="false">Z25-Y26</f>
        <v>4183.49231157046</v>
      </c>
      <c r="AA26" s="6" t="n">
        <f aca="false">M26+S26+T26+X26+Y26</f>
        <v>210.9</v>
      </c>
      <c r="AB26" s="113" t="n">
        <f aca="false">IF(L26&lt;0,L26*-1,0)</f>
        <v>82.4511469624401</v>
      </c>
      <c r="AC26" s="113" t="n">
        <f aca="false">AA26+AB26</f>
        <v>293.35114696244</v>
      </c>
      <c r="AD26" s="163" t="n">
        <v>0</v>
      </c>
      <c r="AE26" s="119" t="n">
        <v>72</v>
      </c>
      <c r="AF26" s="169" t="n">
        <v>40</v>
      </c>
      <c r="AG26" s="120" t="n">
        <v>0</v>
      </c>
      <c r="AH26" s="367" t="n">
        <v>0</v>
      </c>
      <c r="AI26" s="377" t="n">
        <f aca="false">23.5*(V25*1.9835)/E26</f>
        <v>1.24118217270428</v>
      </c>
      <c r="AJ26" s="215"/>
    </row>
    <row r="27" customFormat="false" ht="11.1" hidden="false" customHeight="true" outlineLevel="0" collapsed="false">
      <c r="A27" s="120" t="n">
        <v>16</v>
      </c>
      <c r="B27" s="170" t="n">
        <v>6868.49</v>
      </c>
      <c r="C27" s="114" t="n">
        <v>183828</v>
      </c>
      <c r="D27" s="119" t="n">
        <f aca="false">C27-C26</f>
        <v>157</v>
      </c>
      <c r="E27" s="114" t="n">
        <f aca="false">C27-151978</f>
        <v>31850</v>
      </c>
      <c r="F27" s="182" t="n">
        <f aca="false">D27/$D$2</f>
        <v>79.1530123519032</v>
      </c>
      <c r="G27" s="183" t="n">
        <v>316</v>
      </c>
      <c r="H27" s="184" t="n">
        <v>0</v>
      </c>
      <c r="I27" s="113" t="n">
        <f aca="false">G27+H27</f>
        <v>316</v>
      </c>
      <c r="J27" s="185" t="n">
        <f aca="false">IF(L27&gt;0,L27,0)</f>
        <v>0</v>
      </c>
      <c r="K27" s="113" t="n">
        <f aca="false">I27+J27</f>
        <v>316</v>
      </c>
      <c r="L27" s="113" t="n">
        <f aca="false">F27-(I27-AA27)</f>
        <v>-47.4569876480968</v>
      </c>
      <c r="M27" s="186" t="n">
        <v>75</v>
      </c>
      <c r="N27" s="113" t="n">
        <v>0</v>
      </c>
      <c r="O27" s="113" t="n">
        <f aca="false">21.51*1.05</f>
        <v>22.5855</v>
      </c>
      <c r="P27" s="117" t="n">
        <v>1.98</v>
      </c>
      <c r="Q27" s="253" t="n">
        <v>4.2</v>
      </c>
      <c r="R27" s="234" t="n">
        <v>1.7</v>
      </c>
      <c r="S27" s="183" t="n">
        <v>0</v>
      </c>
      <c r="T27" s="183" t="n">
        <v>50</v>
      </c>
      <c r="U27" s="113" t="n">
        <f aca="false">M27-N27-O27-P27-Q27-R27+S27+T27</f>
        <v>94.5345</v>
      </c>
      <c r="V27" s="114" t="n">
        <f aca="false">V26-(AI27/1.9835)</f>
        <v>842.667245986952</v>
      </c>
      <c r="W27" s="114"/>
      <c r="X27" s="113" t="n">
        <v>44.39</v>
      </c>
      <c r="Y27" s="183" t="n">
        <v>20</v>
      </c>
      <c r="Z27" s="114" t="n">
        <f aca="false">Z26-Y27</f>
        <v>4163.49231157046</v>
      </c>
      <c r="AA27" s="6" t="n">
        <f aca="false">M27+S27+T27+X27+Y27</f>
        <v>189.39</v>
      </c>
      <c r="AB27" s="113" t="n">
        <f aca="false">IF(L27&lt;0,L27*-1,0)</f>
        <v>47.4569876480968</v>
      </c>
      <c r="AC27" s="113" t="n">
        <f aca="false">AA27+AB27</f>
        <v>236.846987648097</v>
      </c>
      <c r="AD27" s="163" t="n">
        <v>0</v>
      </c>
      <c r="AE27" s="119" t="n">
        <v>78</v>
      </c>
      <c r="AF27" s="169" t="n">
        <v>46</v>
      </c>
      <c r="AG27" s="120" t="n">
        <v>0</v>
      </c>
      <c r="AH27" s="367" t="n">
        <v>0</v>
      </c>
      <c r="AI27" s="377" t="n">
        <f aca="false">23.5*(V26*1.9835)/E27</f>
        <v>1.2341481575654</v>
      </c>
      <c r="AJ27" s="215"/>
    </row>
    <row r="28" customFormat="false" ht="11.1" hidden="false" customHeight="true" outlineLevel="0" collapsed="false">
      <c r="A28" s="120" t="n">
        <v>17</v>
      </c>
      <c r="B28" s="170" t="n">
        <v>6868.56</v>
      </c>
      <c r="C28" s="114" t="n">
        <v>184011</v>
      </c>
      <c r="D28" s="119" t="n">
        <f aca="false">C28-C27</f>
        <v>183</v>
      </c>
      <c r="E28" s="114" t="n">
        <f aca="false">C28-151978</f>
        <v>32033</v>
      </c>
      <c r="F28" s="182" t="n">
        <f aca="false">D28/$D$2</f>
        <v>92.2611545248298</v>
      </c>
      <c r="G28" s="183" t="n">
        <v>270</v>
      </c>
      <c r="H28" s="184" t="n">
        <v>0</v>
      </c>
      <c r="I28" s="113" t="n">
        <f aca="false">G28+H28</f>
        <v>270</v>
      </c>
      <c r="J28" s="185" t="n">
        <f aca="false">IF(L28&gt;0,L28,0)</f>
        <v>0</v>
      </c>
      <c r="K28" s="113" t="n">
        <f aca="false">I28+J28</f>
        <v>270</v>
      </c>
      <c r="L28" s="113" t="n">
        <f aca="false">F28-(I28-AA28)</f>
        <v>-30.8388454751701</v>
      </c>
      <c r="M28" s="186" t="n">
        <v>67</v>
      </c>
      <c r="N28" s="113" t="n">
        <v>0.5</v>
      </c>
      <c r="O28" s="113" t="n">
        <f aca="false">31.57*1.05</f>
        <v>33.1485</v>
      </c>
      <c r="P28" s="117" t="n">
        <v>1.73</v>
      </c>
      <c r="Q28" s="253" t="n">
        <v>4.2</v>
      </c>
      <c r="R28" s="234" t="n">
        <v>1.9</v>
      </c>
      <c r="S28" s="183" t="n">
        <v>0</v>
      </c>
      <c r="T28" s="183" t="n">
        <v>45</v>
      </c>
      <c r="U28" s="113" t="n">
        <f aca="false">M28-N28-O28-P28-Q28-R28+S28+T28</f>
        <v>70.5215</v>
      </c>
      <c r="V28" s="114" t="n">
        <f aca="false">V27-(AI28/1.9835)</f>
        <v>842.100785616999</v>
      </c>
      <c r="W28" s="114"/>
      <c r="X28" s="113" t="n">
        <v>14.9</v>
      </c>
      <c r="Y28" s="183" t="n">
        <v>20</v>
      </c>
      <c r="Z28" s="114" t="n">
        <f aca="false">Z27-Y28</f>
        <v>4143.49231157046</v>
      </c>
      <c r="AA28" s="6" t="n">
        <f aca="false">M28+S28+T28+X28+Y28</f>
        <v>146.9</v>
      </c>
      <c r="AB28" s="113" t="n">
        <f aca="false">IF(L28&lt;0,L28*-1,0)</f>
        <v>30.8388454751701</v>
      </c>
      <c r="AC28" s="113" t="n">
        <f aca="false">AA28+AB28</f>
        <v>177.73884547517</v>
      </c>
      <c r="AD28" s="163" t="n">
        <v>0</v>
      </c>
      <c r="AE28" s="119" t="n">
        <v>77</v>
      </c>
      <c r="AF28" s="169" t="n">
        <v>48</v>
      </c>
      <c r="AG28" s="120" t="n">
        <v>0</v>
      </c>
      <c r="AH28" s="367" t="n">
        <v>0</v>
      </c>
      <c r="AI28" s="377" t="n">
        <f aca="false">23.5*(V27*1.9835-U28*1.9835)/E28</f>
        <v>1.12357414380109</v>
      </c>
      <c r="AJ28" s="215"/>
    </row>
    <row r="29" customFormat="false" ht="11.1" hidden="false" customHeight="true" outlineLevel="0" collapsed="false">
      <c r="A29" s="120" t="n">
        <v>18</v>
      </c>
      <c r="B29" s="170" t="n">
        <v>6868.54</v>
      </c>
      <c r="C29" s="114" t="n">
        <v>183958</v>
      </c>
      <c r="D29" s="119" t="n">
        <f aca="false">C29-C28</f>
        <v>-53</v>
      </c>
      <c r="E29" s="114" t="n">
        <f aca="false">C29-151978</f>
        <v>31980</v>
      </c>
      <c r="F29" s="182" t="n">
        <f aca="false">D29/$D$2</f>
        <v>-26.7204436601966</v>
      </c>
      <c r="G29" s="183" t="n">
        <v>236</v>
      </c>
      <c r="H29" s="184" t="n">
        <v>0</v>
      </c>
      <c r="I29" s="113" t="n">
        <f aca="false">G29+H29</f>
        <v>236</v>
      </c>
      <c r="J29" s="185" t="n">
        <f aca="false">IF(L29&gt;0,L29,0)</f>
        <v>0</v>
      </c>
      <c r="K29" s="113" t="n">
        <f aca="false">I29+J29</f>
        <v>236</v>
      </c>
      <c r="L29" s="113" t="n">
        <f aca="false">F29-(I29-AA29)</f>
        <v>-46.3804436601966</v>
      </c>
      <c r="M29" s="186" t="n">
        <v>98</v>
      </c>
      <c r="N29" s="113" t="n">
        <v>0</v>
      </c>
      <c r="O29" s="113" t="n">
        <f aca="false">34.09*1.05</f>
        <v>35.7945</v>
      </c>
      <c r="P29" s="117" t="n">
        <v>2.08</v>
      </c>
      <c r="Q29" s="253" t="n">
        <v>4.2</v>
      </c>
      <c r="R29" s="234" t="n">
        <v>2.62</v>
      </c>
      <c r="S29" s="183" t="n">
        <v>47</v>
      </c>
      <c r="T29" s="183" t="n">
        <v>48</v>
      </c>
      <c r="U29" s="113" t="n">
        <f aca="false">M29-N29-O29-P29-Q29-R29+S29+T29</f>
        <v>148.3055</v>
      </c>
      <c r="V29" s="114" t="n">
        <f aca="false">V28-(AI29/1.9835)</f>
        <v>841.590961063779</v>
      </c>
      <c r="W29" s="114"/>
      <c r="X29" s="113" t="n">
        <v>3.34</v>
      </c>
      <c r="Y29" s="183" t="n">
        <v>20</v>
      </c>
      <c r="Z29" s="114" t="n">
        <f aca="false">Z28-Y29</f>
        <v>4123.49231157046</v>
      </c>
      <c r="AA29" s="6" t="n">
        <f aca="false">M29+S29+T29+X29+Y29</f>
        <v>216.34</v>
      </c>
      <c r="AB29" s="113" t="n">
        <f aca="false">IF(L29&lt;0,L29*-1,0)</f>
        <v>46.3804436601966</v>
      </c>
      <c r="AC29" s="113" t="n">
        <f aca="false">AA29+AB29</f>
        <v>262.720443660197</v>
      </c>
      <c r="AD29" s="163" t="n">
        <v>0</v>
      </c>
      <c r="AE29" s="119" t="n">
        <v>74</v>
      </c>
      <c r="AF29" s="169" t="n">
        <v>39</v>
      </c>
      <c r="AG29" s="120" t="n">
        <v>0</v>
      </c>
      <c r="AH29" s="367" t="n">
        <v>0</v>
      </c>
      <c r="AI29" s="377" t="n">
        <f aca="false">23.5*(V28*1.9835-U29*1.9835)/E29</f>
        <v>1.01123700131335</v>
      </c>
      <c r="AJ29" s="215"/>
    </row>
    <row r="30" customFormat="false" ht="11.1" hidden="false" customHeight="true" outlineLevel="0" collapsed="false">
      <c r="A30" s="120" t="n">
        <v>19</v>
      </c>
      <c r="B30" s="170" t="n">
        <v>6868.44</v>
      </c>
      <c r="C30" s="114" t="n">
        <v>183698</v>
      </c>
      <c r="D30" s="119" t="n">
        <f aca="false">C30-C29</f>
        <v>-260</v>
      </c>
      <c r="E30" s="114" t="n">
        <f aca="false">C30-151978</f>
        <v>31720</v>
      </c>
      <c r="F30" s="182" t="n">
        <f aca="false">D30/$D$2</f>
        <v>-131.081421729266</v>
      </c>
      <c r="G30" s="183" t="n">
        <v>209</v>
      </c>
      <c r="H30" s="184" t="n">
        <v>0</v>
      </c>
      <c r="I30" s="113" t="n">
        <f aca="false">G30+H30</f>
        <v>209</v>
      </c>
      <c r="J30" s="185" t="n">
        <f aca="false">IF(L30&gt;0,L30,0)</f>
        <v>0</v>
      </c>
      <c r="K30" s="113" t="n">
        <f aca="false">I30+J30</f>
        <v>209</v>
      </c>
      <c r="L30" s="113" t="n">
        <f aca="false">F30-(I30-AA30)</f>
        <v>-53.2914217292664</v>
      </c>
      <c r="M30" s="186" t="n">
        <v>125</v>
      </c>
      <c r="N30" s="113" t="n">
        <v>0</v>
      </c>
      <c r="O30" s="113" t="n">
        <f aca="false">41.39*1.05</f>
        <v>43.4595</v>
      </c>
      <c r="P30" s="117" t="n">
        <v>2.18</v>
      </c>
      <c r="Q30" s="253" t="n">
        <v>4.2</v>
      </c>
      <c r="R30" s="234" t="n">
        <v>4.31</v>
      </c>
      <c r="S30" s="183" t="n">
        <v>63</v>
      </c>
      <c r="T30" s="183" t="n">
        <v>48</v>
      </c>
      <c r="U30" s="113" t="n">
        <f aca="false">M30-N30-O30-P30-Q30-R30+S30+T30</f>
        <v>181.8505</v>
      </c>
      <c r="V30" s="114" t="n">
        <f aca="false">V29-(AI30/1.9835)</f>
        <v>841.102187393066</v>
      </c>
      <c r="W30" s="114"/>
      <c r="X30" s="113" t="n">
        <v>29.79</v>
      </c>
      <c r="Y30" s="183" t="n">
        <v>21</v>
      </c>
      <c r="Z30" s="114" t="n">
        <f aca="false">Z29-Y30</f>
        <v>4102.49231157046</v>
      </c>
      <c r="AA30" s="6" t="n">
        <f aca="false">M30+S30+T30+X30+Y30</f>
        <v>286.79</v>
      </c>
      <c r="AB30" s="113" t="n">
        <f aca="false">IF(L30&lt;0,L30*-1,0)</f>
        <v>53.2914217292664</v>
      </c>
      <c r="AC30" s="113" t="n">
        <f aca="false">AA30+AB30</f>
        <v>340.081421729266</v>
      </c>
      <c r="AD30" s="163" t="n">
        <v>0</v>
      </c>
      <c r="AE30" s="119" t="n">
        <v>71</v>
      </c>
      <c r="AF30" s="169" t="n">
        <v>36</v>
      </c>
      <c r="AG30" s="120" t="n">
        <v>0</v>
      </c>
      <c r="AH30" s="367" t="n">
        <v>0</v>
      </c>
      <c r="AI30" s="377" t="n">
        <f aca="false">23.5*(V29*1.9835-U30*1.9835)/E30</f>
        <v>0.969482575858137</v>
      </c>
      <c r="AJ30" s="215"/>
    </row>
    <row r="31" customFormat="false" ht="11.1" hidden="false" customHeight="true" outlineLevel="0" collapsed="false">
      <c r="A31" s="120" t="n">
        <v>20</v>
      </c>
      <c r="B31" s="170" t="n">
        <v>6868.36</v>
      </c>
      <c r="C31" s="114" t="n">
        <v>183489</v>
      </c>
      <c r="D31" s="119" t="n">
        <f aca="false">C31-C30</f>
        <v>-209</v>
      </c>
      <c r="E31" s="114" t="n">
        <f aca="false">C31-151978</f>
        <v>31511</v>
      </c>
      <c r="F31" s="182" t="n">
        <f aca="false">D31/$D$2</f>
        <v>-105.369296697756</v>
      </c>
      <c r="G31" s="183" t="n">
        <v>186</v>
      </c>
      <c r="H31" s="184" t="n">
        <v>0</v>
      </c>
      <c r="I31" s="113" t="n">
        <f aca="false">G31+H31</f>
        <v>186</v>
      </c>
      <c r="J31" s="185" t="n">
        <f aca="false">IF(L31&gt;0,L31,0)</f>
        <v>0</v>
      </c>
      <c r="K31" s="113" t="n">
        <f aca="false">I31+J31</f>
        <v>186</v>
      </c>
      <c r="L31" s="113" t="n">
        <f aca="false">F31-(I31-AA31)</f>
        <v>-10.3592966977565</v>
      </c>
      <c r="M31" s="186" t="n">
        <v>124</v>
      </c>
      <c r="N31" s="113" t="n">
        <v>0</v>
      </c>
      <c r="O31" s="113" t="n">
        <f aca="false">43.05*1.05</f>
        <v>45.2025</v>
      </c>
      <c r="P31" s="117" t="n">
        <v>2.08</v>
      </c>
      <c r="Q31" s="253" t="n">
        <v>4.2</v>
      </c>
      <c r="R31" s="234" t="n">
        <v>5.36</v>
      </c>
      <c r="S31" s="183" t="n">
        <v>66</v>
      </c>
      <c r="T31" s="183" t="n">
        <v>47</v>
      </c>
      <c r="U31" s="113" t="n">
        <f aca="false">M31-N31-O31-P31-Q31-R31+S31+T31</f>
        <v>180.1575</v>
      </c>
      <c r="V31" s="114" t="n">
        <f aca="false">V30-(AI31/1.9835)</f>
        <v>840.609273802455</v>
      </c>
      <c r="W31" s="114"/>
      <c r="X31" s="113" t="n">
        <v>23.01</v>
      </c>
      <c r="Y31" s="183" t="n">
        <v>21</v>
      </c>
      <c r="Z31" s="114" t="n">
        <f aca="false">Z30-Y31</f>
        <v>4081.49231157046</v>
      </c>
      <c r="AA31" s="6" t="n">
        <f aca="false">M31+S31+T31+X31+Y31</f>
        <v>281.01</v>
      </c>
      <c r="AB31" s="113" t="n">
        <f aca="false">IF(L31&lt;0,L31*-1,0)</f>
        <v>10.3592966977565</v>
      </c>
      <c r="AC31" s="113" t="n">
        <f aca="false">AA31+AB31</f>
        <v>291.369296697756</v>
      </c>
      <c r="AD31" s="163" t="n">
        <v>0</v>
      </c>
      <c r="AE31" s="119" t="n">
        <v>75</v>
      </c>
      <c r="AF31" s="169" t="n">
        <v>42</v>
      </c>
      <c r="AG31" s="120" t="n">
        <v>0</v>
      </c>
      <c r="AH31" s="367" t="n">
        <v>0</v>
      </c>
      <c r="AI31" s="377" t="n">
        <f aca="false">23.5*(V30*1.9835-U31*1.9835)/E31</f>
        <v>0.97769410697653</v>
      </c>
      <c r="AJ31" s="215"/>
    </row>
    <row r="32" customFormat="false" ht="11.1" hidden="false" customHeight="true" outlineLevel="0" collapsed="false">
      <c r="A32" s="120" t="n">
        <v>21</v>
      </c>
      <c r="B32" s="170" t="n">
        <v>6868.22</v>
      </c>
      <c r="C32" s="114" t="n">
        <v>183124</v>
      </c>
      <c r="D32" s="119" t="n">
        <f aca="false">C32-C31</f>
        <v>-365</v>
      </c>
      <c r="E32" s="114" t="n">
        <f aca="false">C32-151978</f>
        <v>31146</v>
      </c>
      <c r="F32" s="182" t="n">
        <f aca="false">D32/$D$2</f>
        <v>-184.018149735316</v>
      </c>
      <c r="G32" s="183" t="n">
        <v>169</v>
      </c>
      <c r="H32" s="184" t="n">
        <v>0</v>
      </c>
      <c r="I32" s="113" t="n">
        <f aca="false">G32+H32</f>
        <v>169</v>
      </c>
      <c r="J32" s="185" t="n">
        <f aca="false">IF(L32&gt;0,L32,0)</f>
        <v>0</v>
      </c>
      <c r="K32" s="113" t="n">
        <f aca="false">I32+J32</f>
        <v>169</v>
      </c>
      <c r="L32" s="113" t="n">
        <f aca="false">F32-(I32-AA32)</f>
        <v>-72.8381497353163</v>
      </c>
      <c r="M32" s="186" t="n">
        <v>133</v>
      </c>
      <c r="N32" s="113" t="n">
        <v>0</v>
      </c>
      <c r="O32" s="113" t="n">
        <f aca="false">48.02*1.05</f>
        <v>50.421</v>
      </c>
      <c r="P32" s="117" t="n">
        <v>2.05</v>
      </c>
      <c r="Q32" s="253" t="n">
        <v>4.2</v>
      </c>
      <c r="R32" s="234" t="n">
        <v>5.38</v>
      </c>
      <c r="S32" s="183" t="n">
        <v>71</v>
      </c>
      <c r="T32" s="183" t="n">
        <v>46</v>
      </c>
      <c r="U32" s="113" t="n">
        <f aca="false">M32-N32-O32-P32-Q32-R32+S32+T32</f>
        <v>187.949</v>
      </c>
      <c r="V32" s="114" t="n">
        <f aca="false">V31+AH32-(AI32/1.9835)</f>
        <v>814.917834438352</v>
      </c>
      <c r="W32" s="114"/>
      <c r="X32" s="113" t="n">
        <v>9.18</v>
      </c>
      <c r="Y32" s="183" t="n">
        <v>21</v>
      </c>
      <c r="Z32" s="114" t="n">
        <f aca="false">Z31-Y32</f>
        <v>4060.49231157046</v>
      </c>
      <c r="AA32" s="6" t="n">
        <f aca="false">M32+S32+T32+X32+Y32</f>
        <v>280.18</v>
      </c>
      <c r="AB32" s="113" t="n">
        <f aca="false">IF(L32&lt;0,L32*-1,0)</f>
        <v>72.8381497353163</v>
      </c>
      <c r="AC32" s="113" t="n">
        <f aca="false">AA32+AB32</f>
        <v>353.018149735316</v>
      </c>
      <c r="AD32" s="163" t="n">
        <v>0</v>
      </c>
      <c r="AE32" s="119" t="n">
        <v>75</v>
      </c>
      <c r="AF32" s="169" t="n">
        <v>41</v>
      </c>
      <c r="AG32" s="120" t="n">
        <v>0</v>
      </c>
      <c r="AH32" s="367" t="n">
        <f aca="false">(I32-P32-Q32)-(U32)</f>
        <v>-25.199</v>
      </c>
      <c r="AI32" s="377" t="n">
        <f aca="false">23.5*(V31*1.9835-U32*1.9835)/E32</f>
        <v>0.976753478698661</v>
      </c>
      <c r="AJ32" s="215"/>
    </row>
    <row r="33" customFormat="false" ht="11.1" hidden="false" customHeight="true" outlineLevel="0" collapsed="false">
      <c r="A33" s="120" t="n">
        <v>22</v>
      </c>
      <c r="B33" s="170" t="n">
        <v>6868.13</v>
      </c>
      <c r="C33" s="114" t="n">
        <v>182889</v>
      </c>
      <c r="D33" s="119" t="n">
        <f aca="false">C33-C32</f>
        <v>-235</v>
      </c>
      <c r="E33" s="114" t="n">
        <f aca="false">C33-151978</f>
        <v>30911</v>
      </c>
      <c r="F33" s="182" t="n">
        <f aca="false">D33/$D$2</f>
        <v>-118.477438870683</v>
      </c>
      <c r="G33" s="183" t="n">
        <v>155</v>
      </c>
      <c r="H33" s="184" t="n">
        <v>0</v>
      </c>
      <c r="I33" s="113" t="n">
        <f aca="false">G33+H33</f>
        <v>155</v>
      </c>
      <c r="J33" s="185" t="n">
        <f aca="false">IF(L33&gt;0,L33,0)</f>
        <v>0.722561129316858</v>
      </c>
      <c r="K33" s="113" t="n">
        <f aca="false">I33+J33</f>
        <v>155.722561129317</v>
      </c>
      <c r="L33" s="113" t="n">
        <f aca="false">F33-(I33-AA33)</f>
        <v>0.722561129316858</v>
      </c>
      <c r="M33" s="186" t="n">
        <v>126</v>
      </c>
      <c r="N33" s="113" t="n">
        <v>0</v>
      </c>
      <c r="O33" s="113" t="n">
        <f aca="false">43.66*1.05</f>
        <v>45.843</v>
      </c>
      <c r="P33" s="117" t="n">
        <v>2.1</v>
      </c>
      <c r="Q33" s="253" t="n">
        <v>4.2</v>
      </c>
      <c r="R33" s="234" t="n">
        <v>5.51</v>
      </c>
      <c r="S33" s="183" t="n">
        <v>71</v>
      </c>
      <c r="T33" s="183" t="n">
        <v>46</v>
      </c>
      <c r="U33" s="113" t="n">
        <f aca="false">M33-N33-O33-P33-Q33-R33+S33+T33</f>
        <v>185.347</v>
      </c>
      <c r="V33" s="114" t="n">
        <f aca="false">V32+AH33-(AI33/1.9835)</f>
        <v>777.792204998693</v>
      </c>
      <c r="W33" s="114"/>
      <c r="X33" s="113" t="n">
        <v>10.2</v>
      </c>
      <c r="Y33" s="183" t="n">
        <v>21</v>
      </c>
      <c r="Z33" s="114" t="n">
        <f aca="false">Z32-Y33</f>
        <v>4039.49231157046</v>
      </c>
      <c r="AA33" s="6" t="n">
        <f aca="false">M33+S33+T33+X33+Y33</f>
        <v>274.2</v>
      </c>
      <c r="AB33" s="113" t="n">
        <f aca="false">IF(L33&lt;0,L33*-1,0)</f>
        <v>0</v>
      </c>
      <c r="AC33" s="113" t="n">
        <f aca="false">AA33+AB33</f>
        <v>274.2</v>
      </c>
      <c r="AD33" s="163" t="n">
        <v>0</v>
      </c>
      <c r="AE33" s="119" t="n">
        <v>78</v>
      </c>
      <c r="AF33" s="169" t="n">
        <v>42</v>
      </c>
      <c r="AG33" s="120" t="n">
        <v>0</v>
      </c>
      <c r="AH33" s="367" t="n">
        <f aca="false">(I33-P33-Q33)-(U33)</f>
        <v>-36.647</v>
      </c>
      <c r="AI33" s="377" t="n">
        <f aca="false">23.5*(V32*1.9835-U33*1.9835)/E33</f>
        <v>0.94936149356375</v>
      </c>
      <c r="AJ33" s="215"/>
    </row>
    <row r="34" customFormat="false" ht="11.1" hidden="false" customHeight="true" outlineLevel="0" collapsed="false">
      <c r="A34" s="120" t="n">
        <v>23</v>
      </c>
      <c r="B34" s="170" t="n">
        <v>6867.99</v>
      </c>
      <c r="C34" s="114" t="n">
        <v>182524</v>
      </c>
      <c r="D34" s="119" t="n">
        <f aca="false">C34-C33</f>
        <v>-365</v>
      </c>
      <c r="E34" s="114" t="n">
        <f aca="false">C34-151978</f>
        <v>30546</v>
      </c>
      <c r="F34" s="182" t="n">
        <f aca="false">D34/$D$2</f>
        <v>-184.018149735316</v>
      </c>
      <c r="G34" s="183" t="n">
        <v>139</v>
      </c>
      <c r="H34" s="184" t="n">
        <v>0</v>
      </c>
      <c r="I34" s="113" t="n">
        <f aca="false">G34+H34</f>
        <v>139</v>
      </c>
      <c r="J34" s="185" t="n">
        <f aca="false">IF(L34&gt;0,L34,0)</f>
        <v>0</v>
      </c>
      <c r="K34" s="113" t="n">
        <f aca="false">I34+J34</f>
        <v>139</v>
      </c>
      <c r="L34" s="113" t="n">
        <f aca="false">F34-(I34-AA34)</f>
        <v>-44.3181497353164</v>
      </c>
      <c r="M34" s="186" t="n">
        <v>126</v>
      </c>
      <c r="N34" s="113" t="n">
        <v>0</v>
      </c>
      <c r="O34" s="113" t="n">
        <f aca="false">38.63*1.05</f>
        <v>40.5615</v>
      </c>
      <c r="P34" s="117" t="n">
        <v>2</v>
      </c>
      <c r="Q34" s="253" t="n">
        <v>4.2</v>
      </c>
      <c r="R34" s="234" t="n">
        <v>5.49</v>
      </c>
      <c r="S34" s="183" t="n">
        <v>76</v>
      </c>
      <c r="T34" s="183" t="n">
        <v>45</v>
      </c>
      <c r="U34" s="113" t="n">
        <f aca="false">M34-N34-O34-P34-Q34-R34+S34+T34</f>
        <v>194.7485</v>
      </c>
      <c r="V34" s="114" t="n">
        <f aca="false">V33+AH34-(AI34/1.9835)</f>
        <v>715.395151110542</v>
      </c>
      <c r="W34" s="114"/>
      <c r="X34" s="113" t="n">
        <v>11.7</v>
      </c>
      <c r="Y34" s="183" t="n">
        <v>20</v>
      </c>
      <c r="Z34" s="114" t="n">
        <f aca="false">Z33-Y34</f>
        <v>4019.49231157046</v>
      </c>
      <c r="AA34" s="6" t="n">
        <f aca="false">M34+S34+T34+X34+Y34</f>
        <v>278.7</v>
      </c>
      <c r="AB34" s="113" t="n">
        <f aca="false">IF(L34&lt;0,L34*-1,0)</f>
        <v>44.3181497353164</v>
      </c>
      <c r="AC34" s="113" t="n">
        <f aca="false">AA34+AB34</f>
        <v>323.018149735316</v>
      </c>
      <c r="AD34" s="163" t="n">
        <v>0</v>
      </c>
      <c r="AE34" s="119" t="n">
        <v>79</v>
      </c>
      <c r="AF34" s="169" t="n">
        <v>45</v>
      </c>
      <c r="AG34" s="120" t="n">
        <v>0</v>
      </c>
      <c r="AH34" s="367" t="n">
        <f aca="false">(I34-P34-Q34)-(U34)</f>
        <v>-61.9485</v>
      </c>
      <c r="AI34" s="377" t="n">
        <f aca="false">23.5*(V33*1.9835-U34*1.9835)/E34</f>
        <v>0.889706637148083</v>
      </c>
      <c r="AJ34" s="215"/>
    </row>
    <row r="35" customFormat="false" ht="11.1" hidden="false" customHeight="true" outlineLevel="0" collapsed="false">
      <c r="A35" s="120" t="n">
        <v>24</v>
      </c>
      <c r="B35" s="170" t="n">
        <v>6867.81</v>
      </c>
      <c r="C35" s="114" t="n">
        <v>182061</v>
      </c>
      <c r="D35" s="119" t="n">
        <f aca="false">C35-C34</f>
        <v>-463</v>
      </c>
      <c r="E35" s="114" t="n">
        <f aca="false">C35-151978</f>
        <v>30083</v>
      </c>
      <c r="F35" s="182" t="n">
        <f aca="false">D35/$D$2</f>
        <v>-233.425762540963</v>
      </c>
      <c r="G35" s="183" t="n">
        <v>129</v>
      </c>
      <c r="H35" s="184" t="n">
        <v>0</v>
      </c>
      <c r="I35" s="113" t="n">
        <f aca="false">G35+H35</f>
        <v>129</v>
      </c>
      <c r="J35" s="185" t="n">
        <f aca="false">IF(L35&gt;0,L35,0)</f>
        <v>0</v>
      </c>
      <c r="K35" s="113" t="n">
        <f aca="false">I35+J35</f>
        <v>129</v>
      </c>
      <c r="L35" s="113" t="n">
        <f aca="false">F35-(I35-AA35)</f>
        <v>-35.7657625409629</v>
      </c>
      <c r="M35" s="186" t="n">
        <v>151</v>
      </c>
      <c r="N35" s="113" t="n">
        <v>2</v>
      </c>
      <c r="O35" s="113" t="n">
        <f aca="false">53.32*1.05</f>
        <v>55.986</v>
      </c>
      <c r="P35" s="117" t="n">
        <v>1.95</v>
      </c>
      <c r="Q35" s="253" t="n">
        <v>4.2</v>
      </c>
      <c r="R35" s="234" t="n">
        <v>5.17</v>
      </c>
      <c r="S35" s="183" t="n">
        <v>85</v>
      </c>
      <c r="T35" s="183" t="n">
        <v>48</v>
      </c>
      <c r="U35" s="113" t="n">
        <f aca="false">M35-N35-O35-P35-Q35-R35+S35+T35</f>
        <v>214.694</v>
      </c>
      <c r="V35" s="114" t="n">
        <f aca="false">V34+AH35-(AI35/1.9835)</f>
        <v>623.160017345588</v>
      </c>
      <c r="W35" s="114"/>
      <c r="X35" s="113" t="n">
        <v>22.66</v>
      </c>
      <c r="Y35" s="183" t="n">
        <v>20</v>
      </c>
      <c r="Z35" s="114" t="n">
        <f aca="false">Z34-Y35</f>
        <v>3999.49231157046</v>
      </c>
      <c r="AA35" s="6" t="n">
        <f aca="false">M35+S35+T35+X35+Y35</f>
        <v>326.66</v>
      </c>
      <c r="AB35" s="113" t="n">
        <f aca="false">IF(L35&lt;0,L35*-1,0)</f>
        <v>35.7657625409629</v>
      </c>
      <c r="AC35" s="113" t="n">
        <f aca="false">AA35+AB35</f>
        <v>362.425762540963</v>
      </c>
      <c r="AD35" s="163" t="n">
        <v>0</v>
      </c>
      <c r="AE35" s="119" t="n">
        <v>80</v>
      </c>
      <c r="AF35" s="169" t="n">
        <v>45</v>
      </c>
      <c r="AG35" s="120" t="n">
        <v>0</v>
      </c>
      <c r="AH35" s="367" t="n">
        <f aca="false">(I35-P35-Q35)-(U35)</f>
        <v>-91.844</v>
      </c>
      <c r="AI35" s="377" t="n">
        <f aca="false">23.5*(V34*1.9835-U35*1.9835)/E35</f>
        <v>0.775813822785372</v>
      </c>
      <c r="AJ35" s="215"/>
    </row>
    <row r="36" customFormat="false" ht="11.1" hidden="false" customHeight="true" outlineLevel="0" collapsed="false">
      <c r="A36" s="120" t="n">
        <v>25</v>
      </c>
      <c r="B36" s="170" t="n">
        <v>6867.63</v>
      </c>
      <c r="C36" s="114" t="n">
        <v>181599</v>
      </c>
      <c r="D36" s="119" t="n">
        <f aca="false">C36-C35</f>
        <v>-462</v>
      </c>
      <c r="E36" s="114" t="n">
        <f aca="false">C36-151978</f>
        <v>29621</v>
      </c>
      <c r="F36" s="182" t="n">
        <f aca="false">D36/$D$2</f>
        <v>-232.92160322662</v>
      </c>
      <c r="G36" s="183" t="n">
        <v>119</v>
      </c>
      <c r="H36" s="184" t="n">
        <v>0</v>
      </c>
      <c r="I36" s="113" t="n">
        <f aca="false">G36+H36</f>
        <v>119</v>
      </c>
      <c r="J36" s="185" t="n">
        <f aca="false">IF(L36&gt;0,L36,0)</f>
        <v>16.1883967733804</v>
      </c>
      <c r="K36" s="113" t="n">
        <f aca="false">I36+J36</f>
        <v>135.18839677338</v>
      </c>
      <c r="L36" s="113" t="n">
        <f aca="false">F36-(I36-AA36)</f>
        <v>16.1883967733804</v>
      </c>
      <c r="M36" s="186" t="n">
        <v>170</v>
      </c>
      <c r="N36" s="113" t="n">
        <v>0</v>
      </c>
      <c r="O36" s="113" t="n">
        <f aca="false">65.49*1.05</f>
        <v>68.7645</v>
      </c>
      <c r="P36" s="117" t="n">
        <v>2.06</v>
      </c>
      <c r="Q36" s="253" t="n">
        <v>4.2</v>
      </c>
      <c r="R36" s="234" t="n">
        <v>4.64</v>
      </c>
      <c r="S36" s="183" t="n">
        <v>90</v>
      </c>
      <c r="T36" s="183" t="n">
        <v>50</v>
      </c>
      <c r="U36" s="113" t="n">
        <f aca="false">M36-N36-O36-P36-Q36-R36+S36+T36</f>
        <v>230.3355</v>
      </c>
      <c r="V36" s="114" t="n">
        <f aca="false">V35+AH36-(AI36/1.9835)</f>
        <v>505.252867632289</v>
      </c>
      <c r="W36" s="114"/>
      <c r="X36" s="113" t="n">
        <v>37.11</v>
      </c>
      <c r="Y36" s="183" t="n">
        <v>21</v>
      </c>
      <c r="Z36" s="114" t="n">
        <f aca="false">Z35-Y36</f>
        <v>3978.49231157046</v>
      </c>
      <c r="AA36" s="6" t="n">
        <f aca="false">M36+S36+T36+X36+Y36</f>
        <v>368.11</v>
      </c>
      <c r="AB36" s="113" t="n">
        <f aca="false">IF(L36&lt;0,L36*-1,0)</f>
        <v>0</v>
      </c>
      <c r="AC36" s="113" t="n">
        <f aca="false">AA36+AB36</f>
        <v>368.11</v>
      </c>
      <c r="AD36" s="163" t="n">
        <v>0</v>
      </c>
      <c r="AE36" s="119" t="n">
        <v>81</v>
      </c>
      <c r="AF36" s="169" t="n">
        <v>47</v>
      </c>
      <c r="AG36" s="120" t="n">
        <v>0</v>
      </c>
      <c r="AH36" s="367" t="n">
        <f aca="false">(I36-P36-Q36)-(U36)</f>
        <v>-117.5955</v>
      </c>
      <c r="AI36" s="377" t="n">
        <f aca="false">23.5*(V35*1.9835-U36*1.9835)/E36</f>
        <v>0.618157206328007</v>
      </c>
      <c r="AJ36" s="215"/>
    </row>
    <row r="37" customFormat="false" ht="11.1" hidden="false" customHeight="true" outlineLevel="0" collapsed="false">
      <c r="A37" s="120" t="n">
        <v>26</v>
      </c>
      <c r="B37" s="170" t="n">
        <v>6867.41</v>
      </c>
      <c r="C37" s="114" t="n">
        <v>181033</v>
      </c>
      <c r="D37" s="119" t="n">
        <f aca="false">C37-C36</f>
        <v>-566</v>
      </c>
      <c r="E37" s="114" t="n">
        <f aca="false">C37-151978</f>
        <v>29055</v>
      </c>
      <c r="F37" s="182" t="n">
        <f aca="false">D37/$D$2</f>
        <v>-285.354171918326</v>
      </c>
      <c r="G37" s="183" t="n">
        <v>110</v>
      </c>
      <c r="H37" s="184" t="n">
        <v>0</v>
      </c>
      <c r="I37" s="113" t="n">
        <f aca="false">G37+H37</f>
        <v>110</v>
      </c>
      <c r="J37" s="185" t="n">
        <f aca="false">IF(L37&gt;0,L37,0)</f>
        <v>0</v>
      </c>
      <c r="K37" s="113" t="n">
        <f aca="false">I37+J37</f>
        <v>110</v>
      </c>
      <c r="L37" s="113" t="n">
        <f aca="false">F37-(I37-AA37)</f>
        <v>-36.7841719183262</v>
      </c>
      <c r="M37" s="186" t="n">
        <v>162</v>
      </c>
      <c r="N37" s="113" t="n">
        <v>0</v>
      </c>
      <c r="O37" s="113" t="n">
        <f aca="false">65*1.05</f>
        <v>68.25</v>
      </c>
      <c r="P37" s="117" t="n">
        <v>2.28</v>
      </c>
      <c r="Q37" s="253" t="n">
        <v>4.2</v>
      </c>
      <c r="R37" s="234" t="n">
        <v>5.39</v>
      </c>
      <c r="S37" s="183" t="n">
        <v>94</v>
      </c>
      <c r="T37" s="183" t="n">
        <v>52</v>
      </c>
      <c r="U37" s="113" t="n">
        <f aca="false">M37-N37-O37-P37-Q37-R37+S37+T37</f>
        <v>227.88</v>
      </c>
      <c r="V37" s="114" t="n">
        <f aca="false">V36+AH37-(AI37/1.9835)</f>
        <v>380.668525440262</v>
      </c>
      <c r="W37" s="114"/>
      <c r="X37" s="113" t="n">
        <v>29.57</v>
      </c>
      <c r="Y37" s="183" t="n">
        <v>21</v>
      </c>
      <c r="Z37" s="114" t="n">
        <f aca="false">Z36-Y37</f>
        <v>3957.49231157046</v>
      </c>
      <c r="AA37" s="6" t="n">
        <f aca="false">M37+S37+T37+X37+Y37</f>
        <v>358.57</v>
      </c>
      <c r="AB37" s="113" t="n">
        <f aca="false">IF(L37&lt;0,L37*-1,0)</f>
        <v>36.7841719183262</v>
      </c>
      <c r="AC37" s="113" t="n">
        <f aca="false">AA37+AB37</f>
        <v>395.354171918326</v>
      </c>
      <c r="AD37" s="163" t="n">
        <v>0</v>
      </c>
      <c r="AE37" s="119" t="n">
        <v>82</v>
      </c>
      <c r="AF37" s="169" t="n">
        <v>45</v>
      </c>
      <c r="AG37" s="120" t="n">
        <v>0</v>
      </c>
      <c r="AH37" s="367" t="n">
        <f aca="false">(I37-P37-Q37)-(U37)</f>
        <v>-124.36</v>
      </c>
      <c r="AI37" s="377" t="n">
        <f aca="false">23.5*(V36*1.9835-U37*1.9835)/E37</f>
        <v>0.444982737886532</v>
      </c>
      <c r="AJ37" s="215"/>
    </row>
    <row r="38" customFormat="false" ht="11.1" hidden="false" customHeight="true" outlineLevel="0" collapsed="false">
      <c r="A38" s="120" t="n">
        <v>27</v>
      </c>
      <c r="B38" s="170" t="n">
        <v>6867.21</v>
      </c>
      <c r="C38" s="114" t="n">
        <v>180519</v>
      </c>
      <c r="D38" s="119" t="n">
        <f aca="false">C38-C37</f>
        <v>-514</v>
      </c>
      <c r="E38" s="114" t="n">
        <f aca="false">C38-151978</f>
        <v>28541</v>
      </c>
      <c r="F38" s="182" t="n">
        <f aca="false">D38/$D$2</f>
        <v>-259.137887572473</v>
      </c>
      <c r="G38" s="183" t="n">
        <v>103</v>
      </c>
      <c r="H38" s="184" t="n">
        <v>0</v>
      </c>
      <c r="I38" s="113" t="n">
        <f aca="false">G38+H38</f>
        <v>103</v>
      </c>
      <c r="J38" s="185" t="n">
        <f aca="false">IF(L38&gt;0,L38,0)</f>
        <v>0</v>
      </c>
      <c r="K38" s="113" t="n">
        <f aca="false">I38+J38</f>
        <v>103</v>
      </c>
      <c r="L38" s="113" t="n">
        <f aca="false">F38-(I38-AA38)</f>
        <v>-39.1378875724729</v>
      </c>
      <c r="M38" s="186" t="n">
        <v>154</v>
      </c>
      <c r="N38" s="113" t="n">
        <v>0</v>
      </c>
      <c r="O38" s="113" t="n">
        <f aca="false">63.21*1.05</f>
        <v>66.3705</v>
      </c>
      <c r="P38" s="117" t="n">
        <v>2.08</v>
      </c>
      <c r="Q38" s="253" t="n">
        <v>4.2</v>
      </c>
      <c r="R38" s="234" t="n">
        <v>5.81</v>
      </c>
      <c r="S38" s="183" t="n">
        <v>96</v>
      </c>
      <c r="T38" s="183" t="n">
        <v>53</v>
      </c>
      <c r="U38" s="113" t="n">
        <f aca="false">M38-N38-O38-P38-Q38-R38+S38+T38</f>
        <v>224.5395</v>
      </c>
      <c r="V38" s="114" t="n">
        <f aca="false">V37+AH38-(AI38/1.9835)</f>
        <v>252.720472407858</v>
      </c>
      <c r="W38" s="114"/>
      <c r="X38" s="113" t="n">
        <v>0</v>
      </c>
      <c r="Y38" s="183" t="n">
        <v>20</v>
      </c>
      <c r="Z38" s="114" t="n">
        <f aca="false">Z37-Y38</f>
        <v>3937.49231157046</v>
      </c>
      <c r="AA38" s="6" t="n">
        <f aca="false">M38+S38+T38+X38+Y38</f>
        <v>323</v>
      </c>
      <c r="AB38" s="113" t="n">
        <f aca="false">IF(L38&lt;0,L38*-1,0)</f>
        <v>39.1378875724729</v>
      </c>
      <c r="AC38" s="113" t="n">
        <f aca="false">AA38+AB38</f>
        <v>362.137887572473</v>
      </c>
      <c r="AD38" s="163" t="n">
        <v>0</v>
      </c>
      <c r="AE38" s="119" t="n">
        <v>83</v>
      </c>
      <c r="AF38" s="169" t="n">
        <v>47</v>
      </c>
      <c r="AG38" s="120" t="n">
        <v>0</v>
      </c>
      <c r="AH38" s="367" t="n">
        <f aca="false">(I38-P38-Q38)-(U38)</f>
        <v>-127.8195</v>
      </c>
      <c r="AI38" s="377" t="n">
        <f aca="false">23.5*(V37*1.9835-U38*1.9835)/E38</f>
        <v>0.254984939773584</v>
      </c>
      <c r="AJ38" s="215"/>
    </row>
    <row r="39" customFormat="false" ht="11.1" hidden="false" customHeight="true" outlineLevel="0" collapsed="false">
      <c r="A39" s="120" t="n">
        <v>28</v>
      </c>
      <c r="B39" s="170" t="n">
        <v>6867</v>
      </c>
      <c r="C39" s="114" t="n">
        <v>179979</v>
      </c>
      <c r="D39" s="119" t="n">
        <f aca="false">C39-C38</f>
        <v>-540</v>
      </c>
      <c r="E39" s="114" t="n">
        <f aca="false">C39-151978</f>
        <v>28001</v>
      </c>
      <c r="F39" s="182" t="n">
        <f aca="false">D39/$D$2</f>
        <v>-272.2460297454</v>
      </c>
      <c r="G39" s="183" t="n">
        <v>96</v>
      </c>
      <c r="H39" s="184" t="n">
        <v>0</v>
      </c>
      <c r="I39" s="113" t="n">
        <f aca="false">G39+H39</f>
        <v>96</v>
      </c>
      <c r="J39" s="185" t="n">
        <f aca="false">IF(L39&gt;0,L39,0)</f>
        <v>0</v>
      </c>
      <c r="K39" s="113" t="n">
        <f aca="false">I39+J39</f>
        <v>96</v>
      </c>
      <c r="L39" s="113" t="n">
        <f aca="false">F39-(I39-AA39)</f>
        <v>-40.0760297453995</v>
      </c>
      <c r="M39" s="186" t="n">
        <v>145</v>
      </c>
      <c r="N39" s="113" t="n">
        <v>0</v>
      </c>
      <c r="O39" s="113" t="n">
        <f aca="false">56.18*1.05</f>
        <v>58.989</v>
      </c>
      <c r="P39" s="117" t="n">
        <v>2.14</v>
      </c>
      <c r="Q39" s="253" t="n">
        <v>4.2</v>
      </c>
      <c r="R39" s="234" t="n">
        <v>5.18</v>
      </c>
      <c r="S39" s="183" t="n">
        <v>95</v>
      </c>
      <c r="T39" s="183" t="n">
        <v>53</v>
      </c>
      <c r="U39" s="113" t="n">
        <f aca="false">M39-N39-O39-P39-Q39-R39+S39+T39</f>
        <v>222.491</v>
      </c>
      <c r="V39" s="114" t="n">
        <f aca="false">V38+AH39-(AI39/1.9835)</f>
        <v>119.864102149596</v>
      </c>
      <c r="W39" s="114"/>
      <c r="X39" s="113" t="n">
        <v>15.17</v>
      </c>
      <c r="Y39" s="183" t="n">
        <v>20</v>
      </c>
      <c r="Z39" s="114" t="n">
        <f aca="false">Z38-Y39</f>
        <v>3917.49231157046</v>
      </c>
      <c r="AA39" s="6" t="n">
        <f aca="false">M39+S39+T39+X39+Y39</f>
        <v>328.17</v>
      </c>
      <c r="AB39" s="113" t="n">
        <f aca="false">IF(L39&lt;0,L39*-1,0)</f>
        <v>40.0760297453995</v>
      </c>
      <c r="AC39" s="113" t="n">
        <f aca="false">AA39+AB39</f>
        <v>368.2460297454</v>
      </c>
      <c r="AD39" s="163" t="n">
        <v>0</v>
      </c>
      <c r="AE39" s="119" t="n">
        <v>81</v>
      </c>
      <c r="AF39" s="169" t="n">
        <v>47</v>
      </c>
      <c r="AG39" s="120" t="n">
        <v>0</v>
      </c>
      <c r="AH39" s="367" t="n">
        <f aca="false">(I39-P39-Q39)-(U39)</f>
        <v>-132.831</v>
      </c>
      <c r="AI39" s="377" t="n">
        <f aca="false">23.5*(V38*1.9835-U39*1.9835)/E39</f>
        <v>0.0503219072619967</v>
      </c>
      <c r="AJ39" s="215"/>
    </row>
    <row r="40" customFormat="false" ht="11.1" hidden="false" customHeight="true" outlineLevel="0" collapsed="false">
      <c r="A40" s="120" t="n">
        <v>29</v>
      </c>
      <c r="B40" s="170" t="n">
        <v>6866.81</v>
      </c>
      <c r="C40" s="114" t="n">
        <v>179497</v>
      </c>
      <c r="D40" s="119" t="n">
        <f aca="false">C40-C39</f>
        <v>-482</v>
      </c>
      <c r="E40" s="114" t="n">
        <f aca="false">C40-151978</f>
        <v>27519</v>
      </c>
      <c r="F40" s="182" t="n">
        <f aca="false">D40/$D$2</f>
        <v>-243.004789513486</v>
      </c>
      <c r="G40" s="183" t="n">
        <v>87</v>
      </c>
      <c r="H40" s="184" t="n">
        <v>0</v>
      </c>
      <c r="I40" s="113" t="n">
        <f aca="false">G40+H40</f>
        <v>87</v>
      </c>
      <c r="J40" s="185" t="n">
        <f aca="false">IF(L40&gt;0,L40,0)</f>
        <v>13.2352104865138</v>
      </c>
      <c r="K40" s="113" t="n">
        <f aca="false">I40+J40</f>
        <v>100.235210486514</v>
      </c>
      <c r="L40" s="113" t="n">
        <f aca="false">F40-(I40-AA40)</f>
        <v>13.2352104865138</v>
      </c>
      <c r="M40" s="186" t="n">
        <v>152</v>
      </c>
      <c r="N40" s="113" t="n">
        <v>0</v>
      </c>
      <c r="O40" s="113" t="n">
        <f aca="false">51.87*1.05</f>
        <v>54.4635</v>
      </c>
      <c r="P40" s="117" t="n">
        <v>1.92</v>
      </c>
      <c r="Q40" s="253" t="n">
        <v>4.2</v>
      </c>
      <c r="R40" s="234" t="n">
        <v>4.05</v>
      </c>
      <c r="S40" s="183" t="n">
        <v>102</v>
      </c>
      <c r="T40" s="183" t="n">
        <v>55</v>
      </c>
      <c r="U40" s="113" t="n">
        <f aca="false">M40-N40-O40-P40-Q40-R40+S40+T40</f>
        <v>244.3665</v>
      </c>
      <c r="V40" s="114" t="n">
        <f aca="false">V39+AH40-(AI40/1.9835)</f>
        <v>-43.6223978504039</v>
      </c>
      <c r="W40" s="114" t="n">
        <f aca="false">W8+AH40-44</f>
        <v>3108.3693104361</v>
      </c>
      <c r="X40" s="113" t="n">
        <v>14.24</v>
      </c>
      <c r="Y40" s="183" t="n">
        <v>20</v>
      </c>
      <c r="Z40" s="114" t="n">
        <f aca="false">Z39-Y40</f>
        <v>3897.49231157046</v>
      </c>
      <c r="AA40" s="6" t="n">
        <f aca="false">M40+S40+T40+X40+Y40</f>
        <v>343.24</v>
      </c>
      <c r="AB40" s="113" t="n">
        <f aca="false">IF(L40&lt;0,L40*-1,0)</f>
        <v>0</v>
      </c>
      <c r="AC40" s="113" t="n">
        <f aca="false">AA40+AB40</f>
        <v>343.24</v>
      </c>
      <c r="AD40" s="163" t="n">
        <v>0</v>
      </c>
      <c r="AE40" s="119" t="n">
        <v>79</v>
      </c>
      <c r="AF40" s="169" t="n">
        <v>46</v>
      </c>
      <c r="AG40" s="120" t="n">
        <v>0</v>
      </c>
      <c r="AH40" s="367" t="n">
        <f aca="false">(I40-P40-Q40)-(U40)</f>
        <v>-163.4865</v>
      </c>
      <c r="AI40" s="377" t="n">
        <v>0</v>
      </c>
      <c r="AJ40" s="215"/>
    </row>
    <row r="41" customFormat="false" ht="11.1" hidden="false" customHeight="true" outlineLevel="0" collapsed="false">
      <c r="A41" s="120" t="n">
        <v>30</v>
      </c>
      <c r="B41" s="170" t="n">
        <v>6866.55</v>
      </c>
      <c r="C41" s="114" t="n">
        <v>178839</v>
      </c>
      <c r="D41" s="119" t="n">
        <f aca="false">C41-C40</f>
        <v>-658</v>
      </c>
      <c r="E41" s="114" t="n">
        <f aca="false">C41-151978</f>
        <v>26861</v>
      </c>
      <c r="F41" s="182" t="n">
        <f aca="false">D41/$D$2</f>
        <v>-331.736828837913</v>
      </c>
      <c r="G41" s="183" t="n">
        <v>78</v>
      </c>
      <c r="H41" s="184" t="n">
        <v>0</v>
      </c>
      <c r="I41" s="113" t="n">
        <f aca="false">G41+H41</f>
        <v>78</v>
      </c>
      <c r="J41" s="185" t="n">
        <f aca="false">IF(L41&gt;0,L41,0)</f>
        <v>0</v>
      </c>
      <c r="K41" s="113" t="n">
        <f aca="false">I41+J41</f>
        <v>78</v>
      </c>
      <c r="L41" s="113" t="n">
        <f aca="false">F41-(I41-AA41)</f>
        <v>-26.4268288379127</v>
      </c>
      <c r="M41" s="186" t="n">
        <v>177</v>
      </c>
      <c r="N41" s="113" t="n">
        <v>0</v>
      </c>
      <c r="O41" s="113" t="n">
        <f aca="false">57.56*1.05</f>
        <v>60.438</v>
      </c>
      <c r="P41" s="117" t="n">
        <v>1.89</v>
      </c>
      <c r="Q41" s="253" t="n">
        <v>4.2</v>
      </c>
      <c r="R41" s="234" t="n">
        <v>3.76</v>
      </c>
      <c r="S41" s="183" t="n">
        <v>114</v>
      </c>
      <c r="T41" s="183" t="n">
        <v>57</v>
      </c>
      <c r="U41" s="113" t="n">
        <f aca="false">M41-N41-O41-P41-Q41-R41+S41+T41</f>
        <v>277.712</v>
      </c>
      <c r="V41" s="114" t="n">
        <v>0</v>
      </c>
      <c r="W41" s="114" t="n">
        <f aca="false">W40+AH41</f>
        <v>2902.5673104361</v>
      </c>
      <c r="X41" s="113" t="n">
        <v>15.31</v>
      </c>
      <c r="Y41" s="183" t="n">
        <v>20</v>
      </c>
      <c r="Z41" s="114" t="n">
        <f aca="false">Z40-Y41</f>
        <v>3877.49231157046</v>
      </c>
      <c r="AA41" s="6" t="n">
        <f aca="false">M41+S41+T41+X41+Y41</f>
        <v>383.31</v>
      </c>
      <c r="AB41" s="113" t="n">
        <f aca="false">IF(L41&lt;0,L41*-1,0)</f>
        <v>26.4268288379127</v>
      </c>
      <c r="AC41" s="113" t="n">
        <f aca="false">AA41+AB41</f>
        <v>409.736828837913</v>
      </c>
      <c r="AD41" s="163" t="n">
        <v>0</v>
      </c>
      <c r="AE41" s="373" t="n">
        <v>78</v>
      </c>
      <c r="AF41" s="169" t="n">
        <v>44</v>
      </c>
      <c r="AG41" s="120" t="n">
        <v>0</v>
      </c>
      <c r="AH41" s="367" t="n">
        <f aca="false">(I41-P41-Q41)-(U41)</f>
        <v>-205.802</v>
      </c>
      <c r="AI41" s="377" t="n">
        <v>0</v>
      </c>
      <c r="AJ41" s="215"/>
    </row>
    <row r="42" customFormat="false" ht="3" hidden="false" customHeight="true" outlineLevel="0" collapsed="false">
      <c r="A42" s="171"/>
      <c r="B42" s="189"/>
      <c r="C42" s="173"/>
      <c r="D42" s="171"/>
      <c r="E42" s="173"/>
      <c r="F42" s="174"/>
      <c r="G42" s="171"/>
      <c r="H42" s="175"/>
      <c r="I42" s="171"/>
      <c r="J42" s="171"/>
      <c r="K42" s="171"/>
      <c r="L42" s="171"/>
      <c r="M42" s="176"/>
      <c r="N42" s="171"/>
      <c r="O42" s="171"/>
      <c r="P42" s="308"/>
      <c r="Q42" s="308"/>
      <c r="R42" s="231"/>
      <c r="S42" s="171"/>
      <c r="T42" s="171"/>
      <c r="U42" s="171"/>
      <c r="V42" s="173"/>
      <c r="W42" s="173"/>
      <c r="X42" s="171"/>
      <c r="Y42" s="171"/>
      <c r="Z42" s="171"/>
      <c r="AA42" s="171"/>
      <c r="AB42" s="171"/>
      <c r="AC42" s="171"/>
      <c r="AD42" s="178"/>
      <c r="AE42" s="179"/>
      <c r="AF42" s="180"/>
      <c r="AG42" s="181"/>
      <c r="AH42" s="232"/>
      <c r="AI42" s="232"/>
      <c r="AJ42" s="309"/>
    </row>
    <row r="43" customFormat="false" ht="11.1" hidden="false" customHeight="true" outlineLevel="0" collapsed="false">
      <c r="A43" s="113" t="s">
        <v>54</v>
      </c>
      <c r="B43" s="165"/>
      <c r="C43" s="114"/>
      <c r="D43" s="114"/>
      <c r="E43" s="114"/>
      <c r="F43" s="166" t="n">
        <f aca="false">SUM(F12:F41)</f>
        <v>-2422.98966473406</v>
      </c>
      <c r="G43" s="114" t="n">
        <f aca="false">SUM(G12:G41)</f>
        <v>8133</v>
      </c>
      <c r="H43" s="114" t="n">
        <f aca="false">SUM(H12:H41)</f>
        <v>0.84</v>
      </c>
      <c r="I43" s="114" t="n">
        <f aca="false">SUM(I12:I41)</f>
        <v>8133.84</v>
      </c>
      <c r="J43" s="114" t="n">
        <f aca="false">SUM(J12:J41)</f>
        <v>263.06177211999</v>
      </c>
      <c r="K43" s="114" t="n">
        <f aca="false">SUM(K12:K41)</f>
        <v>8396.90177211999</v>
      </c>
      <c r="L43" s="114" t="n">
        <f aca="false">SUM(L12:L41)</f>
        <v>-1056.13966473406</v>
      </c>
      <c r="M43" s="167" t="n">
        <f aca="false">SUM(M12:M41)</f>
        <v>4016</v>
      </c>
      <c r="N43" s="114" t="n">
        <f aca="false">SUM(N12:N41)</f>
        <v>3</v>
      </c>
      <c r="O43" s="114" t="n">
        <f aca="false">SUM(O12:O41)</f>
        <v>1028.8425</v>
      </c>
      <c r="P43" s="119" t="n">
        <f aca="false">SUM(P12:P41)</f>
        <v>66.23</v>
      </c>
      <c r="Q43" s="119" t="n">
        <f aca="false">SUM(Q12:Q41)</f>
        <v>126</v>
      </c>
      <c r="R43" s="398" t="n">
        <f aca="false">SUM(R12:R41)</f>
        <v>128.49</v>
      </c>
      <c r="S43" s="114" t="n">
        <f aca="false">SUM(S12:S41)</f>
        <v>2467</v>
      </c>
      <c r="T43" s="114" t="n">
        <f aca="false">SUM(T12:T41)</f>
        <v>1634</v>
      </c>
      <c r="U43" s="114" t="n">
        <f aca="false">SUM(U12:U41)</f>
        <v>6764.4375</v>
      </c>
      <c r="V43" s="114"/>
      <c r="W43" s="114"/>
      <c r="X43" s="114" t="n">
        <f aca="false">SUM(X12:X41)</f>
        <v>788.69</v>
      </c>
      <c r="Y43" s="114" t="n">
        <f aca="false">SUM(Y12:Y42)</f>
        <v>595</v>
      </c>
      <c r="Z43" s="114"/>
      <c r="AA43" s="114" t="n">
        <f aca="false">SUM(AA12:AA41)</f>
        <v>9500.69</v>
      </c>
      <c r="AB43" s="114" t="n">
        <f aca="false">SUM(AB12:AB41)</f>
        <v>1319.20143685405</v>
      </c>
      <c r="AC43" s="114" t="n">
        <f aca="false">SUM(AC12:AC41)</f>
        <v>10819.891436854</v>
      </c>
      <c r="AD43" s="163" t="n">
        <f aca="false">SUM(AD12:AD41)</f>
        <v>1.57</v>
      </c>
      <c r="AE43" s="119" t="n">
        <f aca="false">AVERAGE(AE12:AE41)</f>
        <v>75.7333333333333</v>
      </c>
      <c r="AF43" s="169" t="n">
        <f aca="false">AVERAGE(AF12:AF41)</f>
        <v>45.2666666666667</v>
      </c>
      <c r="AG43" s="120" t="n">
        <f aca="false">SUM(AG12:AG41)</f>
        <v>261.63</v>
      </c>
      <c r="AH43" s="367"/>
      <c r="AI43" s="377" t="n">
        <f aca="false">SUM(AI12:AI41)</f>
        <v>33.3095676172755</v>
      </c>
      <c r="AJ43" s="215" t="n">
        <f aca="false">SUM(AJ12:AJ41)</f>
        <v>0</v>
      </c>
    </row>
    <row r="44" customFormat="false" ht="11.1" hidden="false" customHeight="true" outlineLevel="0" collapsed="false">
      <c r="A44" s="113" t="s">
        <v>56</v>
      </c>
      <c r="B44" s="165"/>
      <c r="C44" s="114"/>
      <c r="D44" s="114" t="n">
        <f aca="false">SUM(D12:D42)</f>
        <v>-4806</v>
      </c>
      <c r="E44" s="114"/>
      <c r="F44" s="166" t="n">
        <f aca="false">F43*$D$2</f>
        <v>-4806</v>
      </c>
      <c r="G44" s="114" t="n">
        <f aca="false">G43*$D$2</f>
        <v>16131.8055</v>
      </c>
      <c r="H44" s="114" t="n">
        <f aca="false">H43*$D$2</f>
        <v>1.66614</v>
      </c>
      <c r="I44" s="114" t="n">
        <f aca="false">I43*$D$2</f>
        <v>16133.47164</v>
      </c>
      <c r="J44" s="114" t="n">
        <f aca="false">J43*$D$2</f>
        <v>521.783025</v>
      </c>
      <c r="K44" s="114" t="n">
        <f aca="false">K43*$D$2</f>
        <v>16655.254665</v>
      </c>
      <c r="L44" s="114" t="n">
        <f aca="false">L43*$D$2</f>
        <v>-2094.853025</v>
      </c>
      <c r="M44" s="167" t="n">
        <f aca="false">M43*$D$2</f>
        <v>7965.736</v>
      </c>
      <c r="N44" s="114" t="n">
        <f aca="false">N43*$D$2</f>
        <v>5.9505</v>
      </c>
      <c r="O44" s="114" t="n">
        <f aca="false">O43*$D$2</f>
        <v>2040.70909875</v>
      </c>
      <c r="P44" s="119" t="n">
        <f aca="false">P43*$D$2</f>
        <v>131.367205</v>
      </c>
      <c r="Q44" s="119" t="n">
        <f aca="false">Q43*$D$2</f>
        <v>249.921</v>
      </c>
      <c r="R44" s="398" t="n">
        <f aca="false">R43*$D$2</f>
        <v>254.859915</v>
      </c>
      <c r="S44" s="114" t="n">
        <f aca="false">S43*$D$2</f>
        <v>4893.2945</v>
      </c>
      <c r="T44" s="114" t="n">
        <f aca="false">T43*$D$2</f>
        <v>3241.039</v>
      </c>
      <c r="U44" s="114" t="n">
        <f aca="false">U43*$D$2</f>
        <v>13417.26178125</v>
      </c>
      <c r="V44" s="114"/>
      <c r="W44" s="114"/>
      <c r="X44" s="114" t="n">
        <f aca="false">X43*$D$2</f>
        <v>1564.366615</v>
      </c>
      <c r="Y44" s="114" t="n">
        <f aca="false">Y43*$D$2</f>
        <v>1180.1825</v>
      </c>
      <c r="Z44" s="114"/>
      <c r="AA44" s="114" t="n">
        <f aca="false">AA43*$D$2</f>
        <v>18844.618615</v>
      </c>
      <c r="AB44" s="114" t="n">
        <f aca="false">AB43*$D$2</f>
        <v>2616.63605</v>
      </c>
      <c r="AC44" s="114" t="n">
        <f aca="false">AC43*$D$2</f>
        <v>21461.254665</v>
      </c>
      <c r="AD44" s="163"/>
      <c r="AE44" s="119" t="n">
        <f aca="false">MAX(AE12:AE41)</f>
        <v>88</v>
      </c>
      <c r="AF44" s="169" t="n">
        <f aca="false">MAX(AF12:AF41)</f>
        <v>57</v>
      </c>
      <c r="AG44" s="120" t="n">
        <f aca="false">AG43*$D$2</f>
        <v>518.943105</v>
      </c>
      <c r="AH44" s="367"/>
      <c r="AI44" s="377" t="n">
        <f aca="false">AI43*$D$2</f>
        <v>66.069527368866</v>
      </c>
      <c r="AJ44" s="214" t="n">
        <f aca="false">AJ43*$D$2</f>
        <v>0</v>
      </c>
    </row>
    <row r="45" customFormat="false" ht="3" hidden="false" customHeight="true" outlineLevel="0" collapsed="false">
      <c r="A45" s="171"/>
      <c r="B45" s="189"/>
      <c r="C45" s="173"/>
      <c r="D45" s="173"/>
      <c r="E45" s="173"/>
      <c r="F45" s="190"/>
      <c r="G45" s="173"/>
      <c r="H45" s="173"/>
      <c r="I45" s="173"/>
      <c r="J45" s="173"/>
      <c r="K45" s="173"/>
      <c r="L45" s="173"/>
      <c r="M45" s="191"/>
      <c r="N45" s="173"/>
      <c r="O45" s="173"/>
      <c r="P45" s="179"/>
      <c r="Q45" s="179"/>
      <c r="R45" s="399"/>
      <c r="S45" s="173"/>
      <c r="T45" s="173"/>
      <c r="U45" s="173"/>
      <c r="V45" s="173"/>
      <c r="W45" s="173"/>
      <c r="X45" s="173"/>
      <c r="Y45" s="173"/>
      <c r="Z45" s="171"/>
      <c r="AA45" s="173"/>
      <c r="AB45" s="173"/>
      <c r="AC45" s="173"/>
      <c r="AD45" s="193"/>
      <c r="AE45" s="173"/>
      <c r="AF45" s="190"/>
      <c r="AG45" s="173"/>
      <c r="AH45" s="237"/>
      <c r="AI45" s="232"/>
      <c r="AJ45" s="309"/>
    </row>
    <row r="46" customFormat="false" ht="11.1" hidden="false" customHeight="true" outlineLevel="0" collapsed="false">
      <c r="A46" s="113" t="s">
        <v>58</v>
      </c>
      <c r="B46" s="165"/>
      <c r="C46" s="114"/>
      <c r="D46" s="114"/>
      <c r="E46" s="114"/>
      <c r="F46" s="166" t="n">
        <f aca="false">F9+F43</f>
        <v>2951.34862616586</v>
      </c>
      <c r="G46" s="114" t="n">
        <f aca="false">G9+G43</f>
        <v>83146</v>
      </c>
      <c r="H46" s="114" t="n">
        <f aca="false">H9+H43</f>
        <v>1046.76</v>
      </c>
      <c r="I46" s="114" t="n">
        <f aca="false">I9+I43</f>
        <v>84192.76</v>
      </c>
      <c r="J46" s="114" t="n">
        <f aca="false">J9+J43</f>
        <v>5994.80539198387</v>
      </c>
      <c r="K46" s="114" t="n">
        <f aca="false">K9+K43</f>
        <v>90187.5653919839</v>
      </c>
      <c r="L46" s="114" t="n">
        <f aca="false">L9+L43</f>
        <v>-991.361373834131</v>
      </c>
      <c r="M46" s="167" t="n">
        <f aca="false">M9+M43</f>
        <v>30448.38</v>
      </c>
      <c r="N46" s="114" t="n">
        <f aca="false">N9+N43</f>
        <v>60.81</v>
      </c>
      <c r="O46" s="114" t="n">
        <f aca="false">O9+O43</f>
        <v>5612.318525</v>
      </c>
      <c r="P46" s="119"/>
      <c r="Q46" s="119"/>
      <c r="R46" s="398"/>
      <c r="S46" s="114" t="n">
        <f aca="false">S9+S43</f>
        <v>21545.8</v>
      </c>
      <c r="T46" s="114" t="n">
        <f aca="false">T9+T43</f>
        <v>9877.8</v>
      </c>
      <c r="U46" s="114" t="n">
        <f aca="false">U9+U43</f>
        <v>55526.745975</v>
      </c>
      <c r="V46" s="114" t="n">
        <f aca="false">V41</f>
        <v>0</v>
      </c>
      <c r="W46" s="114" t="n">
        <f aca="false">W41</f>
        <v>2902.5673104361</v>
      </c>
      <c r="X46" s="114" t="n">
        <f aca="false">X9+X43</f>
        <v>14084.05</v>
      </c>
      <c r="Y46" s="114" t="n">
        <f aca="false">Y9+Y43</f>
        <v>4364</v>
      </c>
      <c r="Z46" s="114" t="n">
        <f aca="false">Z41</f>
        <v>3877.49231157046</v>
      </c>
      <c r="AA46" s="114" t="n">
        <f aca="false">AA9+AA43</f>
        <v>80250.05</v>
      </c>
      <c r="AB46" s="114" t="n">
        <f aca="false">AB9+AB43</f>
        <v>6986.166765818</v>
      </c>
      <c r="AC46" s="114" t="n">
        <f aca="false">AC9+AC43</f>
        <v>87236.216765818</v>
      </c>
      <c r="AD46" s="163"/>
      <c r="AE46" s="119" t="n">
        <f aca="false">MIN(AE12:AE41)</f>
        <v>63</v>
      </c>
      <c r="AF46" s="169" t="n">
        <f aca="false">MIN(AF12:AF41)</f>
        <v>36</v>
      </c>
      <c r="AG46" s="120"/>
      <c r="AH46" s="367"/>
      <c r="AI46" s="377" t="n">
        <f aca="false">AI9+AI43</f>
        <v>1241.62397522383</v>
      </c>
      <c r="AJ46" s="392" t="n">
        <f aca="false">AJ9+AJ44</f>
        <v>596.53</v>
      </c>
    </row>
    <row r="47" customFormat="false" ht="11.1" hidden="false" customHeight="true" outlineLevel="0" collapsed="false">
      <c r="A47" s="113" t="s">
        <v>60</v>
      </c>
      <c r="B47" s="165"/>
      <c r="C47" s="114"/>
      <c r="D47" s="114"/>
      <c r="E47" s="114"/>
      <c r="F47" s="166" t="n">
        <f aca="false">F46*$D$2</f>
        <v>5853.99999999999</v>
      </c>
      <c r="G47" s="114" t="n">
        <f aca="false">G46*$D$2</f>
        <v>164920.091</v>
      </c>
      <c r="H47" s="114" t="n">
        <f aca="false">H46*$D$2</f>
        <v>2076.24846</v>
      </c>
      <c r="I47" s="114" t="n">
        <f aca="false">I46*$D$2</f>
        <v>166996.33946</v>
      </c>
      <c r="J47" s="114" t="n">
        <f aca="false">J46*$D$2</f>
        <v>11890.696495</v>
      </c>
      <c r="K47" s="114" t="n">
        <f aca="false">K46*$D$2</f>
        <v>178887.035955</v>
      </c>
      <c r="L47" s="114" t="n">
        <f aca="false">L46*$D$2</f>
        <v>-1966.365285</v>
      </c>
      <c r="M47" s="167" t="n">
        <f aca="false">M46*$D$2</f>
        <v>60394.36173</v>
      </c>
      <c r="N47" s="114" t="n">
        <f aca="false">N46*$D$2</f>
        <v>120.616635</v>
      </c>
      <c r="O47" s="114" t="n">
        <f aca="false">O46*$D$2</f>
        <v>11132.0337943375</v>
      </c>
      <c r="P47" s="119"/>
      <c r="Q47" s="119"/>
      <c r="R47" s="398"/>
      <c r="S47" s="114" t="n">
        <f aca="false">S46*$D$2</f>
        <v>42736.0943</v>
      </c>
      <c r="T47" s="114" t="n">
        <f aca="false">T46*$D$2</f>
        <v>19592.6163</v>
      </c>
      <c r="U47" s="114" t="n">
        <f aca="false">U46*$D$2</f>
        <v>110137.300641413</v>
      </c>
      <c r="V47" s="114" t="n">
        <f aca="false">V46*$D$2</f>
        <v>0</v>
      </c>
      <c r="W47" s="114" t="n">
        <f aca="false">W46*$D$2</f>
        <v>5757.24226025</v>
      </c>
      <c r="X47" s="114" t="n">
        <f aca="false">X46*$D$2</f>
        <v>27935.713175</v>
      </c>
      <c r="Y47" s="114" t="n">
        <f aca="false">Y46*$D$2</f>
        <v>8655.994</v>
      </c>
      <c r="Z47" s="114" t="n">
        <f aca="false">Z46*$D$2</f>
        <v>7691.006</v>
      </c>
      <c r="AA47" s="114" t="n">
        <f aca="false">AA46*$D$2</f>
        <v>159175.974175</v>
      </c>
      <c r="AB47" s="114" t="n">
        <f aca="false">AB46*$D$2</f>
        <v>13857.06178</v>
      </c>
      <c r="AC47" s="114" t="n">
        <f aca="false">AC46*$D$2</f>
        <v>173033.035955</v>
      </c>
      <c r="AD47" s="163"/>
      <c r="AE47" s="119"/>
      <c r="AF47" s="169"/>
      <c r="AG47" s="120"/>
      <c r="AH47" s="367"/>
      <c r="AI47" s="377" t="n">
        <f aca="false">AI46*$D$2</f>
        <v>2462.76115485646</v>
      </c>
      <c r="AJ47" s="367" t="n">
        <f aca="false">AJ46*$D$2</f>
        <v>1183.217255</v>
      </c>
    </row>
    <row r="48" customFormat="false" ht="3" hidden="false" customHeight="true" outlineLevel="0" collapsed="false">
      <c r="A48" s="171"/>
      <c r="B48" s="189"/>
      <c r="C48" s="173"/>
      <c r="D48" s="173"/>
      <c r="E48" s="173"/>
      <c r="F48" s="190"/>
      <c r="G48" s="173"/>
      <c r="H48" s="179"/>
      <c r="I48" s="173"/>
      <c r="J48" s="173"/>
      <c r="K48" s="173"/>
      <c r="L48" s="173"/>
      <c r="M48" s="191"/>
      <c r="N48" s="173"/>
      <c r="O48" s="173"/>
      <c r="P48" s="179"/>
      <c r="Q48" s="179"/>
      <c r="R48" s="399"/>
      <c r="S48" s="173"/>
      <c r="T48" s="173"/>
      <c r="U48" s="173"/>
      <c r="V48" s="173"/>
      <c r="W48" s="173"/>
      <c r="X48" s="173"/>
      <c r="Y48" s="173"/>
      <c r="Z48" s="173"/>
      <c r="AA48" s="173"/>
      <c r="AB48" s="173"/>
      <c r="AC48" s="173"/>
      <c r="AD48" s="178"/>
      <c r="AE48" s="194"/>
      <c r="AF48" s="195"/>
      <c r="AG48" s="194"/>
      <c r="AH48" s="237"/>
      <c r="AI48" s="232"/>
      <c r="AJ48" s="309"/>
    </row>
    <row r="49" customFormat="false" ht="11.1" hidden="false" customHeight="true" outlineLevel="0" collapsed="false">
      <c r="A49" s="113" t="s">
        <v>61</v>
      </c>
      <c r="B49" s="165"/>
      <c r="C49" s="114"/>
      <c r="D49" s="114"/>
      <c r="E49" s="114"/>
      <c r="F49" s="166" t="n">
        <f aca="false">F10+F43</f>
        <v>11228.6362490547</v>
      </c>
      <c r="G49" s="114" t="n">
        <f aca="false">G10+G43</f>
        <v>90700</v>
      </c>
      <c r="H49" s="119" t="n">
        <f aca="false">H10+H43</f>
        <v>1329.5</v>
      </c>
      <c r="I49" s="114" t="n">
        <f aca="false">I10+I43</f>
        <v>92029.5</v>
      </c>
      <c r="J49" s="114" t="n">
        <f aca="false">J10+J43</f>
        <v>10473.5591630955</v>
      </c>
      <c r="K49" s="114" t="n">
        <f aca="false">K10+K43</f>
        <v>102503.059163096</v>
      </c>
      <c r="L49" s="114" t="n">
        <f aca="false">L10+L43</f>
        <v>2852.8762490547</v>
      </c>
      <c r="M49" s="167" t="n">
        <f aca="false">M10+M43</f>
        <v>31405.2</v>
      </c>
      <c r="N49" s="114" t="n">
        <f aca="false">N10+N43</f>
        <v>60.81</v>
      </c>
      <c r="O49" s="114" t="n">
        <f aca="false">O10+O43</f>
        <v>5612.318525</v>
      </c>
      <c r="P49" s="119" t="n">
        <f aca="false">P10+P43</f>
        <v>134.84</v>
      </c>
      <c r="Q49" s="119" t="n">
        <f aca="false">Q10+Q43</f>
        <v>251.85</v>
      </c>
      <c r="R49" s="398" t="n">
        <f aca="false">R10+R43</f>
        <v>217.063</v>
      </c>
      <c r="S49" s="114" t="n">
        <f aca="false">S10+S43</f>
        <v>21607.8</v>
      </c>
      <c r="T49" s="114" t="n">
        <f aca="false">T10+T43</f>
        <v>9928.8</v>
      </c>
      <c r="U49" s="114" t="n">
        <f aca="false">U10+U43</f>
        <v>56664.918475</v>
      </c>
      <c r="V49" s="114"/>
      <c r="W49" s="114" t="n">
        <f aca="false">W46</f>
        <v>2902.5673104361</v>
      </c>
      <c r="X49" s="114" t="n">
        <f aca="false">X10+X43</f>
        <v>14084.05</v>
      </c>
      <c r="Y49" s="114" t="n">
        <f aca="false">Y10+Y43</f>
        <v>6627.89</v>
      </c>
      <c r="Z49" s="114" t="n">
        <f aca="false">Z41</f>
        <v>3877.49231157046</v>
      </c>
      <c r="AA49" s="114" t="n">
        <f aca="false">AA10+AA43</f>
        <v>83653.74</v>
      </c>
      <c r="AB49" s="114" t="n">
        <f aca="false">AB10+AB43</f>
        <v>7620.68291404084</v>
      </c>
      <c r="AC49" s="114" t="n">
        <f aca="false">AC10+AC43</f>
        <v>91274.4229140408</v>
      </c>
      <c r="AD49" s="163" t="n">
        <f aca="false">AD10+AD43</f>
        <v>10.74</v>
      </c>
      <c r="AE49" s="119"/>
      <c r="AF49" s="169"/>
      <c r="AG49" s="120"/>
      <c r="AH49" s="367"/>
      <c r="AI49" s="377" t="n">
        <f aca="false">AI10+AI43</f>
        <v>1241.62397522383</v>
      </c>
      <c r="AJ49" s="214"/>
    </row>
    <row r="50" customFormat="false" ht="11.1" hidden="false" customHeight="true" outlineLevel="0" collapsed="false">
      <c r="A50" s="113" t="s">
        <v>62</v>
      </c>
      <c r="B50" s="165"/>
      <c r="C50" s="114"/>
      <c r="D50" s="114" t="n">
        <f aca="false">D10+D44</f>
        <v>22272</v>
      </c>
      <c r="E50" s="114" t="n">
        <f aca="false">E41</f>
        <v>26861</v>
      </c>
      <c r="F50" s="166" t="n">
        <f aca="false">F49*$D$2</f>
        <v>22272</v>
      </c>
      <c r="G50" s="114" t="n">
        <f aca="false">G49*$D$2</f>
        <v>179903.45</v>
      </c>
      <c r="H50" s="119" t="n">
        <f aca="false">H49*$D$2</f>
        <v>2637.06325</v>
      </c>
      <c r="I50" s="114" t="n">
        <f aca="false">I49*$D$2</f>
        <v>182540.51325</v>
      </c>
      <c r="J50" s="114" t="n">
        <f aca="false">J49*$D$2</f>
        <v>20774.3046</v>
      </c>
      <c r="K50" s="114" t="n">
        <f aca="false">K49*$D$2</f>
        <v>203314.81785</v>
      </c>
      <c r="L50" s="114" t="n">
        <f aca="false">L49*$D$2</f>
        <v>5658.68004</v>
      </c>
      <c r="M50" s="167" t="n">
        <f aca="false">M49*$D$2</f>
        <v>62292.2142</v>
      </c>
      <c r="N50" s="114" t="n">
        <f aca="false">N49*$D$2</f>
        <v>120.616635</v>
      </c>
      <c r="O50" s="114" t="n">
        <f aca="false">O49*$D$2</f>
        <v>11132.0337943375</v>
      </c>
      <c r="P50" s="119" t="n">
        <f aca="false">P49*$D$2</f>
        <v>267.45514</v>
      </c>
      <c r="Q50" s="119" t="n">
        <f aca="false">Q49*$D$2</f>
        <v>499.544475</v>
      </c>
      <c r="R50" s="398" t="n">
        <f aca="false">R49*$D$2</f>
        <v>430.5444605</v>
      </c>
      <c r="S50" s="114" t="n">
        <f aca="false">S49*$D$2</f>
        <v>42859.0713</v>
      </c>
      <c r="T50" s="114" t="n">
        <f aca="false">T49*$D$2</f>
        <v>19693.7748</v>
      </c>
      <c r="U50" s="114" t="n">
        <f aca="false">U49*$D$2</f>
        <v>112394.865795163</v>
      </c>
      <c r="V50" s="114"/>
      <c r="W50" s="114" t="n">
        <f aca="false">W49*$D$2</f>
        <v>5757.24226025</v>
      </c>
      <c r="X50" s="114" t="n">
        <f aca="false">X49*$D$2</f>
        <v>27935.713175</v>
      </c>
      <c r="Y50" s="114" t="n">
        <f aca="false">Y49*$D$2</f>
        <v>13146.419815</v>
      </c>
      <c r="Z50" s="114" t="n">
        <f aca="false">Z49*$D$2</f>
        <v>7691.006</v>
      </c>
      <c r="AA50" s="114" t="n">
        <f aca="false">AA49*$D$2</f>
        <v>165927.19329</v>
      </c>
      <c r="AB50" s="114" t="n">
        <f aca="false">AB49*$D$2</f>
        <v>15115.62456</v>
      </c>
      <c r="AC50" s="114" t="n">
        <f aca="false">AC49*$D$2</f>
        <v>181042.81785</v>
      </c>
      <c r="AD50" s="163"/>
      <c r="AE50" s="119"/>
      <c r="AF50" s="169"/>
      <c r="AG50" s="120"/>
      <c r="AH50" s="367"/>
      <c r="AI50" s="377" t="n">
        <f aca="false">AI49*$D$2</f>
        <v>2462.76115485646</v>
      </c>
      <c r="AJ50" s="214"/>
    </row>
    <row r="51" customFormat="false" ht="3" hidden="false" customHeight="true" outlineLevel="0" collapsed="false">
      <c r="A51" s="171"/>
      <c r="B51" s="189"/>
      <c r="C51" s="173"/>
      <c r="D51" s="171"/>
      <c r="E51" s="173"/>
      <c r="F51" s="174"/>
      <c r="G51" s="171"/>
      <c r="H51" s="175"/>
      <c r="I51" s="171"/>
      <c r="J51" s="171"/>
      <c r="K51" s="171"/>
      <c r="L51" s="171"/>
      <c r="M51" s="176"/>
      <c r="N51" s="171"/>
      <c r="O51" s="171"/>
      <c r="P51" s="308"/>
      <c r="Q51" s="308"/>
      <c r="R51" s="231"/>
      <c r="S51" s="171"/>
      <c r="T51" s="171"/>
      <c r="U51" s="171"/>
      <c r="V51" s="173"/>
      <c r="W51" s="173"/>
      <c r="X51" s="171"/>
      <c r="Y51" s="171"/>
      <c r="Z51" s="173"/>
      <c r="AA51" s="171"/>
      <c r="AB51" s="171"/>
      <c r="AC51" s="171"/>
      <c r="AD51" s="189"/>
      <c r="AE51" s="171"/>
      <c r="AF51" s="174"/>
      <c r="AG51" s="171"/>
      <c r="AH51" s="237"/>
      <c r="AI51" s="232"/>
      <c r="AJ51" s="309"/>
    </row>
    <row r="52" customFormat="false" ht="11.1" hidden="false" customHeight="true" outlineLevel="0" collapsed="false">
      <c r="A52" s="187"/>
      <c r="B52" s="187"/>
      <c r="C52" s="114"/>
      <c r="D52" s="187"/>
      <c r="E52" s="114"/>
      <c r="F52" s="187"/>
      <c r="G52" s="115"/>
      <c r="I52" s="104"/>
      <c r="J52" s="187"/>
      <c r="K52" s="187"/>
      <c r="L52" s="187"/>
      <c r="M52" s="185"/>
      <c r="N52" s="7"/>
      <c r="O52" s="185"/>
      <c r="P52" s="117"/>
      <c r="Q52" s="117"/>
      <c r="R52" s="117"/>
      <c r="S52" s="187"/>
      <c r="T52" s="187"/>
      <c r="U52" s="0"/>
      <c r="V52" s="114"/>
      <c r="W52" s="114"/>
      <c r="X52" s="109"/>
      <c r="Y52" s="114"/>
      <c r="Z52" s="187"/>
      <c r="AA52" s="187"/>
      <c r="AB52" s="187"/>
      <c r="AC52" s="117"/>
      <c r="AD52" s="118"/>
      <c r="AE52" s="119"/>
      <c r="AF52" s="120"/>
      <c r="AG52" s="219"/>
      <c r="AH52" s="220"/>
      <c r="AI52" s="239"/>
    </row>
    <row r="53" customFormat="false" ht="11.1" hidden="false" customHeight="true" outlineLevel="0" collapsed="false">
      <c r="A53" s="113"/>
      <c r="B53" s="406" t="s">
        <v>107</v>
      </c>
      <c r="C53" s="7"/>
      <c r="D53" s="103"/>
      <c r="E53" s="319"/>
      <c r="F53" s="348"/>
      <c r="G53" s="0"/>
      <c r="H53" s="11"/>
      <c r="I53" s="8"/>
      <c r="J53" s="6"/>
      <c r="K53" s="104"/>
      <c r="L53" s="185"/>
      <c r="M53" s="6"/>
      <c r="N53" s="6" t="n">
        <f aca="false">N7-N50</f>
        <v>239.383365</v>
      </c>
      <c r="O53" s="6" t="n">
        <f aca="false">O7-O47</f>
        <v>1450.9662056625</v>
      </c>
      <c r="P53" s="10"/>
      <c r="Q53" s="253"/>
      <c r="R53" s="253"/>
      <c r="S53" s="349"/>
      <c r="T53" s="91"/>
      <c r="U53" s="350"/>
      <c r="V53" s="114"/>
      <c r="W53" s="157"/>
      <c r="X53" s="423" t="n">
        <f aca="false">X7-X47</f>
        <v>2124.286825</v>
      </c>
      <c r="Y53" s="6"/>
      <c r="Z53" s="7"/>
      <c r="AA53" s="7"/>
      <c r="AB53" s="113"/>
      <c r="AC53" s="117"/>
      <c r="AD53" s="119"/>
      <c r="AE53" s="119"/>
      <c r="AF53" s="119"/>
      <c r="AG53" s="408" t="s">
        <v>108</v>
      </c>
      <c r="AH53" s="220"/>
      <c r="AI53" s="220"/>
      <c r="AJ53" s="239"/>
    </row>
    <row r="54" customFormat="false" ht="11.1" hidden="false" customHeight="true" outlineLevel="0" collapsed="false">
      <c r="A54" s="187"/>
      <c r="B54" s="114"/>
      <c r="E54" s="319"/>
      <c r="F54" s="320"/>
      <c r="G54" s="0"/>
      <c r="H54" s="11"/>
      <c r="I54" s="103"/>
      <c r="J54" s="103"/>
      <c r="K54" s="351"/>
      <c r="L54" s="313"/>
      <c r="M54" s="89"/>
      <c r="N54" s="89"/>
      <c r="O54" s="319"/>
      <c r="P54" s="409"/>
      <c r="Q54" s="253"/>
      <c r="R54" s="253"/>
      <c r="S54" s="349"/>
      <c r="T54" s="91"/>
      <c r="U54" s="67"/>
      <c r="V54" s="114"/>
      <c r="W54" s="114"/>
      <c r="X54" s="114"/>
      <c r="Y54" s="7"/>
      <c r="Z54" s="349"/>
      <c r="AA54" s="349"/>
      <c r="AB54" s="187"/>
      <c r="AC54" s="117"/>
      <c r="AD54" s="119"/>
      <c r="AE54" s="119"/>
      <c r="AF54" s="120"/>
      <c r="AG54" s="219" t="s">
        <v>109</v>
      </c>
      <c r="AH54" s="220"/>
      <c r="AJ54" s="239"/>
    </row>
    <row r="55" customFormat="false" ht="11.1" hidden="false" customHeight="true" outlineLevel="0" collapsed="false">
      <c r="A55" s="187"/>
      <c r="B55" s="187"/>
      <c r="C55" s="114"/>
      <c r="D55" s="114"/>
      <c r="E55" s="319"/>
      <c r="F55" s="0"/>
      <c r="G55" s="0"/>
      <c r="H55" s="114"/>
      <c r="I55" s="0"/>
      <c r="J55" s="103"/>
      <c r="K55" s="351"/>
      <c r="L55" s="119"/>
      <c r="M55" s="89"/>
      <c r="N55" s="89"/>
      <c r="O55" s="119"/>
      <c r="P55" s="117"/>
      <c r="Q55" s="253"/>
      <c r="R55" s="253"/>
      <c r="S55" s="94"/>
      <c r="T55" s="94"/>
      <c r="U55" s="67"/>
      <c r="V55" s="119"/>
      <c r="W55" s="119"/>
      <c r="X55" s="114"/>
      <c r="Y55" s="7"/>
      <c r="Z55" s="114"/>
      <c r="AA55" s="114"/>
      <c r="AB55" s="187"/>
      <c r="AC55" s="236"/>
      <c r="AD55" s="119"/>
      <c r="AE55" s="119"/>
      <c r="AF55" s="120"/>
      <c r="AG55" s="219" t="s">
        <v>110</v>
      </c>
      <c r="AH55" s="220"/>
      <c r="AJ55" s="239"/>
    </row>
    <row r="56" customFormat="false" ht="11.1" hidden="false" customHeight="true" outlineLevel="0" collapsed="false">
      <c r="A56" s="187"/>
      <c r="B56" s="187"/>
      <c r="C56" s="114"/>
      <c r="D56" s="187"/>
      <c r="E56" s="114"/>
      <c r="F56" s="187"/>
      <c r="G56" s="198"/>
      <c r="H56" s="115"/>
      <c r="I56" s="187"/>
      <c r="J56" s="187"/>
      <c r="K56" s="187"/>
      <c r="L56" s="187"/>
      <c r="M56" s="185"/>
      <c r="N56" s="185"/>
      <c r="O56" s="185"/>
      <c r="P56" s="117"/>
      <c r="Q56" s="117"/>
      <c r="R56" s="117"/>
      <c r="S56" s="187"/>
      <c r="T56" s="187"/>
      <c r="U56" s="0"/>
      <c r="V56" s="114"/>
      <c r="W56" s="114"/>
      <c r="Y56" s="114"/>
      <c r="Z56" s="187"/>
      <c r="AA56" s="187"/>
      <c r="AB56" s="187"/>
      <c r="AC56" s="117"/>
      <c r="AD56" s="118"/>
      <c r="AE56" s="119"/>
      <c r="AF56" s="120"/>
      <c r="AG56" s="219" t="s">
        <v>111</v>
      </c>
      <c r="AH56" s="220"/>
      <c r="AJ56" s="239"/>
    </row>
    <row r="57" customFormat="false" ht="11.1" hidden="false" customHeight="true" outlineLevel="0" collapsed="false">
      <c r="S57" s="411"/>
      <c r="T57" s="106"/>
      <c r="U57" s="114"/>
      <c r="V57" s="114"/>
      <c r="W57" s="114"/>
      <c r="Y57" s="107"/>
      <c r="AA57" s="106"/>
      <c r="AB57" s="106"/>
      <c r="AC57" s="110"/>
      <c r="AD57" s="108"/>
      <c r="AE57" s="111"/>
      <c r="AF57" s="112"/>
      <c r="AG57" s="412" t="s">
        <v>117</v>
      </c>
      <c r="AJ57" s="239"/>
    </row>
    <row r="58" customFormat="false" ht="11.1" hidden="false" customHeight="true" outlineLevel="0" collapsed="false">
      <c r="T58" s="106"/>
      <c r="U58" s="107"/>
      <c r="W58" s="106"/>
      <c r="Y58" s="107"/>
      <c r="AA58" s="106"/>
      <c r="AB58" s="106"/>
      <c r="AC58" s="110"/>
      <c r="AD58" s="108"/>
      <c r="AE58" s="111"/>
      <c r="AF58" s="112"/>
      <c r="AI58" s="239"/>
    </row>
    <row r="59" customFormat="false" ht="11.1" hidden="false" customHeight="true" outlineLevel="0" collapsed="false">
      <c r="Q59" s="424"/>
      <c r="R59" s="424"/>
    </row>
    <row r="60" customFormat="false" ht="11.1" hidden="false" customHeight="true" outlineLevel="0" collapsed="false">
      <c r="Q60" s="424"/>
      <c r="R60" s="424"/>
    </row>
  </sheetData>
  <mergeCells count="2">
    <mergeCell ref="K2:W2"/>
    <mergeCell ref="M5:R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K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W7" activeCellId="0" sqref="W7"/>
    </sheetView>
  </sheetViews>
  <sheetFormatPr defaultColWidth="9.328125" defaultRowHeight="11.1" zeroHeight="false" outlineLevelRow="0" outlineLevelCol="0"/>
  <cols>
    <col collapsed="false" customWidth="true" hidden="false" outlineLevel="0" max="1" min="1" style="106" width="4.66"/>
    <col collapsed="false" customWidth="true" hidden="false" outlineLevel="0" max="2" min="2" style="106" width="6.99"/>
    <col collapsed="false" customWidth="true" hidden="false" outlineLevel="0" max="3" min="3" style="107" width="6.32"/>
    <col collapsed="false" customWidth="true" hidden="false" outlineLevel="0" max="4" min="4" style="106" width="6.99"/>
    <col collapsed="false" customWidth="true" hidden="false" outlineLevel="0" max="5" min="5" style="107" width="7.66"/>
    <col collapsed="false" customWidth="true" hidden="false" outlineLevel="0" max="6" min="6" style="106" width="7.16"/>
    <col collapsed="false" customWidth="true" hidden="false" outlineLevel="0" max="7" min="7" style="106" width="6.82"/>
    <col collapsed="false" customWidth="true" hidden="false" outlineLevel="0" max="8" min="8" style="425" width="5.66"/>
    <col collapsed="false" customWidth="true" hidden="false" outlineLevel="0" max="9" min="9" style="106" width="7.16"/>
    <col collapsed="false" customWidth="true" hidden="false" outlineLevel="0" max="10" min="10" style="106" width="6.66"/>
    <col collapsed="false" customWidth="true" hidden="false" outlineLevel="0" max="12" min="11" style="106" width="7.16"/>
    <col collapsed="false" customWidth="true" hidden="false" outlineLevel="0" max="13" min="13" style="109" width="6.16"/>
    <col collapsed="false" customWidth="true" hidden="false" outlineLevel="0" max="14" min="14" style="109" width="5.99"/>
    <col collapsed="false" customWidth="true" hidden="false" outlineLevel="0" max="15" min="15" style="109" width="6.49"/>
    <col collapsed="false" customWidth="true" hidden="false" outlineLevel="0" max="16" min="16" style="106" width="4.32"/>
    <col collapsed="false" customWidth="true" hidden="false" outlineLevel="0" max="18" min="17" style="106" width="4.82"/>
    <col collapsed="false" customWidth="true" hidden="false" outlineLevel="0" max="19" min="19" style="106" width="5.49"/>
    <col collapsed="false" customWidth="true" hidden="false" outlineLevel="0" max="20" min="20" style="107" width="5.49"/>
    <col collapsed="false" customWidth="true" hidden="false" outlineLevel="0" max="21" min="21" style="106" width="6.49"/>
    <col collapsed="false" customWidth="true" hidden="false" outlineLevel="0" max="22" min="22" style="106" width="5.82"/>
    <col collapsed="false" customWidth="true" hidden="false" outlineLevel="0" max="23" min="23" style="107" width="5.66"/>
    <col collapsed="false" customWidth="true" hidden="false" outlineLevel="0" max="24" min="24" style="106" width="5.66"/>
    <col collapsed="false" customWidth="true" hidden="false" outlineLevel="0" max="26" min="25" style="106" width="6.16"/>
    <col collapsed="false" customWidth="true" hidden="false" outlineLevel="0" max="27" min="27" style="110" width="7.16"/>
    <col collapsed="false" customWidth="true" hidden="false" outlineLevel="0" max="28" min="28" style="111" width="7.32"/>
    <col collapsed="false" customWidth="true" hidden="false" outlineLevel="0" max="29" min="29" style="111" width="7.82"/>
    <col collapsed="false" customWidth="true" hidden="false" outlineLevel="0" max="30" min="30" style="112" width="5.32"/>
    <col collapsed="false" customWidth="true" hidden="false" outlineLevel="0" max="31" min="31" style="106" width="3.82"/>
    <col collapsed="false" customWidth="true" hidden="false" outlineLevel="0" max="32" min="32" style="110" width="3.82"/>
    <col collapsed="false" customWidth="true" hidden="false" outlineLevel="0" max="33" min="33" style="106" width="5.99"/>
    <col collapsed="false" customWidth="true" hidden="false" outlineLevel="0" max="34" min="34" style="109" width="6.66"/>
    <col collapsed="false" customWidth="true" hidden="false" outlineLevel="0" max="35" min="35" style="109" width="6.82"/>
    <col collapsed="false" customWidth="true" hidden="false" outlineLevel="0" max="36" min="36" style="106" width="6.32"/>
    <col collapsed="false" customWidth="false" hidden="false" outlineLevel="0" max="257" min="37" style="106" width="9.32"/>
  </cols>
  <sheetData>
    <row r="1" customFormat="false" ht="14.1" hidden="false" customHeight="true" outlineLevel="0" collapsed="false">
      <c r="A1" s="113"/>
      <c r="B1" s="113"/>
      <c r="C1" s="114"/>
      <c r="D1" s="113"/>
      <c r="E1" s="114"/>
      <c r="F1" s="113"/>
      <c r="G1" s="113"/>
      <c r="H1" s="426"/>
      <c r="I1" s="113"/>
      <c r="J1" s="113"/>
      <c r="K1" s="116" t="s">
        <v>0</v>
      </c>
      <c r="L1" s="113"/>
      <c r="M1" s="113"/>
      <c r="N1" s="113"/>
      <c r="O1" s="113"/>
      <c r="P1" s="113"/>
      <c r="Q1" s="113"/>
      <c r="R1" s="113"/>
      <c r="S1" s="113"/>
      <c r="T1" s="113"/>
      <c r="U1" s="114"/>
      <c r="V1" s="113"/>
      <c r="W1" s="113"/>
      <c r="X1" s="113"/>
      <c r="Y1" s="114"/>
      <c r="Z1" s="113"/>
      <c r="AA1" s="113"/>
      <c r="AB1" s="113"/>
      <c r="AC1" s="117"/>
      <c r="AD1" s="119"/>
      <c r="AE1" s="119"/>
      <c r="AF1" s="120"/>
      <c r="AG1" s="201"/>
      <c r="AH1" s="220"/>
    </row>
    <row r="2" customFormat="false" ht="14.1" hidden="false" customHeight="true" outlineLevel="0" collapsed="false">
      <c r="A2" s="113" t="s">
        <v>1</v>
      </c>
      <c r="B2" s="113"/>
      <c r="C2" s="114"/>
      <c r="D2" s="121" t="n">
        <v>1.9835</v>
      </c>
      <c r="E2" s="114"/>
      <c r="F2" s="113"/>
      <c r="G2" s="113"/>
      <c r="H2" s="426"/>
      <c r="I2" s="113"/>
      <c r="J2" s="113"/>
      <c r="K2" s="122" t="s">
        <v>118</v>
      </c>
      <c r="L2" s="122"/>
      <c r="M2" s="122"/>
      <c r="N2" s="122"/>
      <c r="O2" s="122"/>
      <c r="P2" s="122"/>
      <c r="Q2" s="122"/>
      <c r="R2" s="122"/>
      <c r="S2" s="122"/>
      <c r="T2" s="122"/>
      <c r="U2" s="122"/>
      <c r="V2" s="122"/>
      <c r="W2" s="122"/>
      <c r="X2" s="113"/>
      <c r="Y2" s="114"/>
      <c r="Z2" s="113"/>
      <c r="AA2" s="113"/>
      <c r="AB2" s="113"/>
      <c r="AC2" s="117"/>
      <c r="AD2" s="119"/>
      <c r="AE2" s="119"/>
      <c r="AF2" s="120"/>
      <c r="AG2" s="201"/>
      <c r="AH2" s="220"/>
    </row>
    <row r="3" customFormat="false" ht="14.1" hidden="false" customHeight="true" outlineLevel="0" collapsed="false">
      <c r="A3" s="123"/>
      <c r="B3" s="123"/>
      <c r="C3" s="124"/>
      <c r="D3" s="125"/>
      <c r="E3" s="124"/>
      <c r="F3" s="123"/>
      <c r="G3" s="123"/>
      <c r="H3" s="427"/>
      <c r="I3" s="123"/>
      <c r="J3" s="123"/>
      <c r="K3" s="123"/>
      <c r="L3" s="123"/>
      <c r="M3" s="123"/>
      <c r="N3" s="123"/>
      <c r="O3" s="123"/>
      <c r="P3" s="123"/>
      <c r="Q3" s="123"/>
      <c r="R3" s="123"/>
      <c r="S3" s="123"/>
      <c r="T3" s="123"/>
      <c r="U3" s="124"/>
      <c r="V3" s="123"/>
      <c r="W3" s="123"/>
      <c r="X3" s="123"/>
      <c r="Y3" s="124"/>
      <c r="Z3" s="123"/>
      <c r="AA3" s="123"/>
      <c r="AB3" s="123"/>
      <c r="AC3" s="127"/>
      <c r="AD3" s="129"/>
      <c r="AE3" s="129"/>
      <c r="AF3" s="130"/>
      <c r="AG3" s="203"/>
      <c r="AH3" s="221"/>
      <c r="AI3" s="428"/>
      <c r="AJ3" s="131"/>
    </row>
    <row r="4" customFormat="false" ht="14.1" hidden="false" customHeight="true" outlineLevel="0" collapsed="false">
      <c r="A4" s="113"/>
      <c r="B4" s="132"/>
      <c r="C4" s="133"/>
      <c r="D4" s="204" t="s">
        <v>3</v>
      </c>
      <c r="E4" s="133"/>
      <c r="F4" s="135"/>
      <c r="G4" s="113"/>
      <c r="H4" s="426"/>
      <c r="I4" s="113"/>
      <c r="J4" s="113"/>
      <c r="K4" s="113"/>
      <c r="L4" s="113"/>
      <c r="M4" s="113"/>
      <c r="N4" s="113"/>
      <c r="O4" s="113"/>
      <c r="P4" s="113"/>
      <c r="Q4" s="113"/>
      <c r="R4" s="113"/>
      <c r="S4" s="136" t="s">
        <v>4</v>
      </c>
      <c r="T4" s="113"/>
      <c r="U4" s="114"/>
      <c r="V4" s="113"/>
      <c r="W4" s="113"/>
      <c r="X4" s="113"/>
      <c r="Y4" s="114"/>
      <c r="Z4" s="113"/>
      <c r="AA4" s="113"/>
      <c r="AB4" s="113"/>
      <c r="AC4" s="117"/>
      <c r="AD4" s="429"/>
      <c r="AE4" s="138" t="s">
        <v>5</v>
      </c>
      <c r="AF4" s="139"/>
      <c r="AG4" s="201"/>
      <c r="AH4" s="220"/>
      <c r="AI4" s="416" t="s">
        <v>93</v>
      </c>
    </row>
    <row r="5" customFormat="false" ht="11.1" hidden="false" customHeight="true" outlineLevel="0" collapsed="false">
      <c r="A5" s="140" t="s">
        <v>6</v>
      </c>
      <c r="B5" s="141" t="s">
        <v>7</v>
      </c>
      <c r="C5" s="142" t="s">
        <v>7</v>
      </c>
      <c r="D5" s="140" t="s">
        <v>8</v>
      </c>
      <c r="E5" s="142" t="s">
        <v>9</v>
      </c>
      <c r="F5" s="143" t="s">
        <v>10</v>
      </c>
      <c r="G5" s="140" t="s">
        <v>11</v>
      </c>
      <c r="H5" s="430" t="s">
        <v>12</v>
      </c>
      <c r="I5" s="140" t="s">
        <v>97</v>
      </c>
      <c r="J5" s="140" t="s">
        <v>14</v>
      </c>
      <c r="K5" s="140" t="s">
        <v>15</v>
      </c>
      <c r="L5" s="140" t="s">
        <v>14</v>
      </c>
      <c r="M5" s="145" t="s">
        <v>16</v>
      </c>
      <c r="N5" s="145"/>
      <c r="O5" s="145"/>
      <c r="P5" s="145"/>
      <c r="Q5" s="145"/>
      <c r="R5" s="145"/>
      <c r="S5" s="140" t="s">
        <v>17</v>
      </c>
      <c r="T5" s="140" t="s">
        <v>18</v>
      </c>
      <c r="U5" s="140" t="s">
        <v>15</v>
      </c>
      <c r="V5" s="158" t="s">
        <v>19</v>
      </c>
      <c r="W5" s="158" t="s">
        <v>19</v>
      </c>
      <c r="X5" s="140" t="s">
        <v>20</v>
      </c>
      <c r="Y5" s="140" t="s">
        <v>21</v>
      </c>
      <c r="Z5" s="142" t="s">
        <v>98</v>
      </c>
      <c r="AA5" s="140" t="s">
        <v>97</v>
      </c>
      <c r="AB5" s="140" t="s">
        <v>14</v>
      </c>
      <c r="AC5" s="140" t="s">
        <v>15</v>
      </c>
      <c r="AD5" s="360" t="s">
        <v>23</v>
      </c>
      <c r="AE5" s="147" t="s">
        <v>24</v>
      </c>
      <c r="AF5" s="148" t="s">
        <v>25</v>
      </c>
      <c r="AG5" s="147" t="s">
        <v>64</v>
      </c>
      <c r="AH5" s="417" t="s">
        <v>19</v>
      </c>
      <c r="AI5" s="418" t="s">
        <v>19</v>
      </c>
      <c r="AJ5" s="207" t="s">
        <v>99</v>
      </c>
    </row>
    <row r="6" customFormat="false" ht="11.1" hidden="false" customHeight="true" outlineLevel="0" collapsed="false">
      <c r="A6" s="150" t="s">
        <v>119</v>
      </c>
      <c r="B6" s="141" t="s">
        <v>28</v>
      </c>
      <c r="C6" s="142" t="s">
        <v>8</v>
      </c>
      <c r="D6" s="140" t="s">
        <v>29</v>
      </c>
      <c r="E6" s="142" t="s">
        <v>30</v>
      </c>
      <c r="F6" s="143" t="s">
        <v>31</v>
      </c>
      <c r="G6" s="140" t="s">
        <v>32</v>
      </c>
      <c r="H6" s="430" t="s">
        <v>101</v>
      </c>
      <c r="I6" s="140" t="s">
        <v>34</v>
      </c>
      <c r="J6" s="140" t="s">
        <v>34</v>
      </c>
      <c r="K6" s="140" t="s">
        <v>34</v>
      </c>
      <c r="L6" s="140" t="s">
        <v>35</v>
      </c>
      <c r="M6" s="151" t="s">
        <v>36</v>
      </c>
      <c r="N6" s="140" t="s">
        <v>37</v>
      </c>
      <c r="O6" s="140" t="s">
        <v>38</v>
      </c>
      <c r="P6" s="140" t="s">
        <v>102</v>
      </c>
      <c r="Q6" s="140" t="s">
        <v>103</v>
      </c>
      <c r="R6" s="152" t="s">
        <v>103</v>
      </c>
      <c r="S6" s="140" t="s">
        <v>40</v>
      </c>
      <c r="T6" s="140" t="s">
        <v>41</v>
      </c>
      <c r="U6" s="140" t="s">
        <v>19</v>
      </c>
      <c r="V6" s="158" t="s">
        <v>80</v>
      </c>
      <c r="W6" s="158" t="s">
        <v>104</v>
      </c>
      <c r="X6" s="140" t="s">
        <v>43</v>
      </c>
      <c r="Y6" s="140" t="s">
        <v>44</v>
      </c>
      <c r="Z6" s="142" t="s">
        <v>105</v>
      </c>
      <c r="AA6" s="140" t="s">
        <v>46</v>
      </c>
      <c r="AB6" s="140" t="s">
        <v>46</v>
      </c>
      <c r="AC6" s="140" t="s">
        <v>46</v>
      </c>
      <c r="AD6" s="363"/>
      <c r="AE6" s="147" t="s">
        <v>47</v>
      </c>
      <c r="AF6" s="148" t="s">
        <v>47</v>
      </c>
      <c r="AG6" s="154" t="s">
        <v>42</v>
      </c>
      <c r="AH6" s="417" t="s">
        <v>42</v>
      </c>
      <c r="AI6" s="418" t="s">
        <v>42</v>
      </c>
      <c r="AJ6" s="207" t="s">
        <v>90</v>
      </c>
    </row>
    <row r="7" customFormat="false" ht="11.1" hidden="false" customHeight="true" outlineLevel="0" collapsed="false">
      <c r="A7" s="155"/>
      <c r="B7" s="156"/>
      <c r="C7" s="157"/>
      <c r="D7" s="155"/>
      <c r="E7" s="158" t="s">
        <v>48</v>
      </c>
      <c r="F7" s="159"/>
      <c r="G7" s="155"/>
      <c r="H7" s="426"/>
      <c r="I7" s="155"/>
      <c r="J7" s="155"/>
      <c r="K7" s="155"/>
      <c r="L7" s="155"/>
      <c r="M7" s="161"/>
      <c r="N7" s="155" t="n">
        <v>360</v>
      </c>
      <c r="O7" s="157" t="n">
        <f aca="false">11896+687</f>
        <v>12583</v>
      </c>
      <c r="P7" s="155"/>
      <c r="Q7" s="155"/>
      <c r="R7" s="431" t="s">
        <v>104</v>
      </c>
      <c r="S7" s="155"/>
      <c r="T7" s="155"/>
      <c r="U7" s="155"/>
      <c r="V7" s="158" t="s">
        <v>120</v>
      </c>
      <c r="W7" s="388" t="n">
        <f aca="false">6517+60</f>
        <v>6577</v>
      </c>
      <c r="X7" s="157" t="n">
        <f aca="false">30120-60</f>
        <v>30060</v>
      </c>
      <c r="Y7" s="155"/>
      <c r="Z7" s="157"/>
      <c r="AA7" s="155"/>
      <c r="AB7" s="155"/>
      <c r="AC7" s="155"/>
      <c r="AD7" s="365"/>
      <c r="AE7" s="154" t="s">
        <v>50</v>
      </c>
      <c r="AF7" s="164"/>
      <c r="AG7" s="120"/>
      <c r="AH7" s="420" t="s">
        <v>51</v>
      </c>
      <c r="AI7" s="421" t="s">
        <v>83</v>
      </c>
      <c r="AJ7" s="211" t="s">
        <v>106</v>
      </c>
    </row>
    <row r="8" customFormat="false" ht="11.1" hidden="false" customHeight="true" outlineLevel="0" collapsed="false">
      <c r="A8" s="155"/>
      <c r="B8" s="156"/>
      <c r="C8" s="157"/>
      <c r="D8" s="155"/>
      <c r="E8" s="157"/>
      <c r="F8" s="159"/>
      <c r="G8" s="155"/>
      <c r="H8" s="426"/>
      <c r="I8" s="155"/>
      <c r="J8" s="155"/>
      <c r="K8" s="155"/>
      <c r="L8" s="155"/>
      <c r="M8" s="161"/>
      <c r="N8" s="155"/>
      <c r="O8" s="155"/>
      <c r="P8" s="155"/>
      <c r="Q8" s="155"/>
      <c r="R8" s="162"/>
      <c r="S8" s="155"/>
      <c r="T8" s="155"/>
      <c r="U8" s="155"/>
      <c r="V8" s="157"/>
      <c r="W8" s="157" t="n">
        <f aca="false">W7/1.9835</f>
        <v>3315.8558104361</v>
      </c>
      <c r="X8" s="155"/>
      <c r="Y8" s="155"/>
      <c r="Z8" s="157"/>
      <c r="AA8" s="155"/>
      <c r="AB8" s="155"/>
      <c r="AC8" s="155"/>
      <c r="AD8" s="365"/>
      <c r="AE8" s="120"/>
      <c r="AF8" s="164"/>
      <c r="AG8" s="120"/>
      <c r="AH8" s="367"/>
      <c r="AI8" s="367"/>
      <c r="AJ8" s="214"/>
    </row>
    <row r="9" customFormat="false" ht="11.1" hidden="false" customHeight="true" outlineLevel="0" collapsed="false">
      <c r="A9" s="113" t="s">
        <v>52</v>
      </c>
      <c r="B9" s="165"/>
      <c r="C9" s="114"/>
      <c r="D9" s="114"/>
      <c r="E9" s="114"/>
      <c r="F9" s="166" t="n">
        <f aca="false">SEP!F46</f>
        <v>2951.34862616586</v>
      </c>
      <c r="G9" s="114" t="n">
        <f aca="false">SEP!G46</f>
        <v>83146</v>
      </c>
      <c r="H9" s="432" t="n">
        <f aca="false">SEP!H46</f>
        <v>1046.76</v>
      </c>
      <c r="I9" s="114" t="n">
        <f aca="false">SEP!I46</f>
        <v>84192.76</v>
      </c>
      <c r="J9" s="114" t="n">
        <f aca="false">SEP!J46</f>
        <v>5994.80539198387</v>
      </c>
      <c r="K9" s="114" t="n">
        <f aca="false">SEP!K46</f>
        <v>90187.5653919839</v>
      </c>
      <c r="L9" s="114" t="n">
        <f aca="false">SEP!L46</f>
        <v>-991.361373834131</v>
      </c>
      <c r="M9" s="167" t="n">
        <f aca="false">SEP!M46</f>
        <v>30448.38</v>
      </c>
      <c r="N9" s="114" t="n">
        <f aca="false">SEP!N46</f>
        <v>60.81</v>
      </c>
      <c r="O9" s="114" t="n">
        <f aca="false">SEP!O46</f>
        <v>5612.318525</v>
      </c>
      <c r="P9" s="114"/>
      <c r="Q9" s="114"/>
      <c r="R9" s="168"/>
      <c r="S9" s="114" t="n">
        <f aca="false">SEP!S46</f>
        <v>21545.8</v>
      </c>
      <c r="T9" s="114" t="n">
        <f aca="false">SEP!T46</f>
        <v>9877.8</v>
      </c>
      <c r="U9" s="114" t="n">
        <f aca="false">SEP!U46</f>
        <v>55526.745975</v>
      </c>
      <c r="V9" s="114" t="n">
        <f aca="false">SEP!V46</f>
        <v>0</v>
      </c>
      <c r="W9" s="114" t="n">
        <f aca="false">SEP!W46</f>
        <v>2902.5673104361</v>
      </c>
      <c r="X9" s="114" t="n">
        <f aca="false">SEP!X46</f>
        <v>14084.05</v>
      </c>
      <c r="Y9" s="114" t="n">
        <f aca="false">SEP!Y46</f>
        <v>4364</v>
      </c>
      <c r="Z9" s="114"/>
      <c r="AA9" s="114" t="n">
        <f aca="false">SEP!AA46</f>
        <v>80250.05</v>
      </c>
      <c r="AB9" s="114" t="n">
        <f aca="false">SEP!AB46</f>
        <v>6986.166765818</v>
      </c>
      <c r="AC9" s="114" t="n">
        <f aca="false">SEP!AC46</f>
        <v>87236.216765818</v>
      </c>
      <c r="AD9" s="365"/>
      <c r="AE9" s="119"/>
      <c r="AF9" s="169"/>
      <c r="AG9" s="120"/>
      <c r="AH9" s="367"/>
      <c r="AI9" s="367" t="n">
        <f aca="false">SEP!AI46</f>
        <v>1241.62397522383</v>
      </c>
      <c r="AJ9" s="392" t="n">
        <f aca="false">SEP!AJ46</f>
        <v>596.53</v>
      </c>
    </row>
    <row r="10" s="107" customFormat="true" ht="11.1" hidden="false" customHeight="true" outlineLevel="0" collapsed="false">
      <c r="A10" s="114" t="s">
        <v>53</v>
      </c>
      <c r="B10" s="170" t="n">
        <f aca="false">SEP!B41</f>
        <v>6866.55</v>
      </c>
      <c r="C10" s="114" t="n">
        <f aca="false">SEP!C41</f>
        <v>178839</v>
      </c>
      <c r="D10" s="114" t="n">
        <f aca="false">SEP!D50</f>
        <v>22272</v>
      </c>
      <c r="E10" s="114" t="n">
        <f aca="false">SEP!E50</f>
        <v>26861</v>
      </c>
      <c r="F10" s="166" t="n">
        <f aca="false">SEP!F49</f>
        <v>11228.6362490547</v>
      </c>
      <c r="G10" s="114" t="n">
        <f aca="false">SEP!G49</f>
        <v>90700</v>
      </c>
      <c r="H10" s="432" t="n">
        <f aca="false">SEP!H49</f>
        <v>1329.5</v>
      </c>
      <c r="I10" s="114" t="n">
        <f aca="false">SEP!I49</f>
        <v>92029.5</v>
      </c>
      <c r="J10" s="114" t="n">
        <f aca="false">SEP!J49</f>
        <v>10473.5591630955</v>
      </c>
      <c r="K10" s="114" t="n">
        <f aca="false">SEP!K49</f>
        <v>102503.059163096</v>
      </c>
      <c r="L10" s="114" t="n">
        <f aca="false">SEP!L49</f>
        <v>2852.8762490547</v>
      </c>
      <c r="M10" s="167" t="n">
        <f aca="false">SEP!M49</f>
        <v>31405.2</v>
      </c>
      <c r="N10" s="114" t="n">
        <f aca="false">SEP!N49</f>
        <v>60.81</v>
      </c>
      <c r="O10" s="114" t="n">
        <f aca="false">SEP!O49</f>
        <v>5612.318525</v>
      </c>
      <c r="P10" s="114" t="n">
        <f aca="false">SEP!P49</f>
        <v>134.84</v>
      </c>
      <c r="Q10" s="114" t="n">
        <f aca="false">SEP!Q49</f>
        <v>251.85</v>
      </c>
      <c r="R10" s="168" t="n">
        <f aca="false">SEP!R49</f>
        <v>217.063</v>
      </c>
      <c r="S10" s="114" t="n">
        <f aca="false">SEP!S49</f>
        <v>21607.8</v>
      </c>
      <c r="T10" s="114" t="n">
        <f aca="false">SEP!T49</f>
        <v>9928.8</v>
      </c>
      <c r="U10" s="114" t="n">
        <f aca="false">SEP!U49</f>
        <v>56664.918475</v>
      </c>
      <c r="V10" s="114"/>
      <c r="W10" s="114" t="n">
        <f aca="false">SEP!W49</f>
        <v>2902.5673104361</v>
      </c>
      <c r="X10" s="114" t="n">
        <f aca="false">SEP!X49</f>
        <v>14084.05</v>
      </c>
      <c r="Y10" s="114" t="n">
        <f aca="false">SEP!Y49</f>
        <v>6627.89</v>
      </c>
      <c r="Z10" s="114" t="n">
        <f aca="false">SEP!Z49</f>
        <v>3877.49231157046</v>
      </c>
      <c r="AA10" s="114" t="n">
        <f aca="false">SEP!AA49</f>
        <v>83653.74</v>
      </c>
      <c r="AB10" s="114" t="n">
        <f aca="false">SEP!AB49</f>
        <v>7620.68291404084</v>
      </c>
      <c r="AC10" s="114" t="n">
        <f aca="false">SEP!AC49</f>
        <v>91274.4229140408</v>
      </c>
      <c r="AD10" s="369" t="n">
        <f aca="false">SEP!AD49</f>
        <v>10.74</v>
      </c>
      <c r="AE10" s="119"/>
      <c r="AF10" s="169"/>
      <c r="AG10" s="120"/>
      <c r="AH10" s="367"/>
      <c r="AI10" s="367" t="n">
        <f aca="false">SEP!AI49</f>
        <v>1241.62397522383</v>
      </c>
      <c r="AJ10" s="214"/>
    </row>
    <row r="11" customFormat="false" ht="3" hidden="false" customHeight="true" outlineLevel="0" collapsed="false">
      <c r="A11" s="171"/>
      <c r="B11" s="172"/>
      <c r="C11" s="173"/>
      <c r="D11" s="171"/>
      <c r="E11" s="173"/>
      <c r="F11" s="174"/>
      <c r="G11" s="171"/>
      <c r="H11" s="433"/>
      <c r="I11" s="171"/>
      <c r="J11" s="171"/>
      <c r="K11" s="171"/>
      <c r="L11" s="171"/>
      <c r="M11" s="176"/>
      <c r="N11" s="171"/>
      <c r="O11" s="171"/>
      <c r="P11" s="171"/>
      <c r="Q11" s="171"/>
      <c r="R11" s="177"/>
      <c r="S11" s="171"/>
      <c r="T11" s="171"/>
      <c r="U11" s="171"/>
      <c r="V11" s="173"/>
      <c r="W11" s="173"/>
      <c r="X11" s="171"/>
      <c r="Y11" s="171"/>
      <c r="Z11" s="173"/>
      <c r="AA11" s="171"/>
      <c r="AB11" s="171"/>
      <c r="AC11" s="171"/>
      <c r="AD11" s="370"/>
      <c r="AE11" s="179"/>
      <c r="AF11" s="180"/>
      <c r="AG11" s="181"/>
      <c r="AH11" s="232"/>
      <c r="AI11" s="232"/>
      <c r="AJ11" s="309"/>
    </row>
    <row r="12" customFormat="false" ht="11.1" hidden="false" customHeight="true" outlineLevel="0" collapsed="false">
      <c r="A12" s="120" t="n">
        <v>1</v>
      </c>
      <c r="B12" s="170" t="n">
        <v>6866.23</v>
      </c>
      <c r="C12" s="114" t="n">
        <v>178028</v>
      </c>
      <c r="D12" s="119" t="n">
        <f aca="false">C12-C10</f>
        <v>-811</v>
      </c>
      <c r="E12" s="114" t="n">
        <f aca="false">C12-152000</f>
        <v>26028</v>
      </c>
      <c r="F12" s="182" t="n">
        <f aca="false">D12/$D$2</f>
        <v>-408.873203932443</v>
      </c>
      <c r="G12" s="183" t="n">
        <v>74</v>
      </c>
      <c r="H12" s="434" t="n">
        <v>0</v>
      </c>
      <c r="I12" s="113" t="n">
        <f aca="false">G12+H12</f>
        <v>74</v>
      </c>
      <c r="J12" s="185" t="n">
        <f aca="false">IF(L12&gt;0,L12,0)</f>
        <v>0</v>
      </c>
      <c r="K12" s="113" t="n">
        <f aca="false">I12+J12</f>
        <v>74</v>
      </c>
      <c r="L12" s="113" t="n">
        <f aca="false">F12-(I12-AA12)</f>
        <v>-116.233203932443</v>
      </c>
      <c r="M12" s="186" t="n">
        <v>172</v>
      </c>
      <c r="N12" s="113" t="n">
        <v>1</v>
      </c>
      <c r="O12" s="113" t="n">
        <f aca="false">52.42*1.05</f>
        <v>55.041</v>
      </c>
      <c r="P12" s="197" t="n">
        <v>1.88</v>
      </c>
      <c r="Q12" s="435" t="n">
        <v>4.2</v>
      </c>
      <c r="R12" s="436" t="n">
        <v>4.12</v>
      </c>
      <c r="S12" s="183" t="n">
        <v>119</v>
      </c>
      <c r="T12" s="183" t="n">
        <v>57</v>
      </c>
      <c r="U12" s="113" t="n">
        <f aca="false">M12-N12-O12-P12-Q12-R12+S12+T12</f>
        <v>281.759</v>
      </c>
      <c r="V12" s="114" t="n">
        <v>0</v>
      </c>
      <c r="W12" s="114" t="n">
        <f aca="false">W9+AH12</f>
        <v>2688.7283104361</v>
      </c>
      <c r="X12" s="113" t="n">
        <v>8.84</v>
      </c>
      <c r="Y12" s="183" t="n">
        <v>20</v>
      </c>
      <c r="Z12" s="114" t="n">
        <f aca="false">Z10-Y12</f>
        <v>3857.49231157046</v>
      </c>
      <c r="AA12" s="6" t="n">
        <f aca="false">N12+O12+U12+X12+Y12</f>
        <v>366.64</v>
      </c>
      <c r="AB12" s="113" t="n">
        <f aca="false">IF(L12&lt;0,L12*-1,0)</f>
        <v>116.233203932443</v>
      </c>
      <c r="AC12" s="113" t="n">
        <f aca="false">AA12+AB12</f>
        <v>482.873203932443</v>
      </c>
      <c r="AD12" s="365" t="n">
        <v>0</v>
      </c>
      <c r="AE12" s="119" t="n">
        <v>81</v>
      </c>
      <c r="AF12" s="169" t="n">
        <v>48</v>
      </c>
      <c r="AG12" s="120" t="n">
        <v>0</v>
      </c>
      <c r="AH12" s="367" t="n">
        <f aca="false">(I12-P12-Q12)-U12</f>
        <v>-213.839</v>
      </c>
      <c r="AI12" s="367" t="n">
        <v>0</v>
      </c>
      <c r="AJ12" s="215"/>
    </row>
    <row r="13" customFormat="false" ht="11.1" hidden="false" customHeight="true" outlineLevel="0" collapsed="false">
      <c r="A13" s="120" t="n">
        <f aca="false">A12+1</f>
        <v>2</v>
      </c>
      <c r="B13" s="170" t="n">
        <v>6866.11</v>
      </c>
      <c r="C13" s="114" t="n">
        <v>177724</v>
      </c>
      <c r="D13" s="119" t="n">
        <f aca="false">C13-C12</f>
        <v>-304</v>
      </c>
      <c r="E13" s="114" t="n">
        <f aca="false">C13-152000</f>
        <v>25724</v>
      </c>
      <c r="F13" s="182" t="n">
        <f aca="false">D13/$D$2</f>
        <v>-153.264431560373</v>
      </c>
      <c r="G13" s="183" t="n">
        <v>80</v>
      </c>
      <c r="H13" s="434" t="n">
        <v>0</v>
      </c>
      <c r="I13" s="113" t="n">
        <f aca="false">G13+H13</f>
        <v>80</v>
      </c>
      <c r="J13" s="185" t="n">
        <f aca="false">IF(L13&gt;0,L13,0)</f>
        <v>110.835568439627</v>
      </c>
      <c r="K13" s="113" t="n">
        <f aca="false">I13+J13</f>
        <v>190.835568439627</v>
      </c>
      <c r="L13" s="113" t="n">
        <f aca="false">F13-(I13-AA13)</f>
        <v>110.835568439627</v>
      </c>
      <c r="M13" s="186" t="n">
        <v>160</v>
      </c>
      <c r="N13" s="113" t="n">
        <v>0</v>
      </c>
      <c r="O13" s="113" t="n">
        <f aca="false">66.17*1.05</f>
        <v>69.4785</v>
      </c>
      <c r="P13" s="197" t="n">
        <v>1.87</v>
      </c>
      <c r="Q13" s="435" t="n">
        <v>4.2</v>
      </c>
      <c r="R13" s="436" t="n">
        <v>4.83</v>
      </c>
      <c r="S13" s="183" t="n">
        <v>118</v>
      </c>
      <c r="T13" s="183" t="n">
        <v>57</v>
      </c>
      <c r="U13" s="113" t="n">
        <f aca="false">M13-N13-O13-P13-Q13-R13+S13+T13</f>
        <v>254.6215</v>
      </c>
      <c r="V13" s="114" t="n">
        <v>0</v>
      </c>
      <c r="W13" s="114" t="n">
        <f aca="false">W12+AH13</f>
        <v>2508.0368104361</v>
      </c>
      <c r="X13" s="113" t="n">
        <v>0</v>
      </c>
      <c r="Y13" s="183" t="n">
        <v>20</v>
      </c>
      <c r="Z13" s="114" t="n">
        <f aca="false">Z12-Y13</f>
        <v>3837.49231157046</v>
      </c>
      <c r="AA13" s="6" t="n">
        <f aca="false">N13+O13+U13+X13+Y13</f>
        <v>344.1</v>
      </c>
      <c r="AB13" s="113" t="n">
        <f aca="false">IF(L13&lt;0,L13*-1,0)</f>
        <v>0</v>
      </c>
      <c r="AC13" s="113" t="n">
        <f aca="false">AA13+AB13</f>
        <v>344.1</v>
      </c>
      <c r="AD13" s="365" t="n">
        <v>0.25</v>
      </c>
      <c r="AE13" s="119" t="n">
        <v>62</v>
      </c>
      <c r="AF13" s="169" t="n">
        <v>47</v>
      </c>
      <c r="AG13" s="120" t="n">
        <v>0</v>
      </c>
      <c r="AH13" s="367" t="n">
        <f aca="false">(I13-P13-Q13)-U13</f>
        <v>-180.6915</v>
      </c>
      <c r="AI13" s="367" t="n">
        <v>0</v>
      </c>
      <c r="AJ13" s="215"/>
    </row>
    <row r="14" customFormat="false" ht="11.1" hidden="false" customHeight="true" outlineLevel="0" collapsed="false">
      <c r="A14" s="120" t="n">
        <f aca="false">A13+1</f>
        <v>3</v>
      </c>
      <c r="B14" s="170" t="n">
        <v>6866.01</v>
      </c>
      <c r="C14" s="114" t="n">
        <v>177471</v>
      </c>
      <c r="D14" s="119" t="n">
        <f aca="false">C14-C13</f>
        <v>-253</v>
      </c>
      <c r="E14" s="114" t="n">
        <f aca="false">C14-152000</f>
        <v>25471</v>
      </c>
      <c r="F14" s="182" t="n">
        <f aca="false">D14/$D$2</f>
        <v>-127.552306528863</v>
      </c>
      <c r="G14" s="183" t="n">
        <v>142</v>
      </c>
      <c r="H14" s="434" t="n">
        <v>0</v>
      </c>
      <c r="I14" s="113" t="n">
        <f aca="false">G14+H14</f>
        <v>142</v>
      </c>
      <c r="J14" s="185" t="n">
        <f aca="false">IF(L14&gt;0,L14,0)</f>
        <v>28.2376934711368</v>
      </c>
      <c r="K14" s="113" t="n">
        <f aca="false">I14+J14</f>
        <v>170.237693471137</v>
      </c>
      <c r="L14" s="113" t="n">
        <f aca="false">F14-(I14-AA14)</f>
        <v>28.2376934711368</v>
      </c>
      <c r="M14" s="186" t="n">
        <v>118</v>
      </c>
      <c r="N14" s="113" t="n">
        <v>0</v>
      </c>
      <c r="O14" s="113" t="n">
        <f aca="false">33.5*1.05</f>
        <v>35.175</v>
      </c>
      <c r="P14" s="197" t="n">
        <v>1.69</v>
      </c>
      <c r="Q14" s="435" t="n">
        <v>4.2</v>
      </c>
      <c r="R14" s="436" t="n">
        <v>4.32</v>
      </c>
      <c r="S14" s="183" t="n">
        <v>113</v>
      </c>
      <c r="T14" s="183" t="n">
        <v>57</v>
      </c>
      <c r="U14" s="113" t="n">
        <f aca="false">M14-N14-O14-P14-Q14-R14+S14+T14</f>
        <v>242.615</v>
      </c>
      <c r="V14" s="114" t="n">
        <v>0</v>
      </c>
      <c r="W14" s="114" t="n">
        <f aca="false">W13+AH14</f>
        <v>2401.5318104361</v>
      </c>
      <c r="X14" s="113" t="n">
        <v>0</v>
      </c>
      <c r="Y14" s="183" t="n">
        <v>20</v>
      </c>
      <c r="Z14" s="114" t="n">
        <f aca="false">Z13-Y14</f>
        <v>3817.49231157046</v>
      </c>
      <c r="AA14" s="6" t="n">
        <f aca="false">N14+O14+U14+X14+Y14</f>
        <v>297.79</v>
      </c>
      <c r="AB14" s="113" t="n">
        <f aca="false">IF(L14&lt;0,L14*-1,0)</f>
        <v>0</v>
      </c>
      <c r="AC14" s="113" t="n">
        <f aca="false">AA14+AB14</f>
        <v>297.79</v>
      </c>
      <c r="AD14" s="365" t="n">
        <v>0.04</v>
      </c>
      <c r="AE14" s="119" t="n">
        <v>57</v>
      </c>
      <c r="AF14" s="169" t="n">
        <v>44</v>
      </c>
      <c r="AG14" s="120" t="n">
        <v>0</v>
      </c>
      <c r="AH14" s="367" t="n">
        <f aca="false">(I14-P14-Q14)-U14</f>
        <v>-106.505</v>
      </c>
      <c r="AI14" s="367" t="n">
        <v>0</v>
      </c>
      <c r="AJ14" s="215"/>
    </row>
    <row r="15" customFormat="false" ht="11.1" hidden="false" customHeight="true" outlineLevel="0" collapsed="false">
      <c r="A15" s="120" t="n">
        <f aca="false">A14+1</f>
        <v>4</v>
      </c>
      <c r="B15" s="170" t="n">
        <v>6865.9</v>
      </c>
      <c r="C15" s="114" t="n">
        <v>177196</v>
      </c>
      <c r="D15" s="119" t="n">
        <f aca="false">C15-C14</f>
        <v>-275</v>
      </c>
      <c r="E15" s="114" t="n">
        <f aca="false">C15-152000</f>
        <v>25196</v>
      </c>
      <c r="F15" s="182" t="n">
        <f aca="false">D15/$D$2</f>
        <v>-138.643811444416</v>
      </c>
      <c r="G15" s="183" t="n">
        <v>135</v>
      </c>
      <c r="H15" s="434" t="n">
        <v>0</v>
      </c>
      <c r="I15" s="113" t="n">
        <f aca="false">G15+H15</f>
        <v>135</v>
      </c>
      <c r="J15" s="185" t="n">
        <f aca="false">IF(L15&gt;0,L15,0)</f>
        <v>0</v>
      </c>
      <c r="K15" s="113" t="n">
        <f aca="false">I15+J15</f>
        <v>135</v>
      </c>
      <c r="L15" s="113" t="n">
        <f aca="false">F15-(I15-AA15)</f>
        <v>-13.7038114444164</v>
      </c>
      <c r="M15" s="186" t="n">
        <v>88</v>
      </c>
      <c r="N15" s="113" t="n">
        <v>0</v>
      </c>
      <c r="O15" s="113" t="n">
        <f aca="false">9.46*1.05</f>
        <v>9.933</v>
      </c>
      <c r="P15" s="197" t="n">
        <v>1.7</v>
      </c>
      <c r="Q15" s="435" t="n">
        <v>4.2</v>
      </c>
      <c r="R15" s="436" t="n">
        <v>4.16</v>
      </c>
      <c r="S15" s="183" t="n">
        <v>107</v>
      </c>
      <c r="T15" s="183" t="n">
        <v>55</v>
      </c>
      <c r="U15" s="113" t="n">
        <f aca="false">M15-N15-O15-P15-Q15-R15+S15+T15</f>
        <v>230.007</v>
      </c>
      <c r="V15" s="114" t="n">
        <v>0</v>
      </c>
      <c r="W15" s="114" t="n">
        <f aca="false">W14+AH15</f>
        <v>2300.6248104361</v>
      </c>
      <c r="X15" s="113" t="n">
        <v>0</v>
      </c>
      <c r="Y15" s="183" t="n">
        <v>20</v>
      </c>
      <c r="Z15" s="114" t="n">
        <f aca="false">Z14-Y15</f>
        <v>3797.49231157046</v>
      </c>
      <c r="AA15" s="6" t="n">
        <f aca="false">N15+O15+U15+X15+Y15</f>
        <v>259.94</v>
      </c>
      <c r="AB15" s="113" t="n">
        <f aca="false">IF(L15&lt;0,L15*-1,0)</f>
        <v>13.7038114444164</v>
      </c>
      <c r="AC15" s="113" t="n">
        <f aca="false">AA15+AB15</f>
        <v>273.643811444416</v>
      </c>
      <c r="AD15" s="365" t="n">
        <v>0.01</v>
      </c>
      <c r="AE15" s="119" t="n">
        <v>62</v>
      </c>
      <c r="AF15" s="169" t="n">
        <v>44</v>
      </c>
      <c r="AG15" s="120" t="n">
        <v>0</v>
      </c>
      <c r="AH15" s="367" t="n">
        <f aca="false">(I15-P15-Q15)-U15</f>
        <v>-100.907</v>
      </c>
      <c r="AI15" s="367" t="n">
        <v>0</v>
      </c>
      <c r="AJ15" s="215"/>
    </row>
    <row r="16" customFormat="false" ht="11.1" hidden="false" customHeight="true" outlineLevel="0" collapsed="false">
      <c r="A16" s="120" t="n">
        <f aca="false">A15+1</f>
        <v>5</v>
      </c>
      <c r="B16" s="170" t="n">
        <v>6865.85</v>
      </c>
      <c r="C16" s="114" t="n">
        <v>177071</v>
      </c>
      <c r="D16" s="119" t="n">
        <f aca="false">C16-C15</f>
        <v>-125</v>
      </c>
      <c r="E16" s="114" t="n">
        <f aca="false">C16-152000</f>
        <v>25071</v>
      </c>
      <c r="F16" s="182" t="n">
        <f aca="false">D16/$D$2</f>
        <v>-63.0199142929166</v>
      </c>
      <c r="G16" s="183" t="n">
        <v>130</v>
      </c>
      <c r="H16" s="434" t="n">
        <v>0</v>
      </c>
      <c r="I16" s="113" t="n">
        <f aca="false">G16+H16</f>
        <v>130</v>
      </c>
      <c r="J16" s="185" t="n">
        <f aca="false">IF(L16&gt;0,L16,0)</f>
        <v>52.6800857070835</v>
      </c>
      <c r="K16" s="113" t="n">
        <f aca="false">I16+J16</f>
        <v>182.680085707083</v>
      </c>
      <c r="L16" s="113" t="n">
        <f aca="false">F16-(I16-AA16)</f>
        <v>52.6800857070835</v>
      </c>
      <c r="M16" s="186" t="n">
        <v>79</v>
      </c>
      <c r="N16" s="113" t="n">
        <v>0</v>
      </c>
      <c r="O16" s="113" t="n">
        <f aca="false">6.76*1.05</f>
        <v>7.098</v>
      </c>
      <c r="P16" s="197" t="n">
        <v>1.89</v>
      </c>
      <c r="Q16" s="435" t="n">
        <v>4.2</v>
      </c>
      <c r="R16" s="436" t="n">
        <v>3.21</v>
      </c>
      <c r="S16" s="183" t="n">
        <v>106</v>
      </c>
      <c r="T16" s="183" t="n">
        <v>50</v>
      </c>
      <c r="U16" s="113" t="n">
        <f aca="false">M16-N16-O16-P16-Q16-R16+S16+T16</f>
        <v>218.602</v>
      </c>
      <c r="V16" s="114" t="n">
        <v>0</v>
      </c>
      <c r="W16" s="114" t="n">
        <f aca="false">W15+AH16</f>
        <v>2205.9328104361</v>
      </c>
      <c r="X16" s="113" t="n">
        <v>0</v>
      </c>
      <c r="Y16" s="183" t="n">
        <v>20</v>
      </c>
      <c r="Z16" s="114" t="n">
        <f aca="false">Z15-Y16</f>
        <v>3777.49231157046</v>
      </c>
      <c r="AA16" s="6" t="n">
        <f aca="false">N16+O16+U16+X16+Y16</f>
        <v>245.7</v>
      </c>
      <c r="AB16" s="113" t="n">
        <f aca="false">IF(L16&lt;0,L16*-1,0)</f>
        <v>0</v>
      </c>
      <c r="AC16" s="113" t="n">
        <f aca="false">AA16+AB16</f>
        <v>245.7</v>
      </c>
      <c r="AD16" s="365" t="n">
        <v>0</v>
      </c>
      <c r="AE16" s="119" t="n">
        <v>67</v>
      </c>
      <c r="AF16" s="169" t="n">
        <v>41</v>
      </c>
      <c r="AG16" s="120" t="n">
        <v>0</v>
      </c>
      <c r="AH16" s="367" t="n">
        <f aca="false">(I16-P16-Q16)-U16</f>
        <v>-94.692</v>
      </c>
      <c r="AI16" s="367" t="n">
        <v>0</v>
      </c>
      <c r="AJ16" s="215"/>
    </row>
    <row r="17" customFormat="false" ht="11.1" hidden="false" customHeight="true" outlineLevel="0" collapsed="false">
      <c r="A17" s="120" t="n">
        <f aca="false">A16+1</f>
        <v>6</v>
      </c>
      <c r="B17" s="170" t="n">
        <v>6865.7</v>
      </c>
      <c r="C17" s="114" t="n">
        <v>176697</v>
      </c>
      <c r="D17" s="119" t="n">
        <f aca="false">C17-C16</f>
        <v>-374</v>
      </c>
      <c r="E17" s="114" t="n">
        <f aca="false">C17-152000</f>
        <v>24697</v>
      </c>
      <c r="F17" s="182" t="n">
        <f aca="false">D17/$D$2</f>
        <v>-188.555583564406</v>
      </c>
      <c r="G17" s="183" t="n">
        <v>112</v>
      </c>
      <c r="H17" s="434" t="n">
        <v>0</v>
      </c>
      <c r="I17" s="113" t="n">
        <f aca="false">G17+H17</f>
        <v>112</v>
      </c>
      <c r="J17" s="185" t="n">
        <f aca="false">IF(L17&gt;0,L17,0)</f>
        <v>0</v>
      </c>
      <c r="K17" s="113" t="n">
        <f aca="false">I17+J17</f>
        <v>112</v>
      </c>
      <c r="L17" s="113" t="n">
        <f aca="false">F17-(I17-AA17)</f>
        <v>-47.6455835644063</v>
      </c>
      <c r="M17" s="186" t="n">
        <v>97</v>
      </c>
      <c r="N17" s="113" t="n">
        <v>0</v>
      </c>
      <c r="O17" s="113" t="n">
        <f aca="false">12.93*1.05</f>
        <v>13.5765</v>
      </c>
      <c r="P17" s="197" t="n">
        <v>1.82</v>
      </c>
      <c r="Q17" s="435" t="n">
        <v>4.2</v>
      </c>
      <c r="R17" s="436" t="n">
        <v>3.07</v>
      </c>
      <c r="S17" s="183" t="n">
        <v>99</v>
      </c>
      <c r="T17" s="183" t="n">
        <v>46</v>
      </c>
      <c r="U17" s="113" t="n">
        <f aca="false">M17-N17-O17-P17-Q17-R17+S17+T17</f>
        <v>219.3335</v>
      </c>
      <c r="V17" s="114" t="n">
        <v>0</v>
      </c>
      <c r="W17" s="114" t="n">
        <f aca="false">W16+AH17</f>
        <v>2092.5793104361</v>
      </c>
      <c r="X17" s="113" t="n">
        <v>0</v>
      </c>
      <c r="Y17" s="183" t="n">
        <v>20</v>
      </c>
      <c r="Z17" s="114" t="n">
        <f aca="false">Z16-Y17</f>
        <v>3757.49231157046</v>
      </c>
      <c r="AA17" s="6" t="n">
        <f aca="false">N17+O17+U17+X17+Y17</f>
        <v>252.91</v>
      </c>
      <c r="AB17" s="113" t="n">
        <f aca="false">IF(L17&lt;0,L17*-1,0)</f>
        <v>47.6455835644063</v>
      </c>
      <c r="AC17" s="113" t="n">
        <f aca="false">AA17+AB17</f>
        <v>300.555583564406</v>
      </c>
      <c r="AD17" s="365" t="n">
        <v>0</v>
      </c>
      <c r="AE17" s="119" t="n">
        <v>70</v>
      </c>
      <c r="AF17" s="169" t="n">
        <v>42</v>
      </c>
      <c r="AG17" s="120" t="n">
        <v>0</v>
      </c>
      <c r="AH17" s="367" t="n">
        <f aca="false">(I17-P17-Q17)-U17</f>
        <v>-113.3535</v>
      </c>
      <c r="AI17" s="367" t="n">
        <v>0</v>
      </c>
      <c r="AJ17" s="215"/>
    </row>
    <row r="18" customFormat="false" ht="11.1" hidden="false" customHeight="true" outlineLevel="0" collapsed="false">
      <c r="A18" s="120" t="n">
        <f aca="false">A17+1</f>
        <v>7</v>
      </c>
      <c r="B18" s="170" t="n">
        <v>6865.57</v>
      </c>
      <c r="C18" s="114" t="n">
        <v>176372</v>
      </c>
      <c r="D18" s="119" t="n">
        <f aca="false">C18-C17</f>
        <v>-325</v>
      </c>
      <c r="E18" s="114" t="n">
        <f aca="false">C18-152000</f>
        <v>24372</v>
      </c>
      <c r="F18" s="182" t="n">
        <f aca="false">D18/$D$2</f>
        <v>-163.851777161583</v>
      </c>
      <c r="G18" s="183" t="n">
        <v>105</v>
      </c>
      <c r="H18" s="434" t="n">
        <v>0</v>
      </c>
      <c r="I18" s="113" t="n">
        <f aca="false">G18+H18</f>
        <v>105</v>
      </c>
      <c r="J18" s="185" t="n">
        <f aca="false">IF(L18&gt;0,L18,0)</f>
        <v>6.15822283841695</v>
      </c>
      <c r="K18" s="113" t="n">
        <f aca="false">I18+J18</f>
        <v>111.158222838417</v>
      </c>
      <c r="L18" s="113" t="n">
        <f aca="false">F18-(I18-AA18)</f>
        <v>6.15822283841695</v>
      </c>
      <c r="M18" s="186" t="n">
        <v>134</v>
      </c>
      <c r="N18" s="113" t="n">
        <v>0</v>
      </c>
      <c r="O18" s="113" t="n">
        <f aca="false">31.7*1.05</f>
        <v>33.285</v>
      </c>
      <c r="P18" s="197" t="n">
        <v>1.74</v>
      </c>
      <c r="Q18" s="435" t="n">
        <v>4.2</v>
      </c>
      <c r="R18" s="436" t="n">
        <v>3.05</v>
      </c>
      <c r="S18" s="183" t="n">
        <v>88</v>
      </c>
      <c r="T18" s="183" t="n">
        <v>42</v>
      </c>
      <c r="U18" s="113" t="n">
        <f aca="false">M18-N18-O18-P18-Q18-R18+S18+T18</f>
        <v>221.725</v>
      </c>
      <c r="V18" s="114" t="n">
        <v>0</v>
      </c>
      <c r="W18" s="114" t="n">
        <f aca="false">W17+AH18</f>
        <v>1969.9143104361</v>
      </c>
      <c r="X18" s="113" t="n">
        <v>0</v>
      </c>
      <c r="Y18" s="183" t="n">
        <v>20</v>
      </c>
      <c r="Z18" s="114" t="n">
        <f aca="false">Z17-Y18</f>
        <v>3737.49231157046</v>
      </c>
      <c r="AA18" s="6" t="n">
        <f aca="false">N18+O18+U18+X18+Y18</f>
        <v>275.01</v>
      </c>
      <c r="AB18" s="113" t="n">
        <f aca="false">IF(L18&lt;0,L18*-1,0)</f>
        <v>0</v>
      </c>
      <c r="AC18" s="113" t="n">
        <f aca="false">AA18+AB18</f>
        <v>275.01</v>
      </c>
      <c r="AD18" s="365" t="n">
        <v>0</v>
      </c>
      <c r="AE18" s="119" t="n">
        <v>71</v>
      </c>
      <c r="AF18" s="169" t="n">
        <v>41</v>
      </c>
      <c r="AG18" s="120" t="n">
        <v>0</v>
      </c>
      <c r="AH18" s="367" t="n">
        <f aca="false">(I18-P18-Q18)-U18</f>
        <v>-122.665</v>
      </c>
      <c r="AI18" s="367" t="n">
        <v>0</v>
      </c>
      <c r="AJ18" s="215"/>
    </row>
    <row r="19" customFormat="false" ht="11.1" hidden="false" customHeight="true" outlineLevel="0" collapsed="false">
      <c r="A19" s="120" t="n">
        <f aca="false">A18+1</f>
        <v>8</v>
      </c>
      <c r="B19" s="170" t="n">
        <v>6865.43</v>
      </c>
      <c r="C19" s="114" t="n">
        <v>176023</v>
      </c>
      <c r="D19" s="119" t="n">
        <f aca="false">C19-C18</f>
        <v>-349</v>
      </c>
      <c r="E19" s="114" t="n">
        <f aca="false">C19-152000</f>
        <v>24023</v>
      </c>
      <c r="F19" s="182" t="n">
        <f aca="false">D19/$D$2</f>
        <v>-175.951600705823</v>
      </c>
      <c r="G19" s="183" t="n">
        <v>98</v>
      </c>
      <c r="H19" s="434" t="n">
        <v>0</v>
      </c>
      <c r="I19" s="113" t="n">
        <f aca="false">G19+H19</f>
        <v>98</v>
      </c>
      <c r="J19" s="185" t="n">
        <f aca="false">IF(L19&gt;0,L19,0)</f>
        <v>0</v>
      </c>
      <c r="K19" s="113" t="n">
        <f aca="false">I19+J19</f>
        <v>98</v>
      </c>
      <c r="L19" s="113" t="n">
        <f aca="false">F19-(I19-AA19)</f>
        <v>-14.021600705823</v>
      </c>
      <c r="M19" s="186" t="n">
        <v>122</v>
      </c>
      <c r="N19" s="113" t="n">
        <v>8.57</v>
      </c>
      <c r="O19" s="113" t="n">
        <f aca="false">43.68*1.05</f>
        <v>45.864</v>
      </c>
      <c r="P19" s="197" t="n">
        <v>1.74</v>
      </c>
      <c r="Q19" s="435" t="n">
        <v>4.2</v>
      </c>
      <c r="R19" s="436" t="n">
        <v>3.13</v>
      </c>
      <c r="S19" s="183" t="n">
        <v>86</v>
      </c>
      <c r="T19" s="183" t="n">
        <v>40</v>
      </c>
      <c r="U19" s="113" t="n">
        <f aca="false">M19-N19-O19-P19-Q19-R19+S19+T19</f>
        <v>184.496</v>
      </c>
      <c r="V19" s="114" t="n">
        <v>0</v>
      </c>
      <c r="W19" s="114" t="n">
        <f aca="false">W18+AH19</f>
        <v>1877.4783104361</v>
      </c>
      <c r="X19" s="113" t="n">
        <v>0</v>
      </c>
      <c r="Y19" s="183" t="n">
        <v>21</v>
      </c>
      <c r="Z19" s="114" t="n">
        <f aca="false">Z18-Y19</f>
        <v>3716.49231157046</v>
      </c>
      <c r="AA19" s="6" t="n">
        <f aca="false">N19+O19+U19+X19+Y19</f>
        <v>259.93</v>
      </c>
      <c r="AB19" s="113" t="n">
        <f aca="false">IF(L19&lt;0,L19*-1,0)</f>
        <v>14.021600705823</v>
      </c>
      <c r="AC19" s="113" t="n">
        <f aca="false">AA19+AB19</f>
        <v>273.951600705823</v>
      </c>
      <c r="AD19" s="365" t="n">
        <v>0</v>
      </c>
      <c r="AE19" s="119" t="n">
        <v>72</v>
      </c>
      <c r="AF19" s="169" t="n">
        <v>41</v>
      </c>
      <c r="AG19" s="120" t="n">
        <v>0</v>
      </c>
      <c r="AH19" s="367" t="n">
        <f aca="false">(I19-P19-Q19)-U19</f>
        <v>-92.436</v>
      </c>
      <c r="AI19" s="367" t="n">
        <v>0</v>
      </c>
      <c r="AJ19" s="215"/>
    </row>
    <row r="20" customFormat="false" ht="11.1" hidden="false" customHeight="true" outlineLevel="0" collapsed="false">
      <c r="A20" s="120" t="n">
        <f aca="false">A19+1</f>
        <v>9</v>
      </c>
      <c r="B20" s="170" t="n">
        <v>6865.25</v>
      </c>
      <c r="C20" s="114" t="n">
        <v>175574</v>
      </c>
      <c r="D20" s="119" t="n">
        <f aca="false">C20-C19</f>
        <v>-449</v>
      </c>
      <c r="E20" s="114" t="n">
        <f aca="false">C20-152000</f>
        <v>23574</v>
      </c>
      <c r="F20" s="182" t="n">
        <f aca="false">D20/$D$2</f>
        <v>-226.367532140156</v>
      </c>
      <c r="G20" s="183" t="n">
        <v>89</v>
      </c>
      <c r="H20" s="434" t="n">
        <v>0</v>
      </c>
      <c r="I20" s="113" t="n">
        <f aca="false">G20+H20</f>
        <v>89</v>
      </c>
      <c r="J20" s="185" t="n">
        <f aca="false">IF(L20&gt;0,L20,0)</f>
        <v>0</v>
      </c>
      <c r="K20" s="113" t="n">
        <f aca="false">I20+J20</f>
        <v>89</v>
      </c>
      <c r="L20" s="113" t="n">
        <f aca="false">F20-(I20-AA20)</f>
        <v>-58.5675321401563</v>
      </c>
      <c r="M20" s="186" t="n">
        <v>119</v>
      </c>
      <c r="N20" s="113" t="n">
        <v>0</v>
      </c>
      <c r="O20" s="113" t="n">
        <f aca="false">37.78*1.05</f>
        <v>39.669</v>
      </c>
      <c r="P20" s="197" t="n">
        <v>1.78</v>
      </c>
      <c r="Q20" s="435" t="n">
        <v>4.2</v>
      </c>
      <c r="R20" s="436" t="n">
        <v>3.22</v>
      </c>
      <c r="S20" s="183" t="n">
        <v>85</v>
      </c>
      <c r="T20" s="183" t="n">
        <v>41</v>
      </c>
      <c r="U20" s="113" t="n">
        <f aca="false">M20-N20-O20-P20-Q20-R20+S20+T20</f>
        <v>196.131</v>
      </c>
      <c r="V20" s="114" t="n">
        <v>0</v>
      </c>
      <c r="W20" s="114" t="n">
        <f aca="false">W19+AH20</f>
        <v>1764.3673104361</v>
      </c>
      <c r="X20" s="113" t="n">
        <v>0</v>
      </c>
      <c r="Y20" s="183" t="n">
        <v>21</v>
      </c>
      <c r="Z20" s="114" t="n">
        <f aca="false">Z19-Y20</f>
        <v>3695.49231157046</v>
      </c>
      <c r="AA20" s="6" t="n">
        <f aca="false">N20+O20+U20+X20+Y20</f>
        <v>256.8</v>
      </c>
      <c r="AB20" s="113" t="n">
        <f aca="false">IF(L20&lt;0,L20*-1,0)</f>
        <v>58.5675321401563</v>
      </c>
      <c r="AC20" s="113" t="n">
        <f aca="false">AA20+AB20</f>
        <v>315.367532140156</v>
      </c>
      <c r="AD20" s="365" t="n">
        <v>0</v>
      </c>
      <c r="AE20" s="187" t="n">
        <v>75</v>
      </c>
      <c r="AF20" s="169" t="n">
        <v>43</v>
      </c>
      <c r="AG20" s="120" t="n">
        <v>0</v>
      </c>
      <c r="AH20" s="367" t="n">
        <f aca="false">(I20-P20-Q20)-U20</f>
        <v>-113.111</v>
      </c>
      <c r="AI20" s="367" t="n">
        <v>0</v>
      </c>
      <c r="AJ20" s="215"/>
    </row>
    <row r="21" customFormat="false" ht="11.1" hidden="false" customHeight="true" outlineLevel="0" collapsed="false">
      <c r="A21" s="120" t="n">
        <f aca="false">A20+1</f>
        <v>10</v>
      </c>
      <c r="B21" s="170" t="n">
        <v>6865.15</v>
      </c>
      <c r="C21" s="114" t="n">
        <v>175324</v>
      </c>
      <c r="D21" s="119" t="n">
        <f aca="false">C21-C20</f>
        <v>-250</v>
      </c>
      <c r="E21" s="114" t="n">
        <f aca="false">C21-152000</f>
        <v>23324</v>
      </c>
      <c r="F21" s="182" t="n">
        <f aca="false">D21/$D$2</f>
        <v>-126.039828585833</v>
      </c>
      <c r="G21" s="183" t="n">
        <v>87</v>
      </c>
      <c r="H21" s="434" t="n">
        <v>0</v>
      </c>
      <c r="I21" s="113" t="n">
        <f aca="false">G21+H21</f>
        <v>87</v>
      </c>
      <c r="J21" s="185" t="n">
        <f aca="false">IF(L21&gt;0,L21,0)</f>
        <v>24.1001714141669</v>
      </c>
      <c r="K21" s="113" t="n">
        <f aca="false">I21+J21</f>
        <v>111.100171414167</v>
      </c>
      <c r="L21" s="113" t="n">
        <f aca="false">F21-(I21-AA21)</f>
        <v>24.1001714141669</v>
      </c>
      <c r="M21" s="186" t="n">
        <v>105</v>
      </c>
      <c r="N21" s="113" t="n">
        <v>0</v>
      </c>
      <c r="O21" s="113" t="n">
        <f aca="false">22.45*1.05</f>
        <v>23.5725</v>
      </c>
      <c r="P21" s="197" t="n">
        <v>1.78</v>
      </c>
      <c r="Q21" s="435" t="n">
        <v>4.2</v>
      </c>
      <c r="R21" s="436" t="n">
        <v>2.88</v>
      </c>
      <c r="S21" s="183" t="n">
        <v>76</v>
      </c>
      <c r="T21" s="183" t="n">
        <v>44</v>
      </c>
      <c r="U21" s="113" t="n">
        <f aca="false">M21-N21-O21-P21-Q21-R21+S21+T21</f>
        <v>192.5675</v>
      </c>
      <c r="V21" s="114" t="n">
        <v>0</v>
      </c>
      <c r="W21" s="114" t="n">
        <f aca="false">W20+AH21</f>
        <v>1652.8198104361</v>
      </c>
      <c r="X21" s="113" t="n">
        <v>0</v>
      </c>
      <c r="Y21" s="183" t="n">
        <v>21</v>
      </c>
      <c r="Z21" s="114" t="n">
        <f aca="false">Z20-Y21</f>
        <v>3674.49231157046</v>
      </c>
      <c r="AA21" s="6" t="n">
        <f aca="false">N21+O21+U21+X21+Y21</f>
        <v>237.14</v>
      </c>
      <c r="AB21" s="113" t="n">
        <f aca="false">IF(L21&lt;0,L21*-1,0)</f>
        <v>0</v>
      </c>
      <c r="AC21" s="113" t="n">
        <f aca="false">AA21+AB21</f>
        <v>237.14</v>
      </c>
      <c r="AD21" s="365" t="n">
        <v>0</v>
      </c>
      <c r="AE21" s="119" t="n">
        <v>68</v>
      </c>
      <c r="AF21" s="169" t="n">
        <v>49</v>
      </c>
      <c r="AG21" s="120" t="n">
        <v>0</v>
      </c>
      <c r="AH21" s="367" t="n">
        <f aca="false">(I21-P21-Q21)-U21</f>
        <v>-111.5475</v>
      </c>
      <c r="AI21" s="367" t="n">
        <v>0</v>
      </c>
      <c r="AJ21" s="215"/>
    </row>
    <row r="22" customFormat="false" ht="11.1" hidden="false" customHeight="true" outlineLevel="0" collapsed="false">
      <c r="A22" s="120" t="n">
        <f aca="false">A21+1</f>
        <v>11</v>
      </c>
      <c r="B22" s="170" t="n">
        <v>6865.0417505</v>
      </c>
      <c r="C22" s="114" t="n">
        <v>175050</v>
      </c>
      <c r="D22" s="119" t="n">
        <f aca="false">C22-C21</f>
        <v>-274</v>
      </c>
      <c r="E22" s="114" t="n">
        <f aca="false">C22-152000</f>
        <v>23050</v>
      </c>
      <c r="F22" s="182" t="n">
        <f aca="false">D22/$D$2</f>
        <v>-138.139652130073</v>
      </c>
      <c r="G22" s="183" t="n">
        <v>93</v>
      </c>
      <c r="H22" s="434" t="n">
        <v>0</v>
      </c>
      <c r="I22" s="113" t="n">
        <f aca="false">G22+H22</f>
        <v>93</v>
      </c>
      <c r="J22" s="185" t="n">
        <f aca="false">IF(L22&gt;0,L22,0)</f>
        <v>0</v>
      </c>
      <c r="K22" s="113" t="n">
        <f aca="false">I22+J22</f>
        <v>93</v>
      </c>
      <c r="L22" s="113" t="n">
        <f aca="false">F22-(I22-AA22)</f>
        <v>-15.5396521300731</v>
      </c>
      <c r="M22" s="186" t="n">
        <v>89</v>
      </c>
      <c r="N22" s="113" t="n">
        <v>0</v>
      </c>
      <c r="O22" s="113" t="n">
        <f aca="false">15.24*1.05</f>
        <v>16.002</v>
      </c>
      <c r="P22" s="197" t="n">
        <v>1.73</v>
      </c>
      <c r="Q22" s="435" t="n">
        <v>4.2</v>
      </c>
      <c r="R22" s="436" t="n">
        <v>2.47</v>
      </c>
      <c r="S22" s="183" t="n">
        <v>70</v>
      </c>
      <c r="T22" s="183" t="n">
        <v>44</v>
      </c>
      <c r="U22" s="113" t="n">
        <f aca="false">M22-N22-O22-P22-Q22-R22+S22+T22</f>
        <v>178.598</v>
      </c>
      <c r="V22" s="114" t="n">
        <v>0</v>
      </c>
      <c r="W22" s="114" t="n">
        <f aca="false">W21+AH22</f>
        <v>1561.2918104361</v>
      </c>
      <c r="X22" s="113" t="n">
        <v>0</v>
      </c>
      <c r="Y22" s="183" t="n">
        <v>21</v>
      </c>
      <c r="Z22" s="114" t="n">
        <f aca="false">Z21-Y22</f>
        <v>3653.49231157046</v>
      </c>
      <c r="AA22" s="6" t="n">
        <f aca="false">N22+O22+U22+X22+Y22</f>
        <v>215.6</v>
      </c>
      <c r="AB22" s="113" t="n">
        <f aca="false">IF(L22&lt;0,L22*-1,0)</f>
        <v>15.5396521300731</v>
      </c>
      <c r="AC22" s="113" t="n">
        <f aca="false">AA22+AB22</f>
        <v>231.139652130073</v>
      </c>
      <c r="AD22" s="365" t="n">
        <v>0</v>
      </c>
      <c r="AE22" s="119" t="n">
        <v>70</v>
      </c>
      <c r="AF22" s="169" t="n">
        <v>40</v>
      </c>
      <c r="AG22" s="120" t="n">
        <v>0</v>
      </c>
      <c r="AH22" s="367" t="n">
        <f aca="false">(I22-P22-Q22)-U22</f>
        <v>-91.528</v>
      </c>
      <c r="AI22" s="367" t="n">
        <v>0</v>
      </c>
      <c r="AJ22" s="215"/>
      <c r="AK22" s="437"/>
    </row>
    <row r="23" customFormat="false" ht="11.1" hidden="false" customHeight="true" outlineLevel="0" collapsed="false">
      <c r="A23" s="120" t="n">
        <f aca="false">A22+1</f>
        <v>12</v>
      </c>
      <c r="B23" s="170" t="n">
        <v>6864.92</v>
      </c>
      <c r="C23" s="114" t="n">
        <v>174753</v>
      </c>
      <c r="D23" s="119" t="n">
        <f aca="false">C23-C22</f>
        <v>-297</v>
      </c>
      <c r="E23" s="114" t="n">
        <f aca="false">C23-152000</f>
        <v>22753</v>
      </c>
      <c r="F23" s="182" t="n">
        <f aca="false">D23/$D$2</f>
        <v>-149.73531635997</v>
      </c>
      <c r="G23" s="183" t="n">
        <v>90</v>
      </c>
      <c r="H23" s="434" t="n">
        <v>0</v>
      </c>
      <c r="I23" s="113" t="n">
        <f aca="false">G23+H23</f>
        <v>90</v>
      </c>
      <c r="J23" s="185" t="n">
        <f aca="false">IF(L23&gt;0,L23,0)</f>
        <v>0</v>
      </c>
      <c r="K23" s="113" t="n">
        <f aca="false">I23+J23</f>
        <v>90</v>
      </c>
      <c r="L23" s="113" t="n">
        <f aca="false">F23-(I23-AA23)</f>
        <v>-38.8453163599698</v>
      </c>
      <c r="M23" s="186" t="n">
        <v>76</v>
      </c>
      <c r="N23" s="113" t="n">
        <v>0</v>
      </c>
      <c r="O23" s="113" t="n">
        <f aca="false">5.35*1.05</f>
        <v>5.6175</v>
      </c>
      <c r="P23" s="197" t="n">
        <v>1.86</v>
      </c>
      <c r="Q23" s="435" t="n">
        <v>4.2</v>
      </c>
      <c r="R23" s="436" t="n">
        <v>3.05</v>
      </c>
      <c r="S23" s="183" t="n">
        <v>69</v>
      </c>
      <c r="T23" s="183" t="n">
        <v>44</v>
      </c>
      <c r="U23" s="113" t="n">
        <f aca="false">M23-N23-O23-P23-Q23-R23+S23+T23</f>
        <v>174.2725</v>
      </c>
      <c r="V23" s="114" t="n">
        <v>0</v>
      </c>
      <c r="W23" s="114" t="n">
        <f aca="false">W22+AH23</f>
        <v>1470.9593104361</v>
      </c>
      <c r="X23" s="113" t="n">
        <v>0</v>
      </c>
      <c r="Y23" s="183" t="n">
        <v>21</v>
      </c>
      <c r="Z23" s="114" t="n">
        <f aca="false">Z22-Y23</f>
        <v>3632.49231157046</v>
      </c>
      <c r="AA23" s="6" t="n">
        <f aca="false">N23+O23+U23+X23+Y23</f>
        <v>200.89</v>
      </c>
      <c r="AB23" s="113" t="n">
        <f aca="false">IF(L23&lt;0,L23*-1,0)</f>
        <v>38.8453163599698</v>
      </c>
      <c r="AC23" s="113" t="n">
        <f aca="false">AA23+AB23</f>
        <v>239.73531635997</v>
      </c>
      <c r="AD23" s="365" t="n">
        <v>0</v>
      </c>
      <c r="AE23" s="119" t="n">
        <v>70</v>
      </c>
      <c r="AF23" s="169" t="n">
        <v>38</v>
      </c>
      <c r="AG23" s="120" t="n">
        <v>0</v>
      </c>
      <c r="AH23" s="367" t="n">
        <f aca="false">(I23-P23-Q23)-U23</f>
        <v>-90.3325</v>
      </c>
      <c r="AI23" s="367" t="n">
        <v>0</v>
      </c>
      <c r="AJ23" s="215"/>
    </row>
    <row r="24" customFormat="false" ht="11.1" hidden="false" customHeight="true" outlineLevel="0" collapsed="false">
      <c r="A24" s="120" t="n">
        <f aca="false">A23+1</f>
        <v>13</v>
      </c>
      <c r="B24" s="170" t="n">
        <v>6864.82</v>
      </c>
      <c r="C24" s="114" t="n">
        <v>174508</v>
      </c>
      <c r="D24" s="119" t="n">
        <f aca="false">C24-C23</f>
        <v>-245</v>
      </c>
      <c r="E24" s="114" t="n">
        <f aca="false">C24-152000</f>
        <v>22508</v>
      </c>
      <c r="F24" s="182" t="n">
        <f aca="false">D24/$D$2</f>
        <v>-123.519032014116</v>
      </c>
      <c r="G24" s="183" t="n">
        <v>78</v>
      </c>
      <c r="H24" s="434" t="n">
        <v>0</v>
      </c>
      <c r="I24" s="113" t="n">
        <f aca="false">G24+H24</f>
        <v>78</v>
      </c>
      <c r="J24" s="185" t="n">
        <f aca="false">IF(L24&gt;0,L24,0)</f>
        <v>0</v>
      </c>
      <c r="K24" s="113" t="n">
        <f aca="false">I24+J24</f>
        <v>78</v>
      </c>
      <c r="L24" s="113" t="n">
        <f aca="false">F24-(I24-AA24)</f>
        <v>-4.06903201411647</v>
      </c>
      <c r="M24" s="186" t="n">
        <v>73</v>
      </c>
      <c r="N24" s="113" t="n">
        <v>0</v>
      </c>
      <c r="O24" s="113" t="n">
        <v>0</v>
      </c>
      <c r="P24" s="197" t="n">
        <v>1.96</v>
      </c>
      <c r="Q24" s="435" t="n">
        <v>4.2</v>
      </c>
      <c r="R24" s="436" t="n">
        <v>3.39</v>
      </c>
      <c r="S24" s="183" t="n">
        <v>69</v>
      </c>
      <c r="T24" s="183" t="n">
        <v>44</v>
      </c>
      <c r="U24" s="113" t="n">
        <f aca="false">M24-N24-O24-P24-Q24-R24+S24+T24</f>
        <v>176.45</v>
      </c>
      <c r="V24" s="114" t="n">
        <v>0</v>
      </c>
      <c r="W24" s="114" t="n">
        <f aca="false">W23+AH24</f>
        <v>1366.3493104361</v>
      </c>
      <c r="X24" s="113" t="n">
        <v>0</v>
      </c>
      <c r="Y24" s="183" t="n">
        <v>21</v>
      </c>
      <c r="Z24" s="114" t="n">
        <f aca="false">Z23-Y24</f>
        <v>3611.49231157046</v>
      </c>
      <c r="AA24" s="6" t="n">
        <f aca="false">N24+O24+U24+X24+Y24</f>
        <v>197.45</v>
      </c>
      <c r="AB24" s="113" t="n">
        <f aca="false">IF(L24&lt;0,L24*-1,0)</f>
        <v>4.06903201411647</v>
      </c>
      <c r="AC24" s="113" t="n">
        <f aca="false">AA24+AB24</f>
        <v>201.519032014116</v>
      </c>
      <c r="AD24" s="365" t="n">
        <v>0</v>
      </c>
      <c r="AE24" s="119" t="n">
        <v>62</v>
      </c>
      <c r="AF24" s="169" t="n">
        <v>33</v>
      </c>
      <c r="AG24" s="120" t="n">
        <v>0</v>
      </c>
      <c r="AH24" s="367" t="n">
        <f aca="false">(I24-P24-Q24)-U24</f>
        <v>-104.61</v>
      </c>
      <c r="AI24" s="367" t="n">
        <v>0</v>
      </c>
      <c r="AJ24" s="215"/>
    </row>
    <row r="25" customFormat="false" ht="11.1" hidden="false" customHeight="true" outlineLevel="0" collapsed="false">
      <c r="A25" s="120" t="n">
        <f aca="false">A24+1</f>
        <v>14</v>
      </c>
      <c r="B25" s="170" t="n">
        <v>6864.65</v>
      </c>
      <c r="C25" s="114" t="n">
        <v>174090</v>
      </c>
      <c r="D25" s="119" t="n">
        <f aca="false">C25-C24</f>
        <v>-418</v>
      </c>
      <c r="E25" s="114" t="n">
        <f aca="false">C25-152000</f>
        <v>22090</v>
      </c>
      <c r="F25" s="182" t="n">
        <f aca="false">D25/$D$2</f>
        <v>-210.738593395513</v>
      </c>
      <c r="G25" s="183" t="n">
        <v>73</v>
      </c>
      <c r="H25" s="434" t="n">
        <v>0</v>
      </c>
      <c r="I25" s="113" t="n">
        <f aca="false">G25+H25</f>
        <v>73</v>
      </c>
      <c r="J25" s="185" t="n">
        <f aca="false">IF(L25&gt;0,L25,0)</f>
        <v>0</v>
      </c>
      <c r="K25" s="113" t="n">
        <f aca="false">I25+J25</f>
        <v>73</v>
      </c>
      <c r="L25" s="113" t="n">
        <f aca="false">F25-(I25-AA25)</f>
        <v>-50.688593395513</v>
      </c>
      <c r="M25" s="186" t="n">
        <v>107</v>
      </c>
      <c r="N25" s="113" t="n">
        <v>0</v>
      </c>
      <c r="O25" s="113" t="n">
        <f aca="false">21.07*1.05</f>
        <v>22.1235</v>
      </c>
      <c r="P25" s="197" t="n">
        <v>1.89</v>
      </c>
      <c r="Q25" s="435" t="n">
        <v>4.2</v>
      </c>
      <c r="R25" s="436" t="n">
        <v>3.86</v>
      </c>
      <c r="S25" s="183" t="n">
        <v>71</v>
      </c>
      <c r="T25" s="183" t="n">
        <v>44</v>
      </c>
      <c r="U25" s="113" t="n">
        <f aca="false">M25-N25-O25-P25-Q25-R25+S25+T25</f>
        <v>189.9265</v>
      </c>
      <c r="V25" s="114" t="n">
        <v>0</v>
      </c>
      <c r="W25" s="114" t="n">
        <f aca="false">W24+AH25</f>
        <v>1243.3328104361</v>
      </c>
      <c r="X25" s="113" t="n">
        <v>0</v>
      </c>
      <c r="Y25" s="183" t="n">
        <v>21</v>
      </c>
      <c r="Z25" s="114" t="n">
        <f aca="false">Z24-Y25</f>
        <v>3590.49231157046</v>
      </c>
      <c r="AA25" s="6" t="n">
        <f aca="false">N25+O25+U25+X25+Y25</f>
        <v>233.05</v>
      </c>
      <c r="AB25" s="113" t="n">
        <f aca="false">IF(L25&lt;0,L25*-1,0)</f>
        <v>50.688593395513</v>
      </c>
      <c r="AC25" s="113" t="n">
        <f aca="false">AA25+AB25</f>
        <v>283.738593395513</v>
      </c>
      <c r="AD25" s="365" t="n">
        <v>0</v>
      </c>
      <c r="AE25" s="187" t="n">
        <v>65</v>
      </c>
      <c r="AF25" s="169" t="n">
        <v>32</v>
      </c>
      <c r="AG25" s="120" t="n">
        <v>0</v>
      </c>
      <c r="AH25" s="367" t="n">
        <f aca="false">(I25-P25-Q25)-U25</f>
        <v>-123.0165</v>
      </c>
      <c r="AI25" s="367" t="n">
        <v>0</v>
      </c>
      <c r="AJ25" s="215"/>
    </row>
    <row r="26" customFormat="false" ht="11.1" hidden="false" customHeight="true" outlineLevel="0" collapsed="false">
      <c r="A26" s="120" t="n">
        <f aca="false">A25+1</f>
        <v>15</v>
      </c>
      <c r="B26" s="170" t="n">
        <v>6864.54</v>
      </c>
      <c r="C26" s="114" t="n">
        <v>173820</v>
      </c>
      <c r="D26" s="119" t="n">
        <f aca="false">C26-C25</f>
        <v>-270</v>
      </c>
      <c r="E26" s="114" t="n">
        <f aca="false">C26-152000</f>
        <v>21820</v>
      </c>
      <c r="F26" s="182" t="n">
        <f aca="false">D26/$D$2</f>
        <v>-136.1230148727</v>
      </c>
      <c r="G26" s="183" t="n">
        <v>71</v>
      </c>
      <c r="H26" s="434" t="n">
        <v>0</v>
      </c>
      <c r="I26" s="113" t="n">
        <f aca="false">G26+H26</f>
        <v>71</v>
      </c>
      <c r="J26" s="185" t="n">
        <f aca="false">IF(L26&gt;0,L26,0)</f>
        <v>32.0869851273002</v>
      </c>
      <c r="K26" s="113" t="n">
        <f aca="false">I26+J26</f>
        <v>103.0869851273</v>
      </c>
      <c r="L26" s="113" t="n">
        <f aca="false">F26-(I26-AA26)</f>
        <v>32.0869851273002</v>
      </c>
      <c r="M26" s="186" t="n">
        <v>121</v>
      </c>
      <c r="N26" s="113" t="n">
        <v>6</v>
      </c>
      <c r="O26" s="113" t="n">
        <f aca="false">44.89*1.05</f>
        <v>47.1345</v>
      </c>
      <c r="P26" s="197" t="n">
        <v>1.94</v>
      </c>
      <c r="Q26" s="435" t="n">
        <v>4.2</v>
      </c>
      <c r="R26" s="436" t="n">
        <v>3.65</v>
      </c>
      <c r="S26" s="183" t="n">
        <v>65</v>
      </c>
      <c r="T26" s="183" t="n">
        <v>42</v>
      </c>
      <c r="U26" s="113" t="n">
        <f aca="false">M26-N26-O26-P26-Q26-R26+S26+T26</f>
        <v>165.0755</v>
      </c>
      <c r="V26" s="114" t="n">
        <v>0</v>
      </c>
      <c r="W26" s="114" t="n">
        <f aca="false">W25+AH26</f>
        <v>1143.1173104361</v>
      </c>
      <c r="X26" s="113" t="n">
        <v>0</v>
      </c>
      <c r="Y26" s="183" t="n">
        <v>21</v>
      </c>
      <c r="Z26" s="114" t="n">
        <f aca="false">Z25-Y26</f>
        <v>3569.49231157046</v>
      </c>
      <c r="AA26" s="6" t="n">
        <f aca="false">N26+O26+U26+X26+Y26</f>
        <v>239.21</v>
      </c>
      <c r="AB26" s="113" t="n">
        <f aca="false">IF(L26&lt;0,L26*-1,0)</f>
        <v>0</v>
      </c>
      <c r="AC26" s="113" t="n">
        <f aca="false">AA26+AB26</f>
        <v>239.21</v>
      </c>
      <c r="AD26" s="365" t="n">
        <v>0</v>
      </c>
      <c r="AE26" s="187" t="n">
        <v>68</v>
      </c>
      <c r="AF26" s="169" t="n">
        <v>34</v>
      </c>
      <c r="AG26" s="120" t="n">
        <v>0</v>
      </c>
      <c r="AH26" s="367" t="n">
        <f aca="false">(I26-P26-Q26)-U26</f>
        <v>-100.2155</v>
      </c>
      <c r="AI26" s="367" t="n">
        <v>0</v>
      </c>
      <c r="AJ26" s="215"/>
    </row>
    <row r="27" customFormat="false" ht="11.1" hidden="false" customHeight="true" outlineLevel="0" collapsed="false">
      <c r="A27" s="120" t="n">
        <f aca="false">A26+1</f>
        <v>16</v>
      </c>
      <c r="B27" s="170" t="n">
        <v>6864.54</v>
      </c>
      <c r="C27" s="114" t="n">
        <v>173820</v>
      </c>
      <c r="D27" s="119" t="n">
        <f aca="false">C27-C26</f>
        <v>0</v>
      </c>
      <c r="E27" s="114" t="n">
        <f aca="false">C27-152000</f>
        <v>21820</v>
      </c>
      <c r="F27" s="182" t="n">
        <f aca="false">D27/$D$2</f>
        <v>0</v>
      </c>
      <c r="G27" s="183" t="n">
        <v>70</v>
      </c>
      <c r="H27" s="434" t="n">
        <v>0</v>
      </c>
      <c r="I27" s="113" t="n">
        <f aca="false">G27+H27</f>
        <v>70</v>
      </c>
      <c r="J27" s="185" t="n">
        <f aca="false">IF(L27&gt;0,L27,0)</f>
        <v>11.29</v>
      </c>
      <c r="K27" s="113" t="n">
        <f aca="false">I27+J27</f>
        <v>81.29</v>
      </c>
      <c r="L27" s="113" t="n">
        <f aca="false">F27-(I27-AA27)</f>
        <v>11.29</v>
      </c>
      <c r="M27" s="186" t="n">
        <v>70</v>
      </c>
      <c r="N27" s="113" t="n">
        <v>0</v>
      </c>
      <c r="O27" s="113" t="n">
        <f aca="false">48.74*1.05</f>
        <v>51.177</v>
      </c>
      <c r="P27" s="197" t="n">
        <v>1.96</v>
      </c>
      <c r="Q27" s="435" t="n">
        <v>4.2</v>
      </c>
      <c r="R27" s="436" t="n">
        <v>3.55</v>
      </c>
      <c r="S27" s="183" t="n">
        <v>0</v>
      </c>
      <c r="T27" s="183" t="n">
        <v>0</v>
      </c>
      <c r="U27" s="113" t="n">
        <f aca="false">M27-N27-O27-P27-Q27-R27+S27+T27</f>
        <v>9.11299999999999</v>
      </c>
      <c r="V27" s="114" t="n">
        <v>0</v>
      </c>
      <c r="W27" s="114"/>
      <c r="X27" s="113" t="n">
        <v>0</v>
      </c>
      <c r="Y27" s="183" t="n">
        <v>21</v>
      </c>
      <c r="Z27" s="114" t="n">
        <f aca="false">Z26-Y27</f>
        <v>3548.49231157046</v>
      </c>
      <c r="AA27" s="6" t="n">
        <f aca="false">N27+O27+U27+X27+Y27</f>
        <v>81.29</v>
      </c>
      <c r="AB27" s="113" t="n">
        <f aca="false">IF(L27&lt;0,L27*-1,0)</f>
        <v>0</v>
      </c>
      <c r="AC27" s="113" t="n">
        <f aca="false">AA27+AB27</f>
        <v>81.29</v>
      </c>
      <c r="AD27" s="365" t="n">
        <v>0</v>
      </c>
      <c r="AE27" s="187" t="n">
        <v>71</v>
      </c>
      <c r="AF27" s="169" t="n">
        <v>38</v>
      </c>
      <c r="AG27" s="120" t="n">
        <v>0</v>
      </c>
      <c r="AH27" s="367" t="n">
        <v>0</v>
      </c>
      <c r="AI27" s="367" t="n">
        <v>0</v>
      </c>
      <c r="AJ27" s="215"/>
    </row>
    <row r="28" customFormat="false" ht="11.1" hidden="false" customHeight="true" outlineLevel="0" collapsed="false">
      <c r="A28" s="120" t="n">
        <f aca="false">A27+1</f>
        <v>17</v>
      </c>
      <c r="B28" s="170" t="n">
        <v>6864.64</v>
      </c>
      <c r="C28" s="114" t="n">
        <v>173820</v>
      </c>
      <c r="D28" s="119" t="n">
        <f aca="false">C28-C27</f>
        <v>0</v>
      </c>
      <c r="E28" s="114" t="n">
        <f aca="false">C28-152000</f>
        <v>21820</v>
      </c>
      <c r="F28" s="182" t="n">
        <f aca="false">D28/$D$2</f>
        <v>0</v>
      </c>
      <c r="G28" s="183" t="n">
        <v>69</v>
      </c>
      <c r="H28" s="434" t="n">
        <v>0</v>
      </c>
      <c r="I28" s="113" t="n">
        <f aca="false">G28+H28</f>
        <v>69</v>
      </c>
      <c r="J28" s="185" t="n">
        <f aca="false">IF(L28&gt;0,L28,0)</f>
        <v>0</v>
      </c>
      <c r="K28" s="113" t="n">
        <f aca="false">I28+J28</f>
        <v>69</v>
      </c>
      <c r="L28" s="113" t="n">
        <f aca="false">F28-(I28-AA28)</f>
        <v>-31.15</v>
      </c>
      <c r="M28" s="186" t="n">
        <v>26</v>
      </c>
      <c r="N28" s="113" t="n">
        <v>0</v>
      </c>
      <c r="O28" s="113" t="n">
        <f aca="false">24.02*1.05</f>
        <v>25.221</v>
      </c>
      <c r="P28" s="197" t="n">
        <v>1.8</v>
      </c>
      <c r="Q28" s="435" t="n">
        <v>4.2</v>
      </c>
      <c r="R28" s="436" t="n">
        <v>3.15</v>
      </c>
      <c r="S28" s="183" t="n">
        <v>0</v>
      </c>
      <c r="T28" s="183" t="n">
        <v>0</v>
      </c>
      <c r="U28" s="113" t="n">
        <f aca="false">M28-N28-O28-P28-Q28-R28+S28+T28</f>
        <v>-8.371</v>
      </c>
      <c r="V28" s="114" t="n">
        <v>0</v>
      </c>
      <c r="W28" s="114"/>
      <c r="X28" s="113" t="n">
        <v>0</v>
      </c>
      <c r="Y28" s="183" t="n">
        <v>21</v>
      </c>
      <c r="Z28" s="114" t="n">
        <f aca="false">Z27-Y28</f>
        <v>3527.49231157046</v>
      </c>
      <c r="AA28" s="6" t="n">
        <f aca="false">N28+O28+U28+X28+Y28</f>
        <v>37.85</v>
      </c>
      <c r="AB28" s="113" t="n">
        <f aca="false">IF(L28&lt;0,L28*-1,0)</f>
        <v>31.15</v>
      </c>
      <c r="AC28" s="113" t="n">
        <f aca="false">AA28+AB28</f>
        <v>69</v>
      </c>
      <c r="AD28" s="365" t="n">
        <v>0</v>
      </c>
      <c r="AE28" s="187" t="n">
        <v>75</v>
      </c>
      <c r="AF28" s="169" t="n">
        <v>41</v>
      </c>
      <c r="AG28" s="120" t="n">
        <v>0</v>
      </c>
      <c r="AH28" s="367" t="n">
        <v>0</v>
      </c>
      <c r="AI28" s="367" t="n">
        <v>0</v>
      </c>
      <c r="AJ28" s="215"/>
    </row>
    <row r="29" customFormat="false" ht="11.1" hidden="false" customHeight="true" outlineLevel="0" collapsed="false">
      <c r="A29" s="120" t="n">
        <f aca="false">A28+1</f>
        <v>18</v>
      </c>
      <c r="B29" s="170" t="n">
        <v>6864.54</v>
      </c>
      <c r="C29" s="114" t="n">
        <v>173820</v>
      </c>
      <c r="D29" s="119" t="n">
        <f aca="false">C29-C28</f>
        <v>0</v>
      </c>
      <c r="E29" s="114" t="n">
        <f aca="false">C29-152000</f>
        <v>21820</v>
      </c>
      <c r="F29" s="182" t="n">
        <f aca="false">D29/$D$2</f>
        <v>0</v>
      </c>
      <c r="G29" s="183" t="n">
        <v>67</v>
      </c>
      <c r="H29" s="434" t="n">
        <v>0</v>
      </c>
      <c r="I29" s="113" t="n">
        <f aca="false">G29+H29</f>
        <v>67</v>
      </c>
      <c r="J29" s="185" t="n">
        <f aca="false">IF(L29&gt;0,L29,0)</f>
        <v>0</v>
      </c>
      <c r="K29" s="113" t="n">
        <f aca="false">I29+J29</f>
        <v>67</v>
      </c>
      <c r="L29" s="113" t="n">
        <f aca="false">F29-(I29-AA29)</f>
        <v>-47.88</v>
      </c>
      <c r="M29" s="186" t="n">
        <v>6.3</v>
      </c>
      <c r="N29" s="113" t="n">
        <v>0</v>
      </c>
      <c r="O29" s="113" t="n">
        <v>0</v>
      </c>
      <c r="P29" s="197" t="n">
        <v>1.83</v>
      </c>
      <c r="Q29" s="435" t="n">
        <v>4.2</v>
      </c>
      <c r="R29" s="436" t="n">
        <v>3.15</v>
      </c>
      <c r="S29" s="183" t="n">
        <v>0</v>
      </c>
      <c r="T29" s="183" t="n">
        <v>0</v>
      </c>
      <c r="U29" s="113" t="n">
        <f aca="false">M29-N29-O29-P29-Q29-R29+S29+T29</f>
        <v>-2.88</v>
      </c>
      <c r="V29" s="114" t="n">
        <v>0</v>
      </c>
      <c r="W29" s="114"/>
      <c r="X29" s="113" t="n">
        <v>0</v>
      </c>
      <c r="Y29" s="183" t="n">
        <v>22</v>
      </c>
      <c r="Z29" s="114" t="n">
        <f aca="false">Z28-Y29</f>
        <v>3505.49231157046</v>
      </c>
      <c r="AA29" s="6" t="n">
        <f aca="false">N29+O29+U29+X29+Y29</f>
        <v>19.12</v>
      </c>
      <c r="AB29" s="113" t="n">
        <f aca="false">IF(L29&lt;0,L29*-1,0)</f>
        <v>47.88</v>
      </c>
      <c r="AC29" s="113" t="n">
        <f aca="false">AA29+AB29</f>
        <v>67</v>
      </c>
      <c r="AD29" s="365" t="n">
        <v>0</v>
      </c>
      <c r="AE29" s="187" t="n">
        <v>77</v>
      </c>
      <c r="AF29" s="169" t="n">
        <v>41</v>
      </c>
      <c r="AG29" s="120" t="n">
        <v>0</v>
      </c>
      <c r="AH29" s="367" t="n">
        <v>0</v>
      </c>
      <c r="AI29" s="367" t="n">
        <v>0</v>
      </c>
      <c r="AJ29" s="215"/>
    </row>
    <row r="30" customFormat="false" ht="11.1" hidden="false" customHeight="true" outlineLevel="0" collapsed="false">
      <c r="A30" s="120" t="n">
        <f aca="false">A29+1</f>
        <v>19</v>
      </c>
      <c r="B30" s="170" t="n">
        <v>6864.55</v>
      </c>
      <c r="C30" s="236" t="n">
        <v>173845</v>
      </c>
      <c r="D30" s="119" t="n">
        <f aca="false">C30-C29</f>
        <v>25</v>
      </c>
      <c r="E30" s="114" t="n">
        <f aca="false">C30-152000</f>
        <v>21845</v>
      </c>
      <c r="F30" s="182" t="n">
        <f aca="false">D30/$D$2</f>
        <v>12.6039828585833</v>
      </c>
      <c r="G30" s="183" t="n">
        <v>66</v>
      </c>
      <c r="H30" s="434" t="n">
        <v>0</v>
      </c>
      <c r="I30" s="113" t="n">
        <f aca="false">G30+H30</f>
        <v>66</v>
      </c>
      <c r="J30" s="185" t="n">
        <f aca="false">IF(L30&gt;0,L30,0)</f>
        <v>0</v>
      </c>
      <c r="K30" s="113" t="n">
        <f aca="false">I30+J30</f>
        <v>66</v>
      </c>
      <c r="L30" s="113" t="n">
        <f aca="false">F30-(I30-AA30)</f>
        <v>-34.6560171414167</v>
      </c>
      <c r="M30" s="186" t="n">
        <v>6.3</v>
      </c>
      <c r="N30" s="113" t="n">
        <v>0</v>
      </c>
      <c r="O30" s="113" t="n">
        <v>0</v>
      </c>
      <c r="P30" s="197" t="n">
        <v>1.93</v>
      </c>
      <c r="Q30" s="435" t="n">
        <v>4.2</v>
      </c>
      <c r="R30" s="436" t="n">
        <v>3.43</v>
      </c>
      <c r="S30" s="183" t="n">
        <v>0</v>
      </c>
      <c r="T30" s="183" t="n">
        <v>0</v>
      </c>
      <c r="U30" s="113" t="n">
        <f aca="false">M30-N30-O30-P30-Q30-R30+S30+T30</f>
        <v>-3.26</v>
      </c>
      <c r="V30" s="114" t="n">
        <v>0</v>
      </c>
      <c r="W30" s="114"/>
      <c r="X30" s="113" t="n">
        <v>0</v>
      </c>
      <c r="Y30" s="183" t="n">
        <v>22</v>
      </c>
      <c r="Z30" s="114" t="n">
        <f aca="false">Z29-Y30</f>
        <v>3483.49231157046</v>
      </c>
      <c r="AA30" s="6" t="n">
        <f aca="false">N30+O30+U30+X30+Y30</f>
        <v>18.74</v>
      </c>
      <c r="AB30" s="113" t="n">
        <f aca="false">IF(L30&lt;0,L30*-1,0)</f>
        <v>34.6560171414167</v>
      </c>
      <c r="AC30" s="113" t="n">
        <f aca="false">AA30+AB30</f>
        <v>53.3960171414167</v>
      </c>
      <c r="AD30" s="365" t="n">
        <v>0</v>
      </c>
      <c r="AE30" s="187" t="n">
        <v>76</v>
      </c>
      <c r="AF30" s="169" t="n">
        <v>42</v>
      </c>
      <c r="AG30" s="120" t="n">
        <v>0</v>
      </c>
      <c r="AH30" s="367" t="n">
        <v>0</v>
      </c>
      <c r="AI30" s="367" t="n">
        <v>0</v>
      </c>
      <c r="AJ30" s="215"/>
    </row>
    <row r="31" customFormat="false" ht="11.1" hidden="false" customHeight="true" outlineLevel="0" collapsed="false">
      <c r="A31" s="120" t="n">
        <f aca="false">A30+1</f>
        <v>20</v>
      </c>
      <c r="B31" s="170" t="n">
        <v>6864.55</v>
      </c>
      <c r="C31" s="114" t="n">
        <v>173845</v>
      </c>
      <c r="D31" s="119" t="n">
        <f aca="false">C31-C30</f>
        <v>0</v>
      </c>
      <c r="E31" s="114" t="n">
        <f aca="false">C31-152000</f>
        <v>21845</v>
      </c>
      <c r="F31" s="182" t="n">
        <f aca="false">D31/$D$2</f>
        <v>0</v>
      </c>
      <c r="G31" s="183" t="n">
        <v>65</v>
      </c>
      <c r="H31" s="434" t="n">
        <v>0</v>
      </c>
      <c r="I31" s="113" t="n">
        <f aca="false">G31+H31</f>
        <v>65</v>
      </c>
      <c r="J31" s="185" t="n">
        <f aca="false">IF(L31&gt;0,L31,0)</f>
        <v>0</v>
      </c>
      <c r="K31" s="113" t="n">
        <f aca="false">I31+J31</f>
        <v>65</v>
      </c>
      <c r="L31" s="113" t="n">
        <f aca="false">F31-(I31-AA31)</f>
        <v>-15.18</v>
      </c>
      <c r="M31" s="186" t="n">
        <v>38</v>
      </c>
      <c r="N31" s="113" t="n">
        <v>0</v>
      </c>
      <c r="O31" s="113" t="n">
        <f aca="false">27.12*1.05</f>
        <v>28.476</v>
      </c>
      <c r="P31" s="197" t="n">
        <v>2.1</v>
      </c>
      <c r="Q31" s="435" t="n">
        <v>4.2</v>
      </c>
      <c r="R31" s="436" t="n">
        <v>3.88</v>
      </c>
      <c r="S31" s="183" t="n">
        <v>0</v>
      </c>
      <c r="T31" s="183" t="n">
        <v>0</v>
      </c>
      <c r="U31" s="113" t="n">
        <f aca="false">M31-N31-O31-P31-Q31-R31+S31+T31</f>
        <v>-0.656000000000002</v>
      </c>
      <c r="V31" s="114" t="n">
        <v>0</v>
      </c>
      <c r="W31" s="114"/>
      <c r="X31" s="113" t="n">
        <v>0</v>
      </c>
      <c r="Y31" s="183" t="n">
        <v>22</v>
      </c>
      <c r="Z31" s="114" t="n">
        <f aca="false">Z30-Y31</f>
        <v>3461.49231157046</v>
      </c>
      <c r="AA31" s="6" t="n">
        <f aca="false">N31+O31+U31+X31+Y31</f>
        <v>49.82</v>
      </c>
      <c r="AB31" s="113" t="n">
        <f aca="false">IF(L31&lt;0,L31*-1,0)</f>
        <v>15.18</v>
      </c>
      <c r="AC31" s="113" t="n">
        <f aca="false">AA31+AB31</f>
        <v>65</v>
      </c>
      <c r="AD31" s="365" t="n">
        <v>0</v>
      </c>
      <c r="AE31" s="187" t="n">
        <v>77</v>
      </c>
      <c r="AF31" s="169" t="n">
        <v>41</v>
      </c>
      <c r="AG31" s="120" t="n">
        <v>0</v>
      </c>
      <c r="AH31" s="367" t="n">
        <v>0</v>
      </c>
      <c r="AI31" s="367" t="n">
        <v>0</v>
      </c>
      <c r="AJ31" s="215"/>
    </row>
    <row r="32" customFormat="false" ht="11.1" hidden="false" customHeight="true" outlineLevel="0" collapsed="false">
      <c r="A32" s="120" t="n">
        <f aca="false">A31+1</f>
        <v>21</v>
      </c>
      <c r="B32" s="170" t="n">
        <v>6864.55</v>
      </c>
      <c r="C32" s="114" t="n">
        <v>173845</v>
      </c>
      <c r="D32" s="119" t="n">
        <f aca="false">C32-C31</f>
        <v>0</v>
      </c>
      <c r="E32" s="114" t="n">
        <f aca="false">C32-152000</f>
        <v>21845</v>
      </c>
      <c r="F32" s="182" t="n">
        <f aca="false">D32/$D$2</f>
        <v>0</v>
      </c>
      <c r="G32" s="183" t="n">
        <v>65</v>
      </c>
      <c r="H32" s="434" t="n">
        <v>0</v>
      </c>
      <c r="I32" s="113" t="n">
        <f aca="false">G32+H32</f>
        <v>65</v>
      </c>
      <c r="J32" s="185" t="n">
        <f aca="false">IF(L32&gt;0,L32,0)</f>
        <v>0</v>
      </c>
      <c r="K32" s="113" t="n">
        <f aca="false">I32+J32</f>
        <v>65</v>
      </c>
      <c r="L32" s="113" t="n">
        <f aca="false">F32-(I32-AA32)</f>
        <v>-3.16</v>
      </c>
      <c r="M32" s="186" t="n">
        <v>50</v>
      </c>
      <c r="N32" s="113" t="n">
        <v>0</v>
      </c>
      <c r="O32" s="113" t="n">
        <f aca="false">45.93*1.05</f>
        <v>48.2265</v>
      </c>
      <c r="P32" s="197" t="n">
        <v>1.89</v>
      </c>
      <c r="Q32" s="435" t="n">
        <v>4.2</v>
      </c>
      <c r="R32" s="436" t="n">
        <v>4.07</v>
      </c>
      <c r="S32" s="183" t="n">
        <v>0</v>
      </c>
      <c r="T32" s="183" t="n">
        <v>0</v>
      </c>
      <c r="U32" s="113" t="n">
        <f aca="false">M32-N32-O32-P32-Q32-R32+S32+T32</f>
        <v>-8.3865</v>
      </c>
      <c r="V32" s="114" t="n">
        <v>0</v>
      </c>
      <c r="W32" s="114"/>
      <c r="X32" s="113" t="n">
        <v>0</v>
      </c>
      <c r="Y32" s="183" t="n">
        <v>22</v>
      </c>
      <c r="Z32" s="114" t="n">
        <f aca="false">Z31-Y32</f>
        <v>3439.49231157046</v>
      </c>
      <c r="AA32" s="6" t="n">
        <f aca="false">N32+O32+U32+X32+Y32</f>
        <v>61.84</v>
      </c>
      <c r="AB32" s="113" t="n">
        <f aca="false">IF(L32&lt;0,L32*-1,0)</f>
        <v>3.16</v>
      </c>
      <c r="AC32" s="113" t="n">
        <f aca="false">AA32+AB32</f>
        <v>65</v>
      </c>
      <c r="AD32" s="365" t="n">
        <v>0</v>
      </c>
      <c r="AE32" s="119" t="n">
        <v>78</v>
      </c>
      <c r="AF32" s="169" t="n">
        <v>41</v>
      </c>
      <c r="AG32" s="120" t="n">
        <v>0</v>
      </c>
      <c r="AH32" s="367" t="n">
        <v>0</v>
      </c>
      <c r="AI32" s="367" t="n">
        <v>0</v>
      </c>
      <c r="AJ32" s="215"/>
    </row>
    <row r="33" customFormat="false" ht="11.1" hidden="false" customHeight="true" outlineLevel="0" collapsed="false">
      <c r="A33" s="120" t="n">
        <f aca="false">A32+1</f>
        <v>22</v>
      </c>
      <c r="B33" s="170" t="n">
        <v>6864.65</v>
      </c>
      <c r="C33" s="114" t="n">
        <v>173845</v>
      </c>
      <c r="D33" s="119" t="n">
        <f aca="false">C33-C32</f>
        <v>0</v>
      </c>
      <c r="E33" s="114" t="n">
        <f aca="false">C33-152000</f>
        <v>21845</v>
      </c>
      <c r="F33" s="182" t="n">
        <f aca="false">D33/$D$2</f>
        <v>0</v>
      </c>
      <c r="G33" s="183" t="n">
        <v>63</v>
      </c>
      <c r="H33" s="434" t="n">
        <v>0</v>
      </c>
      <c r="I33" s="113" t="n">
        <f aca="false">G33+H33</f>
        <v>63</v>
      </c>
      <c r="J33" s="185" t="n">
        <f aca="false">IF(L33&gt;0,L33,0)</f>
        <v>0</v>
      </c>
      <c r="K33" s="113" t="n">
        <f aca="false">I33+J33</f>
        <v>63</v>
      </c>
      <c r="L33" s="113" t="n">
        <f aca="false">F33-(I33-AA33)</f>
        <v>-3.68</v>
      </c>
      <c r="M33" s="186" t="n">
        <v>47</v>
      </c>
      <c r="N33" s="113" t="n">
        <v>0</v>
      </c>
      <c r="O33" s="113" t="n">
        <f aca="false">45.27*1.05</f>
        <v>47.5335</v>
      </c>
      <c r="P33" s="197" t="n">
        <v>1.86</v>
      </c>
      <c r="Q33" s="435" t="n">
        <v>4.2</v>
      </c>
      <c r="R33" s="436" t="n">
        <v>3.62</v>
      </c>
      <c r="S33" s="183" t="n">
        <v>0</v>
      </c>
      <c r="T33" s="183" t="n">
        <v>0</v>
      </c>
      <c r="U33" s="113" t="n">
        <f aca="false">M33-N33-O33-P33-Q33-R33+S33+T33</f>
        <v>-10.2135</v>
      </c>
      <c r="V33" s="114" t="n">
        <v>0</v>
      </c>
      <c r="W33" s="114"/>
      <c r="X33" s="113" t="n">
        <v>0</v>
      </c>
      <c r="Y33" s="183" t="n">
        <v>22</v>
      </c>
      <c r="Z33" s="114" t="n">
        <f aca="false">Z32-Y33</f>
        <v>3417.49231157046</v>
      </c>
      <c r="AA33" s="6" t="n">
        <f aca="false">N33+O33+U33+X33+Y33</f>
        <v>59.32</v>
      </c>
      <c r="AB33" s="113" t="n">
        <f aca="false">IF(L33&lt;0,L33*-1,0)</f>
        <v>3.68</v>
      </c>
      <c r="AC33" s="113" t="n">
        <f aca="false">AA33+AB33</f>
        <v>63</v>
      </c>
      <c r="AD33" s="365" t="n">
        <v>0</v>
      </c>
      <c r="AE33" s="119" t="n">
        <v>78</v>
      </c>
      <c r="AF33" s="169" t="n">
        <v>43</v>
      </c>
      <c r="AG33" s="120" t="n">
        <v>0</v>
      </c>
      <c r="AH33" s="367" t="n">
        <v>0</v>
      </c>
      <c r="AI33" s="367" t="n">
        <v>0</v>
      </c>
      <c r="AJ33" s="215"/>
      <c r="AK33" s="437"/>
    </row>
    <row r="34" customFormat="false" ht="11.1" hidden="false" customHeight="true" outlineLevel="0" collapsed="false">
      <c r="A34" s="120" t="n">
        <f aca="false">A33+1</f>
        <v>23</v>
      </c>
      <c r="B34" s="170" t="n">
        <v>6864.55</v>
      </c>
      <c r="C34" s="114" t="n">
        <v>173845</v>
      </c>
      <c r="D34" s="119" t="n">
        <f aca="false">C34-C33</f>
        <v>0</v>
      </c>
      <c r="E34" s="114" t="n">
        <f aca="false">C34-152000</f>
        <v>21845</v>
      </c>
      <c r="F34" s="182" t="n">
        <f aca="false">D34/$D$2</f>
        <v>0</v>
      </c>
      <c r="G34" s="183" t="n">
        <v>62</v>
      </c>
      <c r="H34" s="434" t="n">
        <v>0</v>
      </c>
      <c r="I34" s="113" t="n">
        <f aca="false">G34+H34</f>
        <v>62</v>
      </c>
      <c r="J34" s="185" t="n">
        <f aca="false">IF(L34&gt;0,L34,0)</f>
        <v>0</v>
      </c>
      <c r="K34" s="113" t="n">
        <f aca="false">I34+J34</f>
        <v>62</v>
      </c>
      <c r="L34" s="113" t="n">
        <f aca="false">F34-(I34-AA34)</f>
        <v>-28.67</v>
      </c>
      <c r="M34" s="186" t="n">
        <v>21</v>
      </c>
      <c r="N34" s="113" t="n">
        <v>0</v>
      </c>
      <c r="O34" s="113" t="n">
        <f aca="false">41.92*1.05</f>
        <v>44.016</v>
      </c>
      <c r="P34" s="197" t="n">
        <v>1.79</v>
      </c>
      <c r="Q34" s="435" t="n">
        <v>4.2</v>
      </c>
      <c r="R34" s="436" t="n">
        <v>3.68</v>
      </c>
      <c r="S34" s="183" t="n">
        <v>0</v>
      </c>
      <c r="T34" s="183" t="n">
        <v>0</v>
      </c>
      <c r="U34" s="113" t="n">
        <f aca="false">M34-N34-O34-P34-Q34-R34+S34+T34</f>
        <v>-32.686</v>
      </c>
      <c r="V34" s="114" t="n">
        <v>0</v>
      </c>
      <c r="W34" s="114"/>
      <c r="X34" s="113" t="n">
        <v>0</v>
      </c>
      <c r="Y34" s="183" t="n">
        <v>22</v>
      </c>
      <c r="Z34" s="114" t="n">
        <f aca="false">Z33-Y34</f>
        <v>3395.49231157046</v>
      </c>
      <c r="AA34" s="6" t="n">
        <f aca="false">N34+O34+U34+X34+Y34</f>
        <v>33.33</v>
      </c>
      <c r="AB34" s="113" t="n">
        <f aca="false">IF(L34&lt;0,L34*-1,0)</f>
        <v>28.67</v>
      </c>
      <c r="AC34" s="113" t="n">
        <f aca="false">AA34+AB34</f>
        <v>62</v>
      </c>
      <c r="AD34" s="365" t="n">
        <v>0</v>
      </c>
      <c r="AE34" s="119" t="n">
        <v>74</v>
      </c>
      <c r="AF34" s="188" t="n">
        <v>41</v>
      </c>
      <c r="AG34" s="120" t="n">
        <v>0</v>
      </c>
      <c r="AH34" s="367" t="n">
        <v>0</v>
      </c>
      <c r="AI34" s="367" t="n">
        <v>0</v>
      </c>
      <c r="AJ34" s="215"/>
      <c r="AK34" s="411" t="s">
        <v>71</v>
      </c>
    </row>
    <row r="35" customFormat="false" ht="11.1" hidden="false" customHeight="true" outlineLevel="0" collapsed="false">
      <c r="A35" s="120" t="n">
        <f aca="false">A34+1</f>
        <v>24</v>
      </c>
      <c r="B35" s="170" t="n">
        <v>6864.55</v>
      </c>
      <c r="C35" s="114" t="n">
        <v>173845</v>
      </c>
      <c r="D35" s="119" t="n">
        <f aca="false">C35-C34</f>
        <v>0</v>
      </c>
      <c r="E35" s="114" t="n">
        <f aca="false">C35-152000</f>
        <v>21845</v>
      </c>
      <c r="F35" s="182" t="n">
        <f aca="false">D35/$D$2</f>
        <v>0</v>
      </c>
      <c r="G35" s="183" t="n">
        <v>62</v>
      </c>
      <c r="H35" s="434" t="n">
        <v>0</v>
      </c>
      <c r="I35" s="113" t="n">
        <f aca="false">G35+H35</f>
        <v>62</v>
      </c>
      <c r="J35" s="185" t="n">
        <f aca="false">IF(L35&gt;0,L35,0)</f>
        <v>0</v>
      </c>
      <c r="K35" s="113" t="n">
        <f aca="false">I35+J35</f>
        <v>62</v>
      </c>
      <c r="L35" s="113" t="n">
        <f aca="false">F35-(I35-AA35)</f>
        <v>-43.49</v>
      </c>
      <c r="M35" s="186" t="n">
        <v>5.9</v>
      </c>
      <c r="N35" s="113" t="n">
        <v>0</v>
      </c>
      <c r="O35" s="113" t="n">
        <f aca="false">12.13*1.05</f>
        <v>12.7365</v>
      </c>
      <c r="P35" s="197" t="n">
        <v>1.76</v>
      </c>
      <c r="Q35" s="435" t="n">
        <v>4.2</v>
      </c>
      <c r="R35" s="436" t="n">
        <v>3.43</v>
      </c>
      <c r="S35" s="183" t="n">
        <v>0</v>
      </c>
      <c r="T35" s="183" t="n">
        <v>0</v>
      </c>
      <c r="U35" s="113" t="n">
        <f aca="false">M35-N35-O35-P35-Q35-R35+S35+T35</f>
        <v>-16.2265</v>
      </c>
      <c r="V35" s="114" t="n">
        <v>0</v>
      </c>
      <c r="W35" s="114"/>
      <c r="X35" s="113" t="n">
        <v>0</v>
      </c>
      <c r="Y35" s="183" t="n">
        <v>22</v>
      </c>
      <c r="Z35" s="114" t="n">
        <f aca="false">Z34-Y35</f>
        <v>3373.49231157046</v>
      </c>
      <c r="AA35" s="6" t="n">
        <f aca="false">N35+O35+U35+X35+Y35</f>
        <v>18.51</v>
      </c>
      <c r="AB35" s="113" t="n">
        <f aca="false">IF(L35&lt;0,L35*-1,0)</f>
        <v>43.49</v>
      </c>
      <c r="AC35" s="113" t="n">
        <f aca="false">AA35+AB35</f>
        <v>62</v>
      </c>
      <c r="AD35" s="365" t="n">
        <v>0</v>
      </c>
      <c r="AE35" s="119" t="n">
        <v>74</v>
      </c>
      <c r="AF35" s="188" t="n">
        <v>40</v>
      </c>
      <c r="AG35" s="120" t="n">
        <v>0</v>
      </c>
      <c r="AH35" s="367" t="n">
        <v>0</v>
      </c>
      <c r="AI35" s="367" t="n">
        <v>0</v>
      </c>
      <c r="AJ35" s="215"/>
    </row>
    <row r="36" customFormat="false" ht="11.1" hidden="false" customHeight="true" outlineLevel="0" collapsed="false">
      <c r="A36" s="120" t="n">
        <v>25</v>
      </c>
      <c r="B36" s="170" t="n">
        <v>6864.56</v>
      </c>
      <c r="C36" s="114" t="n">
        <v>173869</v>
      </c>
      <c r="D36" s="119" t="n">
        <f aca="false">C36-C35</f>
        <v>24</v>
      </c>
      <c r="E36" s="114" t="n">
        <f aca="false">C36-152000</f>
        <v>21869</v>
      </c>
      <c r="F36" s="182" t="n">
        <f aca="false">D36/$D$2</f>
        <v>12.09982354424</v>
      </c>
      <c r="G36" s="183" t="n">
        <v>60</v>
      </c>
      <c r="H36" s="434" t="n">
        <v>0</v>
      </c>
      <c r="I36" s="113" t="n">
        <f aca="false">G36+H36</f>
        <v>60</v>
      </c>
      <c r="J36" s="185" t="n">
        <f aca="false">IF(L36&gt;0,L36,0)</f>
        <v>0</v>
      </c>
      <c r="K36" s="113" t="n">
        <f aca="false">I36+J36</f>
        <v>60</v>
      </c>
      <c r="L36" s="113" t="n">
        <f aca="false">F36-(I36-AA36)</f>
        <v>-29.69017645576</v>
      </c>
      <c r="M36" s="186" t="n">
        <v>5.9</v>
      </c>
      <c r="N36" s="113" t="n">
        <v>0</v>
      </c>
      <c r="O36" s="113" t="n">
        <v>0</v>
      </c>
      <c r="P36" s="197" t="n">
        <v>1.56</v>
      </c>
      <c r="Q36" s="435" t="n">
        <v>4.2</v>
      </c>
      <c r="R36" s="436" t="n">
        <v>3.93</v>
      </c>
      <c r="S36" s="183" t="n">
        <v>0</v>
      </c>
      <c r="T36" s="183" t="n">
        <v>0</v>
      </c>
      <c r="U36" s="113" t="n">
        <f aca="false">M36-N36-O36-P36-Q36-R36+S36+T36</f>
        <v>-3.79</v>
      </c>
      <c r="V36" s="114" t="n">
        <v>0</v>
      </c>
      <c r="W36" s="114"/>
      <c r="X36" s="113" t="n">
        <v>0</v>
      </c>
      <c r="Y36" s="183" t="n">
        <v>22</v>
      </c>
      <c r="Z36" s="114" t="n">
        <f aca="false">Z35-Y36</f>
        <v>3351.49231157046</v>
      </c>
      <c r="AA36" s="6" t="n">
        <f aca="false">N36+O36+U36+X36+Y36</f>
        <v>18.21</v>
      </c>
      <c r="AB36" s="113" t="n">
        <f aca="false">IF(L36&lt;0,L36*-1,0)</f>
        <v>29.69017645576</v>
      </c>
      <c r="AC36" s="113" t="n">
        <f aca="false">AA36+AB36</f>
        <v>47.90017645576</v>
      </c>
      <c r="AD36" s="365" t="n">
        <v>0</v>
      </c>
      <c r="AE36" s="119" t="n">
        <v>52</v>
      </c>
      <c r="AF36" s="188" t="n">
        <v>35</v>
      </c>
      <c r="AG36" s="120" t="n">
        <v>0</v>
      </c>
      <c r="AH36" s="367" t="n">
        <v>0</v>
      </c>
      <c r="AI36" s="367" t="n">
        <v>0</v>
      </c>
      <c r="AJ36" s="215"/>
    </row>
    <row r="37" customFormat="false" ht="11.1" hidden="false" customHeight="true" outlineLevel="0" collapsed="false">
      <c r="A37" s="120" t="n">
        <v>26</v>
      </c>
      <c r="B37" s="170" t="n">
        <v>6864.56</v>
      </c>
      <c r="C37" s="114" t="n">
        <v>173869</v>
      </c>
      <c r="D37" s="119" t="n">
        <f aca="false">C37-C36</f>
        <v>0</v>
      </c>
      <c r="E37" s="114" t="n">
        <f aca="false">C37-152000</f>
        <v>21869</v>
      </c>
      <c r="F37" s="182" t="n">
        <f aca="false">D37/$D$2</f>
        <v>0</v>
      </c>
      <c r="G37" s="183" t="n">
        <v>57</v>
      </c>
      <c r="H37" s="434" t="n">
        <v>0</v>
      </c>
      <c r="I37" s="113" t="n">
        <f aca="false">G37+H37</f>
        <v>57</v>
      </c>
      <c r="J37" s="185" t="n">
        <f aca="false">IF(L37&gt;0,L37,0)</f>
        <v>0</v>
      </c>
      <c r="K37" s="113" t="n">
        <f aca="false">I37+J37</f>
        <v>57</v>
      </c>
      <c r="L37" s="113" t="n">
        <f aca="false">F37-(I37-AA37)</f>
        <v>-39.18</v>
      </c>
      <c r="M37" s="186" t="n">
        <v>5.7</v>
      </c>
      <c r="N37" s="113" t="n">
        <v>0</v>
      </c>
      <c r="O37" s="113" t="n">
        <v>0</v>
      </c>
      <c r="P37" s="197" t="n">
        <v>1.23</v>
      </c>
      <c r="Q37" s="435" t="n">
        <v>4.2</v>
      </c>
      <c r="R37" s="436" t="n">
        <v>4.45</v>
      </c>
      <c r="S37" s="183" t="n">
        <v>0</v>
      </c>
      <c r="T37" s="183" t="n">
        <v>0</v>
      </c>
      <c r="U37" s="113" t="n">
        <f aca="false">M37-N37-O37-P37-Q37-R37+S37+T37</f>
        <v>-4.18</v>
      </c>
      <c r="V37" s="114" t="n">
        <v>0</v>
      </c>
      <c r="W37" s="114"/>
      <c r="X37" s="113" t="n">
        <v>0</v>
      </c>
      <c r="Y37" s="183" t="n">
        <v>22</v>
      </c>
      <c r="Z37" s="114" t="n">
        <f aca="false">Z36-Y37</f>
        <v>3329.49231157046</v>
      </c>
      <c r="AA37" s="6" t="n">
        <f aca="false">N37+O37+U37+X37+Y37</f>
        <v>17.82</v>
      </c>
      <c r="AB37" s="113" t="n">
        <f aca="false">IF(L37&lt;0,L37*-1,0)</f>
        <v>39.18</v>
      </c>
      <c r="AC37" s="113" t="n">
        <f aca="false">AA37+AB37</f>
        <v>57</v>
      </c>
      <c r="AD37" s="365" t="n">
        <v>0</v>
      </c>
      <c r="AE37" s="119" t="n">
        <v>59</v>
      </c>
      <c r="AF37" s="188" t="n">
        <v>26</v>
      </c>
      <c r="AG37" s="120" t="n">
        <v>0</v>
      </c>
      <c r="AH37" s="367" t="n">
        <v>0</v>
      </c>
      <c r="AI37" s="367" t="n">
        <v>0</v>
      </c>
      <c r="AJ37" s="215"/>
    </row>
    <row r="38" customFormat="false" ht="11.1" hidden="false" customHeight="true" outlineLevel="0" collapsed="false">
      <c r="A38" s="120" t="n">
        <v>27</v>
      </c>
      <c r="B38" s="170" t="n">
        <v>6864.57</v>
      </c>
      <c r="C38" s="114" t="n">
        <v>173894</v>
      </c>
      <c r="D38" s="119" t="n">
        <f aca="false">C38-C37</f>
        <v>25</v>
      </c>
      <c r="E38" s="114" t="n">
        <f aca="false">C38-152000</f>
        <v>21894</v>
      </c>
      <c r="F38" s="182" t="n">
        <f aca="false">D38/$D$2</f>
        <v>12.6039828585833</v>
      </c>
      <c r="G38" s="183" t="n">
        <v>53</v>
      </c>
      <c r="H38" s="434" t="n">
        <v>0</v>
      </c>
      <c r="I38" s="113" t="n">
        <f aca="false">G38+H38</f>
        <v>53</v>
      </c>
      <c r="J38" s="185" t="n">
        <f aca="false">IF(L38&gt;0,L38,0)</f>
        <v>0</v>
      </c>
      <c r="K38" s="113" t="n">
        <f aca="false">I38+J38</f>
        <v>53</v>
      </c>
      <c r="L38" s="113" t="n">
        <f aca="false">F38-(I38-AA38)</f>
        <v>-6.17601714141669</v>
      </c>
      <c r="M38" s="186" t="n">
        <v>22</v>
      </c>
      <c r="N38" s="113" t="n">
        <v>0</v>
      </c>
      <c r="O38" s="113" t="n">
        <f aca="false">9.84*1.05</f>
        <v>10.332</v>
      </c>
      <c r="P38" s="197" t="n">
        <v>1.28</v>
      </c>
      <c r="Q38" s="435" t="n">
        <v>4.2</v>
      </c>
      <c r="R38" s="436" t="n">
        <v>4.3</v>
      </c>
      <c r="S38" s="183" t="n">
        <v>0</v>
      </c>
      <c r="T38" s="183" t="n">
        <v>0</v>
      </c>
      <c r="U38" s="113" t="n">
        <f aca="false">M38-N38-O38-P38-Q38-R38+S38+T38</f>
        <v>1.888</v>
      </c>
      <c r="V38" s="114" t="n">
        <v>0</v>
      </c>
      <c r="W38" s="114"/>
      <c r="X38" s="113" t="n">
        <v>0</v>
      </c>
      <c r="Y38" s="183" t="n">
        <v>22</v>
      </c>
      <c r="Z38" s="114" t="n">
        <f aca="false">Z37-Y38</f>
        <v>3307.49231157046</v>
      </c>
      <c r="AA38" s="6" t="n">
        <f aca="false">N38+O38+U38+X38+Y38</f>
        <v>34.22</v>
      </c>
      <c r="AB38" s="113" t="n">
        <f aca="false">IF(L38&lt;0,L38*-1,0)</f>
        <v>6.17601714141669</v>
      </c>
      <c r="AC38" s="113" t="n">
        <f aca="false">AA38+AB38</f>
        <v>40.3960171414167</v>
      </c>
      <c r="AD38" s="365" t="n">
        <v>0</v>
      </c>
      <c r="AE38" s="119" t="n">
        <v>65</v>
      </c>
      <c r="AF38" s="188" t="n">
        <v>30</v>
      </c>
      <c r="AG38" s="120" t="n">
        <v>0</v>
      </c>
      <c r="AH38" s="367" t="n">
        <v>0</v>
      </c>
      <c r="AI38" s="367" t="n">
        <v>0</v>
      </c>
      <c r="AJ38" s="215"/>
    </row>
    <row r="39" customFormat="false" ht="11.1" hidden="false" customHeight="true" outlineLevel="0" collapsed="false">
      <c r="A39" s="120" t="n">
        <v>28</v>
      </c>
      <c r="B39" s="170" t="n">
        <v>6564.57</v>
      </c>
      <c r="C39" s="114" t="n">
        <v>173894</v>
      </c>
      <c r="D39" s="119" t="n">
        <f aca="false">C39-C38</f>
        <v>0</v>
      </c>
      <c r="E39" s="114" t="n">
        <f aca="false">C39-152000</f>
        <v>21894</v>
      </c>
      <c r="F39" s="182" t="n">
        <f aca="false">D39/$D$2</f>
        <v>0</v>
      </c>
      <c r="G39" s="183" t="n">
        <v>59</v>
      </c>
      <c r="H39" s="434" t="n">
        <v>0</v>
      </c>
      <c r="I39" s="113" t="n">
        <f aca="false">G39+H39</f>
        <v>59</v>
      </c>
      <c r="J39" s="185" t="n">
        <f aca="false">IF(L39&gt;0,L39,0)</f>
        <v>0</v>
      </c>
      <c r="K39" s="113" t="n">
        <f aca="false">I39+J39</f>
        <v>59</v>
      </c>
      <c r="L39" s="113" t="n">
        <f aca="false">F39-(I39-AA39)</f>
        <v>-28.47</v>
      </c>
      <c r="M39" s="186" t="n">
        <v>18</v>
      </c>
      <c r="N39" s="113" t="n">
        <v>0</v>
      </c>
      <c r="O39" s="113" t="n">
        <f aca="false">12.78*1.05</f>
        <v>13.419</v>
      </c>
      <c r="P39" s="197" t="n">
        <v>1.54</v>
      </c>
      <c r="Q39" s="435" t="n">
        <v>4.2</v>
      </c>
      <c r="R39" s="436" t="n">
        <v>3.73</v>
      </c>
      <c r="S39" s="183" t="n">
        <v>0</v>
      </c>
      <c r="T39" s="183" t="n">
        <v>0</v>
      </c>
      <c r="U39" s="113" t="n">
        <f aca="false">M39-N39-O39-P39-Q39-R39+S39+T39</f>
        <v>-4.889</v>
      </c>
      <c r="V39" s="114" t="n">
        <v>0</v>
      </c>
      <c r="W39" s="114"/>
      <c r="X39" s="113" t="n">
        <v>0</v>
      </c>
      <c r="Y39" s="183" t="n">
        <v>22</v>
      </c>
      <c r="Z39" s="114" t="n">
        <f aca="false">Z38-Y39</f>
        <v>3285.49231157046</v>
      </c>
      <c r="AA39" s="6" t="n">
        <f aca="false">N39+O39+U39+X39+Y39</f>
        <v>30.53</v>
      </c>
      <c r="AB39" s="113" t="n">
        <f aca="false">IF(L39&lt;0,L39*-1,0)</f>
        <v>28.47</v>
      </c>
      <c r="AC39" s="113" t="n">
        <f aca="false">AA39+AB39</f>
        <v>59</v>
      </c>
      <c r="AD39" s="365" t="n">
        <v>0</v>
      </c>
      <c r="AE39" s="119" t="n">
        <v>65</v>
      </c>
      <c r="AF39" s="188" t="n">
        <v>39</v>
      </c>
      <c r="AG39" s="120" t="n">
        <v>0</v>
      </c>
      <c r="AH39" s="367" t="n">
        <v>0</v>
      </c>
      <c r="AI39" s="367" t="n">
        <v>0</v>
      </c>
      <c r="AJ39" s="215"/>
    </row>
    <row r="40" customFormat="false" ht="11.1" hidden="false" customHeight="true" outlineLevel="0" collapsed="false">
      <c r="A40" s="120" t="n">
        <v>29</v>
      </c>
      <c r="B40" s="170" t="n">
        <v>6864.58</v>
      </c>
      <c r="C40" s="114" t="n">
        <v>173918</v>
      </c>
      <c r="D40" s="119" t="n">
        <f aca="false">C40-C39</f>
        <v>24</v>
      </c>
      <c r="E40" s="114" t="n">
        <f aca="false">C40-152000</f>
        <v>21918</v>
      </c>
      <c r="F40" s="182" t="n">
        <f aca="false">D40/$D$2</f>
        <v>12.09982354424</v>
      </c>
      <c r="G40" s="183" t="n">
        <v>59</v>
      </c>
      <c r="H40" s="434" t="n">
        <v>0</v>
      </c>
      <c r="I40" s="113" t="n">
        <f aca="false">G40+H40</f>
        <v>59</v>
      </c>
      <c r="J40" s="185" t="n">
        <f aca="false">IF(L40&gt;0,L40,0)</f>
        <v>0</v>
      </c>
      <c r="K40" s="113" t="n">
        <f aca="false">I40+J40</f>
        <v>59</v>
      </c>
      <c r="L40" s="113" t="n">
        <f aca="false">F40-(I40-AA40)</f>
        <v>-27.88017645576</v>
      </c>
      <c r="M40" s="186" t="n">
        <v>5.9</v>
      </c>
      <c r="N40" s="113" t="n">
        <v>0</v>
      </c>
      <c r="O40" s="113" t="n">
        <f aca="false">9.99*1.05</f>
        <v>10.4895</v>
      </c>
      <c r="P40" s="197" t="n">
        <v>2.04</v>
      </c>
      <c r="Q40" s="435" t="n">
        <v>4.2</v>
      </c>
      <c r="R40" s="436" t="n">
        <v>2.64</v>
      </c>
      <c r="S40" s="183" t="n">
        <v>0</v>
      </c>
      <c r="T40" s="183" t="n">
        <v>0</v>
      </c>
      <c r="U40" s="113" t="n">
        <f aca="false">M40-N40-O40-P40-Q40-R40+S40+T40</f>
        <v>-13.4695</v>
      </c>
      <c r="V40" s="114" t="n">
        <v>0</v>
      </c>
      <c r="W40" s="114"/>
      <c r="X40" s="113" t="n">
        <v>0</v>
      </c>
      <c r="Y40" s="183" t="n">
        <v>22</v>
      </c>
      <c r="Z40" s="114" t="n">
        <f aca="false">Z39-Y40</f>
        <v>3263.49231157046</v>
      </c>
      <c r="AA40" s="6" t="n">
        <f aca="false">N40+O40+U40+X40+Y40</f>
        <v>19.02</v>
      </c>
      <c r="AB40" s="113" t="n">
        <f aca="false">IF(L40&lt;0,L40*-1,0)</f>
        <v>27.88017645576</v>
      </c>
      <c r="AC40" s="113" t="n">
        <f aca="false">AA40+AB40</f>
        <v>46.90017645576</v>
      </c>
      <c r="AD40" s="365" t="n">
        <v>0</v>
      </c>
      <c r="AE40" s="119" t="n">
        <v>67</v>
      </c>
      <c r="AF40" s="188" t="n">
        <v>36</v>
      </c>
      <c r="AG40" s="120" t="n">
        <v>0</v>
      </c>
      <c r="AH40" s="367" t="n">
        <v>0</v>
      </c>
      <c r="AI40" s="367" t="n">
        <v>0</v>
      </c>
      <c r="AJ40" s="215"/>
    </row>
    <row r="41" customFormat="false" ht="11.1" hidden="false" customHeight="true" outlineLevel="0" collapsed="false">
      <c r="A41" s="120" t="n">
        <v>30</v>
      </c>
      <c r="B41" s="170" t="n">
        <v>6864.58</v>
      </c>
      <c r="C41" s="114" t="n">
        <v>173918</v>
      </c>
      <c r="D41" s="119" t="n">
        <f aca="false">C41-C40</f>
        <v>0</v>
      </c>
      <c r="E41" s="114" t="n">
        <f aca="false">C41-152000</f>
        <v>21918</v>
      </c>
      <c r="F41" s="182" t="n">
        <f aca="false">D41/$D$2</f>
        <v>0</v>
      </c>
      <c r="G41" s="183" t="n">
        <v>58</v>
      </c>
      <c r="H41" s="434" t="n">
        <v>0</v>
      </c>
      <c r="I41" s="113" t="n">
        <f aca="false">G41+H41</f>
        <v>58</v>
      </c>
      <c r="J41" s="185" t="n">
        <f aca="false">IF(L41&gt;0,L41,0)</f>
        <v>0</v>
      </c>
      <c r="K41" s="113" t="n">
        <f aca="false">I41+J41</f>
        <v>58</v>
      </c>
      <c r="L41" s="113" t="n">
        <f aca="false">F41-(I41-AA41)</f>
        <v>-33.69</v>
      </c>
      <c r="M41" s="186" t="n">
        <v>11</v>
      </c>
      <c r="N41" s="113" t="n">
        <v>0</v>
      </c>
      <c r="O41" s="113" t="n">
        <f aca="false">7.36*1.05</f>
        <v>7.728</v>
      </c>
      <c r="P41" s="197" t="n">
        <v>1.95</v>
      </c>
      <c r="Q41" s="435" t="n">
        <v>4.2</v>
      </c>
      <c r="R41" s="436" t="n">
        <v>2.54</v>
      </c>
      <c r="S41" s="183" t="n">
        <v>0</v>
      </c>
      <c r="T41" s="183" t="n">
        <v>0</v>
      </c>
      <c r="U41" s="113" t="n">
        <f aca="false">M41-N41-O41-P41-Q41-R41+S41+T41</f>
        <v>-5.418</v>
      </c>
      <c r="V41" s="114" t="n">
        <v>0</v>
      </c>
      <c r="W41" s="114"/>
      <c r="X41" s="113" t="n">
        <v>0</v>
      </c>
      <c r="Y41" s="183" t="n">
        <v>22</v>
      </c>
      <c r="Z41" s="114" t="n">
        <f aca="false">Z40-Y41</f>
        <v>3241.49231157046</v>
      </c>
      <c r="AA41" s="6" t="n">
        <f aca="false">N41+O41+U41+X41+Y41</f>
        <v>24.31</v>
      </c>
      <c r="AB41" s="113" t="n">
        <f aca="false">IF(L41&lt;0,L41*-1,0)</f>
        <v>33.69</v>
      </c>
      <c r="AC41" s="113" t="n">
        <f aca="false">AA41+AB41</f>
        <v>58</v>
      </c>
      <c r="AD41" s="365" t="n">
        <v>0</v>
      </c>
      <c r="AE41" s="119" t="n">
        <v>61</v>
      </c>
      <c r="AF41" s="188" t="n">
        <v>41</v>
      </c>
      <c r="AG41" s="120" t="n">
        <v>0</v>
      </c>
      <c r="AH41" s="367" t="n">
        <v>0</v>
      </c>
      <c r="AI41" s="367" t="n">
        <v>0</v>
      </c>
      <c r="AJ41" s="215"/>
    </row>
    <row r="42" customFormat="false" ht="11.1" hidden="false" customHeight="true" outlineLevel="0" collapsed="false">
      <c r="A42" s="120" t="n">
        <v>31</v>
      </c>
      <c r="B42" s="170" t="n">
        <v>6864.59</v>
      </c>
      <c r="C42" s="114" t="n">
        <v>173943</v>
      </c>
      <c r="D42" s="119" t="n">
        <f aca="false">C42-C41</f>
        <v>25</v>
      </c>
      <c r="E42" s="114" t="n">
        <f aca="false">C42-152000</f>
        <v>21943</v>
      </c>
      <c r="F42" s="182" t="n">
        <f aca="false">D42/$D$2</f>
        <v>12.6039828585833</v>
      </c>
      <c r="G42" s="183" t="n">
        <v>57</v>
      </c>
      <c r="H42" s="434" t="n">
        <v>0</v>
      </c>
      <c r="I42" s="113" t="n">
        <f aca="false">G42+H42</f>
        <v>57</v>
      </c>
      <c r="J42" s="185" t="n">
        <f aca="false">IF(L42&gt;0,L42,0)</f>
        <v>0</v>
      </c>
      <c r="K42" s="113" t="n">
        <f aca="false">I42+J42</f>
        <v>57</v>
      </c>
      <c r="L42" s="113" t="n">
        <f aca="false">F42-(I42-AA42)</f>
        <v>-25.3060171414167</v>
      </c>
      <c r="M42" s="186" t="n">
        <v>6</v>
      </c>
      <c r="N42" s="113" t="n">
        <v>0</v>
      </c>
      <c r="O42" s="113" t="n">
        <f aca="false">10.7*1.05</f>
        <v>11.235</v>
      </c>
      <c r="P42" s="197" t="n">
        <v>1.97</v>
      </c>
      <c r="Q42" s="435" t="n">
        <v>4.2</v>
      </c>
      <c r="R42" s="436" t="n">
        <v>2.74</v>
      </c>
      <c r="S42" s="183" t="n">
        <v>0</v>
      </c>
      <c r="T42" s="183" t="n">
        <v>0</v>
      </c>
      <c r="U42" s="113" t="n">
        <f aca="false">M42-N42-O42-P42-Q42-R42+S42+T42</f>
        <v>-14.145</v>
      </c>
      <c r="V42" s="114" t="n">
        <v>0</v>
      </c>
      <c r="W42" s="114"/>
      <c r="X42" s="113" t="n">
        <v>0</v>
      </c>
      <c r="Y42" s="183" t="n">
        <v>22</v>
      </c>
      <c r="Z42" s="114" t="n">
        <f aca="false">Z41-Y42</f>
        <v>3219.49231157046</v>
      </c>
      <c r="AA42" s="6" t="n">
        <f aca="false">N42+O42+U42+X42+Y42</f>
        <v>19.09</v>
      </c>
      <c r="AB42" s="113" t="n">
        <f aca="false">IF(L42&lt;0,L42*-1,0)</f>
        <v>25.3060171414167</v>
      </c>
      <c r="AC42" s="113" t="n">
        <f aca="false">AA42+AB42</f>
        <v>44.3960171414167</v>
      </c>
      <c r="AD42" s="365" t="n">
        <v>0</v>
      </c>
      <c r="AE42" s="119" t="n">
        <v>60</v>
      </c>
      <c r="AF42" s="188" t="n">
        <v>39</v>
      </c>
      <c r="AG42" s="120" t="n">
        <v>0</v>
      </c>
      <c r="AH42" s="367" t="n">
        <v>0</v>
      </c>
      <c r="AI42" s="367" t="n">
        <v>0</v>
      </c>
      <c r="AJ42" s="215"/>
    </row>
    <row r="43" customFormat="false" ht="3" hidden="false" customHeight="true" outlineLevel="0" collapsed="false">
      <c r="A43" s="171"/>
      <c r="B43" s="189"/>
      <c r="C43" s="173"/>
      <c r="D43" s="171"/>
      <c r="E43" s="173"/>
      <c r="F43" s="174"/>
      <c r="G43" s="171"/>
      <c r="H43" s="433" t="n">
        <v>0</v>
      </c>
      <c r="I43" s="171"/>
      <c r="J43" s="171"/>
      <c r="K43" s="171"/>
      <c r="L43" s="171"/>
      <c r="M43" s="176" t="n">
        <v>0</v>
      </c>
      <c r="N43" s="171"/>
      <c r="O43" s="171"/>
      <c r="P43" s="171"/>
      <c r="Q43" s="171"/>
      <c r="R43" s="177"/>
      <c r="S43" s="171"/>
      <c r="T43" s="171" t="n">
        <v>0</v>
      </c>
      <c r="U43" s="171"/>
      <c r="V43" s="173"/>
      <c r="W43" s="173"/>
      <c r="X43" s="171"/>
      <c r="Y43" s="171" t="n">
        <v>0</v>
      </c>
      <c r="Z43" s="171"/>
      <c r="AA43" s="171"/>
      <c r="AB43" s="171"/>
      <c r="AC43" s="171"/>
      <c r="AD43" s="370"/>
      <c r="AE43" s="179"/>
      <c r="AF43" s="180"/>
      <c r="AG43" s="181"/>
      <c r="AH43" s="232"/>
      <c r="AI43" s="232"/>
      <c r="AJ43" s="181"/>
    </row>
    <row r="44" customFormat="false" ht="11.1" hidden="false" customHeight="true" outlineLevel="0" collapsed="false">
      <c r="A44" s="113" t="s">
        <v>54</v>
      </c>
      <c r="B44" s="165"/>
      <c r="C44" s="114"/>
      <c r="D44" s="114"/>
      <c r="E44" s="114"/>
      <c r="F44" s="166" t="n">
        <f aca="false">SUM(F12:F42)</f>
        <v>-2468.36400302496</v>
      </c>
      <c r="G44" s="114" t="n">
        <f aca="false">SUM(G12:G42)</f>
        <v>2449</v>
      </c>
      <c r="H44" s="426" t="n">
        <f aca="false">SUM(H12:H42)</f>
        <v>0</v>
      </c>
      <c r="I44" s="114" t="n">
        <f aca="false">SUM(I12:I42)</f>
        <v>2449</v>
      </c>
      <c r="J44" s="114" t="n">
        <f aca="false">SUM(J12:J42)</f>
        <v>265.388726997731</v>
      </c>
      <c r="K44" s="114" t="n">
        <f aca="false">SUM(K12:K42)</f>
        <v>2714.38872699773</v>
      </c>
      <c r="L44" s="114" t="n">
        <f aca="false">SUM(L12:L42)</f>
        <v>-492.184003024956</v>
      </c>
      <c r="M44" s="167" t="n">
        <f aca="false">SUM(M12:M42)</f>
        <v>2005</v>
      </c>
      <c r="N44" s="114" t="n">
        <f aca="false">SUM(N12:N42)</f>
        <v>15.57</v>
      </c>
      <c r="O44" s="114" t="n">
        <f aca="false">SUM(O12:O42)</f>
        <v>734.16</v>
      </c>
      <c r="P44" s="114" t="n">
        <f aca="false">SUM(P12:P42)</f>
        <v>55.76</v>
      </c>
      <c r="Q44" s="114" t="n">
        <f aca="false">SUM(Q12:Q42)</f>
        <v>130.2</v>
      </c>
      <c r="R44" s="168" t="n">
        <f aca="false">SUM(R12:R42)</f>
        <v>108.7</v>
      </c>
      <c r="S44" s="114" t="n">
        <f aca="false">SUM(S12:S42)</f>
        <v>1341</v>
      </c>
      <c r="T44" s="114" t="n">
        <f aca="false">SUM(T12:T42)</f>
        <v>707</v>
      </c>
      <c r="U44" s="114" t="n">
        <f aca="false">SUM(U12:U42)</f>
        <v>3008.61</v>
      </c>
      <c r="V44" s="114"/>
      <c r="W44" s="114"/>
      <c r="X44" s="114" t="n">
        <f aca="false">SUM(X12:X42)</f>
        <v>8.84</v>
      </c>
      <c r="Y44" s="114" t="n">
        <f aca="false">SUM(Y12:Y42)</f>
        <v>658</v>
      </c>
      <c r="Z44" s="114"/>
      <c r="AA44" s="114" t="n">
        <f aca="false">SUM(AA12:AA42)</f>
        <v>4425.18</v>
      </c>
      <c r="AB44" s="114" t="n">
        <f aca="false">SUM(AB12:AB42)</f>
        <v>757.572730022687</v>
      </c>
      <c r="AC44" s="114" t="n">
        <f aca="false">SUM(AC12:AC42)</f>
        <v>5182.75273002269</v>
      </c>
      <c r="AD44" s="365" t="n">
        <f aca="false">SUM(AD12:AD43)</f>
        <v>0.3</v>
      </c>
      <c r="AE44" s="119" t="n">
        <f aca="false">AVERAGE(AE12:AE42)</f>
        <v>68.6774193548387</v>
      </c>
      <c r="AF44" s="169" t="n">
        <f aca="false">AVERAGE(AF12:AF42)</f>
        <v>39.7096774193548</v>
      </c>
      <c r="AG44" s="120" t="s">
        <v>84</v>
      </c>
      <c r="AH44" s="367"/>
      <c r="AI44" s="367" t="n">
        <f aca="false">SUM(AI12:AI42)</f>
        <v>0</v>
      </c>
      <c r="AJ44" s="215" t="n">
        <f aca="false">SUM(AJ12:AJ42)</f>
        <v>0</v>
      </c>
    </row>
    <row r="45" customFormat="false" ht="11.1" hidden="false" customHeight="true" outlineLevel="0" collapsed="false">
      <c r="A45" s="113" t="s">
        <v>56</v>
      </c>
      <c r="B45" s="165"/>
      <c r="C45" s="114"/>
      <c r="D45" s="114" t="n">
        <f aca="false">SUM(D12:D42)</f>
        <v>-4896</v>
      </c>
      <c r="E45" s="114"/>
      <c r="F45" s="166" t="n">
        <f aca="false">F44*$D$2</f>
        <v>-4896</v>
      </c>
      <c r="G45" s="114" t="n">
        <f aca="false">G44*$D$2</f>
        <v>4857.5915</v>
      </c>
      <c r="H45" s="426" t="n">
        <f aca="false">H44*$D$2</f>
        <v>0</v>
      </c>
      <c r="I45" s="114" t="n">
        <f aca="false">I44*$D$2</f>
        <v>4857.5915</v>
      </c>
      <c r="J45" s="114" t="n">
        <f aca="false">J44*$D$2</f>
        <v>526.39854</v>
      </c>
      <c r="K45" s="114" t="n">
        <f aca="false">K44*$D$2</f>
        <v>5383.99004</v>
      </c>
      <c r="L45" s="114" t="n">
        <f aca="false">L44*$D$2</f>
        <v>-976.24697</v>
      </c>
      <c r="M45" s="167" t="n">
        <f aca="false">M44*$D$2</f>
        <v>3976.9175</v>
      </c>
      <c r="N45" s="114" t="n">
        <f aca="false">N44*$D$2</f>
        <v>30.883095</v>
      </c>
      <c r="O45" s="114" t="n">
        <f aca="false">O44*$D$2</f>
        <v>1456.20636</v>
      </c>
      <c r="P45" s="114" t="n">
        <f aca="false">P44*$D$2</f>
        <v>110.59996</v>
      </c>
      <c r="Q45" s="114" t="n">
        <f aca="false">Q44*$D$2</f>
        <v>258.2517</v>
      </c>
      <c r="R45" s="168" t="n">
        <f aca="false">R44*$D$2</f>
        <v>215.60645</v>
      </c>
      <c r="S45" s="114" t="n">
        <f aca="false">S44*$D$2</f>
        <v>2659.8735</v>
      </c>
      <c r="T45" s="114" t="n">
        <f aca="false">T44*$D$2</f>
        <v>1402.3345</v>
      </c>
      <c r="U45" s="114" t="n">
        <f aca="false">U44*$D$2</f>
        <v>5967.577935</v>
      </c>
      <c r="V45" s="114"/>
      <c r="W45" s="114"/>
      <c r="X45" s="114" t="n">
        <f aca="false">X44*$D$2</f>
        <v>17.53414</v>
      </c>
      <c r="Y45" s="114" t="n">
        <f aca="false">Y44*$D$2</f>
        <v>1305.143</v>
      </c>
      <c r="Z45" s="114"/>
      <c r="AA45" s="114" t="n">
        <f aca="false">AA44*$D$2</f>
        <v>8777.34453</v>
      </c>
      <c r="AB45" s="114" t="n">
        <f aca="false">AB44*$D$2</f>
        <v>1502.64551</v>
      </c>
      <c r="AC45" s="114" t="n">
        <f aca="false">AC44*$D$2</f>
        <v>10279.99004</v>
      </c>
      <c r="AD45" s="365"/>
      <c r="AE45" s="119" t="n">
        <f aca="false">MAX(AE12:AE42)</f>
        <v>81</v>
      </c>
      <c r="AF45" s="169" t="n">
        <f aca="false">MAX(AF12:AF42)</f>
        <v>49</v>
      </c>
      <c r="AG45" s="120" t="s">
        <v>57</v>
      </c>
      <c r="AH45" s="367"/>
      <c r="AI45" s="367" t="n">
        <f aca="false">AI44*$D$2</f>
        <v>0</v>
      </c>
      <c r="AJ45" s="214" t="n">
        <f aca="false">AJ44*$D$2</f>
        <v>0</v>
      </c>
    </row>
    <row r="46" customFormat="false" ht="3" hidden="false" customHeight="true" outlineLevel="0" collapsed="false">
      <c r="A46" s="171"/>
      <c r="B46" s="189"/>
      <c r="C46" s="173"/>
      <c r="D46" s="173"/>
      <c r="E46" s="173"/>
      <c r="F46" s="190"/>
      <c r="G46" s="173"/>
      <c r="H46" s="433"/>
      <c r="I46" s="173"/>
      <c r="J46" s="173"/>
      <c r="K46" s="173"/>
      <c r="L46" s="173"/>
      <c r="M46" s="191"/>
      <c r="N46" s="173"/>
      <c r="O46" s="173"/>
      <c r="P46" s="173"/>
      <c r="Q46" s="173"/>
      <c r="R46" s="192"/>
      <c r="S46" s="173"/>
      <c r="T46" s="173"/>
      <c r="U46" s="173"/>
      <c r="V46" s="173"/>
      <c r="W46" s="173"/>
      <c r="X46" s="173"/>
      <c r="Y46" s="173"/>
      <c r="Z46" s="171"/>
      <c r="AA46" s="173"/>
      <c r="AB46" s="173"/>
      <c r="AC46" s="173"/>
      <c r="AD46" s="193"/>
      <c r="AE46" s="173"/>
      <c r="AF46" s="190"/>
      <c r="AG46" s="173"/>
      <c r="AH46" s="237"/>
      <c r="AI46" s="237"/>
      <c r="AJ46" s="173"/>
    </row>
    <row r="47" customFormat="false" ht="11.1" hidden="false" customHeight="true" outlineLevel="0" collapsed="false">
      <c r="A47" s="113" t="s">
        <v>58</v>
      </c>
      <c r="B47" s="165"/>
      <c r="C47" s="114"/>
      <c r="D47" s="114"/>
      <c r="E47" s="114"/>
      <c r="F47" s="166" t="n">
        <f aca="false">F9+F44</f>
        <v>482.984623140907</v>
      </c>
      <c r="G47" s="114" t="n">
        <f aca="false">G9+G44</f>
        <v>85595</v>
      </c>
      <c r="H47" s="432" t="n">
        <f aca="false">H9+H44</f>
        <v>1046.76</v>
      </c>
      <c r="I47" s="114" t="n">
        <f aca="false">I9+I44</f>
        <v>86641.76</v>
      </c>
      <c r="J47" s="114" t="n">
        <f aca="false">J9+J44</f>
        <v>6260.1941189816</v>
      </c>
      <c r="K47" s="114" t="n">
        <f aca="false">K9+K44</f>
        <v>92901.9541189816</v>
      </c>
      <c r="L47" s="114" t="n">
        <f aca="false">L9+L44</f>
        <v>-1483.54537685909</v>
      </c>
      <c r="M47" s="167" t="n">
        <f aca="false">M9+M44</f>
        <v>32453.38</v>
      </c>
      <c r="N47" s="114" t="n">
        <f aca="false">N9+N44</f>
        <v>76.38</v>
      </c>
      <c r="O47" s="114" t="n">
        <f aca="false">O9+O44</f>
        <v>6346.478525</v>
      </c>
      <c r="P47" s="114"/>
      <c r="Q47" s="114"/>
      <c r="R47" s="168"/>
      <c r="S47" s="114" t="n">
        <f aca="false">S9+S44</f>
        <v>22886.8</v>
      </c>
      <c r="T47" s="114" t="n">
        <f aca="false">T9+T44</f>
        <v>10584.8</v>
      </c>
      <c r="U47" s="114" t="n">
        <f aca="false">U9+U44</f>
        <v>58535.355975</v>
      </c>
      <c r="V47" s="114" t="n">
        <f aca="false">V26</f>
        <v>0</v>
      </c>
      <c r="W47" s="114" t="n">
        <f aca="false">W26</f>
        <v>1143.1173104361</v>
      </c>
      <c r="X47" s="114" t="n">
        <f aca="false">X9+X44</f>
        <v>14092.89</v>
      </c>
      <c r="Y47" s="114" t="n">
        <f aca="false">Y9+Y44</f>
        <v>5022</v>
      </c>
      <c r="Z47" s="114" t="n">
        <f aca="false">Z42</f>
        <v>3219.49231157046</v>
      </c>
      <c r="AA47" s="114" t="n">
        <f aca="false">AA9+AA44</f>
        <v>84675.23</v>
      </c>
      <c r="AB47" s="114" t="n">
        <f aca="false">AB9+AB44</f>
        <v>7743.73949584068</v>
      </c>
      <c r="AC47" s="114" t="n">
        <f aca="false">AC9+AC44</f>
        <v>92418.9694958407</v>
      </c>
      <c r="AD47" s="365"/>
      <c r="AE47" s="119" t="n">
        <f aca="false">MIN(AE12:AE42)</f>
        <v>52</v>
      </c>
      <c r="AF47" s="169" t="n">
        <f aca="false">MIN(AF12:AF42)</f>
        <v>26</v>
      </c>
      <c r="AG47" s="120" t="s">
        <v>59</v>
      </c>
      <c r="AH47" s="367"/>
      <c r="AI47" s="367" t="n">
        <f aca="false">AI9+AI44</f>
        <v>1241.62397522383</v>
      </c>
      <c r="AJ47" s="392" t="n">
        <f aca="false">AJ9+AJ44</f>
        <v>596.53</v>
      </c>
    </row>
    <row r="48" customFormat="false" ht="11.1" hidden="false" customHeight="true" outlineLevel="0" collapsed="false">
      <c r="A48" s="113" t="s">
        <v>60</v>
      </c>
      <c r="B48" s="165"/>
      <c r="C48" s="114"/>
      <c r="D48" s="114"/>
      <c r="E48" s="114"/>
      <c r="F48" s="166" t="n">
        <f aca="false">F47*$D$2</f>
        <v>957.99999999999</v>
      </c>
      <c r="G48" s="114" t="n">
        <f aca="false">G47*$D$2</f>
        <v>169777.6825</v>
      </c>
      <c r="H48" s="432" t="n">
        <f aca="false">H47*$D$2</f>
        <v>2076.24846</v>
      </c>
      <c r="I48" s="114" t="n">
        <f aca="false">I47*$D$2</f>
        <v>171853.93096</v>
      </c>
      <c r="J48" s="114" t="n">
        <f aca="false">J47*$D$2</f>
        <v>12417.095035</v>
      </c>
      <c r="K48" s="114" t="n">
        <f aca="false">K47*$D$2</f>
        <v>184271.025995</v>
      </c>
      <c r="L48" s="114" t="n">
        <f aca="false">L47*$D$2</f>
        <v>-2942.612255</v>
      </c>
      <c r="M48" s="167" t="n">
        <f aca="false">M47*$D$2</f>
        <v>64371.27923</v>
      </c>
      <c r="N48" s="114" t="n">
        <f aca="false">N47*$D$2</f>
        <v>151.49973</v>
      </c>
      <c r="O48" s="114" t="n">
        <f aca="false">O47*$D$2</f>
        <v>12588.2401543375</v>
      </c>
      <c r="P48" s="114"/>
      <c r="Q48" s="114"/>
      <c r="R48" s="168"/>
      <c r="S48" s="114" t="n">
        <f aca="false">S47*$D$2</f>
        <v>45395.9678</v>
      </c>
      <c r="T48" s="114" t="n">
        <f aca="false">T47*$D$2</f>
        <v>20994.9508</v>
      </c>
      <c r="U48" s="114" t="n">
        <f aca="false">U47*$D$2</f>
        <v>116104.878576413</v>
      </c>
      <c r="V48" s="114" t="n">
        <f aca="false">V47*$D$2</f>
        <v>0</v>
      </c>
      <c r="W48" s="114" t="n">
        <f aca="false">W47*$D$2</f>
        <v>2267.37318525</v>
      </c>
      <c r="X48" s="114" t="n">
        <f aca="false">X47*$D$2</f>
        <v>27953.247315</v>
      </c>
      <c r="Y48" s="114" t="n">
        <f aca="false">Y47*$D$2</f>
        <v>9961.137</v>
      </c>
      <c r="Z48" s="114" t="n">
        <f aca="false">Z47*$D$2</f>
        <v>6385.863</v>
      </c>
      <c r="AA48" s="114" t="n">
        <f aca="false">AA47*$D$2</f>
        <v>167953.318705</v>
      </c>
      <c r="AB48" s="114" t="n">
        <f aca="false">AB47*$D$2</f>
        <v>15359.70729</v>
      </c>
      <c r="AC48" s="114" t="n">
        <f aca="false">AC47*$D$2</f>
        <v>183313.025995</v>
      </c>
      <c r="AD48" s="365"/>
      <c r="AE48" s="119"/>
      <c r="AF48" s="169"/>
      <c r="AG48" s="120"/>
      <c r="AI48" s="367" t="n">
        <f aca="false">AI47*$D$2</f>
        <v>2462.76115485646</v>
      </c>
      <c r="AJ48" s="367" t="n">
        <f aca="false">AJ47*$D$2</f>
        <v>1183.217255</v>
      </c>
    </row>
    <row r="49" customFormat="false" ht="3" hidden="false" customHeight="true" outlineLevel="0" collapsed="false">
      <c r="A49" s="171"/>
      <c r="B49" s="189"/>
      <c r="C49" s="173"/>
      <c r="D49" s="173"/>
      <c r="E49" s="173"/>
      <c r="F49" s="190"/>
      <c r="G49" s="173"/>
      <c r="H49" s="438"/>
      <c r="I49" s="173"/>
      <c r="J49" s="173"/>
      <c r="K49" s="173"/>
      <c r="L49" s="173"/>
      <c r="M49" s="191"/>
      <c r="N49" s="173"/>
      <c r="O49" s="173"/>
      <c r="P49" s="173"/>
      <c r="Q49" s="173"/>
      <c r="R49" s="192"/>
      <c r="S49" s="173"/>
      <c r="T49" s="173"/>
      <c r="U49" s="173"/>
      <c r="V49" s="173"/>
      <c r="W49" s="173"/>
      <c r="X49" s="173"/>
      <c r="Y49" s="173"/>
      <c r="Z49" s="173"/>
      <c r="AA49" s="173"/>
      <c r="AB49" s="173"/>
      <c r="AC49" s="173"/>
      <c r="AD49" s="370"/>
      <c r="AE49" s="308"/>
      <c r="AF49" s="439"/>
      <c r="AG49" s="308"/>
      <c r="AH49" s="237"/>
      <c r="AI49" s="237"/>
      <c r="AJ49" s="308"/>
    </row>
    <row r="50" customFormat="false" ht="11.1" hidden="false" customHeight="true" outlineLevel="0" collapsed="false">
      <c r="A50" s="113" t="s">
        <v>61</v>
      </c>
      <c r="B50" s="165"/>
      <c r="C50" s="114"/>
      <c r="D50" s="114"/>
      <c r="E50" s="114"/>
      <c r="F50" s="166" t="n">
        <f aca="false">F10+F44</f>
        <v>8760.27224602974</v>
      </c>
      <c r="G50" s="114" t="n">
        <f aca="false">G10+G44</f>
        <v>93149</v>
      </c>
      <c r="H50" s="432" t="n">
        <f aca="false">H10+H44</f>
        <v>1329.5</v>
      </c>
      <c r="I50" s="114" t="n">
        <f aca="false">I10+I44</f>
        <v>94478.5</v>
      </c>
      <c r="J50" s="114" t="n">
        <f aca="false">J10+J44</f>
        <v>10738.9478900933</v>
      </c>
      <c r="K50" s="114" t="n">
        <f aca="false">K10+K44</f>
        <v>105217.447890093</v>
      </c>
      <c r="L50" s="114" t="n">
        <f aca="false">L10+L44</f>
        <v>2360.69224602975</v>
      </c>
      <c r="M50" s="167" t="n">
        <f aca="false">M10+M44</f>
        <v>33410.2</v>
      </c>
      <c r="N50" s="114" t="n">
        <f aca="false">N10+N44</f>
        <v>76.38</v>
      </c>
      <c r="O50" s="114" t="n">
        <f aca="false">O10+O44</f>
        <v>6346.478525</v>
      </c>
      <c r="P50" s="114" t="n">
        <f aca="false">P10+P44</f>
        <v>190.6</v>
      </c>
      <c r="Q50" s="114" t="n">
        <f aca="false">Q10+Q44</f>
        <v>382.05</v>
      </c>
      <c r="R50" s="168" t="n">
        <f aca="false">R10+R44</f>
        <v>325.763</v>
      </c>
      <c r="S50" s="114" t="n">
        <f aca="false">S10+S44</f>
        <v>22948.8</v>
      </c>
      <c r="T50" s="114" t="n">
        <f aca="false">T10+T44</f>
        <v>10635.8</v>
      </c>
      <c r="U50" s="114" t="n">
        <f aca="false">U10+U44</f>
        <v>59673.528475</v>
      </c>
      <c r="V50" s="114"/>
      <c r="W50" s="114"/>
      <c r="X50" s="114" t="n">
        <f aca="false">X10+X44</f>
        <v>14092.89</v>
      </c>
      <c r="Y50" s="114" t="n">
        <f aca="false">Y10+Y44</f>
        <v>7285.89</v>
      </c>
      <c r="Z50" s="114" t="n">
        <f aca="false">Z42</f>
        <v>3219.49231157046</v>
      </c>
      <c r="AA50" s="114" t="n">
        <f aca="false">AA10+AA44</f>
        <v>88078.92</v>
      </c>
      <c r="AB50" s="114" t="n">
        <f aca="false">AB10+AB44</f>
        <v>8378.25564406352</v>
      </c>
      <c r="AC50" s="114" t="n">
        <f aca="false">AC10+AC44</f>
        <v>96457.1756440635</v>
      </c>
      <c r="AD50" s="365" t="n">
        <f aca="false">AD10+AD44</f>
        <v>11.04</v>
      </c>
      <c r="AE50" s="119"/>
      <c r="AF50" s="169"/>
      <c r="AG50" s="120"/>
      <c r="AH50" s="367"/>
      <c r="AI50" s="367" t="n">
        <f aca="false">AI10+AI44</f>
        <v>1241.62397522383</v>
      </c>
      <c r="AJ50" s="214"/>
    </row>
    <row r="51" customFormat="false" ht="11.1" hidden="false" customHeight="true" outlineLevel="0" collapsed="false">
      <c r="A51" s="113" t="s">
        <v>62</v>
      </c>
      <c r="B51" s="165"/>
      <c r="C51" s="114"/>
      <c r="D51" s="114" t="n">
        <f aca="false">D10+D45</f>
        <v>17376</v>
      </c>
      <c r="E51" s="114" t="n">
        <f aca="false">E42</f>
        <v>21943</v>
      </c>
      <c r="F51" s="166" t="n">
        <f aca="false">F50*$D$2</f>
        <v>17376</v>
      </c>
      <c r="G51" s="114" t="n">
        <f aca="false">G50*$D$2</f>
        <v>184761.0415</v>
      </c>
      <c r="H51" s="432" t="n">
        <f aca="false">H50*$D$2</f>
        <v>2637.06325</v>
      </c>
      <c r="I51" s="114" t="n">
        <f aca="false">I50*$D$2</f>
        <v>187398.10475</v>
      </c>
      <c r="J51" s="114" t="n">
        <f aca="false">J50*$D$2</f>
        <v>21300.70314</v>
      </c>
      <c r="K51" s="114" t="n">
        <f aca="false">K50*$D$2</f>
        <v>208698.80789</v>
      </c>
      <c r="L51" s="114" t="n">
        <f aca="false">L50*$D$2</f>
        <v>4682.43307</v>
      </c>
      <c r="M51" s="167" t="n">
        <f aca="false">M50*$D$2</f>
        <v>66269.1317</v>
      </c>
      <c r="N51" s="114" t="n">
        <f aca="false">N50*$D$2</f>
        <v>151.49973</v>
      </c>
      <c r="O51" s="114" t="n">
        <f aca="false">O50*$D$2</f>
        <v>12588.2401543375</v>
      </c>
      <c r="P51" s="114" t="n">
        <f aca="false">P50*$D$2</f>
        <v>378.0551</v>
      </c>
      <c r="Q51" s="114" t="n">
        <f aca="false">Q50*$D$2</f>
        <v>757.796175</v>
      </c>
      <c r="R51" s="440" t="n">
        <f aca="false">R50*$D$2</f>
        <v>646.1509105</v>
      </c>
      <c r="S51" s="114" t="n">
        <f aca="false">S50*$D$2</f>
        <v>45518.9448</v>
      </c>
      <c r="T51" s="114" t="n">
        <f aca="false">T50*$D$2</f>
        <v>21096.1093</v>
      </c>
      <c r="U51" s="114" t="n">
        <f aca="false">U50*$D$2</f>
        <v>118362.443730163</v>
      </c>
      <c r="V51" s="114"/>
      <c r="W51" s="114"/>
      <c r="X51" s="114" t="n">
        <f aca="false">X50*$D$2</f>
        <v>27953.247315</v>
      </c>
      <c r="Y51" s="114" t="n">
        <f aca="false">Y50*$D$2</f>
        <v>14451.562815</v>
      </c>
      <c r="Z51" s="114" t="n">
        <f aca="false">Z50*$D$2</f>
        <v>6385.863</v>
      </c>
      <c r="AA51" s="114" t="n">
        <f aca="false">AA50*$D$2</f>
        <v>174704.53782</v>
      </c>
      <c r="AB51" s="114" t="n">
        <f aca="false">AB50*$D$2</f>
        <v>16618.27007</v>
      </c>
      <c r="AC51" s="114" t="n">
        <f aca="false">AC50*$D$2</f>
        <v>191322.80789</v>
      </c>
      <c r="AD51" s="365"/>
      <c r="AE51" s="119"/>
      <c r="AF51" s="169"/>
      <c r="AG51" s="120"/>
      <c r="AI51" s="367" t="n">
        <f aca="false">AI50*$D$2</f>
        <v>2462.76115485646</v>
      </c>
      <c r="AJ51" s="214"/>
    </row>
    <row r="52" customFormat="false" ht="3" hidden="false" customHeight="true" outlineLevel="0" collapsed="false">
      <c r="A52" s="171"/>
      <c r="B52" s="189"/>
      <c r="C52" s="173"/>
      <c r="D52" s="171"/>
      <c r="E52" s="173"/>
      <c r="F52" s="174"/>
      <c r="G52" s="171"/>
      <c r="H52" s="433"/>
      <c r="I52" s="171"/>
      <c r="J52" s="171"/>
      <c r="K52" s="171"/>
      <c r="L52" s="171"/>
      <c r="M52" s="176"/>
      <c r="N52" s="171"/>
      <c r="O52" s="171"/>
      <c r="P52" s="171"/>
      <c r="Q52" s="177"/>
      <c r="R52" s="171"/>
      <c r="S52" s="171"/>
      <c r="T52" s="171"/>
      <c r="U52" s="171"/>
      <c r="V52" s="173"/>
      <c r="W52" s="173"/>
      <c r="X52" s="171"/>
      <c r="Y52" s="171"/>
      <c r="Z52" s="173"/>
      <c r="AA52" s="171"/>
      <c r="AB52" s="171"/>
      <c r="AC52" s="171"/>
      <c r="AD52" s="189"/>
      <c r="AE52" s="171"/>
      <c r="AF52" s="174"/>
      <c r="AG52" s="171"/>
      <c r="AH52" s="237"/>
      <c r="AI52" s="237"/>
      <c r="AJ52" s="171"/>
    </row>
    <row r="53" customFormat="false" ht="11.1" hidden="false" customHeight="true" outlineLevel="0" collapsed="false">
      <c r="A53" s="187"/>
      <c r="B53" s="187"/>
      <c r="C53" s="114"/>
      <c r="D53" s="187"/>
      <c r="E53" s="114"/>
      <c r="F53" s="187"/>
      <c r="G53" s="115"/>
      <c r="H53" s="441"/>
      <c r="I53" s="104"/>
      <c r="J53" s="187"/>
      <c r="K53" s="187"/>
      <c r="L53" s="187"/>
      <c r="M53" s="185"/>
      <c r="N53" s="7"/>
      <c r="O53" s="185"/>
      <c r="P53" s="185"/>
      <c r="Q53" s="187"/>
      <c r="R53" s="187"/>
      <c r="S53" s="187"/>
      <c r="T53" s="187"/>
      <c r="U53" s="0"/>
      <c r="V53" s="114"/>
      <c r="W53" s="114"/>
      <c r="X53" s="109"/>
      <c r="Y53" s="114"/>
      <c r="Z53" s="187"/>
      <c r="AA53" s="187"/>
      <c r="AB53" s="187"/>
      <c r="AC53" s="117"/>
      <c r="AD53" s="118"/>
      <c r="AE53" s="119"/>
      <c r="AF53" s="120"/>
      <c r="AG53" s="219"/>
      <c r="AH53" s="220"/>
      <c r="AI53" s="239"/>
    </row>
    <row r="54" customFormat="false" ht="11.1" hidden="false" customHeight="true" outlineLevel="0" collapsed="false">
      <c r="A54" s="113"/>
      <c r="B54" s="406" t="s">
        <v>107</v>
      </c>
      <c r="C54" s="7"/>
      <c r="D54" s="103"/>
      <c r="E54" s="319"/>
      <c r="F54" s="348"/>
      <c r="G54" s="0"/>
      <c r="H54" s="442"/>
      <c r="I54" s="8"/>
      <c r="J54" s="6"/>
      <c r="K54" s="104"/>
      <c r="L54" s="185"/>
      <c r="M54" s="6"/>
      <c r="N54" s="6"/>
      <c r="O54" s="6" t="n">
        <f aca="false">O7-O48</f>
        <v>-5.24015433749992</v>
      </c>
      <c r="P54" s="10"/>
      <c r="Q54" s="253"/>
      <c r="R54" s="253"/>
      <c r="S54" s="349"/>
      <c r="T54" s="91"/>
      <c r="U54" s="350"/>
      <c r="V54" s="114"/>
      <c r="W54" s="157"/>
      <c r="X54" s="407" t="n">
        <f aca="false">X7-X48</f>
        <v>2106.752685</v>
      </c>
      <c r="Y54" s="6"/>
      <c r="Z54" s="7"/>
      <c r="AA54" s="7"/>
      <c r="AB54" s="113"/>
      <c r="AC54" s="117"/>
      <c r="AD54" s="119"/>
      <c r="AE54" s="119"/>
      <c r="AF54" s="119"/>
      <c r="AG54" s="408" t="s">
        <v>108</v>
      </c>
      <c r="AH54" s="220"/>
      <c r="AI54" s="220"/>
      <c r="AJ54" s="239"/>
    </row>
    <row r="55" customFormat="false" ht="11.1" hidden="false" customHeight="true" outlineLevel="0" collapsed="false">
      <c r="A55" s="187"/>
      <c r="B55" s="114"/>
      <c r="E55" s="319"/>
      <c r="F55" s="320"/>
      <c r="G55" s="0"/>
      <c r="H55" s="442"/>
      <c r="I55" s="103"/>
      <c r="J55" s="103"/>
      <c r="K55" s="351"/>
      <c r="L55" s="313"/>
      <c r="M55" s="89"/>
      <c r="N55" s="89"/>
      <c r="O55" s="319"/>
      <c r="P55" s="409"/>
      <c r="Q55" s="253"/>
      <c r="R55" s="253"/>
      <c r="S55" s="349"/>
      <c r="T55" s="91"/>
      <c r="U55" s="67"/>
      <c r="V55" s="114"/>
      <c r="W55" s="114"/>
      <c r="X55" s="114"/>
      <c r="Y55" s="7"/>
      <c r="Z55" s="349"/>
      <c r="AA55" s="349"/>
      <c r="AB55" s="187"/>
      <c r="AC55" s="117"/>
      <c r="AD55" s="119"/>
      <c r="AE55" s="119"/>
      <c r="AF55" s="120"/>
      <c r="AG55" s="219" t="s">
        <v>109</v>
      </c>
      <c r="AH55" s="220"/>
      <c r="AJ55" s="239"/>
    </row>
    <row r="56" customFormat="false" ht="11.1" hidden="false" customHeight="true" outlineLevel="0" collapsed="false">
      <c r="A56" s="187"/>
      <c r="B56" s="187"/>
      <c r="C56" s="114"/>
      <c r="D56" s="114"/>
      <c r="E56" s="319"/>
      <c r="F56" s="0"/>
      <c r="G56" s="0"/>
      <c r="H56" s="157"/>
      <c r="I56" s="0"/>
      <c r="J56" s="103"/>
      <c r="K56" s="351"/>
      <c r="L56" s="119"/>
      <c r="M56" s="89"/>
      <c r="N56" s="89"/>
      <c r="O56" s="119"/>
      <c r="P56" s="117"/>
      <c r="Q56" s="253"/>
      <c r="R56" s="253"/>
      <c r="S56" s="94"/>
      <c r="T56" s="94"/>
      <c r="U56" s="67"/>
      <c r="V56" s="119"/>
      <c r="W56" s="119"/>
      <c r="X56" s="114"/>
      <c r="Y56" s="7"/>
      <c r="Z56" s="114"/>
      <c r="AA56" s="114"/>
      <c r="AB56" s="187"/>
      <c r="AC56" s="236"/>
      <c r="AD56" s="119"/>
      <c r="AE56" s="119"/>
      <c r="AF56" s="120"/>
      <c r="AG56" s="219" t="s">
        <v>110</v>
      </c>
      <c r="AH56" s="220"/>
      <c r="AJ56" s="239"/>
    </row>
    <row r="57" customFormat="false" ht="11.1" hidden="false" customHeight="true" outlineLevel="0" collapsed="false">
      <c r="A57" s="187"/>
      <c r="B57" s="187"/>
      <c r="C57" s="114"/>
      <c r="D57" s="187"/>
      <c r="E57" s="114"/>
      <c r="F57" s="187"/>
      <c r="G57" s="198"/>
      <c r="H57" s="160"/>
      <c r="I57" s="187"/>
      <c r="J57" s="187"/>
      <c r="K57" s="187"/>
      <c r="L57" s="187"/>
      <c r="M57" s="185"/>
      <c r="N57" s="185"/>
      <c r="O57" s="185"/>
      <c r="P57" s="117"/>
      <c r="Q57" s="117"/>
      <c r="R57" s="117"/>
      <c r="S57" s="187"/>
      <c r="T57" s="187"/>
      <c r="U57" s="0"/>
      <c r="V57" s="114"/>
      <c r="W57" s="114"/>
      <c r="Y57" s="114"/>
      <c r="Z57" s="187"/>
      <c r="AA57" s="187"/>
      <c r="AB57" s="187"/>
      <c r="AC57" s="117"/>
      <c r="AD57" s="118"/>
      <c r="AE57" s="119"/>
      <c r="AF57" s="120"/>
      <c r="AG57" s="219" t="s">
        <v>111</v>
      </c>
      <c r="AH57" s="220"/>
      <c r="AJ57" s="239"/>
    </row>
    <row r="58" customFormat="false" ht="11.1" hidden="false" customHeight="true" outlineLevel="0" collapsed="false">
      <c r="H58" s="441"/>
      <c r="P58" s="110"/>
      <c r="Q58" s="110"/>
      <c r="R58" s="110"/>
      <c r="S58" s="411"/>
      <c r="T58" s="106"/>
      <c r="U58" s="114"/>
      <c r="V58" s="114"/>
      <c r="W58" s="114"/>
      <c r="Y58" s="107"/>
      <c r="AA58" s="106"/>
      <c r="AB58" s="106"/>
      <c r="AC58" s="110"/>
      <c r="AD58" s="108"/>
      <c r="AE58" s="111"/>
      <c r="AF58" s="112"/>
      <c r="AG58" s="412" t="s">
        <v>117</v>
      </c>
      <c r="AJ58" s="239"/>
    </row>
    <row r="59" customFormat="false" ht="11.1" hidden="false" customHeight="true" outlineLevel="0" collapsed="false">
      <c r="H59" s="441"/>
      <c r="P59" s="109"/>
      <c r="T59" s="106"/>
      <c r="U59" s="107"/>
      <c r="W59" s="106"/>
      <c r="Y59" s="107"/>
      <c r="AA59" s="106"/>
      <c r="AB59" s="106"/>
      <c r="AC59" s="110"/>
      <c r="AD59" s="108"/>
      <c r="AE59" s="111"/>
      <c r="AF59" s="112"/>
      <c r="AI59" s="239"/>
    </row>
  </sheetData>
  <mergeCells count="2">
    <mergeCell ref="K2:W2"/>
    <mergeCell ref="M5:R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JOHN PORTER</dc:creator>
  <dc:description/>
  <dc:language>en-US</dc:language>
  <cp:lastModifiedBy>LaVon Millard</cp:lastModifiedBy>
  <cp:lastPrinted>2012-12-02T13:17:14Z</cp:lastPrinted>
  <dcterms:modified xsi:type="dcterms:W3CDTF">2012-12-02T13:17:49Z</dcterms:modified>
  <cp:revision>0</cp:revision>
  <dc:subject>MCPHEE IN/OUT FLOW</dc:subject>
  <dc:title>RIVER</dc:title>
</cp:coreProperties>
</file>